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worksheets/sheet27.xml" ContentType="application/vnd.openxmlformats-officedocument.spreadsheetml.worksheet+xml"/>
  <Override PartName="/xl/drawings/drawing2.xml" ContentType="application/vnd.openxmlformats-officedocument.drawing+xml"/>
  <Override PartName="/xl/worksheets/sheet28.xml" ContentType="application/vnd.openxmlformats-officedocument.spreadsheetml.worksheet+xml"/>
  <Override PartName="/xl/drawings/drawing3.xml" ContentType="application/vnd.openxmlformats-officedocument.drawing+xml"/>
  <Override PartName="/xl/worksheets/sheet29.xml" ContentType="application/vnd.openxmlformats-officedocument.spreadsheetml.worksheet+xml"/>
  <Override PartName="/xl/drawings/drawing4.xml" ContentType="application/vnd.openxmlformats-officedocument.drawing+xml"/>
  <Override PartName="/xl/worksheets/sheet30.xml" ContentType="application/vnd.openxmlformats-officedocument.spreadsheetml.worksheet+xml"/>
  <Override PartName="/xl/drawings/drawing5.xml" ContentType="application/vnd.openxmlformats-officedocument.drawing+xml"/>
  <Override PartName="/xl/worksheets/sheet31.xml" ContentType="application/vnd.openxmlformats-officedocument.spreadsheetml.worksheet+xml"/>
  <Override PartName="/xl/drawings/drawing6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worksheets/sheet33.xml" ContentType="application/vnd.openxmlformats-officedocument.spreadsheetml.worksheet+xml"/>
  <Override PartName="/xl/drawings/drawing8.xml" ContentType="application/vnd.openxmlformats-officedocument.drawing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project" sheetId="1" state="visible" r:id="rId1"/>
    <sheet name="sources" sheetId="2" state="visible" r:id="rId2"/>
    <sheet name="dictionary" sheetId="3" state="visible" r:id="rId3"/>
    <sheet name="source_codes" sheetId="4" state="visible" r:id="rId4"/>
    <sheet name="source_surface" sheetId="5" state="visible" r:id="rId5"/>
    <sheet name="source_population" sheetId="6" state="visible" r:id="rId6"/>
    <sheet name="source_housing" sheetId="7" state="visible" r:id="rId7"/>
    <sheet name="prepared_codes" sheetId="8" state="visible" r:id="rId8"/>
    <sheet name="prepared_surface" sheetId="9" state="visible" r:id="rId9"/>
    <sheet name="prepared_population" sheetId="10" state="visible" r:id="rId10"/>
    <sheet name="prepared_housing" sheetId="11" state="visible" r:id="rId11"/>
    <sheet name="checks" sheetId="12" state="visible" r:id="rId12"/>
    <sheet name="municipal" sheetId="13" state="visible" r:id="rId13"/>
    <sheet name="pivot_county_control" sheetId="14" state="visible" r:id="rId14"/>
    <sheet name="indicators_demography" sheetId="15" state="visible" r:id="rId15"/>
    <sheet name="indicators_housing" sheetId="16" state="visible" r:id="rId16"/>
    <sheet name="indicators_summary" sheetId="17" state="visible" r:id="rId17"/>
    <sheet name="source_population_time" sheetId="18" state="visible" r:id="rId18"/>
    <sheet name="prepared_population_time" sheetId="19" state="visible" r:id="rId19"/>
    <sheet name="source_population_pyramid" sheetId="20" state="visible" r:id="rId20"/>
    <sheet name="prepared_population_pyramid" sheetId="21" state="visible" r:id="rId21"/>
    <sheet name="pivot_population_age_sex" sheetId="22" state="visible" r:id="rId22"/>
    <sheet name="pyramid_data" sheetId="23" state="visible" r:id="rId23"/>
    <sheet name="histogram_data" sheetId="24" state="visible" r:id="rId24"/>
    <sheet name="charts_data" sheetId="25" state="visible" r:id="rId25"/>
    <sheet name="chart_00_audit" sheetId="26" state="visible" r:id="rId26"/>
    <sheet name="chart_01_age_structure" sheetId="27" state="visible" r:id="rId27"/>
    <sheet name="chart_02_nonprincipal" sheetId="28" state="visible" r:id="rId28"/>
    <sheet name="chart_03_scatter" sheetId="29" state="visible" r:id="rId29"/>
    <sheet name="chart_04_housing_donut" sheetId="30" state="visible" r:id="rId30"/>
    <sheet name="chart_05_population_time" sheetId="31" state="visible" r:id="rId31"/>
    <sheet name="chart_06_population_pyramid" sheetId="32" state="visible" r:id="rId32"/>
    <sheet name="chart_07_housing_histogram" sheetId="33" state="visible" r:id="rId33"/>
    <sheet name="palette" sheetId="34" state="visible" r:id="rId34"/>
    <sheet name="map_export" sheetId="35" state="visible" r:id="rId35"/>
  </sheets>
  <definedNames>
    <definedName name="_xlnm._FilterDatabase" localSheetId="0" hidden="1">'project'!$A$1:$C$11</definedName>
    <definedName name="_xlnm._FilterDatabase" localSheetId="1" hidden="1">'sources'!$A$1:$K$5</definedName>
    <definedName name="_xlnm._FilterDatabase" localSheetId="2" hidden="1">'dictionary'!$A$1:$M$19</definedName>
    <definedName name="_xlnm._FilterDatabase" localSheetId="3" hidden="1">'source_codes'!$A$1:$D$948</definedName>
    <definedName name="_xlnm._FilterDatabase" localSheetId="4" hidden="1">'source_surface'!$A$1:$E$948</definedName>
    <definedName name="_xlnm._FilterDatabase" localSheetId="5" hidden="1">'source_population'!$A$1:$G$2245</definedName>
    <definedName name="_xlnm._FilterDatabase" localSheetId="6" hidden="1">'source_housing'!$A$1:$H$948</definedName>
    <definedName name="_xlnm._FilterDatabase" localSheetId="7" hidden="1">'prepared_codes'!$A$1:$F$948</definedName>
    <definedName name="_xlnm._FilterDatabase" localSheetId="8" hidden="1">'prepared_surface'!$A$1:$F$948</definedName>
    <definedName name="_xlnm._FilterDatabase" localSheetId="9" hidden="1">'prepared_population'!$A$1:$I$2245</definedName>
    <definedName name="_xlnm._FilterDatabase" localSheetId="10" hidden="1">'prepared_housing'!$A$1:$H$948</definedName>
    <definedName name="_xlnm._FilterDatabase" localSheetId="11" hidden="1">'checks'!$A$1:$G$15</definedName>
    <definedName name="_xlnm._FilterDatabase" localSheetId="12" hidden="1">'municipal'!$A$1:$M$23</definedName>
    <definedName name="_xlnm._FilterDatabase" localSheetId="13" hidden="1">'pivot_county_control'!$A$1:$D$44</definedName>
    <definedName name="_xlnm._FilterDatabase" localSheetId="14" hidden="1">'indicators_demography'!$A$1:$J$23</definedName>
    <definedName name="_xlnm._FilterDatabase" localSheetId="15" hidden="1">'indicators_housing'!$A$1:$H$23</definedName>
    <definedName name="_xlnm._FilterDatabase" localSheetId="16" hidden="1">'indicators_summary'!$A$1:$F$9</definedName>
    <definedName name="_xlnm._FilterDatabase" localSheetId="24" hidden="1">'charts_data'!$A$1:$M$23</definedName>
    <definedName name="_xlnm._FilterDatabase" localSheetId="33" hidden="1">'palette'!$A$1:$S$28</definedName>
    <definedName name="_xlnm._FilterDatabase" localSheetId="34" hidden="1">'map_export'!$A$1:$K$23</definedName>
  </definedNames>
  <calcPr calcId="124519" fullCalcOnLoad="1" refMode="A1" iterate="0" iterateCount="100" iterateDelta="0.0001" forceFullCalc="1"/>
  <pivotCaches>
    <pivotCache cacheId="1" r:id="rId36"/>
    <pivotCache cacheId="2" r:id="rId37"/>
  </pivotCaches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FFFFFF"/>
      </patternFill>
    </fill>
    <fill>
      <patternFill patternType="solid">
        <fgColor rgb="00222222"/>
      </patternFill>
    </fill>
    <fill>
      <patternFill patternType="solid">
        <fgColor rgb="00595959"/>
      </patternFill>
    </fill>
    <fill>
      <patternFill patternType="solid">
        <fgColor rgb="00D9D9D9"/>
      </patternFill>
    </fill>
    <fill>
      <patternFill patternType="solid">
        <fgColor rgb="007A8C99"/>
      </patternFill>
    </fill>
    <fill>
      <patternFill patternType="solid">
        <fgColor rgb="00D55E00"/>
      </patternFill>
    </fill>
    <fill>
      <patternFill patternType="solid">
        <fgColor rgb="00BDBDBD"/>
      </patternFill>
    </fill>
    <fill>
      <patternFill patternType="solid">
        <fgColor rgb="00EDF8B1"/>
      </patternFill>
    </fill>
    <fill>
      <patternFill patternType="solid">
        <fgColor rgb="007FCDBB"/>
      </patternFill>
    </fill>
    <fill>
      <patternFill patternType="solid">
        <fgColor rgb="002C7FB8"/>
      </patternFill>
    </fill>
    <fill>
      <patternFill patternType="solid">
        <fgColor rgb="00CA0020"/>
      </patternFill>
    </fill>
    <fill>
      <patternFill patternType="solid">
        <fgColor rgb="000571B0"/>
      </patternFill>
    </fill>
    <fill>
      <patternFill patternType="solid">
        <fgColor rgb="00EDF8FB"/>
      </patternFill>
    </fill>
    <fill>
      <patternFill patternType="solid">
        <fgColor rgb="00B2E2E2"/>
      </patternFill>
    </fill>
    <fill>
      <patternFill patternType="solid">
        <fgColor rgb="0066C2A4"/>
      </patternFill>
    </fill>
    <fill>
      <patternFill patternType="solid">
        <fgColor rgb="002CA25F"/>
      </patternFill>
    </fill>
    <fill>
      <patternFill patternType="solid">
        <fgColor rgb="00006D2C"/>
      </patternFill>
    </fill>
    <fill>
      <patternFill patternType="solid">
        <fgColor rgb="00F4A582"/>
      </patternFill>
    </fill>
    <fill>
      <patternFill patternType="solid">
        <fgColor rgb="00F7F7F7"/>
      </patternFill>
    </fill>
    <fill>
      <patternFill patternType="solid">
        <fgColor rgb="0092C5DE"/>
      </patternFill>
    </fill>
    <fill>
      <patternFill patternType="solid">
        <fgColor rgb="001F4E78"/>
      </patternFill>
    </fill>
  </fills>
  <borders count="2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 style="medium"/>
      <right style="thin"/>
      <top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left" vertical="bottom"/>
    </xf>
    <xf numFmtId="0" fontId="0" fillId="0" borderId="0" applyAlignment="1">
      <alignment horizontal="general" vertical="bottom"/>
    </xf>
  </cellStyleXfs>
  <cellXfs count="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49" fontId="5" fillId="2" borderId="0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bottom"/>
    </xf>
    <xf numFmtId="2" fontId="5" fillId="2" borderId="0" applyAlignment="1" pivotButton="0" quotePrefix="0" xfId="0">
      <alignment horizontal="general" vertical="top" wrapText="1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2" applyAlignment="1" pivotButton="0" quotePrefix="0" xfId="22">
      <alignment horizontal="general" vertical="bottom"/>
    </xf>
    <xf numFmtId="0" fontId="0" fillId="0" borderId="3" applyAlignment="1" pivotButton="0" quotePrefix="0" xfId="21">
      <alignment horizontal="left" vertical="bottom"/>
    </xf>
    <xf numFmtId="0" fontId="0" fillId="0" borderId="4" applyAlignment="1" pivotButton="0" quotePrefix="0" xfId="25">
      <alignment horizontal="general" vertical="bottom"/>
    </xf>
    <xf numFmtId="0" fontId="0" fillId="0" borderId="5" applyAlignment="1" pivotButton="0" quotePrefix="0" xfId="21">
      <alignment horizontal="left" vertical="bottom"/>
    </xf>
    <xf numFmtId="0" fontId="0" fillId="0" borderId="6" applyAlignment="1" pivotButton="0" quotePrefix="0" xfId="25">
      <alignment horizontal="general" vertical="bottom"/>
    </xf>
    <xf numFmtId="0" fontId="0" fillId="0" borderId="7" applyAlignment="1" pivotButton="0" quotePrefix="0" xfId="25">
      <alignment horizontal="general" vertical="bottom"/>
    </xf>
    <xf numFmtId="0" fontId="4" fillId="0" borderId="8" applyAlignment="1" pivotButton="0" quotePrefix="0" xfId="24">
      <alignment horizontal="left" vertical="bottom"/>
    </xf>
    <xf numFmtId="0" fontId="4" fillId="0" borderId="9" applyAlignment="1" pivotButton="0" quotePrefix="0" xfId="23">
      <alignment horizontal="general" vertical="bottom"/>
    </xf>
    <xf numFmtId="0" fontId="0" fillId="0" borderId="10" applyAlignment="1" pivotButton="0" quotePrefix="0" xfId="22">
      <alignment horizontal="general" vertical="bottom"/>
    </xf>
    <xf numFmtId="0" fontId="0" fillId="0" borderId="11" applyAlignment="1" pivotButton="0" quotePrefix="0" xfId="20">
      <alignment horizontal="general" vertical="bottom"/>
    </xf>
    <xf numFmtId="0" fontId="0" fillId="0" borderId="12" applyAlignment="1" pivotButton="0" quotePrefix="0" xfId="22">
      <alignment horizontal="general" vertical="bottom"/>
    </xf>
    <xf numFmtId="0" fontId="0" fillId="0" borderId="13" applyAlignment="1" pivotButton="0" quotePrefix="0" xfId="22">
      <alignment horizontal="general" vertical="bottom"/>
    </xf>
    <xf numFmtId="0" fontId="0" fillId="0" borderId="14" applyAlignment="1" pivotButton="0" quotePrefix="0" xfId="20">
      <alignment horizontal="general" vertical="bottom"/>
    </xf>
    <xf numFmtId="0" fontId="0" fillId="0" borderId="15" applyAlignment="1" pivotButton="0" quotePrefix="0" xfId="21">
      <alignment horizontal="left" vertical="bottom"/>
    </xf>
    <xf numFmtId="0" fontId="0" fillId="0" borderId="16" applyAlignment="1" pivotButton="0" quotePrefix="0" xfId="21">
      <alignment horizontal="left" vertical="bottom"/>
    </xf>
    <xf numFmtId="0" fontId="4" fillId="0" borderId="17" applyAlignment="1" pivotButton="0" quotePrefix="0" xfId="24">
      <alignment horizontal="left" vertical="bottom"/>
    </xf>
    <xf numFmtId="0" fontId="0" fillId="0" borderId="18" applyAlignment="1" pivotButton="0" quotePrefix="0" xfId="25">
      <alignment horizontal="general" vertical="bottom"/>
    </xf>
    <xf numFmtId="0" fontId="0" fillId="0" borderId="19" applyAlignment="1" pivotButton="0" quotePrefix="0" xfId="25">
      <alignment horizontal="general" vertical="bottom"/>
    </xf>
    <xf numFmtId="0" fontId="4" fillId="0" borderId="4" applyAlignment="1" pivotButton="0" quotePrefix="0" xfId="23">
      <alignment horizontal="general" vertical="bottom"/>
    </xf>
    <xf numFmtId="0" fontId="0" fillId="0" borderId="20" applyAlignment="1" pivotButton="0" quotePrefix="0" xfId="25">
      <alignment horizontal="general" vertical="bottom"/>
    </xf>
    <xf numFmtId="0" fontId="0" fillId="0" borderId="21" applyAlignment="1" pivotButton="0" quotePrefix="0" xfId="25">
      <alignment horizontal="general" vertical="bottom"/>
    </xf>
    <xf numFmtId="0" fontId="4" fillId="0" borderId="6" applyAlignment="1" pivotButton="0" quotePrefix="0" xfId="23">
      <alignment horizontal="general" vertical="bottom"/>
    </xf>
    <xf numFmtId="0" fontId="0" fillId="0" borderId="15" applyAlignment="1" pivotButton="0" quotePrefix="0" xfId="25">
      <alignment horizontal="general" vertical="bottom"/>
    </xf>
    <xf numFmtId="0" fontId="0" fillId="0" borderId="22" applyAlignment="1" pivotButton="0" quotePrefix="0" xfId="25">
      <alignment horizontal="general" vertical="bottom"/>
    </xf>
    <xf numFmtId="0" fontId="4" fillId="0" borderId="7" applyAlignment="1" pivotButton="0" quotePrefix="0" xfId="23">
      <alignment horizontal="general" vertical="bottom"/>
    </xf>
    <xf numFmtId="0" fontId="4" fillId="0" borderId="23" applyAlignment="1" pivotButton="0" quotePrefix="0" xfId="23">
      <alignment horizontal="general" vertical="bottom"/>
    </xf>
    <xf numFmtId="0" fontId="4" fillId="0" borderId="24" applyAlignment="1" pivotButton="0" quotePrefix="0" xfId="23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general" vertical="top" wrapText="1"/>
    </xf>
    <xf numFmtId="49" fontId="5" fillId="2" borderId="0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bottom"/>
    </xf>
    <xf numFmtId="2" fontId="5" fillId="2" borderId="0" applyAlignment="1" pivotButton="0" quotePrefix="0" xfId="0">
      <alignment horizontal="general" vertical="top" wrapText="1"/>
    </xf>
    <xf numFmtId="2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2" applyAlignment="1" pivotButton="0" quotePrefix="0" xfId="22">
      <alignment horizontal="general" vertical="bottom"/>
    </xf>
    <xf numFmtId="0" fontId="0" fillId="0" borderId="3" applyAlignment="1" pivotButton="0" quotePrefix="0" xfId="21">
      <alignment horizontal="left" vertical="bottom"/>
    </xf>
    <xf numFmtId="0" fontId="0" fillId="0" borderId="4" applyAlignment="1" pivotButton="0" quotePrefix="0" xfId="25">
      <alignment horizontal="general" vertical="bottom"/>
    </xf>
    <xf numFmtId="0" fontId="0" fillId="0" borderId="5" applyAlignment="1" pivotButton="0" quotePrefix="0" xfId="21">
      <alignment horizontal="left" vertical="bottom"/>
    </xf>
    <xf numFmtId="0" fontId="0" fillId="0" borderId="6" applyAlignment="1" pivotButton="0" quotePrefix="0" xfId="25">
      <alignment horizontal="general" vertical="bottom"/>
    </xf>
    <xf numFmtId="0" fontId="0" fillId="0" borderId="7" applyAlignment="1" pivotButton="0" quotePrefix="0" xfId="25">
      <alignment horizontal="general" vertical="bottom"/>
    </xf>
    <xf numFmtId="0" fontId="4" fillId="0" borderId="8" applyAlignment="1" pivotButton="0" quotePrefix="0" xfId="24">
      <alignment horizontal="left" vertical="bottom"/>
    </xf>
    <xf numFmtId="0" fontId="4" fillId="0" borderId="9" applyAlignment="1" pivotButton="0" quotePrefix="0" xfId="23">
      <alignment horizontal="general" vertical="bottom"/>
    </xf>
    <xf numFmtId="0" fontId="0" fillId="0" borderId="10" applyAlignment="1" pivotButton="0" quotePrefix="0" xfId="22">
      <alignment horizontal="general" vertical="bottom"/>
    </xf>
    <xf numFmtId="0" fontId="0" fillId="0" borderId="11" applyAlignment="1" pivotButton="0" quotePrefix="0" xfId="20">
      <alignment horizontal="general" vertical="bottom"/>
    </xf>
    <xf numFmtId="0" fontId="0" fillId="0" borderId="12" applyAlignment="1" pivotButton="0" quotePrefix="0" xfId="22">
      <alignment horizontal="general" vertical="bottom"/>
    </xf>
    <xf numFmtId="0" fontId="0" fillId="0" borderId="13" applyAlignment="1" pivotButton="0" quotePrefix="0" xfId="22">
      <alignment horizontal="general" vertical="bottom"/>
    </xf>
    <xf numFmtId="0" fontId="0" fillId="0" borderId="14" applyAlignment="1" pivotButton="0" quotePrefix="0" xfId="20">
      <alignment horizontal="general" vertical="bottom"/>
    </xf>
    <xf numFmtId="0" fontId="0" fillId="0" borderId="15" applyAlignment="1" pivotButton="0" quotePrefix="0" xfId="21">
      <alignment horizontal="left" vertical="bottom"/>
    </xf>
    <xf numFmtId="0" fontId="0" fillId="0" borderId="16" applyAlignment="1" pivotButton="0" quotePrefix="0" xfId="21">
      <alignment horizontal="left" vertical="bottom"/>
    </xf>
    <xf numFmtId="0" fontId="4" fillId="0" borderId="17" applyAlignment="1" pivotButton="0" quotePrefix="0" xfId="24">
      <alignment horizontal="left" vertical="bottom"/>
    </xf>
    <xf numFmtId="0" fontId="0" fillId="0" borderId="18" applyAlignment="1" pivotButton="0" quotePrefix="0" xfId="25">
      <alignment horizontal="general" vertical="bottom"/>
    </xf>
    <xf numFmtId="0" fontId="0" fillId="0" borderId="19" applyAlignment="1" pivotButton="0" quotePrefix="0" xfId="25">
      <alignment horizontal="general" vertical="bottom"/>
    </xf>
    <xf numFmtId="0" fontId="4" fillId="0" borderId="4" applyAlignment="1" pivotButton="0" quotePrefix="0" xfId="23">
      <alignment horizontal="general" vertical="bottom"/>
    </xf>
    <xf numFmtId="0" fontId="0" fillId="0" borderId="20" applyAlignment="1" pivotButton="0" quotePrefix="0" xfId="25">
      <alignment horizontal="general" vertical="bottom"/>
    </xf>
    <xf numFmtId="0" fontId="0" fillId="0" borderId="21" applyAlignment="1" pivotButton="0" quotePrefix="0" xfId="25">
      <alignment horizontal="general" vertical="bottom"/>
    </xf>
    <xf numFmtId="0" fontId="4" fillId="0" borderId="6" applyAlignment="1" pivotButton="0" quotePrefix="0" xfId="23">
      <alignment horizontal="general" vertical="bottom"/>
    </xf>
    <xf numFmtId="0" fontId="0" fillId="0" borderId="15" applyAlignment="1" pivotButton="0" quotePrefix="0" xfId="25">
      <alignment horizontal="general" vertical="bottom"/>
    </xf>
    <xf numFmtId="0" fontId="0" fillId="0" borderId="22" applyAlignment="1" pivotButton="0" quotePrefix="0" xfId="25">
      <alignment horizontal="general" vertical="bottom"/>
    </xf>
    <xf numFmtId="0" fontId="4" fillId="0" borderId="7" applyAlignment="1" pivotButton="0" quotePrefix="0" xfId="23">
      <alignment horizontal="general" vertical="bottom"/>
    </xf>
    <xf numFmtId="0" fontId="4" fillId="0" borderId="23" applyAlignment="1" pivotButton="0" quotePrefix="0" xfId="23">
      <alignment horizontal="general" vertical="bottom"/>
    </xf>
    <xf numFmtId="0" fontId="4" fillId="0" borderId="24" applyAlignment="1" pivotButton="0" quotePrefix="0" xfId="23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23" borderId="0" applyAlignment="1" pivotButton="0" quotePrefix="0" xfId="0">
      <alignment wrapText="1"/>
    </xf>
    <xf numFmtId="0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mpo de la tabla dinámica" xfId="6"/>
    <cellStyle name="Categoría de la tabla dinámica" xfId="7"/>
    <cellStyle name="Esquina de la tabla dinámica" xfId="8"/>
    <cellStyle name="Resultado de la tabla dinámica" xfId="9"/>
    <cellStyle name="Título de la tabla dinámica" xfId="10"/>
    <cellStyle name="Valor de la tabla dinámica" xfId="11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pivotCacheDefinition" Target="/xl/pivotCache/pivotCacheDefinition1.xml" Id="rId36" /><Relationship Type="http://schemas.openxmlformats.org/officeDocument/2006/relationships/pivotCacheDefinition" Target="/xl/pivotCache/pivotCacheDefinition2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charts_data!I1</f>
              <strCache>
                <ptCount val="1"/>
                <pt idx="0">
                  <v>housing_non_main_pct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charts_data!$H$2:$H$23</f>
              <strCache>
                <ptCount val="22"/>
                <pt idx="0">
                  <v>Roda de Berà</v>
                </pt>
                <pt idx="1">
                  <v>Salou</v>
                </pt>
                <pt idx="2">
                  <v>Creixell</v>
                </pt>
                <pt idx="3">
                  <v>Altafulla</v>
                </pt>
                <pt idx="4">
                  <v>Vespella de Gaià</v>
                </pt>
                <pt idx="5">
                  <v>Torredembarra</v>
                </pt>
                <pt idx="6">
                  <v>Vila-seca</v>
                </pt>
                <pt idx="7">
                  <v>Pobla de Montornès, la</v>
                </pt>
                <pt idx="8">
                  <v>Salomó</v>
                </pt>
                <pt idx="9">
                  <v>Catllar, el</v>
                </pt>
                <pt idx="10">
                  <v>Secuita, la</v>
                </pt>
                <pt idx="11">
                  <v>Riera de Gaià, la</v>
                </pt>
                <pt idx="12">
                  <v>Renau</v>
                </pt>
                <pt idx="13">
                  <v>Constantí</v>
                </pt>
                <pt idx="14">
                  <v>Vilallonga del Camp</v>
                </pt>
                <pt idx="15">
                  <v>Nou de Gaià, la</v>
                </pt>
                <pt idx="16">
                  <v>Morell, el</v>
                </pt>
                <pt idx="17">
                  <v>Tarragona</v>
                </pt>
                <pt idx="18">
                  <v>Canonja, la</v>
                </pt>
                <pt idx="19">
                  <v>Perafort</v>
                </pt>
                <pt idx="20">
                  <v>Pallaresos, els</v>
                </pt>
                <pt idx="21">
                  <v>Pobla de Mafumet, la</v>
                </pt>
              </strCache>
            </strRef>
          </cat>
          <val>
            <numRef>
              <f>charts_data!$I$2:$I$23</f>
              <numCache>
                <formatCode>0.00</formatCode>
                <ptCount val="22"/>
                <pt idx="0">
                  <v>64.7454918968272</v>
                </pt>
                <pt idx="1">
                  <v>63.0777527519589</v>
                </pt>
                <pt idx="2">
                  <v>59.8172388244011</v>
                </pt>
                <pt idx="3">
                  <v>55.431869717584</v>
                </pt>
                <pt idx="4">
                  <v>55.1963048498845</v>
                </pt>
                <pt idx="5">
                  <v>52.2160379303236</v>
                </pt>
                <pt idx="6">
                  <v>49.9052649710053</v>
                </pt>
                <pt idx="7">
                  <v>42.4593967517401</v>
                </pt>
                <pt idx="8">
                  <v>39.0934844192635</v>
                </pt>
                <pt idx="9">
                  <v>36</v>
                </pt>
                <pt idx="10">
                  <v>33.6391437308869</v>
                </pt>
                <pt idx="11">
                  <v>28.3084004602992</v>
                </pt>
                <pt idx="12">
                  <v>27.8481012658228</v>
                </pt>
                <pt idx="13">
                  <v>24.6287128712871</v>
                </pt>
                <pt idx="14">
                  <v>24.5584524810765</v>
                </pt>
                <pt idx="15">
                  <v>23.6111111111111</v>
                </pt>
                <pt idx="16">
                  <v>20.5439814814815</v>
                </pt>
                <pt idx="17">
                  <v>20.3110119047619</v>
                </pt>
                <pt idx="18">
                  <v>18.9300411522634</v>
                </pt>
                <pt idx="19">
                  <v>18.3566433566434</v>
                </pt>
                <pt idx="20">
                  <v>15.9937888198758</v>
                </pt>
                <pt idx="21">
                  <v>12.0743034055728</v>
                </pt>
              </numCache>
            </numRef>
          </val>
        </ser>
        <gapWidth val="150"/>
        <overlap val="0"/>
        <axId val="6772512"/>
        <axId val="47077398"/>
      </barChart>
      <catAx>
        <axId val="6772512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7077398"/>
        <crosses val="autoZero"/>
        <auto val="1"/>
        <lblAlgn val="ctr"/>
        <lblOffset val="100"/>
        <noMultiLvlLbl val="0"/>
      </catAx>
      <valAx>
        <axId val="4707739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sobre el total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772512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charts_data!I1</f>
              <strCache>
                <ptCount val="1"/>
                <pt idx="0">
                  <v>housing_non_main_pct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charts_data!$H$2:$H$23</f>
              <strCache>
                <ptCount val="22"/>
                <pt idx="0">
                  <v>Roda de Berà</v>
                </pt>
                <pt idx="1">
                  <v>Salou</v>
                </pt>
                <pt idx="2">
                  <v>Creixell</v>
                </pt>
                <pt idx="3">
                  <v>Altafulla</v>
                </pt>
                <pt idx="4">
                  <v>Vespella de Gaià</v>
                </pt>
                <pt idx="5">
                  <v>Torredembarra</v>
                </pt>
                <pt idx="6">
                  <v>Vila-seca</v>
                </pt>
                <pt idx="7">
                  <v>Pobla de Montornès, la</v>
                </pt>
                <pt idx="8">
                  <v>Salomó</v>
                </pt>
                <pt idx="9">
                  <v>Catllar, el</v>
                </pt>
                <pt idx="10">
                  <v>Secuita, la</v>
                </pt>
                <pt idx="11">
                  <v>Riera de Gaià, la</v>
                </pt>
                <pt idx="12">
                  <v>Renau</v>
                </pt>
                <pt idx="13">
                  <v>Constantí</v>
                </pt>
                <pt idx="14">
                  <v>Vilallonga del Camp</v>
                </pt>
                <pt idx="15">
                  <v>Nou de Gaià, la</v>
                </pt>
                <pt idx="16">
                  <v>Morell, el</v>
                </pt>
                <pt idx="17">
                  <v>Tarragona</v>
                </pt>
                <pt idx="18">
                  <v>Canonja, la</v>
                </pt>
                <pt idx="19">
                  <v>Perafort</v>
                </pt>
                <pt idx="20">
                  <v>Pallaresos, els</v>
                </pt>
                <pt idx="21">
                  <v>Pobla de Mafumet, la</v>
                </pt>
              </strCache>
            </strRef>
          </cat>
          <val>
            <numRef>
              <f>charts_data!$I$2:$I$23</f>
              <numCache>
                <formatCode>0.00</formatCode>
                <ptCount val="22"/>
                <pt idx="0">
                  <v>64.7454918968272</v>
                </pt>
                <pt idx="1">
                  <v>63.0777527519589</v>
                </pt>
                <pt idx="2">
                  <v>59.8172388244011</v>
                </pt>
                <pt idx="3">
                  <v>55.431869717584</v>
                </pt>
                <pt idx="4">
                  <v>55.1963048498845</v>
                </pt>
                <pt idx="5">
                  <v>52.2160379303236</v>
                </pt>
                <pt idx="6">
                  <v>49.9052649710053</v>
                </pt>
                <pt idx="7">
                  <v>42.4593967517401</v>
                </pt>
                <pt idx="8">
                  <v>39.0934844192635</v>
                </pt>
                <pt idx="9">
                  <v>36</v>
                </pt>
                <pt idx="10">
                  <v>33.6391437308869</v>
                </pt>
                <pt idx="11">
                  <v>28.3084004602992</v>
                </pt>
                <pt idx="12">
                  <v>27.8481012658228</v>
                </pt>
                <pt idx="13">
                  <v>24.6287128712871</v>
                </pt>
                <pt idx="14">
                  <v>24.5584524810765</v>
                </pt>
                <pt idx="15">
                  <v>23.6111111111111</v>
                </pt>
                <pt idx="16">
                  <v>20.5439814814815</v>
                </pt>
                <pt idx="17">
                  <v>20.3110119047619</v>
                </pt>
                <pt idx="18">
                  <v>18.9300411522634</v>
                </pt>
                <pt idx="19">
                  <v>18.3566433566434</v>
                </pt>
                <pt idx="20">
                  <v>15.9937888198758</v>
                </pt>
                <pt idx="21">
                  <v>12.0743034055728</v>
                </pt>
              </numCache>
            </numRef>
          </val>
        </ser>
        <gapWidth val="150"/>
        <overlap val="0"/>
        <axId val="33103955"/>
        <axId val="8576985"/>
      </barChart>
      <catAx>
        <axId val="33103955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sobre el total d'habitatges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576985"/>
        <crosses val="autoZero"/>
        <auto val="1"/>
        <lblAlgn val="ctr"/>
        <lblOffset val="100"/>
        <noMultiLvlLbl val="0"/>
      </catAx>
      <valAx>
        <axId val="8576985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3103955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Estructura de la població per grans grups d'edat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percentStacked"/>
        <varyColors val="0"/>
        <ser>
          <idx val="0"/>
          <order val="0"/>
          <tx>
            <strRef>
              <f>charts_data!C1</f>
              <strCache>
                <ptCount val="1"/>
                <pt idx="0">
                  <v>age_0_14_pct</v>
                </pt>
              </strCache>
            </strRef>
          </tx>
          <spPr>
            <a:solidFill>
              <a:srgbClr val="EDF8B1"/>
            </a:solidFill>
            <a:ln w="0">
              <a:noFill/>
              <a:solidFill>
                <a:srgbClr val="1F2933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charts_data!$B$2:$B$23</f>
              <strCache>
                <ptCount val="22"/>
                <pt idx="0">
                  <v>Pobla de Mafumet, la</v>
                </pt>
                <pt idx="1">
                  <v>Renau</v>
                </pt>
                <pt idx="2">
                  <v>Pallaresos, els</v>
                </pt>
                <pt idx="3">
                  <v>Perafort</v>
                </pt>
                <pt idx="4">
                  <v>Morell, el</v>
                </pt>
                <pt idx="5">
                  <v>Salou</v>
                </pt>
                <pt idx="6">
                  <v>Vilallonga del Camp</v>
                </pt>
                <pt idx="7">
                  <v>Vila-seca</v>
                </pt>
                <pt idx="8">
                  <v>Catllar, el</v>
                </pt>
                <pt idx="9">
                  <v>Constantí</v>
                </pt>
                <pt idx="10">
                  <v>Riera de Gaià, la</v>
                </pt>
                <pt idx="11">
                  <v>Canonja, la</v>
                </pt>
                <pt idx="12">
                  <v>Secuita, la</v>
                </pt>
                <pt idx="13">
                  <v>Nou de Gaià, la</v>
                </pt>
                <pt idx="14">
                  <v>Altafulla</v>
                </pt>
                <pt idx="15">
                  <v>Tarragona</v>
                </pt>
                <pt idx="16">
                  <v>Salomó</v>
                </pt>
                <pt idx="17">
                  <v>Torredembarra</v>
                </pt>
                <pt idx="18">
                  <v>Pobla de Montornès, la</v>
                </pt>
                <pt idx="19">
                  <v>Roda de Berà</v>
                </pt>
                <pt idx="20">
                  <v>Vespella de Gaià</v>
                </pt>
                <pt idx="21">
                  <v>Creixell</v>
                </pt>
              </strCache>
            </strRef>
          </cat>
          <val>
            <numRef>
              <f>charts_data!$C$2:$C$23</f>
              <numCache>
                <formatCode>0.00</formatCode>
                <ptCount val="22"/>
                <pt idx="0">
                  <v>21.4391691394659</v>
                </pt>
                <pt idx="1">
                  <v>19.8717948717949</v>
                </pt>
                <pt idx="2">
                  <v>18.6910135412392</v>
                </pt>
                <pt idx="3">
                  <v>18.6480186480187</v>
                </pt>
                <pt idx="4">
                  <v>17.1988194258116</v>
                </pt>
                <pt idx="5">
                  <v>15.4199336017518</v>
                </pt>
                <pt idx="6">
                  <v>21.5333054042731</v>
                </pt>
                <pt idx="7">
                  <v>18.2388832799263</v>
                </pt>
                <pt idx="8">
                  <v>16.9298799747315</v>
                </pt>
                <pt idx="9">
                  <v>18.7989942316225</v>
                </pt>
                <pt idx="10">
                  <v>19.4269340974212</v>
                </pt>
                <pt idx="11">
                  <v>17.0323228939876</v>
                </pt>
                <pt idx="12">
                  <v>17.4189814814815</v>
                </pt>
                <pt idx="13">
                  <v>20.4213938411669</v>
                </pt>
                <pt idx="14">
                  <v>16.9941775836972</v>
                </pt>
                <pt idx="15">
                  <v>14.8784428938671</v>
                </pt>
                <pt idx="16">
                  <v>16.4206642066421</v>
                </pt>
                <pt idx="17">
                  <v>14.7917523350761</v>
                </pt>
                <pt idx="18">
                  <v>14.8234510326449</v>
                </pt>
                <pt idx="19">
                  <v>15.0125803746156</v>
                </pt>
                <pt idx="20">
                  <v>15.4684095860566</v>
                </pt>
                <pt idx="21">
                  <v>14.4578313253012</v>
                </pt>
              </numCache>
            </numRef>
          </val>
        </ser>
        <ser>
          <idx val="1"/>
          <order val="1"/>
          <tx>
            <strRef>
              <f>charts_data!D1</f>
              <strCache>
                <ptCount val="1"/>
                <pt idx="0">
                  <v>age_15_64_pct</v>
                </pt>
              </strCache>
            </strRef>
          </tx>
          <spPr>
            <a:solidFill>
              <a:srgbClr val="7FCDBB"/>
            </a:solidFill>
            <a:ln w="0">
              <a:noFill/>
              <a:solidFill>
                <a:srgbClr val="1F2933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charts_data!$B$2:$B$23</f>
              <strCache>
                <ptCount val="22"/>
                <pt idx="0">
                  <v>Pobla de Mafumet, la</v>
                </pt>
                <pt idx="1">
                  <v>Renau</v>
                </pt>
                <pt idx="2">
                  <v>Pallaresos, els</v>
                </pt>
                <pt idx="3">
                  <v>Perafort</v>
                </pt>
                <pt idx="4">
                  <v>Morell, el</v>
                </pt>
                <pt idx="5">
                  <v>Salou</v>
                </pt>
                <pt idx="6">
                  <v>Vilallonga del Camp</v>
                </pt>
                <pt idx="7">
                  <v>Vila-seca</v>
                </pt>
                <pt idx="8">
                  <v>Catllar, el</v>
                </pt>
                <pt idx="9">
                  <v>Constantí</v>
                </pt>
                <pt idx="10">
                  <v>Riera de Gaià, la</v>
                </pt>
                <pt idx="11">
                  <v>Canonja, la</v>
                </pt>
                <pt idx="12">
                  <v>Secuita, la</v>
                </pt>
                <pt idx="13">
                  <v>Nou de Gaià, la</v>
                </pt>
                <pt idx="14">
                  <v>Altafulla</v>
                </pt>
                <pt idx="15">
                  <v>Tarragona</v>
                </pt>
                <pt idx="16">
                  <v>Salomó</v>
                </pt>
                <pt idx="17">
                  <v>Torredembarra</v>
                </pt>
                <pt idx="18">
                  <v>Pobla de Montornès, la</v>
                </pt>
                <pt idx="19">
                  <v>Roda de Berà</v>
                </pt>
                <pt idx="20">
                  <v>Vespella de Gaià</v>
                </pt>
                <pt idx="21">
                  <v>Creixell</v>
                </pt>
              </strCache>
            </strRef>
          </cat>
          <val>
            <numRef>
              <f>charts_data!$D$2:$D$23</f>
              <numCache>
                <formatCode>General</formatCode>
                <ptCount val="22"/>
                <pt idx="0">
                  <v>70.351137487636</v>
                </pt>
                <pt idx="1">
                  <v>71.7948717948718</v>
                </pt>
                <pt idx="2">
                  <v>69.9835863766927</v>
                </pt>
                <pt idx="3">
                  <v>69.3861693861694</v>
                </pt>
                <pt idx="4">
                  <v>69.5733834182989</v>
                </pt>
                <pt idx="5">
                  <v>71.106166560712</v>
                </pt>
                <pt idx="6">
                  <v>64.1809803100126</v>
                </pt>
                <pt idx="7">
                  <v>67.2753610464861</v>
                </pt>
                <pt idx="8">
                  <v>68.267003579701</v>
                </pt>
                <pt idx="9">
                  <v>66.2919686436918</v>
                </pt>
                <pt idx="10">
                  <v>65.04297994269341</v>
                </pt>
                <pt idx="11">
                  <v>66.94021101992971</v>
                </pt>
                <pt idx="12">
                  <v>66.5509259259259</v>
                </pt>
                <pt idx="13">
                  <v>62.8849270664506</v>
                </pt>
                <pt idx="14">
                  <v>64.6834061135371</v>
                </pt>
                <pt idx="15">
                  <v>66.4649283878076</v>
                </pt>
                <pt idx="16">
                  <v>63.8376383763838</v>
                </pt>
                <pt idx="17">
                  <v>65.4526229219292</v>
                </pt>
                <pt idx="18">
                  <v>65.1232511658894</v>
                </pt>
                <pt idx="19">
                  <v>63.4470226446743</v>
                </pt>
                <pt idx="20">
                  <v>61.6557734204793</v>
                </pt>
                <pt idx="21">
                  <v>62.2917200717765</v>
                </pt>
              </numCache>
            </numRef>
          </val>
        </ser>
        <ser>
          <idx val="2"/>
          <order val="2"/>
          <tx>
            <strRef>
              <f>charts_data!E1</f>
              <strCache>
                <ptCount val="1"/>
                <pt idx="0">
                  <v>age_65_plus_pct</v>
                </pt>
              </strCache>
            </strRef>
          </tx>
          <spPr>
            <a:solidFill>
              <a:srgbClr val="2C7FB8"/>
            </a:solidFill>
            <a:ln w="0">
              <a:noFill/>
              <a:solidFill>
                <a:srgbClr val="1F2933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charts_data!$B$2:$B$23</f>
              <strCache>
                <ptCount val="22"/>
                <pt idx="0">
                  <v>Pobla de Mafumet, la</v>
                </pt>
                <pt idx="1">
                  <v>Renau</v>
                </pt>
                <pt idx="2">
                  <v>Pallaresos, els</v>
                </pt>
                <pt idx="3">
                  <v>Perafort</v>
                </pt>
                <pt idx="4">
                  <v>Morell, el</v>
                </pt>
                <pt idx="5">
                  <v>Salou</v>
                </pt>
                <pt idx="6">
                  <v>Vilallonga del Camp</v>
                </pt>
                <pt idx="7">
                  <v>Vila-seca</v>
                </pt>
                <pt idx="8">
                  <v>Catllar, el</v>
                </pt>
                <pt idx="9">
                  <v>Constantí</v>
                </pt>
                <pt idx="10">
                  <v>Riera de Gaià, la</v>
                </pt>
                <pt idx="11">
                  <v>Canonja, la</v>
                </pt>
                <pt idx="12">
                  <v>Secuita, la</v>
                </pt>
                <pt idx="13">
                  <v>Nou de Gaià, la</v>
                </pt>
                <pt idx="14">
                  <v>Altafulla</v>
                </pt>
                <pt idx="15">
                  <v>Tarragona</v>
                </pt>
                <pt idx="16">
                  <v>Salomó</v>
                </pt>
                <pt idx="17">
                  <v>Torredembarra</v>
                </pt>
                <pt idx="18">
                  <v>Pobla de Montornès, la</v>
                </pt>
                <pt idx="19">
                  <v>Roda de Berà</v>
                </pt>
                <pt idx="20">
                  <v>Vespella de Gaià</v>
                </pt>
                <pt idx="21">
                  <v>Creixell</v>
                </pt>
              </strCache>
            </strRef>
          </cat>
          <val>
            <numRef>
              <f>charts_data!$E$2:$E$23</f>
              <numCache>
                <formatCode>0.00</formatCode>
                <ptCount val="22"/>
                <pt idx="0">
                  <v>8.209693372898119</v>
                </pt>
                <pt idx="1">
                  <v>8.33333333333333</v>
                </pt>
                <pt idx="2">
                  <v>11.3254000820681</v>
                </pt>
                <pt idx="3">
                  <v>11.965811965812</v>
                </pt>
                <pt idx="4">
                  <v>13.2277971558895</v>
                </pt>
                <pt idx="5">
                  <v>13.4738998375362</v>
                </pt>
                <pt idx="6">
                  <v>14.2857142857143</v>
                </pt>
                <pt idx="7">
                  <v>14.4857556735876</v>
                </pt>
                <pt idx="8">
                  <v>14.8031164455675</v>
                </pt>
                <pt idx="9">
                  <v>14.9090371246857</v>
                </pt>
                <pt idx="10">
                  <v>15.5300859598854</v>
                </pt>
                <pt idx="11">
                  <v>16.0274660860827</v>
                </pt>
                <pt idx="12">
                  <v>16.0300925925926</v>
                </pt>
                <pt idx="13">
                  <v>16.6936790923825</v>
                </pt>
                <pt idx="14">
                  <v>18.3224163027657</v>
                </pt>
                <pt idx="15">
                  <v>18.6566287183254</v>
                </pt>
                <pt idx="16">
                  <v>19.7416974169742</v>
                </pt>
                <pt idx="17">
                  <v>19.7556247429948</v>
                </pt>
                <pt idx="18">
                  <v>20.0532978014657</v>
                </pt>
                <pt idx="19">
                  <v>21.5403969807101</v>
                </pt>
                <pt idx="20">
                  <v>22.8758169934641</v>
                </pt>
                <pt idx="21">
                  <v>23.2504486029223</v>
                </pt>
              </numCache>
            </numRef>
          </val>
        </ser>
        <gapWidth val="150"/>
        <overlap val="100"/>
        <axId val="51175149"/>
        <axId val="16998083"/>
      </barChart>
      <catAx>
        <axId val="51175149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de població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6998083"/>
        <crosses val="autoZero"/>
        <auto val="1"/>
        <lblAlgn val="ctr"/>
        <lblOffset val="100"/>
        <noMultiLvlLbl val="0"/>
      </catAx>
      <valAx>
        <axId val="16998083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[$-C0A]0\ %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1175149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charts_data!I1</f>
              <strCache>
                <ptCount val="1"/>
                <pt idx="0">
                  <v>housing_non_main_pct</v>
                </pt>
              </strCache>
            </strRef>
          </tx>
          <spPr>
            <a:solidFill>
              <a:srgbClr val="7A8C99"/>
            </a:solidFill>
            <a:ln w="0">
              <a:noFill/>
              <a:solidFill>
                <a:srgbClr val="7A8C99"/>
              </a:solidFill>
              <a:prstDash val="solid"/>
            </a:ln>
          </spPr>
          <invertIfNegative val="0"/>
          <dPt>
            <idx val="6"/>
            <spPr>
              <a:solidFill>
                <a:srgbClr val="D55E00"/>
              </a:solidFill>
              <a:ln>
                <a:solidFill>
                  <a:srgbClr val="D55E00"/>
                </a:solidFill>
                <a:prstDash val="solid"/>
              </a:ln>
            </spPr>
          </dPt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charts_data!$H$2:$H$23</f>
              <strCache>
                <ptCount val="22"/>
                <pt idx="0">
                  <v>Roda de Berà</v>
                </pt>
                <pt idx="1">
                  <v>Salou</v>
                </pt>
                <pt idx="2">
                  <v>Creixell</v>
                </pt>
                <pt idx="3">
                  <v>Altafulla</v>
                </pt>
                <pt idx="4">
                  <v>Vespella de Gaià</v>
                </pt>
                <pt idx="5">
                  <v>Torredembarra</v>
                </pt>
                <pt idx="6">
                  <v>Vila-seca</v>
                </pt>
                <pt idx="7">
                  <v>Pobla de Montornès, la</v>
                </pt>
                <pt idx="8">
                  <v>Salomó</v>
                </pt>
                <pt idx="9">
                  <v>Catllar, el</v>
                </pt>
                <pt idx="10">
                  <v>Secuita, la</v>
                </pt>
                <pt idx="11">
                  <v>Riera de Gaià, la</v>
                </pt>
                <pt idx="12">
                  <v>Renau</v>
                </pt>
                <pt idx="13">
                  <v>Constantí</v>
                </pt>
                <pt idx="14">
                  <v>Vilallonga del Camp</v>
                </pt>
                <pt idx="15">
                  <v>Nou de Gaià, la</v>
                </pt>
                <pt idx="16">
                  <v>Morell, el</v>
                </pt>
                <pt idx="17">
                  <v>Tarragona</v>
                </pt>
                <pt idx="18">
                  <v>Canonja, la</v>
                </pt>
                <pt idx="19">
                  <v>Perafort</v>
                </pt>
                <pt idx="20">
                  <v>Pallaresos, els</v>
                </pt>
                <pt idx="21">
                  <v>Pobla de Mafumet, la</v>
                </pt>
              </strCache>
            </strRef>
          </cat>
          <val>
            <numRef>
              <f>charts_data!$I$2:$I$23</f>
              <numCache>
                <formatCode>0.00</formatCode>
                <ptCount val="22"/>
                <pt idx="0">
                  <v>64.7454918968272</v>
                </pt>
                <pt idx="1">
                  <v>63.0777527519589</v>
                </pt>
                <pt idx="2">
                  <v>59.8172388244011</v>
                </pt>
                <pt idx="3">
                  <v>55.431869717584</v>
                </pt>
                <pt idx="4">
                  <v>55.1963048498845</v>
                </pt>
                <pt idx="5">
                  <v>52.2160379303236</v>
                </pt>
                <pt idx="6">
                  <v>49.9052649710053</v>
                </pt>
                <pt idx="7">
                  <v>42.4593967517401</v>
                </pt>
                <pt idx="8">
                  <v>39.0934844192635</v>
                </pt>
                <pt idx="9">
                  <v>36</v>
                </pt>
                <pt idx="10">
                  <v>33.6391437308869</v>
                </pt>
                <pt idx="11">
                  <v>28.3084004602992</v>
                </pt>
                <pt idx="12">
                  <v>27.8481012658228</v>
                </pt>
                <pt idx="13">
                  <v>24.6287128712871</v>
                </pt>
                <pt idx="14">
                  <v>24.5584524810765</v>
                </pt>
                <pt idx="15">
                  <v>23.6111111111111</v>
                </pt>
                <pt idx="16">
                  <v>20.5439814814815</v>
                </pt>
                <pt idx="17">
                  <v>20.3110119047619</v>
                </pt>
                <pt idx="18">
                  <v>18.9300411522634</v>
                </pt>
                <pt idx="19">
                  <v>18.3566433566434</v>
                </pt>
                <pt idx="20">
                  <v>15.9937888198758</v>
                </pt>
                <pt idx="21">
                  <v>12.0743034055728</v>
                </pt>
              </numCache>
            </numRef>
          </val>
        </ser>
        <gapWidth val="150"/>
        <overlap val="0"/>
        <axId val="42624900"/>
        <axId val="41223068"/>
      </barChart>
      <catAx>
        <axId val="42624900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sobre el total d'habitatges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1223068"/>
        <crosses val="autoZero"/>
        <auto val="1"/>
        <lblAlgn val="ctr"/>
        <lblOffset val="100"/>
        <noMultiLvlLbl val="0"/>
      </catAx>
      <valAx>
        <axId val="4122306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2624900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Envelliment i habitatge no principal</a:t>
            </a:r>
          </a:p>
        </rich>
      </tx>
      <overlay val="0"/>
      <spPr>
        <a:noFill/>
        <a:ln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"Municipis"</f>
              <strCache>
                <ptCount val="1"/>
                <pt idx="0">
                  <v>Municipis</v>
                </pt>
              </strCache>
            </strRef>
          </tx>
          <spPr>
            <a:solidFill>
              <a:srgbClr val="4472c4"/>
            </a:solidFill>
            <a:ln w="28440">
              <a:noFill/>
              <a:prstDash val="solid"/>
            </a:ln>
          </spPr>
          <marker>
            <symbol val="circle"/>
            <size val="7"/>
            <spPr>
              <a:solidFill>
                <a:srgbClr val="006D2C"/>
              </a:solidFill>
              <a:ln>
                <a:solidFill>
                  <a:srgbClr val="00441B"/>
                </a:solidFill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charts_data!$L$2:$L$23</f>
              <numCache>
                <formatCode>0.00</formatCode>
                <ptCount val="22"/>
                <pt idx="0">
                  <v>18.3224163027657</v>
                </pt>
                <pt idx="1">
                  <v>14.8031164455675</v>
                </pt>
                <pt idx="2">
                  <v>14.9090371246857</v>
                </pt>
                <pt idx="3">
                  <v>23.2504486029223</v>
                </pt>
                <pt idx="4">
                  <v>13.2277971558895</v>
                </pt>
                <pt idx="5">
                  <v>16.6936790923825</v>
                </pt>
                <pt idx="6">
                  <v>11.3254000820681</v>
                </pt>
                <pt idx="7">
                  <v>11.965811965812</v>
                </pt>
                <pt idx="8">
                  <v>8.209693372898119</v>
                </pt>
                <pt idx="9">
                  <v>20.0532978014657</v>
                </pt>
                <pt idx="10">
                  <v>8.33333333333333</v>
                </pt>
                <pt idx="11">
                  <v>15.5300859598854</v>
                </pt>
                <pt idx="12">
                  <v>21.5403969807101</v>
                </pt>
                <pt idx="13">
                  <v>19.7416974169742</v>
                </pt>
                <pt idx="14">
                  <v>16.0300925925926</v>
                </pt>
                <pt idx="15">
                  <v>18.6566287183254</v>
                </pt>
                <pt idx="16">
                  <v>19.7556247429948</v>
                </pt>
                <pt idx="17">
                  <v>22.8758169934641</v>
                </pt>
                <pt idx="18">
                  <v>14.2857142857143</v>
                </pt>
                <pt idx="19">
                  <v>14.4857556735876</v>
                </pt>
                <pt idx="20">
                  <v>13.4738998375362</v>
                </pt>
                <pt idx="21">
                  <v>16.0274660860827</v>
                </pt>
              </numCache>
            </numRef>
          </xVal>
          <yVal>
            <numRef>
              <f>charts_data!$M$2:$M$23</f>
              <numCache>
                <formatCode>0.00</formatCode>
                <ptCount val="22"/>
                <pt idx="0">
                  <v>55.431869717584</v>
                </pt>
                <pt idx="1">
                  <v>36</v>
                </pt>
                <pt idx="2">
                  <v>24.6287128712871</v>
                </pt>
                <pt idx="3">
                  <v>59.8172388244011</v>
                </pt>
                <pt idx="4">
                  <v>20.5439814814815</v>
                </pt>
                <pt idx="5">
                  <v>23.6111111111111</v>
                </pt>
                <pt idx="6">
                  <v>15.9937888198758</v>
                </pt>
                <pt idx="7">
                  <v>18.3566433566434</v>
                </pt>
                <pt idx="8">
                  <v>12.0743034055728</v>
                </pt>
                <pt idx="9">
                  <v>42.4593967517401</v>
                </pt>
                <pt idx="10">
                  <v>27.8481012658228</v>
                </pt>
                <pt idx="11">
                  <v>28.3084004602992</v>
                </pt>
                <pt idx="12">
                  <v>64.7454918968272</v>
                </pt>
                <pt idx="13">
                  <v>39.0934844192635</v>
                </pt>
                <pt idx="14">
                  <v>33.6391437308869</v>
                </pt>
                <pt idx="15">
                  <v>20.3110119047619</v>
                </pt>
                <pt idx="16">
                  <v>52.2160379303236</v>
                </pt>
                <pt idx="17">
                  <v>55.1963048498845</v>
                </pt>
                <pt idx="18">
                  <v>24.5584524810765</v>
                </pt>
                <pt idx="19">
                  <v>49.9052649710053</v>
                </pt>
                <pt idx="20">
                  <v>63.0777527519589</v>
                </pt>
                <pt idx="21">
                  <v>18.9300411522634</v>
                </pt>
              </numCache>
            </numRef>
          </yVal>
          <smooth val="1"/>
        </ser>
        <axId val="15050482"/>
        <axId val="98962022"/>
      </scatterChart>
      <valAx>
        <axId val="15050482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Població de 65 anys o més (%)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8962022"/>
        <crosses val="autoZero"/>
        <crossBetween val="midCat"/>
      </valAx>
      <valAx>
        <axId val="98962022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Habitatge no principal (%)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5050482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Composició del parc d'habitatges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doughnutChart>
        <varyColors val="1"/>
        <ser>
          <idx val="0"/>
          <order val="0"/>
          <tx>
            <strRef>
              <f>charts_data!P1</f>
              <strCache>
                <ptCount val="1"/>
                <pt idx="0">
                  <v>housing_count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4f81bd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 w="0">
                <a:noFill/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charts_data!$O$2:$O$3</f>
              <strCache>
                <ptCount val="2"/>
                <pt idx="0">
                  <v>Habitatges principals</v>
                </pt>
                <pt idx="1">
                  <v>Habitatges no principals</v>
                </pt>
              </strCache>
            </strRef>
          </cat>
          <val>
            <numRef>
              <f>charts_data!$P$2:$P$3</f>
              <numCache>
                <formatCode>General</formatCode>
                <ptCount val="2"/>
                <pt idx="0">
                  <v>103074</v>
                </pt>
                <pt idx="1">
                  <v>66105</v>
                </pt>
              </numCache>
            </numRef>
          </val>
        </ser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Evolució de la població de Vila-seca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prepared_population_time!B1</f>
              <strCache>
                <ptCount val="1"/>
                <pt idx="0">
                  <v>Població</v>
                </pt>
              </strCache>
            </strRef>
          </tx>
          <spPr>
            <a:solidFill>
              <a:srgbClr val="4472c4"/>
            </a:solidFill>
            <a:ln w="28440">
              <a:solidFill>
                <a:srgbClr val="4472c4"/>
              </a:solidFill>
              <a:prstDash val="solid"/>
              <a:round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prepared_population_time!$E$2:$E$24</f>
              <strCache>
                <ptCount val="23"/>
                <pt idx="0">
                  <v>2000</v>
                </pt>
                <pt idx="1">
                  <v>None</v>
                </pt>
                <pt idx="2">
                  <v>2002</v>
                </pt>
                <pt idx="3">
                  <v>None</v>
                </pt>
                <pt idx="4">
                  <v>2004</v>
                </pt>
                <pt idx="5">
                  <v>None</v>
                </pt>
                <pt idx="6">
                  <v>2006</v>
                </pt>
                <pt idx="7">
                  <v>None</v>
                </pt>
                <pt idx="8">
                  <v>2008</v>
                </pt>
                <pt idx="9">
                  <v>None</v>
                </pt>
                <pt idx="10">
                  <v>2010</v>
                </pt>
                <pt idx="11">
                  <v>None</v>
                </pt>
                <pt idx="12">
                  <v>2012</v>
                </pt>
                <pt idx="13">
                  <v>None</v>
                </pt>
                <pt idx="14">
                  <v>2014</v>
                </pt>
                <pt idx="15">
                  <v>None</v>
                </pt>
                <pt idx="16">
                  <v>2016</v>
                </pt>
                <pt idx="17">
                  <v>None</v>
                </pt>
                <pt idx="18">
                  <v>2018</v>
                </pt>
                <pt idx="19">
                  <v>None</v>
                </pt>
                <pt idx="20">
                  <v>2020</v>
                </pt>
                <pt idx="21">
                  <v>None</v>
                </pt>
                <pt idx="22">
                  <v>2022</v>
                </pt>
              </strCache>
            </strRef>
          </cat>
          <val>
            <numRef>
              <f>prepared_population_time!$B$2:$B$24</f>
              <numCache>
                <formatCode>General</formatCode>
                <ptCount val="23"/>
                <pt idx="0">
                  <v>13133</v>
                </pt>
                <pt idx="1">
                  <v>13420</v>
                </pt>
                <pt idx="2">
                  <v>13927</v>
                </pt>
                <pt idx="3">
                  <v>14377</v>
                </pt>
                <pt idx="4">
                  <v>14998</v>
                </pt>
                <pt idx="5">
                  <v>15875</v>
                </pt>
                <pt idx="6">
                  <v>17305</v>
                </pt>
                <pt idx="7">
                  <v>18678</v>
                </pt>
                <pt idx="8">
                  <v>20039</v>
                </pt>
                <pt idx="9">
                  <v>20866</v>
                </pt>
                <pt idx="10">
                  <v>21373</v>
                </pt>
                <pt idx="11">
                  <v>21839</v>
                </pt>
                <pt idx="12">
                  <v>22052</v>
                </pt>
                <pt idx="13">
                  <v>21689</v>
                </pt>
                <pt idx="14">
                  <v>21923</v>
                </pt>
                <pt idx="15">
                  <v>22332</v>
                </pt>
                <pt idx="16">
                  <v>21935</v>
                </pt>
                <pt idx="17">
                  <v>21993</v>
                </pt>
                <pt idx="18">
                  <v>22107</v>
                </pt>
                <pt idx="19">
                  <v>22187</v>
                </pt>
                <pt idx="20">
                  <v>22555</v>
                </pt>
                <pt idx="21">
                  <v>22522</v>
                </pt>
                <pt idx="22">
                  <v>22681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28853927"/>
        <axId val="85233898"/>
      </lineChart>
      <catAx>
        <axId val="28853927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Any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5233898"/>
        <crosses val="autoZero"/>
        <auto val="1"/>
        <lblAlgn val="ctr"/>
        <lblOffset val="100"/>
        <noMultiLvlLbl val="0"/>
      </catAx>
      <valAx>
        <axId val="8523389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Població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8853927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Piràmide de població de Vila-seca, 2021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stacked"/>
        <varyColors val="0"/>
        <ser>
          <idx val="0"/>
          <order val="0"/>
          <tx>
            <strRef>
              <f>pyramid_data!D1</f>
              <strCache>
                <ptCount val="1"/>
                <pt idx="0">
                  <v>Homes</v>
                </pt>
              </strCache>
            </strRef>
          </tx>
          <spPr>
            <a:solidFill>
              <a:srgbClr val="0571B0"/>
            </a:solidFill>
            <a:ln w="0">
              <a:noFill/>
              <a:solidFill>
                <a:srgbClr val="0571B0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pyramid_data!$A$2:$A$19</f>
              <strCache>
                <ptCount val="18"/>
                <pt idx="0">
                  <v>0-4</v>
                </pt>
                <pt idx="1">
                  <v>5-9</v>
                </pt>
                <pt idx="2">
                  <v>10-14</v>
                </pt>
                <pt idx="3">
                  <v>15-19</v>
                </pt>
                <pt idx="4">
                  <v>20-24</v>
                </pt>
                <pt idx="5">
                  <v>25-29</v>
                </pt>
                <pt idx="6">
                  <v>30-34</v>
                </pt>
                <pt idx="7">
                  <v>35-39</v>
                </pt>
                <pt idx="8">
                  <v>40-44</v>
                </pt>
                <pt idx="9">
                  <v>45-49</v>
                </pt>
                <pt idx="10">
                  <v>50-54</v>
                </pt>
                <pt idx="11">
                  <v>55-59</v>
                </pt>
                <pt idx="12">
                  <v>60-64</v>
                </pt>
                <pt idx="13">
                  <v>65-69</v>
                </pt>
                <pt idx="14">
                  <v>70-74</v>
                </pt>
                <pt idx="15">
                  <v>75-79</v>
                </pt>
                <pt idx="16">
                  <v>80-84</v>
                </pt>
                <pt idx="17">
                  <v>85+</v>
                </pt>
              </strCache>
            </strRef>
          </cat>
          <val>
            <numRef>
              <f>pyramid_data!$D$2:$D$19</f>
              <numCache>
                <formatCode>General</formatCode>
                <ptCount val="18"/>
                <pt idx="0">
                  <v>-601</v>
                </pt>
                <pt idx="1">
                  <v>-780</v>
                </pt>
                <pt idx="2">
                  <v>-769</v>
                </pt>
                <pt idx="3">
                  <v>-586</v>
                </pt>
                <pt idx="4">
                  <v>-537</v>
                </pt>
                <pt idx="5">
                  <v>-539</v>
                </pt>
                <pt idx="6">
                  <v>-734</v>
                </pt>
                <pt idx="7">
                  <v>-954</v>
                </pt>
                <pt idx="8">
                  <v>-1251</v>
                </pt>
                <pt idx="9">
                  <v>-1072</v>
                </pt>
                <pt idx="10">
                  <v>-830</v>
                </pt>
                <pt idx="11">
                  <v>-689</v>
                </pt>
                <pt idx="12">
                  <v>-569</v>
                </pt>
                <pt idx="13">
                  <v>-556</v>
                </pt>
                <pt idx="14">
                  <v>-424</v>
                </pt>
                <pt idx="15">
                  <v>-257</v>
                </pt>
                <pt idx="16">
                  <v>-157</v>
                </pt>
                <pt idx="17">
                  <v>-138</v>
                </pt>
              </numCache>
            </numRef>
          </val>
        </ser>
        <ser>
          <idx val="1"/>
          <order val="1"/>
          <tx>
            <strRef>
              <f>pyramid_data!E1</f>
              <strCache>
                <ptCount val="1"/>
                <pt idx="0">
                  <v>Dones</v>
                </pt>
              </strCache>
            </strRef>
          </tx>
          <spPr>
            <a:solidFill>
              <a:srgbClr val="CA0020"/>
            </a:solidFill>
            <a:ln w="0">
              <a:noFill/>
              <a:solidFill>
                <a:srgbClr val="CA0020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pyramid_data!$A$2:$A$19</f>
              <strCache>
                <ptCount val="18"/>
                <pt idx="0">
                  <v>0-4</v>
                </pt>
                <pt idx="1">
                  <v>5-9</v>
                </pt>
                <pt idx="2">
                  <v>10-14</v>
                </pt>
                <pt idx="3">
                  <v>15-19</v>
                </pt>
                <pt idx="4">
                  <v>20-24</v>
                </pt>
                <pt idx="5">
                  <v>25-29</v>
                </pt>
                <pt idx="6">
                  <v>30-34</v>
                </pt>
                <pt idx="7">
                  <v>35-39</v>
                </pt>
                <pt idx="8">
                  <v>40-44</v>
                </pt>
                <pt idx="9">
                  <v>45-49</v>
                </pt>
                <pt idx="10">
                  <v>50-54</v>
                </pt>
                <pt idx="11">
                  <v>55-59</v>
                </pt>
                <pt idx="12">
                  <v>60-64</v>
                </pt>
                <pt idx="13">
                  <v>65-69</v>
                </pt>
                <pt idx="14">
                  <v>70-74</v>
                </pt>
                <pt idx="15">
                  <v>75-79</v>
                </pt>
                <pt idx="16">
                  <v>80-84</v>
                </pt>
                <pt idx="17">
                  <v>85+</v>
                </pt>
              </strCache>
            </strRef>
          </cat>
          <val>
            <numRef>
              <f>pyramid_data!$E$2:$E$19</f>
              <numCache>
                <formatCode>General</formatCode>
                <ptCount val="18"/>
                <pt idx="0">
                  <v>559</v>
                </pt>
                <pt idx="1">
                  <v>735</v>
                </pt>
                <pt idx="2">
                  <v>711</v>
                </pt>
                <pt idx="3">
                  <v>553</v>
                </pt>
                <pt idx="4">
                  <v>528</v>
                </pt>
                <pt idx="5">
                  <v>552</v>
                </pt>
                <pt idx="6">
                  <v>790</v>
                </pt>
                <pt idx="7">
                  <v>1016</v>
                </pt>
                <pt idx="8">
                  <v>1203</v>
                </pt>
                <pt idx="9">
                  <v>880</v>
                </pt>
                <pt idx="10">
                  <v>726</v>
                </pt>
                <pt idx="11">
                  <v>694</v>
                </pt>
                <pt idx="12">
                  <v>623</v>
                </pt>
                <pt idx="13">
                  <v>549</v>
                </pt>
                <pt idx="14">
                  <v>420</v>
                </pt>
                <pt idx="15">
                  <v>295</v>
                </pt>
                <pt idx="16">
                  <v>231</v>
                </pt>
                <pt idx="17">
                  <v>273</v>
                </pt>
              </numCache>
            </numRef>
          </val>
        </ser>
        <gapWidth val="150"/>
        <overlap val="100"/>
        <axId val="47675244"/>
        <axId val="22503990"/>
      </barChart>
      <catAx>
        <axId val="47675244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Grup d'edat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2503990"/>
        <crosses val="autoZero"/>
        <auto val="1"/>
        <lblAlgn val="ctr"/>
        <lblOffset val="100"/>
        <noMultiLvlLbl val="0"/>
      </catAx>
      <valAx>
        <axId val="22503990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Població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7675244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Distribució municipal de l'habitatge no principal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histogram_data!D1</f>
              <strCache>
                <ptCount val="1"/>
                <pt idx="0">
                  <v>Municipis</v>
                </pt>
              </strCache>
            </strRef>
          </tx>
          <spPr>
            <a:solidFill>
              <a:srgbClr val="66C2A4"/>
            </a:solidFill>
            <a:ln w="0">
              <a:noFill/>
              <a:solidFill>
                <a:srgbClr val="66C2A4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histogram_data!$C$2:$C$8</f>
              <strCache>
                <ptCount val="7"/>
                <pt idx="0">
                  <v>0-10</v>
                </pt>
                <pt idx="1">
                  <v>10-20</v>
                </pt>
                <pt idx="2">
                  <v>20-30</v>
                </pt>
                <pt idx="3">
                  <v>30-40</v>
                </pt>
                <pt idx="4">
                  <v>40-50</v>
                </pt>
                <pt idx="5">
                  <v>50-60</v>
                </pt>
                <pt idx="6">
                  <v>60-70</v>
                </pt>
              </strCache>
            </strRef>
          </cat>
          <val>
            <numRef>
              <f>histogram_data!$D$2:$D$8</f>
              <numCache>
                <formatCode>General</formatCode>
                <ptCount val="7"/>
                <pt idx="0">
                  <v>0</v>
                </pt>
                <pt idx="1">
                  <v>4</v>
                </pt>
                <pt idx="2">
                  <v>7</v>
                </pt>
                <pt idx="3">
                  <v>3</v>
                </pt>
                <pt idx="4">
                  <v>2</v>
                </pt>
                <pt idx="5">
                  <v>4</v>
                </pt>
                <pt idx="6">
                  <v>2</v>
                </pt>
              </numCache>
            </numRef>
          </val>
        </ser>
        <gapWidth val="0"/>
        <overlap val="0"/>
        <axId val="84480593"/>
        <axId val="83422778"/>
      </barChart>
      <catAx>
        <axId val="84480593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Percentatge d'habitatge no principal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3422778"/>
        <crosses val="autoZero"/>
        <auto val="1"/>
        <lblAlgn val="ctr"/>
        <lblOffset val="100"/>
        <noMultiLvlLbl val="0"/>
      </catAx>
      <valAx>
        <axId val="8342277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Nombre de municipis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4480593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2</row>
      <rowOff>0</rowOff>
    </from>
    <to>
      <col>14</col>
      <colOff>451800</colOff>
      <row>36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0</col>
      <colOff>0</colOff>
      <row>33</row>
      <rowOff>0</rowOff>
    </from>
    <to>
      <col>14</col>
      <colOff>451800</colOff>
      <row>67</row>
      <rowOff>2880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14</col>
      <colOff>451800</colOff>
      <row>34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14</col>
      <colOff>451800</colOff>
      <row>34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13</col>
      <colOff>59400</colOff>
      <row>32</row>
      <rowOff>23760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10</col>
      <colOff>322560</colOff>
      <row>28</row>
      <rowOff>65520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14</col>
      <colOff>451800</colOff>
      <row>30</row>
      <rowOff>44640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13</col>
      <colOff>59400</colOff>
      <row>34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12</col>
      <colOff>27000</colOff>
      <row>30</row>
      <rowOff>44640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3" recordCount="947" r:id="rId1">
  <cacheSource type="worksheet">
    <worksheetSource ref="A1:F948" sheet="prepared_codes"/>
  </cacheSource>
  <cacheFields count="6">
    <cacheField name="raw_municipality" uniqueList="1" numFmtId="0" sqlType="0" hierarchy="0" level="0" databaseField="1">
      <sharedItems count="947">
        <s v="[080018] Abrera"/>
        <s v="[080023] Aguilar de Segarra"/>
        <s v="[080039] Alella"/>
        <s v="[080044] Alpens"/>
        <s v="[080057] Ametlla del Vallès, l'"/>
        <s v="[080060] Arenys de Mar"/>
        <s v="[080076] Arenys de Munt"/>
        <s v="[080082] Argençola"/>
        <s v="[080095] Argentona"/>
        <s v="[080109] Artés"/>
        <s v="[080116] Avià"/>
        <s v="[080121] Avinyó"/>
        <s v="[080137] Avinyonet del Penedès"/>
        <s v="[080142] Aiguafreda"/>
        <s v="[080155] Badalona"/>
        <s v="[080168] Bagà"/>
        <s v="[080174] Balenyà"/>
        <s v="[080180] Balsareny"/>
        <s v="[080193] Barcelona"/>
        <s v="[080207] Begues"/>
        <s v="[080214] Bellprat"/>
        <s v="[080229] Berga"/>
        <s v="[080235] Bigues i Riells del Fai"/>
        <s v="[080240] Borredà"/>
        <s v="[080253] Bruc, el"/>
        <s v="[080266] Brull, el"/>
        <s v="[080272] Cabanyes, les"/>
        <s v="[080288] Cabrera d'Anoia"/>
        <s v="[080291] Cabrera de Mar"/>
        <s v="[080305] Cabrils"/>
        <s v="[080312] Calaf"/>
        <s v="[080327] Caldes d'Estrac"/>
        <s v="[080333] Caldes de Montbui"/>
        <s v="[080348] Calders"/>
        <s v="[080351] Calella"/>
        <s v="[080364] Calonge de Segarra"/>
        <s v="[080370] Calldetenes"/>
        <s v="[080386] Callús"/>
        <s v="[080399] Campins"/>
        <s v="[080403] Canet de Mar"/>
        <s v="[080410] Canovelles"/>
        <s v="[080425] Cànoves i Samalús"/>
        <s v="[080431] Canyelles"/>
        <s v="[080446] Capellades"/>
        <s v="[080459] Capolat"/>
        <s v="[080462] Cardedeu"/>
        <s v="[080478] Cardona"/>
        <s v="[080484] Carme"/>
        <s v="[080497] Casserres"/>
        <s v="[080500] Castellar del Riu"/>
        <s v="[080517] Castellar del Vallès"/>
        <s v="[080522] Castellar de n'Hug"/>
        <s v="[080538] Castellbell i el Vilar"/>
        <s v="[080543] Castellbisbal"/>
        <s v="[080556] Castellcir"/>
        <s v="[080569] Castelldefels"/>
        <s v="[080575] Castell de l'Areny"/>
        <s v="[080581] Castellet i la Gornal"/>
        <s v="[080594] Castellfollit del Boix"/>
        <s v="[080608] Castellfollit de Riubregós"/>
        <s v="[080615] Castellgalí"/>
        <s v="[080620] Castellnou de Bages"/>
        <s v="[080636] Castellolí"/>
        <s v="[080641] Castellterçol"/>
        <s v="[080654] Castellví de la Marca"/>
        <s v="[080667] Castellví de Rosanes"/>
        <s v="[080673] Centelles"/>
        <s v="[080689] Cervelló"/>
        <s v="[080692] Collbató"/>
        <s v="[080706] Collsuspina"/>
        <s v="[080713] Copons"/>
        <s v="[080728] Corbera de Llobregat"/>
        <s v="[080734] Cornellà de Llobregat"/>
        <s v="[080749] Cubelles"/>
        <s v="[080752] Dosrius"/>
        <s v="[080765] Esparreguera"/>
        <s v="[080771] Esplugues de Llobregat"/>
        <s v="[080787] Espunyola, l'"/>
        <s v="[080790] Estany, l'"/>
        <s v="[080804] Fígols"/>
        <s v="[080811] Fogars de Montclús"/>
        <s v="[080826] Fogars de la Selva"/>
        <s v="[080832] Folgueroles"/>
        <s v="[080847] Fonollosa"/>
        <s v="[080850] Font-rubí"/>
        <s v="[080863] Franqueses del Vallès, les"/>
        <s v="[080879] Gallifa"/>
        <s v="[080885] Garriga, la"/>
        <s v="[080898] Gavà"/>
        <s v="[080902] Gaià"/>
        <s v="[080919] Gelida"/>
        <s v="[080924] Gironella"/>
        <s v="[080930] Gisclareny"/>
        <s v="[080945] Granada, la"/>
        <s v="[080958] Granera"/>
        <s v="[080961] Granollers"/>
        <s v="[080977] Gualba"/>
        <s v="[080983] Sant Salvador de Guardiola"/>
        <s v="[080996] Guardiola de Berguedà"/>
        <s v="[081000] Gurb"/>
        <s v="[081017] Hospitalet de Llobregat, l'"/>
        <s v="[081022] Igualada"/>
        <s v="[081038] Jorba"/>
        <s v="[081043] Llacuna, la"/>
        <s v="[081056] Llagosta, la"/>
        <s v="[081069] Llinars del Vallès"/>
        <s v="[081075] Lliçà d'Amunt"/>
        <s v="[081081] Lliçà de Vall"/>
        <s v="[081094] Lluçà"/>
        <s v="[081108] Malgrat de Mar"/>
        <s v="[081115] Malla"/>
        <s v="[081120] Manlleu"/>
        <s v="[081136] Manresa"/>
        <s v="[081141] Martorell"/>
        <s v="[081154] Martorelles"/>
        <s v="[081167] Masies de Roda, les"/>
        <s v="[081173] Masies de Voltregà, les"/>
        <s v="[081189] Masnou, el"/>
        <s v="[081192] Masquefa"/>
        <s v="[081206] Matadepera"/>
        <s v="[081213] Mataró"/>
        <s v="[081228] Mediona"/>
        <s v="[081234] Molins de Rei"/>
        <s v="[081249] Mollet del Vallès"/>
        <s v="[081252] Montcada i Reixac"/>
        <s v="[081265] Montgat"/>
        <s v="[081271] Monistrol de Montserrat"/>
        <s v="[081287] Monistrol de Calders"/>
        <s v="[081290] Muntanyola"/>
        <s v="[081304] Montclar"/>
        <s v="[081311] Montesquiu"/>
        <s v="[081326] Montmajor"/>
        <s v="[081332] Montmaneu"/>
        <s v="[081347] Figaró-Montmany"/>
        <s v="[081350] Montmeló"/>
        <s v="[081363] Montornès del Vallès"/>
        <s v="[081379] Montseny"/>
        <s v="[081385] Moià"/>
        <s v="[081398] Mura"/>
        <s v="[081402] Navarcles"/>
        <s v="[081419] Navàs"/>
        <s v="[081424] Nou de Berguedà, la"/>
        <s v="[081430] Òdena"/>
        <s v="[081445] Olvan"/>
        <s v="[081458] Olèrdola"/>
        <s v="[081461] Olesa de Bonesvalls"/>
        <s v="[081477] Olesa de Montserrat"/>
        <s v="[081483] Olivella"/>
        <s v="[081496] Olost"/>
        <s v="[081509] Orís"/>
        <s v="[081516] Oristà"/>
        <s v="[081521] Orpí"/>
        <s v="[081537] Òrrius"/>
        <s v="[081542] Pacs del Penedès"/>
        <s v="[081555] Palafolls"/>
        <s v="[081568] Palau-solità i Plegamans"/>
        <s v="[081574] Pallejà"/>
        <s v="[081580] Papiol, el"/>
        <s v="[081593] Parets del Vallès"/>
        <s v="[081607] Perafita"/>
        <s v="[081614] Piera"/>
        <s v="[081629] Hostalets de Pierola, els"/>
        <s v="[081635] Pineda de Mar"/>
        <s v="[081640] Pla del Penedès, el"/>
        <s v="[081653] Pobla de Claramunt, la"/>
        <s v="[081666] Pobla de Lillet, la"/>
        <s v="[081672] Polinyà"/>
        <s v="[081688] Pontons"/>
        <s v="[081691] Prat de Llobregat, el"/>
        <s v="[081705] Prats de Rei, els"/>
        <s v="[081712] Prats de Lluçanès"/>
        <s v="[081727] Premià de Mar"/>
        <s v="[081748] Puigdàlber"/>
        <s v="[081751] Puig-reig"/>
        <s v="[081764] Pujalt"/>
        <s v="[081770] Quar, la"/>
        <s v="[081786] Rajadell"/>
        <s v="[081799] Rellinars"/>
        <s v="[081803] Ripollet"/>
        <s v="[081810] Roca del Vallès, la"/>
        <s v="[081825] Pont de Vilomara i Rocafort, el"/>
        <s v="[081831] Roda de Ter"/>
        <s v="[081846] Rubí"/>
        <s v="[081859] Rubió"/>
        <s v="[081878] Sabadell"/>
        <s v="[081884] Sagàs"/>
        <s v="[081897] Sant Pere Sallavinera"/>
        <s v="[081901] Saldes"/>
        <s v="[081918] Sallent"/>
        <s v="[081923] Santpedor"/>
        <s v="[081939] Sant Iscle de Vallalta"/>
        <s v="[081944] Sant Adrià de Besòs"/>
        <s v="[081957] Sant Agustí de Lluçanès"/>
        <s v="[081960] Sant Andreu de la Barca"/>
        <s v="[081976] Sant Andreu de Llavaneres"/>
        <s v="[081982] Sant Antoni de Vilamajor"/>
        <s v="[081995] Sant Bartomeu del Grau"/>
        <s v="[082009] Sant Boi de Llobregat"/>
        <s v="[082016] Sant Boi de Lluçanès"/>
        <s v="[082021] Sant Celoni"/>
        <s v="[082037] Sant Cebrià de Vallalta"/>
        <s v="[082042] Sant Climent de Llobregat"/>
        <s v="[082055] Sant Cugat del Vallès"/>
        <s v="[082068] Sant Cugat Sesgarrigues"/>
        <s v="[082074] Sant Esteve de Palautordera"/>
        <s v="[082080] Sant Esteve Sesrovires"/>
        <s v="[082093] Sant Fost de Campsentelles"/>
        <s v="[082107] Sant Feliu de Codines"/>
        <s v="[082114] Sant Feliu de Llobregat"/>
        <s v="[082129] Sant Feliu Sasserra"/>
        <s v="[082135] Sant Fruitós de Bages"/>
        <s v="[082140] Vilassar de Dalt"/>
        <s v="[082153] Sant Hipòlit de Voltregà"/>
        <s v="[082166] Sant Jaume de Frontanyà"/>
        <s v="[082172] Sant Joan Despí"/>
        <s v="[082188] Sant Joan de Vilatorrada"/>
        <s v="[082191] Vilassar de Mar"/>
        <s v="[082205] Sant Julià de Vilatorta"/>
        <s v="[082212] Sant Just Desvern"/>
        <s v="[082227] Sant Llorenç d'Hortons"/>
        <s v="[082233] Sant Llorenç Savall"/>
        <s v="[082248] Sant Martí de Centelles"/>
        <s v="[082251] Sant Martí d'Albars"/>
        <s v="[082264] Sant Martí de Tous"/>
        <s v="[082270] Sant Martí Sarroca"/>
        <s v="[082286] Sant Martí Sesgueioles"/>
        <s v="[082299] Sant Mateu de Bages"/>
        <s v="[082303] Premià de Dalt"/>
        <s v="[082310] Sant Pere de Ribes"/>
        <s v="[082325] Sant Pere de Riudebitlles"/>
        <s v="[082331] Sant Pere de Torelló"/>
        <s v="[082346] Sant Pere de Vilamajor"/>
        <s v="[082359] Sant Pol de Mar"/>
        <s v="[082362] Sant Quintí de Mediona"/>
        <s v="[082378] Sant Quirze de Besora"/>
        <s v="[082384] Sant Quirze del Vallès"/>
        <s v="[082397] Sant Quirze Safaja"/>
        <s v="[082401] Sant Sadurní d'Anoia"/>
        <s v="[082418] Sant Sadurní d'Osormort"/>
        <s v="[082423] Marganell"/>
        <s v="[082439] Santa Cecília de Voltregà"/>
        <s v="[082444] Santa Coloma de Cervelló"/>
        <s v="[082457] Santa Coloma de Gramenet"/>
        <s v="[082460] Santa Eugènia de Berga"/>
        <s v="[082476] Santa Eulàlia de Riuprimer"/>
        <s v="[082482] Santa Eulàlia de Ronçana"/>
        <s v="[082495] Santa Fe del Penedès"/>
        <s v="[082508] Santa Margarida de Montbui"/>
        <s v="[082515] Santa Margarida i els Monjos"/>
        <s v="[082520] Barberà del Vallès"/>
        <s v="[082536] Santa Maria de Besora"/>
        <s v="[082541] Esquirol, l'"/>
        <s v="[082554] Santa Maria de Merlès"/>
        <s v="[082567] Santa Maria de Martorelles"/>
        <s v="[082573] Santa Maria de Miralles"/>
        <s v="[082589] Santa Maria d'Oló"/>
        <s v="[082592] Santa Maria de Palautordera"/>
        <s v="[082606] Santa Perpètua de Mogoda"/>
        <s v="[082613] Santa Susanna"/>
        <s v="[082628] Sant Vicenç de Castellet"/>
        <s v="[082634] Sant Vicenç dels Horts"/>
        <s v="[082649] Sant Vicenç de Montalt"/>
        <s v="[082652] Sant Vicenç de Torelló"/>
        <s v="[082665] Cerdanyola del Vallès"/>
        <s v="[082671] Sentmenat"/>
        <s v="[082687] Cercs"/>
        <s v="[082690] Seva"/>
        <s v="[082704] Sitges"/>
        <s v="[082711] Sobremunt"/>
        <s v="[082726] Sora"/>
        <s v="[082732] Subirats"/>
        <s v="[082747] Súria"/>
        <s v="[082750] Tavèrnoles"/>
        <s v="[082763] Tagamanent"/>
        <s v="[082779] Talamanca"/>
        <s v="[082785] Taradell"/>
        <s v="[082798] Terrassa"/>
        <s v="[082802] Tavertet"/>
        <s v="[082819] Teià"/>
        <s v="[082824] Tiana"/>
        <s v="[082830] Tona"/>
        <s v="[082845] Tordera"/>
        <s v="[082858] Torelló"/>
        <s v="[082861] Torre de Claramunt, la"/>
        <s v="[082877] Torrelavit"/>
        <s v="[082883] Torrelles de Foix"/>
        <s v="[082896] Torrelles de Llobregat"/>
        <s v="[082900] Ullastrell"/>
        <s v="[082917] Vacarisses"/>
        <s v="[082922] Vallbona d'Anoia"/>
        <s v="[082938] Vallcebre"/>
        <s v="[082943] Vallgorguina"/>
        <s v="[082956] Vallirana"/>
        <s v="[082969] Vallromanes"/>
        <s v="[082975] Veciana"/>
        <s v="[082981] Vic"/>
        <s v="[082994] Vilada"/>
        <s v="[083008] Viladecavalls"/>
        <s v="[083015] Viladecans"/>
        <s v="[083020] Vilanova del Camí"/>
        <s v="[083036] Vilanova de Sau"/>
        <s v="[083041] Vilobí del Penedès"/>
        <s v="[083054] Vilafranca del Penedès"/>
        <s v="[083067] Vilalba Sasserra"/>
        <s v="[083073] Vilanova i la Geltrú"/>
        <s v="[083089] Viver i Serrateix"/>
        <s v="[089019] Rupit i Pruit"/>
        <s v="[089024] Vilanova del Vallès"/>
        <s v="[089030] Sant Julià de Cerdanyola"/>
        <s v="[089045] Badia del Vallès"/>
        <s v="[089058] Palma de Cervelló, la"/>
        <s v="[170010] Agullana"/>
        <s v="[170025] Aiguaviva"/>
        <s v="[170031] Albanyà"/>
        <s v="[170046] Albons"/>
        <s v="[170059] Far d'Empordà, el"/>
        <s v="[170062] Alp"/>
        <s v="[170078] Amer"/>
        <s v="[170084] Anglès"/>
        <s v="[170097] Arbúcies"/>
        <s v="[170101] Argelaguer"/>
        <s v="[170118] Armentera, l'"/>
        <s v="[170123] Avinyonet de Puigventós"/>
        <s v="[170139] Begur"/>
        <s v="[170144] Vajol, la"/>
        <s v="[170157] Banyoles"/>
        <s v="[170160] Bàscara"/>
        <s v="[170182] Bellcaire d'Empordà"/>
        <s v="[170195] Besalú"/>
        <s v="[170209] Bescanó"/>
        <s v="[170216] Beuda"/>
        <s v="[170221] Bisbal d'Empordà, la"/>
        <s v="[170237] Blanes"/>
        <s v="[170242] Bolvir"/>
        <s v="[170255] Bordils"/>
        <s v="[170268] Borrassà"/>
        <s v="[170274] Breda"/>
        <s v="[170280] Brunyola i Sant Martí Sapresa"/>
        <s v="[170293] Boadella i les Escaules"/>
        <s v="[170307] Cabanes"/>
        <s v="[170314] Cabanelles"/>
        <s v="[170329] Cadaqués"/>
        <s v="[170335] Caldes de Malavella"/>
        <s v="[170340] Calonge i Sant Antoni"/>
        <s v="[170353] Camós"/>
        <s v="[170366] Campdevànol"/>
        <s v="[170372] Campelles"/>
        <s v="[170388] Campllong"/>
        <s v="[170391] Camprodon"/>
        <s v="[170405] Canet d'Adri"/>
        <s v="[170412] Cantallops"/>
        <s v="[170427] Capmany"/>
        <s v="[170433] Queralbs"/>
        <s v="[170448] Cassà de la Selva"/>
        <s v="[170464] Castellfollit de la Roca"/>
        <s v="[170470] Castelló d'Empúries"/>
        <s v="[170486] Castell d'Aro, Platja d'Aro i s'Agaró"/>
        <s v="[170499] Celrà"/>
        <s v="[170502] Cervià de Ter"/>
        <s v="[170519] Cistella"/>
        <s v="[170524] Siurana"/>
        <s v="[170545] Colera"/>
        <s v="[170558] Colomers"/>
        <s v="[170561] Cornellà del Terri"/>
        <s v="[170577] Corçà"/>
        <s v="[170583] Crespià"/>
        <s v="[170600] Darnius"/>
        <s v="[170617] Das"/>
        <s v="[170622] Escala, l'"/>
        <s v="[170638] Espinelves"/>
        <s v="[170643] Espolla"/>
        <s v="[170656] Esponellà"/>
        <s v="[170669] Figueres"/>
        <s v="[170675] Flaçà"/>
        <s v="[170681] Foixà"/>
        <s v="[170694] Fontanals de Cerdanya"/>
        <s v="[170708] Fontanilles"/>
        <s v="[170715] Fontcoberta"/>
        <s v="[170736] Fornells de la Selva"/>
        <s v="[170741] Fortià"/>
        <s v="[170754] Garrigàs"/>
        <s v="[170767] Garrigoles"/>
        <s v="[170773] Garriguella"/>
        <s v="[170789] Ger"/>
        <s v="[170792] Girona"/>
        <s v="[170806] Gombrèn"/>
        <s v="[170813] Gualta"/>
        <s v="[170828] Guils de Cerdanya"/>
        <s v="[170834] Hostalric"/>
        <s v="[170849] Isòvol"/>
        <s v="[170852] Jafre"/>
        <s v="[170865] Jonquera, la"/>
        <s v="[170871] Juià"/>
        <s v="[170887] Lladó"/>
        <s v="[170890] Llagostera"/>
        <s v="[170904] Llambilles"/>
        <s v="[170911] Llanars"/>
        <s v="[170926] Llançà"/>
        <s v="[170932] Llers"/>
        <s v="[170947] Llívia"/>
        <s v="[170950] Lloret de Mar"/>
        <s v="[170963] Llosses, les"/>
        <s v="[170979] Madremanya"/>
        <s v="[170985] Maià de Montcal"/>
        <s v="[170998] Meranges"/>
        <s v="[171002] Masarac i Vilarnadal"/>
        <s v="[171019] Massanes"/>
        <s v="[171024] Maçanet de Cabrenys"/>
        <s v="[171030] Maçanet de la Selva"/>
        <s v="[171058] Mieres"/>
        <s v="[171061] Mollet de Peralada"/>
        <s v="[171077] Molló"/>
        <s v="[171096] Montagut i Oix"/>
        <s v="[171100] Mont-ras"/>
        <s v="[171117] Navata"/>
        <s v="[171122] Ogassa"/>
        <s v="[171143] Olot"/>
        <s v="[171156] Ordis"/>
        <s v="[171169] Osor"/>
        <s v="[171175] Palafrugell"/>
        <s v="[171181] Palamós"/>
        <s v="[171194] Palau de Santa Eulàlia"/>
        <s v="[171208] Palau-saverdera"/>
        <s v="[171215] Palau-sator"/>
        <s v="[171236] Palol de Revardit"/>
        <s v="[171241] Pals"/>
        <s v="[171254] Pardines"/>
        <s v="[171267] Parlavà"/>
        <s v="[171289] Pau"/>
        <s v="[171292] Pedret i Marzà"/>
        <s v="[171306] Pera, la"/>
        <s v="[171328] Peralada"/>
        <s v="[171334] Planes d'Hostoles, les"/>
        <s v="[171349] Planoles"/>
        <s v="[171352] Pont de Molins"/>
        <s v="[171365] Pontós"/>
        <s v="[171371] Porqueres"/>
        <s v="[171387] Portbou"/>
        <s v="[171390] Preses, les"/>
        <s v="[171404] Port de la Selva, el"/>
        <s v="[171411] Puigcerdà"/>
        <s v="[171426] Quart"/>
        <s v="[171432] Rabós"/>
        <s v="[171447] Regencós"/>
        <s v="[171450] Ribes de Freser"/>
        <s v="[171463] Riells i Viabrea"/>
        <s v="[171479] Ripoll"/>
        <s v="[171485] Riudarenes"/>
        <s v="[171498] Riudaura"/>
        <s v="[171501] Riudellots de la Selva"/>
        <s v="[171518] Riumors"/>
        <s v="[171523] Roses"/>
        <s v="[171539] Rupià"/>
        <s v="[171544] Sales de Llierca"/>
        <s v="[171557] Salt"/>
        <s v="[171576] Sant Andreu Salou"/>
        <s v="[171582] Sant Climent Sescebes"/>
        <s v="[171595] Sant Feliu de Buixalleu"/>
        <s v="[171609] Sant Feliu de Guíxols"/>
        <s v="[171616] Sant Feliu de Pallerols"/>
        <s v="[171621] Sant Ferriol"/>
        <s v="[171637] Sant Gregori"/>
        <s v="[171642] Sant Hilari Sacalm"/>
        <s v="[171655] Sant Jaume de Llierca"/>
        <s v="[171668] Sant Jordi Desvalls"/>
        <s v="[171674] Sant Joan de les Abadesses"/>
        <s v="[171680] Sant Joan de Mollet"/>
        <s v="[171693] Sant Julià de Ramis"/>
        <s v="[171707] Vallfogona de Ripollès"/>
        <s v="[171714] Sant Llorenç de la Muga"/>
        <s v="[171729] Sant Martí de Llémena"/>
        <s v="[171735] Sant Martí Vell"/>
        <s v="[171740] Sant Miquel de Campmajor"/>
        <s v="[171753] Sant Miquel de Fluvià"/>
        <s v="[171766] Sant Mori"/>
        <s v="[171772] Sant Pau de Segúries"/>
        <s v="[171788] Sant Pere Pescador"/>
        <s v="[171805] Santa Coloma de Farners"/>
        <s v="[171812] Santa Cristina d'Aro"/>
        <s v="[171827] Santa Llogaia d'Àlguema"/>
        <s v="[171833] Sant Aniol de Finestres"/>
        <s v="[171848] Santa Pau"/>
        <s v="[171851] Sant Joan les Fonts"/>
        <s v="[171864] Sarrià de Ter"/>
        <s v="[171870] Saus, Camallera i Llampaies"/>
        <s v="[171886] Selva de Mar, la"/>
        <s v="[171899] Cellera de Ter, la"/>
        <s v="[171903] Serinyà"/>
        <s v="[171910] Serra de Daró"/>
        <s v="[171925] Setcases"/>
        <s v="[171931] Sils"/>
        <s v="[171946] Susqueda"/>
        <s v="[171959] Tallada d'Empordà, la"/>
        <s v="[171962] Terrades"/>
        <s v="[171978] Torrent"/>
        <s v="[171984] Torroella de Fluvià"/>
        <s v="[171997] Torroella de Montgrí"/>
        <s v="[172001] Tortellà"/>
        <s v="[172018] Toses"/>
        <s v="[172023] Tossa de Mar"/>
        <s v="[172039] Ultramort"/>
        <s v="[172044] Ullà"/>
        <s v="[172057] Ullastret"/>
        <s v="[172060] Urús"/>
        <s v="[172076] Vall d'en Bas, la"/>
        <s v="[172082] Vall de Bianya, la"/>
        <s v="[172095] Vall-llobrega"/>
        <s v="[172109] Ventalló"/>
        <s v="[172116] Verges"/>
        <s v="[172121] Vidrà"/>
        <s v="[172137] Vidreres"/>
        <s v="[172142] Vilabertran"/>
        <s v="[172155] Vilablareix"/>
        <s v="[172168] Viladasens"/>
        <s v="[172174] Viladamat"/>
        <s v="[172180] Vilademuls"/>
        <s v="[172207] Viladrau"/>
        <s v="[172214] Vilafant"/>
        <s v="[172229] Vilaür"/>
        <s v="[172235] Vilajuïga"/>
        <s v="[172240] Vilallonga de Ter"/>
        <s v="[172253] Vilamacolum"/>
        <s v="[172266] Vilamalla"/>
        <s v="[172272] Vilamaniscle"/>
        <s v="[172288] Vilanant"/>
        <s v="[172305] Vila-sacra"/>
        <s v="[172327] Vilopriu"/>
        <s v="[172333] Vilobí d'Onyar"/>
        <s v="[172348] Biure"/>
        <s v="[179011] Cruïlles, Monells i Sant Sadurní de l'Heura"/>
        <s v="[179026] Forallac"/>
        <s v="[179032] Sant Julià del Llor i Bonmatí"/>
        <s v="[250019] Abella de la Conca"/>
        <s v="[250024] Àger"/>
        <s v="[250030] Agramunt"/>
        <s v="[250045] Alamús, els"/>
        <s v="[250058] Alàs i Cerc"/>
        <s v="[250061] Albagés, l'"/>
        <s v="[250077] Albatàrrec"/>
        <s v="[250083] Albesa"/>
        <s v="[250096] Albi, l'"/>
        <s v="[250100] Alcanó"/>
        <s v="[250117] Alcarràs"/>
        <s v="[250122] Alcoletge"/>
        <s v="[250138] Alfarràs"/>
        <s v="[250143] Alfés"/>
        <s v="[250156] Algerri"/>
        <s v="[250169] Alguaire"/>
        <s v="[250175] Alins"/>
        <s v="[250194] Almacelles"/>
        <s v="[250208] Almatret"/>
        <s v="[250215] Almenar"/>
        <s v="[250220] Alòs de Balaguer"/>
        <s v="[250236] Alpicat"/>
        <s v="[250241] Alt Àneu"/>
        <s v="[250254] Naut Aran"/>
        <s v="[250273] Anglesola"/>
        <s v="[250292] Arbeca"/>
        <s v="[250306] Pont de Bar, el"/>
        <s v="[250313] Arres"/>
        <s v="[250328] Arsèguel"/>
        <s v="[250334] Artesa de Lleida"/>
        <s v="[250349] Artesa de Segre"/>
        <s v="[250352] Sentiu de Sió, la"/>
        <s v="[250365] Aspa"/>
        <s v="[250371] Avellanes i Santa Linya, les"/>
        <s v="[250387] Aitona"/>
        <s v="[250390] Baix Pallars"/>
        <s v="[250404] Balaguer"/>
        <s v="[250411] Barbens"/>
        <s v="[250426] Baronia de Rialb, la"/>
        <s v="[250432] Vall de Boí, la"/>
        <s v="[250447] Bassella"/>
        <s v="[250450] Bausen"/>
        <s v="[250463] Belianes"/>
        <s v="[250479] Bellcaire d'Urgell"/>
        <s v="[250485] Bell-lloc d'Urgell"/>
        <s v="[250498] Bellmunt d'Urgell"/>
        <s v="[250501] Bellpuig"/>
        <s v="[250518] Bellver de Cerdanya"/>
        <s v="[250523] Bellvís"/>
        <s v="[250539] Benavent de Segrià"/>
        <s v="[250557] Biosca"/>
        <s v="[250560] Bovera"/>
        <s v="[250576] Bòrdes, Es"/>
        <s v="[250582] Borges Blanques, les"/>
        <s v="[250595] Bossòst"/>
        <s v="[250609] Cabanabona"/>
        <s v="[250616] Cabó"/>
        <s v="[250621] Camarasa"/>
        <s v="[250637] Canejan"/>
        <s v="[250642] Castellar de la Ribera"/>
        <s v="[250674] Castelldans"/>
        <s v="[250680] Castellnou de Seana"/>
        <s v="[250693] Castelló de Farfanya"/>
        <s v="[250707] Castellserà"/>
        <s v="[250714] Cava"/>
        <s v="[250729] Cervera"/>
        <s v="[250735] Cervià de les Garrigues"/>
        <s v="[250740] Ciutadilla"/>
        <s v="[250753] Clariana de Cardener"/>
        <s v="[250766] Cogul, el"/>
        <s v="[250772] Coll de Nargó"/>
        <s v="[250788] Corbins"/>
        <s v="[250791] Cubells"/>
        <s v="[250812] Espluga Calba, l'"/>
        <s v="[250827] Espot"/>
        <s v="[250851] Estaràs"/>
        <s v="[250864] Esterri d'Àneu"/>
        <s v="[250870] Esterri de Cardós"/>
        <s v="[250886] Estamariu"/>
        <s v="[250899] Farrera"/>
        <s v="[250925] Floresta, la"/>
        <s v="[250931] Fondarella"/>
        <s v="[250946] Foradada"/>
        <s v="[250962] Fuliola, la"/>
        <s v="[250978] Fulleda"/>
        <s v="[250984] Gavet de la Conca"/>
        <s v="[250997] Golmés"/>
        <s v="[251001] Gósol"/>
        <s v="[251018] Granadella, la"/>
        <s v="[251023] Granja d'Escarp, la"/>
        <s v="[251039] Granyanella"/>
        <s v="[251044] Granyena de Segarra"/>
        <s v="[251057] Granyena de les Garrigues"/>
        <s v="[251095] Guimerà"/>
        <s v="[251109] Guissona"/>
        <s v="[251116] Guixers"/>
        <s v="[251121] Ivars de Noguera"/>
        <s v="[251137] Ivars d'Urgell"/>
        <s v="[251142] Ivorra"/>
        <s v="[251155] Isona i Conca Dellà"/>
        <s v="[251180] Juncosa"/>
        <s v="[251193] Juneda"/>
        <s v="[251207] Lleida"/>
        <s v="[251214] Les"/>
        <s v="[251229] Linyola"/>
        <s v="[251235] Lladorre"/>
        <s v="[251240] Lladurs"/>
        <s v="[251253] Llardecans"/>
        <s v="[251266] Llavorsí"/>
        <s v="[251272] Lles de Cerdanya"/>
        <s v="[251288] Llimiana"/>
        <s v="[251291] Llobera"/>
        <s v="[251305] Maldà"/>
        <s v="[251312] Massalcoreig"/>
        <s v="[251327] Massoteres"/>
        <s v="[251333] Maials"/>
        <s v="[251348] Menàrguens"/>
        <s v="[251351] Miralcamp"/>
        <s v="[251364] Molsosa, la"/>
        <s v="[251370] Mollerussa"/>
        <s v="[251386] Montgai"/>
        <s v="[251399] Montellà i Martinet"/>
        <s v="[251403] Montferrer i Castellbò"/>
        <s v="[251410] Montoliu de Segarra"/>
        <s v="[251425] Montoliu de Lleida"/>
        <s v="[251431] Montornès de Segarra"/>
        <s v="[251459] Nalec"/>
        <s v="[251462] Navès"/>
        <s v="[251484] Odèn"/>
        <s v="[251497] Oliana"/>
        <s v="[251500] Oliola"/>
        <s v="[251517] Olius"/>
        <s v="[251522] Oluges, les"/>
        <s v="[251538] Omellons, els"/>
        <s v="[251543] Omells de na Gaia, els"/>
        <s v="[251556] Organyà"/>
        <s v="[251569] Os de Balaguer"/>
        <s v="[251575] Ossó de Sió"/>
        <s v="[251581] Palau d'Anglesola, el"/>
        <s v="[251615] Conca de Dalt"/>
        <s v="[251636] Coma i la Pedra, la"/>
        <s v="[251641] Penelles"/>
        <s v="[251654] Peramola"/>
        <s v="[251667] Pinell de Solsonès"/>
        <s v="[251673] Pinós"/>
        <s v="[251689] Poal, el"/>
        <s v="[251692] Pobla de Cérvoles, la"/>
        <s v="[251706] Bellaguarda"/>
        <s v="[251713] Pobla de Segur, la"/>
        <s v="[251728] Ponts"/>
        <s v="[251734] Pont de Suert, el"/>
        <s v="[251749] Portella, la"/>
        <s v="[251752] Prats i Sansor"/>
        <s v="[251765] Preixana"/>
        <s v="[251771] Preixens"/>
        <s v="[251790] Prullans"/>
        <s v="[251804] Puiggròs"/>
        <s v="[251811] Puigverd d'Agramunt"/>
        <s v="[251826] Puigverd de Lleida"/>
        <s v="[251832] Rialp"/>
        <s v="[251850] Ribera d'Urgellet"/>
        <s v="[251863] Riner"/>
        <s v="[251898] Rosselló"/>
        <s v="[251902] Salàs de Pallars"/>
        <s v="[251919] Sanaüja"/>
        <s v="[251924] Sant Guim de Freixenet"/>
        <s v="[251930] Sant Llorenç de Morunys"/>
        <s v="[251945] Sant Ramon"/>
        <s v="[251961] Sant Esteve de la Sarga"/>
        <s v="[251977] Sant Guim de la Plana"/>
        <s v="[252000] Sarroca de Lleida"/>
        <s v="[252017] Sarroca de Bellera"/>
        <s v="[252022] Senterada"/>
        <s v="[252038] Seu d'Urgell, la"/>
        <s v="[252043] Seròs"/>
        <s v="[252056] Sidamon"/>
        <s v="[252069] Soleràs, el"/>
        <s v="[252075] Solsona"/>
        <s v="[252081] Soriguera"/>
        <s v="[252094] Sort"/>
        <s v="[252108] Soses"/>
        <s v="[252115] Sudanell"/>
        <s v="[252120] Sunyer"/>
        <s v="[252154] Talarn"/>
        <s v="[252167] Talavera"/>
        <s v="[252173] Tàrrega"/>
        <s v="[252189] Tarrés"/>
        <s v="[252192] Tarroja de Segarra"/>
        <s v="[252206] Térmens"/>
        <s v="[252213] Tírvia"/>
        <s v="[252228] Tiurana"/>
        <s v="[252234] Torà"/>
        <s v="[252249] Torms, els"/>
        <s v="[252252] Tornabous"/>
        <s v="[252265] Torrebesses"/>
        <s v="[252271] Torre de Cabdella, la"/>
        <s v="[252287] Torrefarrera"/>
        <s v="[252304] Torregrossa"/>
        <s v="[252311] Torrelameu"/>
        <s v="[252326] Torres de Segre"/>
        <s v="[252332] Torre-serona"/>
        <s v="[252347] Tremp"/>
        <s v="[252385] Vallbona de les Monges"/>
        <s v="[252398] Valls de Valira, les"/>
        <s v="[252402] Vallfogona de Balaguer"/>
        <s v="[252424] Verdú"/>
        <s v="[252430] Vielha e Mijaran"/>
        <s v="[252445] Vilagrassa"/>
        <s v="[252458] Vilaller"/>
        <s v="[252477] Vilamòs"/>
        <s v="[252483] Vilanova de Bellpuig"/>
        <s v="[252496] Vilanova de l'Aguda"/>
        <s v="[252509] Vilanova de Meià"/>
        <s v="[252516] Vilanova de Segrià"/>
        <s v="[252521] Vila-sana"/>
        <s v="[252537] Vilosell, el"/>
        <s v="[252542] Vilanova de la Barca"/>
        <s v="[252555] Vinaixa"/>
        <s v="[259010] Vall de Cardós"/>
        <s v="[259025] Sant Martí de Riucorb"/>
        <s v="[259031] Guingueta d'Àneu, la"/>
        <s v="[259046] Castell de Mur"/>
        <s v="[259059] Ribera d'Ondara"/>
        <s v="[259062] Valls d'Aguilar, les"/>
        <s v="[259078] Torrefeta i Florejacs"/>
        <s v="[259084] Fígols i Alinyà"/>
        <s v="[259097] Vansa i Fórnols, la"/>
        <s v="[259101] Josa i Tuixén"/>
        <s v="[259118] Plans de Sió, els"/>
        <s v="[259123] Gimenells i el Pla de la Font"/>
        <s v="[259139] Riu de Cerdanya"/>
        <s v="[430017] Aiguamúrcia"/>
        <s v="[430022] Albinyana"/>
        <s v="[430038] Albiol, l'"/>
        <s v="[430043] Alcanar"/>
        <s v="[430056] Alcover"/>
        <s v="[430069] Aldover"/>
        <s v="[430075] Aleixar, l'"/>
        <s v="[430081] Alfara de Carles"/>
        <s v="[430094] Alforja"/>
        <s v="[430108] Alió"/>
        <s v="[430115] Almoster"/>
        <s v="[430120] Altafulla"/>
        <s v="[430136] Ametlla de Mar, l'"/>
        <s v="[430141] Amposta"/>
        <s v="[430154] Arbolí"/>
        <s v="[430167] Arboç, l'"/>
        <s v="[430173] Argentera, l'"/>
        <s v="[430189] Arnes"/>
        <s v="[430192] Ascó"/>
        <s v="[430206] Banyeres del Penedès"/>
        <s v="[430213] Barberà de la Conca"/>
        <s v="[430228] Batea"/>
        <s v="[430234] Bellmunt del Priorat"/>
        <s v="[430249] Bellvei"/>
        <s v="[430252] Benifallet"/>
        <s v="[430265] Benissanet"/>
        <s v="[430271] Bisbal de Montsant, la"/>
        <s v="[430287] Bisbal del Penedès, la"/>
        <s v="[430290] Blancafort"/>
        <s v="[430304] Bonastre"/>
        <s v="[430311] Borges del Camp, les"/>
        <s v="[430326] Bot"/>
        <s v="[430332] Botarell"/>
        <s v="[430347] Bràfim"/>
        <s v="[430350] Cabacés"/>
        <s v="[430363] Cabra del Camp"/>
        <s v="[430379] Calafell"/>
        <s v="[430385] Cambrils"/>
        <s v="[430398] Capafonts"/>
        <s v="[430402] Capçanes"/>
        <s v="[430419] Caseres"/>
        <s v="[430424] Castellvell del Camp"/>
        <s v="[430430] Catllar, el"/>
        <s v="[430445] Sénia, la"/>
        <s v="[430458] Colldejou"/>
        <s v="[430461] Conesa"/>
        <s v="[430477] Constantí"/>
        <s v="[430483] Corbera d'Ebre"/>
        <s v="[430496] Cornudella de Montsant"/>
        <s v="[430509] Creixell"/>
        <s v="[430516] Cunit"/>
        <s v="[430521] Xerta"/>
        <s v="[430537] Duesaigües"/>
        <s v="[430542] Espluga de Francolí, l'"/>
        <s v="[430555] Falset"/>
        <s v="[430568] Fatarella, la"/>
        <s v="[430574] Febró, la"/>
        <s v="[430580] Figuera, la"/>
        <s v="[430593] Figuerola del Camp"/>
        <s v="[430607] Flix"/>
        <s v="[430614] Forès"/>
        <s v="[430629] Freginals"/>
        <s v="[430635] Galera, la"/>
        <s v="[430640] Gandesa"/>
        <s v="[430653] Garcia"/>
        <s v="[430666] Garidells, els"/>
        <s v="[430672] Ginestar"/>
        <s v="[430688] Godall"/>
        <s v="[430691] Gratallops"/>
        <s v="[430705] Guiamets, els"/>
        <s v="[430712] Horta de Sant Joan"/>
        <s v="[430727] Lloar, el"/>
        <s v="[430733] Llorac"/>
        <s v="[430748] Llorenç del Penedès"/>
        <s v="[430751] Margalef"/>
        <s v="[430764] Marçà"/>
        <s v="[430770] Mas de Barberans"/>
        <s v="[430786] Masdenverge"/>
        <s v="[430799] Masllorenç"/>
        <s v="[430803] Masó, la"/>
        <s v="[430810] Maspujols"/>
        <s v="[430825] Masroig, el"/>
        <s v="[430831] Milà, el"/>
        <s v="[430846] Miravet"/>
        <s v="[430859] Molar, el"/>
        <s v="[430862] Montblanc"/>
        <s v="[430884] Montbrió del Camp"/>
        <s v="[430897] Montferri"/>
        <s v="[430901] Montmell, el"/>
        <s v="[430918] Mont-ral"/>
        <s v="[430923] Mont-roig del Camp"/>
        <s v="[430939] Móra d'Ebre"/>
        <s v="[430944] Móra la Nova"/>
        <s v="[430957] Morell, el"/>
        <s v="[430960] Morera de Montsant, la"/>
        <s v="[430976] Nou de Gaià, la"/>
        <s v="[430982] Nulles"/>
        <s v="[430995] Palma d'Ebre, la"/>
        <s v="[431009] Pallaresos, els"/>
        <s v="[431016] Passanant i Belltall"/>
        <s v="[431021] Paüls"/>
        <s v="[431037] Perafort"/>
        <s v="[431042] Perelló, el"/>
        <s v="[431055] Piles, les"/>
        <s v="[431068] Pinell de Brai, el"/>
        <s v="[431074] Pira"/>
        <s v="[431080] Pla de Santa Maria, el"/>
        <s v="[431093] Pobla de Mafumet, la"/>
        <s v="[431107] Pobla de Massaluca, la"/>
        <s v="[431114] Pobla de Montornès, la"/>
        <s v="[431129] Poboleda"/>
        <s v="[431135] Pont d'Armentera, el"/>
        <s v="[431140] Porrera"/>
        <s v="[431153] Pradell de la Teixeta"/>
        <s v="[431166] Prades"/>
        <s v="[431172] Prat de Comte"/>
        <s v="[431188] Pratdip"/>
        <s v="[431191] Puigpelat"/>
        <s v="[431205] Querol"/>
        <s v="[431212] Rasquera"/>
        <s v="[431227] Renau"/>
        <s v="[431233] Reus"/>
        <s v="[431248] Riba, la"/>
        <s v="[431251] Riba-roja d'Ebre"/>
        <s v="[431264] Riera de Gaià, la"/>
        <s v="[431270] Riudecanyes"/>
        <s v="[431286] Riudecols"/>
        <s v="[431299] Riudoms"/>
        <s v="[431303] Rocafort de Queralt"/>
        <s v="[431310] Roda de Berà"/>
        <s v="[431325] Rodonyà"/>
        <s v="[431331] Roquetes"/>
        <s v="[431346] Rourell, el"/>
        <s v="[431359] Salomó"/>
        <s v="[431362] Ràpita, la"/>
        <s v="[431378] Sant Jaume dels Domenys"/>
        <s v="[431384] Santa Bàrbara"/>
        <s v="[431397] Santa Coloma de Queralt"/>
        <s v="[431401] Santa Oliva"/>
        <s v="[431418] Pontils"/>
        <s v="[431423] Sarral"/>
        <s v="[431439] Savallà del Comtat"/>
        <s v="[431444] Secuita, la"/>
        <s v="[431457] Selva del Camp, la"/>
        <s v="[431460] Senan"/>
        <s v="[431476] Solivella"/>
        <s v="[431482] Tarragona"/>
        <s v="[431495] Tivenys"/>
        <s v="[431508] Tivissa"/>
        <s v="[431515] Torre de Fontaubella, la"/>
        <s v="[431520] Torre de l'Espanyol, la"/>
        <s v="[431536] Torredembarra"/>
        <s v="[431541] Torroja del Priorat"/>
        <s v="[431554] Tortosa"/>
        <s v="[431567] Ulldecona"/>
        <s v="[431573] Ulldemolins"/>
        <s v="[431589] Vallclara"/>
        <s v="[431592] Vallfogona de Riucorb"/>
        <s v="[431606] Vallmoll"/>
        <s v="[431613] Valls"/>
        <s v="[431628] Vandellòs i l'Hospitalet de l'Infant"/>
        <s v="[431634] Vendrell, el"/>
        <s v="[431649] Vespella de Gaià"/>
        <s v="[431652] Vilabella"/>
        <s v="[431665] Vilallonga del Camp"/>
        <s v="[431671] Vilanova d'Escornalbou"/>
        <s v="[431687] Vilanova de Prades"/>
        <s v="[431690] Vilaplana"/>
        <s v="[431704] Vila-rodona"/>
        <s v="[431711] Vila-seca"/>
        <s v="[431726] Vilaverd"/>
        <s v="[431732] Vilella Alta, la"/>
        <s v="[431747] Vilella Baixa, la"/>
        <s v="[431750] Vilalba dels Arcs"/>
        <s v="[431763] Vimbodí i Poblet"/>
        <s v="[431779] Vinebre"/>
        <s v="[431785] Vinyols i els Arcs"/>
        <s v="[439018] Deltebre"/>
        <s v="[439023] Sant Jaume d'Enveja"/>
        <s v="[439039] Camarles"/>
        <s v="[439044] Aldea, l'"/>
        <s v="[439057] Salou"/>
        <s v="[439060] Ampolla, l'"/>
        <s v="[439076] Canonja, la"/>
      </sharedItems>
    </cacheField>
    <cacheField name="municipality_code" uniqueList="1" numFmtId="0" sqlType="0" hierarchy="0" level="0" databaseField="1">
      <sharedItems count="947">
        <s v="080018"/>
        <s v="080023"/>
        <s v="080039"/>
        <s v="080044"/>
        <s v="080057"/>
        <s v="080060"/>
        <s v="080076"/>
        <s v="080082"/>
        <s v="080095"/>
        <s v="080109"/>
        <s v="080116"/>
        <s v="080121"/>
        <s v="080137"/>
        <s v="080142"/>
        <s v="080155"/>
        <s v="080168"/>
        <s v="080174"/>
        <s v="080180"/>
        <s v="080193"/>
        <s v="080207"/>
        <s v="080214"/>
        <s v="080229"/>
        <s v="080235"/>
        <s v="080240"/>
        <s v="080253"/>
        <s v="080266"/>
        <s v="080272"/>
        <s v="080288"/>
        <s v="080291"/>
        <s v="080305"/>
        <s v="080312"/>
        <s v="080327"/>
        <s v="080333"/>
        <s v="080348"/>
        <s v="080351"/>
        <s v="080364"/>
        <s v="080370"/>
        <s v="080386"/>
        <s v="080399"/>
        <s v="080403"/>
        <s v="080410"/>
        <s v="080425"/>
        <s v="080431"/>
        <s v="080446"/>
        <s v="080459"/>
        <s v="080462"/>
        <s v="080478"/>
        <s v="080484"/>
        <s v="080497"/>
        <s v="080500"/>
        <s v="080517"/>
        <s v="080522"/>
        <s v="080538"/>
        <s v="080543"/>
        <s v="080556"/>
        <s v="080569"/>
        <s v="080575"/>
        <s v="080581"/>
        <s v="080594"/>
        <s v="080608"/>
        <s v="080615"/>
        <s v="080620"/>
        <s v="080636"/>
        <s v="080641"/>
        <s v="080654"/>
        <s v="080667"/>
        <s v="080673"/>
        <s v="080689"/>
        <s v="080692"/>
        <s v="080706"/>
        <s v="080713"/>
        <s v="080728"/>
        <s v="080734"/>
        <s v="080749"/>
        <s v="080752"/>
        <s v="080765"/>
        <s v="080771"/>
        <s v="080787"/>
        <s v="080790"/>
        <s v="080804"/>
        <s v="080811"/>
        <s v="080826"/>
        <s v="080832"/>
        <s v="080847"/>
        <s v="080850"/>
        <s v="080863"/>
        <s v="080879"/>
        <s v="080885"/>
        <s v="080898"/>
        <s v="080902"/>
        <s v="080919"/>
        <s v="080924"/>
        <s v="080930"/>
        <s v="080945"/>
        <s v="080958"/>
        <s v="080961"/>
        <s v="080977"/>
        <s v="080983"/>
        <s v="080996"/>
        <s v="081000"/>
        <s v="081017"/>
        <s v="081022"/>
        <s v="081038"/>
        <s v="081043"/>
        <s v="081056"/>
        <s v="081069"/>
        <s v="081075"/>
        <s v="081081"/>
        <s v="081094"/>
        <s v="081108"/>
        <s v="081115"/>
        <s v="081120"/>
        <s v="081136"/>
        <s v="081141"/>
        <s v="081154"/>
        <s v="081167"/>
        <s v="081173"/>
        <s v="081189"/>
        <s v="081192"/>
        <s v="081206"/>
        <s v="081213"/>
        <s v="081228"/>
        <s v="081234"/>
        <s v="081249"/>
        <s v="081252"/>
        <s v="081265"/>
        <s v="081271"/>
        <s v="081287"/>
        <s v="081290"/>
        <s v="081304"/>
        <s v="081311"/>
        <s v="081326"/>
        <s v="081332"/>
        <s v="081347"/>
        <s v="081350"/>
        <s v="081363"/>
        <s v="081379"/>
        <s v="081385"/>
        <s v="081398"/>
        <s v="081402"/>
        <s v="081419"/>
        <s v="081424"/>
        <s v="081430"/>
        <s v="081445"/>
        <s v="081458"/>
        <s v="081461"/>
        <s v="081477"/>
        <s v="081483"/>
        <s v="081496"/>
        <s v="081509"/>
        <s v="081516"/>
        <s v="081521"/>
        <s v="081537"/>
        <s v="081542"/>
        <s v="081555"/>
        <s v="081568"/>
        <s v="081574"/>
        <s v="081580"/>
        <s v="081593"/>
        <s v="081607"/>
        <s v="081614"/>
        <s v="081629"/>
        <s v="081635"/>
        <s v="081640"/>
        <s v="081653"/>
        <s v="081666"/>
        <s v="081672"/>
        <s v="081688"/>
        <s v="081691"/>
        <s v="081705"/>
        <s v="081712"/>
        <s v="081727"/>
        <s v="081748"/>
        <s v="081751"/>
        <s v="081764"/>
        <s v="081770"/>
        <s v="081786"/>
        <s v="081799"/>
        <s v="081803"/>
        <s v="081810"/>
        <s v="081825"/>
        <s v="081831"/>
        <s v="081846"/>
        <s v="081859"/>
        <s v="081878"/>
        <s v="081884"/>
        <s v="081897"/>
        <s v="081901"/>
        <s v="081918"/>
        <s v="081923"/>
        <s v="081939"/>
        <s v="081944"/>
        <s v="081957"/>
        <s v="081960"/>
        <s v="081976"/>
        <s v="081982"/>
        <s v="081995"/>
        <s v="082009"/>
        <s v="082016"/>
        <s v="082021"/>
        <s v="082037"/>
        <s v="082042"/>
        <s v="082055"/>
        <s v="082068"/>
        <s v="082074"/>
        <s v="082080"/>
        <s v="082093"/>
        <s v="082107"/>
        <s v="082114"/>
        <s v="082129"/>
        <s v="082135"/>
        <s v="082140"/>
        <s v="082153"/>
        <s v="082166"/>
        <s v="082172"/>
        <s v="082188"/>
        <s v="082191"/>
        <s v="082205"/>
        <s v="082212"/>
        <s v="082227"/>
        <s v="082233"/>
        <s v="082248"/>
        <s v="082251"/>
        <s v="082264"/>
        <s v="082270"/>
        <s v="082286"/>
        <s v="082299"/>
        <s v="082303"/>
        <s v="082310"/>
        <s v="082325"/>
        <s v="082331"/>
        <s v="082346"/>
        <s v="082359"/>
        <s v="082362"/>
        <s v="082378"/>
        <s v="082384"/>
        <s v="082397"/>
        <s v="082401"/>
        <s v="082418"/>
        <s v="082423"/>
        <s v="082439"/>
        <s v="082444"/>
        <s v="082457"/>
        <s v="082460"/>
        <s v="082476"/>
        <s v="082482"/>
        <s v="082495"/>
        <s v="082508"/>
        <s v="082515"/>
        <s v="082520"/>
        <s v="082536"/>
        <s v="082541"/>
        <s v="082554"/>
        <s v="082567"/>
        <s v="082573"/>
        <s v="082589"/>
        <s v="082592"/>
        <s v="082606"/>
        <s v="082613"/>
        <s v="082628"/>
        <s v="082634"/>
        <s v="082649"/>
        <s v="082652"/>
        <s v="082665"/>
        <s v="082671"/>
        <s v="082687"/>
        <s v="082690"/>
        <s v="082704"/>
        <s v="082711"/>
        <s v="082726"/>
        <s v="082732"/>
        <s v="082747"/>
        <s v="082750"/>
        <s v="082763"/>
        <s v="082779"/>
        <s v="082785"/>
        <s v="082798"/>
        <s v="082802"/>
        <s v="082819"/>
        <s v="082824"/>
        <s v="082830"/>
        <s v="082845"/>
        <s v="082858"/>
        <s v="082861"/>
        <s v="082877"/>
        <s v="082883"/>
        <s v="082896"/>
        <s v="082900"/>
        <s v="082917"/>
        <s v="082922"/>
        <s v="082938"/>
        <s v="082943"/>
        <s v="082956"/>
        <s v="082969"/>
        <s v="082975"/>
        <s v="082981"/>
        <s v="082994"/>
        <s v="083008"/>
        <s v="083015"/>
        <s v="083020"/>
        <s v="083036"/>
        <s v="083041"/>
        <s v="083054"/>
        <s v="083067"/>
        <s v="083073"/>
        <s v="083089"/>
        <s v="089019"/>
        <s v="089024"/>
        <s v="089030"/>
        <s v="089045"/>
        <s v="089058"/>
        <s v="170010"/>
        <s v="170025"/>
        <s v="170031"/>
        <s v="170046"/>
        <s v="170059"/>
        <s v="170062"/>
        <s v="170078"/>
        <s v="170084"/>
        <s v="170097"/>
        <s v="170101"/>
        <s v="170118"/>
        <s v="170123"/>
        <s v="170139"/>
        <s v="170144"/>
        <s v="170157"/>
        <s v="170160"/>
        <s v="170182"/>
        <s v="170195"/>
        <s v="170209"/>
        <s v="170216"/>
        <s v="170221"/>
        <s v="170237"/>
        <s v="170242"/>
        <s v="170255"/>
        <s v="170268"/>
        <s v="170274"/>
        <s v="170280"/>
        <s v="170293"/>
        <s v="170307"/>
        <s v="170314"/>
        <s v="170329"/>
        <s v="170335"/>
        <s v="170340"/>
        <s v="170353"/>
        <s v="170366"/>
        <s v="170372"/>
        <s v="170388"/>
        <s v="170391"/>
        <s v="170405"/>
        <s v="170412"/>
        <s v="170427"/>
        <s v="170433"/>
        <s v="170448"/>
        <s v="170464"/>
        <s v="170470"/>
        <s v="170486"/>
        <s v="170499"/>
        <s v="170502"/>
        <s v="170519"/>
        <s v="170524"/>
        <s v="170545"/>
        <s v="170558"/>
        <s v="170561"/>
        <s v="170577"/>
        <s v="170583"/>
        <s v="170600"/>
        <s v="170617"/>
        <s v="170622"/>
        <s v="170638"/>
        <s v="170643"/>
        <s v="170656"/>
        <s v="170669"/>
        <s v="170675"/>
        <s v="170681"/>
        <s v="170694"/>
        <s v="170708"/>
        <s v="170715"/>
        <s v="170736"/>
        <s v="170741"/>
        <s v="170754"/>
        <s v="170767"/>
        <s v="170773"/>
        <s v="170789"/>
        <s v="170792"/>
        <s v="170806"/>
        <s v="170813"/>
        <s v="170828"/>
        <s v="170834"/>
        <s v="170849"/>
        <s v="170852"/>
        <s v="170865"/>
        <s v="170871"/>
        <s v="170887"/>
        <s v="170890"/>
        <s v="170904"/>
        <s v="170911"/>
        <s v="170926"/>
        <s v="170932"/>
        <s v="170947"/>
        <s v="170950"/>
        <s v="170963"/>
        <s v="170979"/>
        <s v="170985"/>
        <s v="170998"/>
        <s v="171002"/>
        <s v="171019"/>
        <s v="171024"/>
        <s v="171030"/>
        <s v="171058"/>
        <s v="171061"/>
        <s v="171077"/>
        <s v="171096"/>
        <s v="171100"/>
        <s v="171117"/>
        <s v="171122"/>
        <s v="171143"/>
        <s v="171156"/>
        <s v="171169"/>
        <s v="171175"/>
        <s v="171181"/>
        <s v="171194"/>
        <s v="171208"/>
        <s v="171215"/>
        <s v="171236"/>
        <s v="171241"/>
        <s v="171254"/>
        <s v="171267"/>
        <s v="171289"/>
        <s v="171292"/>
        <s v="171306"/>
        <s v="171328"/>
        <s v="171334"/>
        <s v="171349"/>
        <s v="171352"/>
        <s v="171365"/>
        <s v="171371"/>
        <s v="171387"/>
        <s v="171390"/>
        <s v="171404"/>
        <s v="171411"/>
        <s v="171426"/>
        <s v="171432"/>
        <s v="171447"/>
        <s v="171450"/>
        <s v="171463"/>
        <s v="171479"/>
        <s v="171485"/>
        <s v="171498"/>
        <s v="171501"/>
        <s v="171518"/>
        <s v="171523"/>
        <s v="171539"/>
        <s v="171544"/>
        <s v="171557"/>
        <s v="171576"/>
        <s v="171582"/>
        <s v="171595"/>
        <s v="171609"/>
        <s v="171616"/>
        <s v="171621"/>
        <s v="171637"/>
        <s v="171642"/>
        <s v="171655"/>
        <s v="171668"/>
        <s v="171674"/>
        <s v="171680"/>
        <s v="171693"/>
        <s v="171707"/>
        <s v="171714"/>
        <s v="171729"/>
        <s v="171735"/>
        <s v="171740"/>
        <s v="171753"/>
        <s v="171766"/>
        <s v="171772"/>
        <s v="171788"/>
        <s v="171805"/>
        <s v="171812"/>
        <s v="171827"/>
        <s v="171833"/>
        <s v="171848"/>
        <s v="171851"/>
        <s v="171864"/>
        <s v="171870"/>
        <s v="171886"/>
        <s v="171899"/>
        <s v="171903"/>
        <s v="171910"/>
        <s v="171925"/>
        <s v="171931"/>
        <s v="171946"/>
        <s v="171959"/>
        <s v="171962"/>
        <s v="171978"/>
        <s v="171984"/>
        <s v="171997"/>
        <s v="172001"/>
        <s v="172018"/>
        <s v="172023"/>
        <s v="172039"/>
        <s v="172044"/>
        <s v="172057"/>
        <s v="172060"/>
        <s v="172076"/>
        <s v="172082"/>
        <s v="172095"/>
        <s v="172109"/>
        <s v="172116"/>
        <s v="172121"/>
        <s v="172137"/>
        <s v="172142"/>
        <s v="172155"/>
        <s v="172168"/>
        <s v="172174"/>
        <s v="172180"/>
        <s v="172207"/>
        <s v="172214"/>
        <s v="172229"/>
        <s v="172235"/>
        <s v="172240"/>
        <s v="172253"/>
        <s v="172266"/>
        <s v="172272"/>
        <s v="172288"/>
        <s v="172305"/>
        <s v="172327"/>
        <s v="172333"/>
        <s v="172348"/>
        <s v="179011"/>
        <s v="179026"/>
        <s v="179032"/>
        <s v="250019"/>
        <s v="250024"/>
        <s v="250030"/>
        <s v="250045"/>
        <s v="250058"/>
        <s v="250061"/>
        <s v="250077"/>
        <s v="250083"/>
        <s v="250096"/>
        <s v="250100"/>
        <s v="250117"/>
        <s v="250122"/>
        <s v="250138"/>
        <s v="250143"/>
        <s v="250156"/>
        <s v="250169"/>
        <s v="250175"/>
        <s v="250194"/>
        <s v="250208"/>
        <s v="250215"/>
        <s v="250220"/>
        <s v="250236"/>
        <s v="250241"/>
        <s v="250254"/>
        <s v="250273"/>
        <s v="250292"/>
        <s v="250306"/>
        <s v="250313"/>
        <s v="250328"/>
        <s v="250334"/>
        <s v="250349"/>
        <s v="250352"/>
        <s v="250365"/>
        <s v="250371"/>
        <s v="250387"/>
        <s v="250390"/>
        <s v="250404"/>
        <s v="250411"/>
        <s v="250426"/>
        <s v="250432"/>
        <s v="250447"/>
        <s v="250450"/>
        <s v="250463"/>
        <s v="250479"/>
        <s v="250485"/>
        <s v="250498"/>
        <s v="250501"/>
        <s v="250518"/>
        <s v="250523"/>
        <s v="250539"/>
        <s v="250557"/>
        <s v="250560"/>
        <s v="250576"/>
        <s v="250582"/>
        <s v="250595"/>
        <s v="250609"/>
        <s v="250616"/>
        <s v="250621"/>
        <s v="250637"/>
        <s v="250642"/>
        <s v="250674"/>
        <s v="250680"/>
        <s v="250693"/>
        <s v="250707"/>
        <s v="250714"/>
        <s v="250729"/>
        <s v="250735"/>
        <s v="250740"/>
        <s v="250753"/>
        <s v="250766"/>
        <s v="250772"/>
        <s v="250788"/>
        <s v="250791"/>
        <s v="250812"/>
        <s v="250827"/>
        <s v="250851"/>
        <s v="250864"/>
        <s v="250870"/>
        <s v="250886"/>
        <s v="250899"/>
        <s v="250925"/>
        <s v="250931"/>
        <s v="250946"/>
        <s v="250962"/>
        <s v="250978"/>
        <s v="250984"/>
        <s v="250997"/>
        <s v="251001"/>
        <s v="251018"/>
        <s v="251023"/>
        <s v="251039"/>
        <s v="251044"/>
        <s v="251057"/>
        <s v="251095"/>
        <s v="251109"/>
        <s v="251116"/>
        <s v="251121"/>
        <s v="251137"/>
        <s v="251142"/>
        <s v="251155"/>
        <s v="251180"/>
        <s v="251193"/>
        <s v="251207"/>
        <s v="251214"/>
        <s v="251229"/>
        <s v="251235"/>
        <s v="251240"/>
        <s v="251253"/>
        <s v="251266"/>
        <s v="251272"/>
        <s v="251288"/>
        <s v="251291"/>
        <s v="251305"/>
        <s v="251312"/>
        <s v="251327"/>
        <s v="251333"/>
        <s v="251348"/>
        <s v="251351"/>
        <s v="251364"/>
        <s v="251370"/>
        <s v="251386"/>
        <s v="251399"/>
        <s v="251403"/>
        <s v="251410"/>
        <s v="251425"/>
        <s v="251431"/>
        <s v="251459"/>
        <s v="251462"/>
        <s v="251484"/>
        <s v="251497"/>
        <s v="251500"/>
        <s v="251517"/>
        <s v="251522"/>
        <s v="251538"/>
        <s v="251543"/>
        <s v="251556"/>
        <s v="251569"/>
        <s v="251575"/>
        <s v="251581"/>
        <s v="251615"/>
        <s v="251636"/>
        <s v="251641"/>
        <s v="251654"/>
        <s v="251667"/>
        <s v="251673"/>
        <s v="251689"/>
        <s v="251692"/>
        <s v="251706"/>
        <s v="251713"/>
        <s v="251728"/>
        <s v="251734"/>
        <s v="251749"/>
        <s v="251752"/>
        <s v="251765"/>
        <s v="251771"/>
        <s v="251790"/>
        <s v="251804"/>
        <s v="251811"/>
        <s v="251826"/>
        <s v="251832"/>
        <s v="251850"/>
        <s v="251863"/>
        <s v="251898"/>
        <s v="251902"/>
        <s v="251919"/>
        <s v="251924"/>
        <s v="251930"/>
        <s v="251945"/>
        <s v="251961"/>
        <s v="251977"/>
        <s v="252000"/>
        <s v="252017"/>
        <s v="252022"/>
        <s v="252038"/>
        <s v="252043"/>
        <s v="252056"/>
        <s v="252069"/>
        <s v="252075"/>
        <s v="252081"/>
        <s v="252094"/>
        <s v="252108"/>
        <s v="252115"/>
        <s v="252120"/>
        <s v="252154"/>
        <s v="252167"/>
        <s v="252173"/>
        <s v="252189"/>
        <s v="252192"/>
        <s v="252206"/>
        <s v="252213"/>
        <s v="252228"/>
        <s v="252234"/>
        <s v="252249"/>
        <s v="252252"/>
        <s v="252265"/>
        <s v="252271"/>
        <s v="252287"/>
        <s v="252304"/>
        <s v="252311"/>
        <s v="252326"/>
        <s v="252332"/>
        <s v="252347"/>
        <s v="252385"/>
        <s v="252398"/>
        <s v="252402"/>
        <s v="252424"/>
        <s v="252430"/>
        <s v="252445"/>
        <s v="252458"/>
        <s v="252477"/>
        <s v="252483"/>
        <s v="252496"/>
        <s v="252509"/>
        <s v="252516"/>
        <s v="252521"/>
        <s v="252537"/>
        <s v="252542"/>
        <s v="252555"/>
        <s v="259010"/>
        <s v="259025"/>
        <s v="259031"/>
        <s v="259046"/>
        <s v="259059"/>
        <s v="259062"/>
        <s v="259078"/>
        <s v="259084"/>
        <s v="259097"/>
        <s v="259101"/>
        <s v="259118"/>
        <s v="259123"/>
        <s v="259139"/>
        <s v="430017"/>
        <s v="430022"/>
        <s v="430038"/>
        <s v="430043"/>
        <s v="430056"/>
        <s v="430069"/>
        <s v="430075"/>
        <s v="430081"/>
        <s v="430094"/>
        <s v="430108"/>
        <s v="430115"/>
        <s v="430120"/>
        <s v="430136"/>
        <s v="430141"/>
        <s v="430154"/>
        <s v="430167"/>
        <s v="430173"/>
        <s v="430189"/>
        <s v="430192"/>
        <s v="430206"/>
        <s v="430213"/>
        <s v="430228"/>
        <s v="430234"/>
        <s v="430249"/>
        <s v="430252"/>
        <s v="430265"/>
        <s v="430271"/>
        <s v="430287"/>
        <s v="430290"/>
        <s v="430304"/>
        <s v="430311"/>
        <s v="430326"/>
        <s v="430332"/>
        <s v="430347"/>
        <s v="430350"/>
        <s v="430363"/>
        <s v="430379"/>
        <s v="430385"/>
        <s v="430398"/>
        <s v="430402"/>
        <s v="430419"/>
        <s v="430424"/>
        <s v="430430"/>
        <s v="430445"/>
        <s v="430458"/>
        <s v="430461"/>
        <s v="430477"/>
        <s v="430483"/>
        <s v="430496"/>
        <s v="430509"/>
        <s v="430516"/>
        <s v="430521"/>
        <s v="430537"/>
        <s v="430542"/>
        <s v="430555"/>
        <s v="430568"/>
        <s v="430574"/>
        <s v="430580"/>
        <s v="430593"/>
        <s v="430607"/>
        <s v="430614"/>
        <s v="430629"/>
        <s v="430635"/>
        <s v="430640"/>
        <s v="430653"/>
        <s v="430666"/>
        <s v="430672"/>
        <s v="430688"/>
        <s v="430691"/>
        <s v="430705"/>
        <s v="430712"/>
        <s v="430727"/>
        <s v="430733"/>
        <s v="430748"/>
        <s v="430751"/>
        <s v="430764"/>
        <s v="430770"/>
        <s v="430786"/>
        <s v="430799"/>
        <s v="430803"/>
        <s v="430810"/>
        <s v="430825"/>
        <s v="430831"/>
        <s v="430846"/>
        <s v="430859"/>
        <s v="430862"/>
        <s v="430884"/>
        <s v="430897"/>
        <s v="430901"/>
        <s v="430918"/>
        <s v="430923"/>
        <s v="430939"/>
        <s v="430944"/>
        <s v="430957"/>
        <s v="430960"/>
        <s v="430976"/>
        <s v="430982"/>
        <s v="430995"/>
        <s v="431009"/>
        <s v="431016"/>
        <s v="431021"/>
        <s v="431037"/>
        <s v="431042"/>
        <s v="431055"/>
        <s v="431068"/>
        <s v="431074"/>
        <s v="431080"/>
        <s v="431093"/>
        <s v="431107"/>
        <s v="431114"/>
        <s v="431129"/>
        <s v="431135"/>
        <s v="431140"/>
        <s v="431153"/>
        <s v="431166"/>
        <s v="431172"/>
        <s v="431188"/>
        <s v="431191"/>
        <s v="431205"/>
        <s v="431212"/>
        <s v="431227"/>
        <s v="431233"/>
        <s v="431248"/>
        <s v="431251"/>
        <s v="431264"/>
        <s v="431270"/>
        <s v="431286"/>
        <s v="431299"/>
        <s v="431303"/>
        <s v="431310"/>
        <s v="431325"/>
        <s v="431331"/>
        <s v="431346"/>
        <s v="431359"/>
        <s v="431362"/>
        <s v="431378"/>
        <s v="431384"/>
        <s v="431397"/>
        <s v="431401"/>
        <s v="431418"/>
        <s v="431423"/>
        <s v="431439"/>
        <s v="431444"/>
        <s v="431457"/>
        <s v="431460"/>
        <s v="431476"/>
        <s v="431482"/>
        <s v="431495"/>
        <s v="431508"/>
        <s v="431515"/>
        <s v="431520"/>
        <s v="431536"/>
        <s v="431541"/>
        <s v="431554"/>
        <s v="431567"/>
        <s v="431573"/>
        <s v="431589"/>
        <s v="431592"/>
        <s v="431606"/>
        <s v="431613"/>
        <s v="431628"/>
        <s v="431634"/>
        <s v="431649"/>
        <s v="431652"/>
        <s v="431665"/>
        <s v="431671"/>
        <s v="431687"/>
        <s v="431690"/>
        <s v="431704"/>
        <s v="431711"/>
        <s v="431726"/>
        <s v="431732"/>
        <s v="431747"/>
        <s v="431750"/>
        <s v="431763"/>
        <s v="431779"/>
        <s v="431785"/>
        <s v="439018"/>
        <s v="439023"/>
        <s v="439039"/>
        <s v="439044"/>
        <s v="439057"/>
        <s v="439060"/>
        <s v="439076"/>
      </sharedItems>
    </cacheField>
    <cacheField name="municipality_name" uniqueList="1" numFmtId="0" sqlType="0" hierarchy="0" level="0" databaseField="1">
      <sharedItems count="947">
        <s v="Abella de la Conca"/>
        <s v="Abrera"/>
        <s v="Àger"/>
        <s v="Agramunt"/>
        <s v="Aguilar de Segarra"/>
        <s v="Agullana"/>
        <s v="Aiguafreda"/>
        <s v="Aiguamúrcia"/>
        <s v="Aiguaviva"/>
        <s v="Aitona"/>
        <s v="Alamús, els"/>
        <s v="Alàs i Cerc"/>
        <s v="Albagés, l'"/>
        <s v="Albanyà"/>
        <s v="Albatàrrec"/>
        <s v="Albesa"/>
        <s v="Albi, l'"/>
        <s v="Albinyana"/>
        <s v="Albiol, l'"/>
        <s v="Albons"/>
        <s v="Alcanar"/>
        <s v="Alcanó"/>
        <s v="Alcarràs"/>
        <s v="Alcoletge"/>
        <s v="Alcover"/>
        <s v="Aldea, l'"/>
        <s v="Aldover"/>
        <s v="Aleixar, l'"/>
        <s v="Alella"/>
        <s v="Alfara de Carles"/>
        <s v="Alfarràs"/>
        <s v="Alfés"/>
        <s v="Alforja"/>
        <s v="Algerri"/>
        <s v="Alguaire"/>
        <s v="Alins"/>
        <s v="Alió"/>
        <s v="Almacelles"/>
        <s v="Almatret"/>
        <s v="Almenar"/>
        <s v="Almoster"/>
        <s v="Alòs de Balaguer"/>
        <s v="Alp"/>
        <s v="Alpens"/>
        <s v="Alpicat"/>
        <s v="Alt Àneu"/>
        <s v="Altafulla"/>
        <s v="Amer"/>
        <s v="Ametlla de Mar, l'"/>
        <s v="Ametlla del Vallès, l'"/>
        <s v="Ampolla, l'"/>
        <s v="Amposta"/>
        <s v="Anglès"/>
        <s v="Anglesola"/>
        <s v="Arbeca"/>
        <s v="Arboç, l'"/>
        <s v="Arbolí"/>
        <s v="Arbúcies"/>
        <s v="Arenys de Mar"/>
        <s v="Arenys de Munt"/>
        <s v="Argelaguer"/>
        <s v="Argençola"/>
        <s v="Argentera, l'"/>
        <s v="Argentona"/>
        <s v="Armentera, l'"/>
        <s v="Arnes"/>
        <s v="Arres"/>
        <s v="Arsèguel"/>
        <s v="Artés"/>
        <s v="Artesa de Lleida"/>
        <s v="Artesa de Segre"/>
        <s v="Ascó"/>
        <s v="Aspa"/>
        <s v="Avellanes i Santa Linya, les"/>
        <s v="Avià"/>
        <s v="Avinyó"/>
        <s v="Avinyonet de Puigventós"/>
        <s v="Avinyonet del Penedès"/>
        <s v="Badalona"/>
        <s v="Badia del Vallès"/>
        <s v="Bagà"/>
        <s v="Baix Pallars"/>
        <s v="Balaguer"/>
        <s v="Balenyà"/>
        <s v="Balsareny"/>
        <s v="Banyeres del Penedès"/>
        <s v="Banyoles"/>
        <s v="Barbens"/>
        <s v="Barberà de la Conca"/>
        <s v="Barberà del Vallès"/>
        <s v="Barcelona"/>
        <s v="Baronia de Rialb, la"/>
        <s v="Bàscara"/>
        <s v="Bassella"/>
        <s v="Batea"/>
        <s v="Bausen"/>
        <s v="Begues"/>
        <s v="Begur"/>
        <s v="Belianes"/>
        <s v="Bell-lloc d'Urgell"/>
        <s v="Bellaguarda"/>
        <s v="Bellcaire d'Empordà"/>
        <s v="Bellcaire d'Urgell"/>
        <s v="Bellmunt d'Urgell"/>
        <s v="Bellmunt del Priorat"/>
        <s v="Bellprat"/>
        <s v="Bellpuig"/>
        <s v="Bellvei"/>
        <s v="Bellver de Cerdanya"/>
        <s v="Bellvís"/>
        <s v="Benavent de Segrià"/>
        <s v="Benifallet"/>
        <s v="Benissanet"/>
        <s v="Berga"/>
        <s v="Besalú"/>
        <s v="Bescanó"/>
        <s v="Beuda"/>
        <s v="Bigues i Riells del Fai"/>
        <s v="Biosca"/>
        <s v="Bisbal d'Empordà, la"/>
        <s v="Bisbal de Montsant, la"/>
        <s v="Bisbal del Penedès, la"/>
        <s v="Biure"/>
        <s v="Blancafort"/>
        <s v="Blanes"/>
        <s v="Boadella i les Escaules"/>
        <s v="Bolvir"/>
        <s v="Bonastre"/>
        <s v="Bòrdes, Es"/>
        <s v="Bordils"/>
        <s v="Borges Blanques, les"/>
        <s v="Borges del Camp, les"/>
        <s v="Borrassà"/>
        <s v="Borredà"/>
        <s v="Bossòst"/>
        <s v="Bot"/>
        <s v="Botarell"/>
        <s v="Bovera"/>
        <s v="Bràfim"/>
        <s v="Breda"/>
        <s v="Bruc, el"/>
        <s v="Brull, el"/>
        <s v="Brunyola i Sant Martí Sapresa"/>
        <s v="Cabacés"/>
        <s v="Cabanabona"/>
        <s v="Cabanelles"/>
        <s v="Cabanes"/>
        <s v="Cabanyes, les"/>
        <s v="Cabó"/>
        <s v="Cabra del Camp"/>
        <s v="Cabrera d'Anoia"/>
        <s v="Cabrera de Mar"/>
        <s v="Cabrils"/>
        <s v="Cadaqués"/>
        <s v="Calaf"/>
        <s v="Calafell"/>
        <s v="Calders"/>
        <s v="Caldes d'Estrac"/>
        <s v="Caldes de Malavella"/>
        <s v="Caldes de Montbui"/>
        <s v="Calella"/>
        <s v="Calldetenes"/>
        <s v="Callús"/>
        <s v="Calonge de Segarra"/>
        <s v="Calonge i Sant Antoni"/>
        <s v="Camarasa"/>
        <s v="Camarles"/>
        <s v="Cambrils"/>
        <s v="Camós"/>
        <s v="Campdevànol"/>
        <s v="Campelles"/>
        <s v="Campins"/>
        <s v="Campllong"/>
        <s v="Camprodon"/>
        <s v="Canejan"/>
        <s v="Canet d'Adri"/>
        <s v="Canet de Mar"/>
        <s v="Canonja, la"/>
        <s v="Canovelles"/>
        <s v="Cànoves i Samalús"/>
        <s v="Cantallops"/>
        <s v="Canyelles"/>
        <s v="Capafonts"/>
        <s v="Capçanes"/>
        <s v="Capellades"/>
        <s v="Capmany"/>
        <s v="Capolat"/>
        <s v="Cardedeu"/>
        <s v="Cardona"/>
        <s v="Carme"/>
        <s v="Caseres"/>
        <s v="Cassà de la Selva"/>
        <s v="Casserres"/>
        <s v="Castell d'Aro, Platja d'Aro i s'Agaró"/>
        <s v="Castell de l'Areny"/>
        <s v="Castell de Mur"/>
        <s v="Castellar de la Ribera"/>
        <s v="Castellar de n'Hug"/>
        <s v="Castellar del Riu"/>
        <s v="Castellar del Vallès"/>
        <s v="Castellbell i el Vilar"/>
        <s v="Castellbisbal"/>
        <s v="Castellcir"/>
        <s v="Castelldans"/>
        <s v="Castelldefels"/>
        <s v="Castellet i la Gornal"/>
        <s v="Castellfollit de la Roca"/>
        <s v="Castellfollit de Riubregós"/>
        <s v="Castellfollit del Boix"/>
        <s v="Castellgalí"/>
        <s v="Castellnou de Bages"/>
        <s v="Castellnou de Seana"/>
        <s v="Castelló d'Empúries"/>
        <s v="Castelló de Farfanya"/>
        <s v="Castellolí"/>
        <s v="Castellserà"/>
        <s v="Castellterçol"/>
        <s v="Castellvell del Camp"/>
        <s v="Castellví de la Marca"/>
        <s v="Castellví de Rosanes"/>
        <s v="Catllar, el"/>
        <s v="Cava"/>
        <s v="Cellera de Ter, la"/>
        <s v="Celrà"/>
        <s v="Centelles"/>
        <s v="Cercs"/>
        <s v="Cerdanyola del Vallès"/>
        <s v="Cervelló"/>
        <s v="Cervera"/>
        <s v="Cervià de les Garrigues"/>
        <s v="Cervià de Ter"/>
        <s v="Cistella"/>
        <s v="Ciutadilla"/>
        <s v="Clariana de Cardener"/>
        <s v="Cogul, el"/>
        <s v="Colera"/>
        <s v="Coll de Nargó"/>
        <s v="Collbató"/>
        <s v="Colldejou"/>
        <s v="Collsuspina"/>
        <s v="Colomers"/>
        <s v="Coma i la Pedra, la"/>
        <s v="Conca de Dalt"/>
        <s v="Conesa"/>
        <s v="Constantí"/>
        <s v="Copons"/>
        <s v="Corbera d'Ebre"/>
        <s v="Corbera de Llobregat"/>
        <s v="Corbins"/>
        <s v="Corçà"/>
        <s v="Cornellà de Llobregat"/>
        <s v="Cornellà del Terri"/>
        <s v="Cornudella de Montsant"/>
        <s v="Creixell"/>
        <s v="Crespià"/>
        <s v="Cruïlles, Monells i Sant Sadurní de l'Heura"/>
        <s v="Cubelles"/>
        <s v="Cubells"/>
        <s v="Cunit"/>
        <s v="Darnius"/>
        <s v="Das"/>
        <s v="Deltebre"/>
        <s v="Dosrius"/>
        <s v="Duesaigües"/>
        <s v="Escala, l'"/>
        <s v="Esparreguera"/>
        <s v="Espinelves"/>
        <s v="Espluga Calba, l'"/>
        <s v="Espluga de Francolí, l'"/>
        <s v="Esplugues de Llobregat"/>
        <s v="Espolla"/>
        <s v="Esponellà"/>
        <s v="Espot"/>
        <s v="Espunyola, l'"/>
        <s v="Esquirol, l'"/>
        <s v="Estamariu"/>
        <s v="Estany, l'"/>
        <s v="Estaràs"/>
        <s v="Esterri d'Àneu"/>
        <s v="Esterri de Cardós"/>
        <s v="Falset"/>
        <s v="Far d'Empordà, el"/>
        <s v="Farrera"/>
        <s v="Fatarella, la"/>
        <s v="Febró, la"/>
        <s v="Figaró-Montmany"/>
        <s v="Fígols"/>
        <s v="Fígols i Alinyà"/>
        <s v="Figuera, la"/>
        <s v="Figueres"/>
        <s v="Figuerola del Camp"/>
        <s v="Flaçà"/>
        <s v="Flix"/>
        <s v="Floresta, la"/>
        <s v="Fogars de la Selva"/>
        <s v="Fogars de Montclús"/>
        <s v="Foixà"/>
        <s v="Folgueroles"/>
        <s v="Fondarella"/>
        <s v="Fonollosa"/>
        <s v="Font-rubí"/>
        <s v="Fontanals de Cerdanya"/>
        <s v="Fontanilles"/>
        <s v="Fontcoberta"/>
        <s v="Foradada"/>
        <s v="Forallac"/>
        <s v="Forès"/>
        <s v="Fornells de la Selva"/>
        <s v="Fortià"/>
        <s v="Franqueses del Vallès, les"/>
        <s v="Freginals"/>
        <s v="Fuliola, la"/>
        <s v="Fulleda"/>
        <s v="Gaià"/>
        <s v="Galera, la"/>
        <s v="Gallifa"/>
        <s v="Gandesa"/>
        <s v="Garcia"/>
        <s v="Garidells, els"/>
        <s v="Garriga, la"/>
        <s v="Garrigàs"/>
        <s v="Garrigoles"/>
        <s v="Garriguella"/>
        <s v="Gavà"/>
        <s v="Gavet de la Conca"/>
        <s v="Gelida"/>
        <s v="Ger"/>
        <s v="Gimenells i el Pla de la Font"/>
        <s v="Ginestar"/>
        <s v="Girona"/>
        <s v="Gironella"/>
        <s v="Gisclareny"/>
        <s v="Godall"/>
        <s v="Golmés"/>
        <s v="Gombrèn"/>
        <s v="Gósol"/>
        <s v="Granada, la"/>
        <s v="Granadella, la"/>
        <s v="Granera"/>
        <s v="Granja d'Escarp, la"/>
        <s v="Granollers"/>
        <s v="Granyanella"/>
        <s v="Granyena de les Garrigues"/>
        <s v="Granyena de Segarra"/>
        <s v="Gratallops"/>
        <s v="Gualba"/>
        <s v="Gualta"/>
        <s v="Guardiola de Berguedà"/>
        <s v="Guiamets, els"/>
        <s v="Guils de Cerdanya"/>
        <s v="Guimerà"/>
        <s v="Guingueta d'Àneu, la"/>
        <s v="Guissona"/>
        <s v="Guixers"/>
        <s v="Gurb"/>
        <s v="Horta de Sant Joan"/>
        <s v="Hospitalet de Llobregat, l'"/>
        <s v="Hostalets de Pierola, els"/>
        <s v="Hostalric"/>
        <s v="Igualada"/>
        <s v="Isona i Conca Dellà"/>
        <s v="Isòvol"/>
        <s v="Ivars d'Urgell"/>
        <s v="Ivars de Noguera"/>
        <s v="Ivorra"/>
        <s v="Jafre"/>
        <s v="Jonquera, la"/>
        <s v="Jorba"/>
        <s v="Josa i Tuixén"/>
        <s v="Juià"/>
        <s v="Juncosa"/>
        <s v="Juneda"/>
        <s v="Les"/>
        <s v="Linyola"/>
        <s v="Llacuna, la"/>
        <s v="Lladó"/>
        <s v="Lladorre"/>
        <s v="Lladurs"/>
        <s v="Llagosta, la"/>
        <s v="Llagostera"/>
        <s v="Llambilles"/>
        <s v="Llanars"/>
        <s v="Llançà"/>
        <s v="Llardecans"/>
        <s v="Llavorsí"/>
        <s v="Lleida"/>
        <s v="Llers"/>
        <s v="Lles de Cerdanya"/>
        <s v="Lliçà d'Amunt"/>
        <s v="Lliçà de Vall"/>
        <s v="Llimiana"/>
        <s v="Llinars del Vallès"/>
        <s v="Llívia"/>
        <s v="Lloar, el"/>
        <s v="Llobera"/>
        <s v="Llorac"/>
        <s v="Llorenç del Penedès"/>
        <s v="Lloret de Mar"/>
        <s v="Llosses, les"/>
        <s v="Lluçà"/>
        <s v="Maçanet de Cabrenys"/>
        <s v="Maçanet de la Selva"/>
        <s v="Madremanya"/>
        <s v="Maià de Montcal"/>
        <s v="Maials"/>
        <s v="Maldà"/>
        <s v="Malgrat de Mar"/>
        <s v="Malla"/>
        <s v="Manlleu"/>
        <s v="Manresa"/>
        <s v="Marçà"/>
        <s v="Margalef"/>
        <s v="Marganell"/>
        <s v="Martorell"/>
        <s v="Martorelles"/>
        <s v="Mas de Barberans"/>
        <s v="Masarac i Vilarnadal"/>
        <s v="Masdenverge"/>
        <s v="Masies de Roda, les"/>
        <s v="Masies de Voltregà, les"/>
        <s v="Masllorenç"/>
        <s v="Masnou, el"/>
        <s v="Masó, la"/>
        <s v="Maspujols"/>
        <s v="Masquefa"/>
        <s v="Masroig, el"/>
        <s v="Massalcoreig"/>
        <s v="Massanes"/>
        <s v="Massoteres"/>
        <s v="Matadepera"/>
        <s v="Mataró"/>
        <s v="Mediona"/>
        <s v="Menàrguens"/>
        <s v="Meranges"/>
        <s v="Mieres"/>
        <s v="Milà, el"/>
        <s v="Miralcamp"/>
        <s v="Miravet"/>
        <s v="Moià"/>
        <s v="Molar, el"/>
        <s v="Molins de Rei"/>
        <s v="Mollerussa"/>
        <s v="Mollet de Peralada"/>
        <s v="Mollet del Vallès"/>
        <s v="Molló"/>
        <s v="Molsosa, la"/>
        <s v="Monistrol de Calders"/>
        <s v="Monistrol de Montserrat"/>
        <s v="Mont-ral"/>
        <s v="Mont-ras"/>
        <s v="Mont-roig del Camp"/>
        <s v="Montagut i Oix"/>
        <s v="Montblanc"/>
        <s v="Montbrió del Camp"/>
        <s v="Montcada i Reixac"/>
        <s v="Montclar"/>
        <s v="Montellà i Martinet"/>
        <s v="Montesquiu"/>
        <s v="Montferrer i Castellbò"/>
        <s v="Montferri"/>
        <s v="Montgai"/>
        <s v="Montgat"/>
        <s v="Montmajor"/>
        <s v="Montmaneu"/>
        <s v="Montmell, el"/>
        <s v="Montmeló"/>
        <s v="Montoliu de Lleida"/>
        <s v="Montoliu de Segarra"/>
        <s v="Montornès de Segarra"/>
        <s v="Montornès del Vallès"/>
        <s v="Montseny"/>
        <s v="Móra d'Ebre"/>
        <s v="Móra la Nova"/>
        <s v="Morell, el"/>
        <s v="Morera de Montsant, la"/>
        <s v="Muntanyola"/>
        <s v="Mura"/>
        <s v="Nalec"/>
        <s v="Naut Aran"/>
        <s v="Navarcles"/>
        <s v="Navàs"/>
        <s v="Navata"/>
        <s v="Navès"/>
        <s v="Nou de Berguedà, la"/>
        <s v="Nou de Gaià, la"/>
        <s v="Nulles"/>
        <s v="Odèn"/>
        <s v="Òdena"/>
        <s v="Ogassa"/>
        <s v="Olèrdola"/>
        <s v="Olesa de Bonesvalls"/>
        <s v="Olesa de Montserrat"/>
        <s v="Oliana"/>
        <s v="Oliola"/>
        <s v="Olius"/>
        <s v="Olivella"/>
        <s v="Olost"/>
        <s v="Olot"/>
        <s v="Oluges, les"/>
        <s v="Olvan"/>
        <s v="Omellons, els"/>
        <s v="Omells de na Gaia, els"/>
        <s v="Ordis"/>
        <s v="Organyà"/>
        <s v="Orís"/>
        <s v="Oristà"/>
        <s v="Orpí"/>
        <s v="Òrrius"/>
        <s v="Os de Balaguer"/>
        <s v="Osor"/>
        <s v="Ossó de Sió"/>
        <s v="Pacs del Penedès"/>
        <s v="Palafolls"/>
        <s v="Palafrugell"/>
        <s v="Palamós"/>
        <s v="Palau d'Anglesola, el"/>
        <s v="Palau de Santa Eulàlia"/>
        <s v="Palau-sator"/>
        <s v="Palau-saverdera"/>
        <s v="Palau-solità i Plegamans"/>
        <s v="Pallaresos, els"/>
        <s v="Pallejà"/>
        <s v="Palma d'Ebre, la"/>
        <s v="Palma de Cervelló, la"/>
        <s v="Palol de Revardit"/>
        <s v="Pals"/>
        <s v="Papiol, el"/>
        <s v="Pardines"/>
        <s v="Parets del Vallès"/>
        <s v="Parlavà"/>
        <s v="Passanant i Belltall"/>
        <s v="Pau"/>
        <s v="Paüls"/>
        <s v="Pedret i Marzà"/>
        <s v="Penelles"/>
        <s v="Pera, la"/>
        <s v="Perafita"/>
        <s v="Perafort"/>
        <s v="Peralada"/>
        <s v="Peramola"/>
        <s v="Perelló, el"/>
        <s v="Piera"/>
        <s v="Piles, les"/>
        <s v="Pineda de Mar"/>
        <s v="Pinell de Brai, el"/>
        <s v="Pinell de Solsonès"/>
        <s v="Pinós"/>
        <s v="Pira"/>
        <s v="Pla de Santa Maria, el"/>
        <s v="Pla del Penedès, el"/>
        <s v="Planes d'Hostoles, les"/>
        <s v="Planoles"/>
        <s v="Plans de Sió, els"/>
        <s v="Poal, el"/>
        <s v="Pobla de Cérvoles, la"/>
        <s v="Pobla de Claramunt, la"/>
        <s v="Pobla de Lillet, la"/>
        <s v="Pobla de Mafumet, la"/>
        <s v="Pobla de Massaluca, la"/>
        <s v="Pobla de Montornès, la"/>
        <s v="Pobla de Segur, la"/>
        <s v="Poboleda"/>
        <s v="Polinyà"/>
        <s v="Pont d'Armentera, el"/>
        <s v="Pont de Bar, el"/>
        <s v="Pont de Molins"/>
        <s v="Pont de Suert, el"/>
        <s v="Pont de Vilomara i Rocafort, el"/>
        <s v="Pontils"/>
        <s v="Pontons"/>
        <s v="Pontós"/>
        <s v="Ponts"/>
        <s v="Porqueres"/>
        <s v="Porrera"/>
        <s v="Port de la Selva, el"/>
        <s v="Portbou"/>
        <s v="Portella, la"/>
        <s v="Pradell de la Teixeta"/>
        <s v="Prades"/>
        <s v="Prat de Comte"/>
        <s v="Prat de Llobregat, el"/>
        <s v="Pratdip"/>
        <s v="Prats de Lluçanès"/>
        <s v="Prats de Rei, els"/>
        <s v="Prats i Sansor"/>
        <s v="Preixana"/>
        <s v="Preixens"/>
        <s v="Premià de Dalt"/>
        <s v="Premià de Mar"/>
        <s v="Preses, les"/>
        <s v="Prullans"/>
        <s v="Puig-reig"/>
        <s v="Puigcerdà"/>
        <s v="Puigdàlber"/>
        <s v="Puiggròs"/>
        <s v="Puigpelat"/>
        <s v="Puigverd d'Agramunt"/>
        <s v="Puigverd de Lleida"/>
        <s v="Pujalt"/>
        <s v="Quar, la"/>
        <s v="Quart"/>
        <s v="Queralbs"/>
        <s v="Querol"/>
        <s v="Rabós"/>
        <s v="Rajadell"/>
        <s v="Ràpita, la"/>
        <s v="Rasquera"/>
        <s v="Regencós"/>
        <s v="Rellinars"/>
        <s v="Renau"/>
        <s v="Reus"/>
        <s v="Rialp"/>
        <s v="Riba-roja d'Ebre"/>
        <s v="Riba, la"/>
        <s v="Ribera d'Ondara"/>
        <s v="Ribera d'Urgellet"/>
        <s v="Ribes de Freser"/>
        <s v="Riells i Viabrea"/>
        <s v="Riera de Gaià, la"/>
        <s v="Riner"/>
        <s v="Ripoll"/>
        <s v="Ripollet"/>
        <s v="Riu de Cerdanya"/>
        <s v="Riudarenes"/>
        <s v="Riudaura"/>
        <s v="Riudecanyes"/>
        <s v="Riudecols"/>
        <s v="Riudellots de la Selva"/>
        <s v="Riudoms"/>
        <s v="Riumors"/>
        <s v="Roca del Vallès, la"/>
        <s v="Rocafort de Queralt"/>
        <s v="Roda de Berà"/>
        <s v="Roda de Ter"/>
        <s v="Rodonyà"/>
        <s v="Roquetes"/>
        <s v="Roses"/>
        <s v="Rosselló"/>
        <s v="Rourell, el"/>
        <s v="Rubí"/>
        <s v="Rubió"/>
        <s v="Rupià"/>
        <s v="Rupit i Pruit"/>
        <s v="Sabadell"/>
        <s v="Sagàs"/>
        <s v="Salàs de Pallars"/>
        <s v="Saldes"/>
        <s v="Sales de Llierca"/>
        <s v="Sallent"/>
        <s v="Salomó"/>
        <s v="Salou"/>
        <s v="Salt"/>
        <s v="Sanaüja"/>
        <s v="Sant Adrià de Besòs"/>
        <s v="Sant Agustí de Lluçanès"/>
        <s v="Sant Andreu de la Barca"/>
        <s v="Sant Andreu de Llavaneres"/>
        <s v="Sant Andreu Salou"/>
        <s v="Sant Aniol de Finestres"/>
        <s v="Sant Antoni de Vilamajor"/>
        <s v="Sant Bartomeu del Grau"/>
        <s v="Sant Boi de Llobregat"/>
        <s v="Sant Boi de Lluçanès"/>
        <s v="Sant Cebrià de Vallalta"/>
        <s v="Sant Celoni"/>
        <s v="Sant Climent de Llobregat"/>
        <s v="Sant Climent Sescebes"/>
        <s v="Sant Cugat del Vallès"/>
        <s v="Sant Cugat Sesgarrigues"/>
        <s v="Sant Esteve de la Sarga"/>
        <s v="Sant Esteve de Palautordera"/>
        <s v="Sant Esteve Sesrovires"/>
        <s v="Sant Feliu de Buixalleu"/>
        <s v="Sant Feliu de Codines"/>
        <s v="Sant Feliu de Guíxols"/>
        <s v="Sant Feliu de Llobregat"/>
        <s v="Sant Feliu de Pallerols"/>
        <s v="Sant Feliu Sasserra"/>
        <s v="Sant Ferriol"/>
        <s v="Sant Fost de Campsentelles"/>
        <s v="Sant Fruitós de Bages"/>
        <s v="Sant Gregori"/>
        <s v="Sant Guim de Freixenet"/>
        <s v="Sant Guim de la Plana"/>
        <s v="Sant Hilari Sacalm"/>
        <s v="Sant Hipòlit de Voltregà"/>
        <s v="Sant Iscle de Vallalta"/>
        <s v="Sant Jaume d'Enveja"/>
        <s v="Sant Jaume de Frontanyà"/>
        <s v="Sant Jaume de Llierca"/>
        <s v="Sant Jaume dels Domenys"/>
        <s v="Sant Joan de les Abadesses"/>
        <s v="Sant Joan de Mollet"/>
        <s v="Sant Joan de Vilatorrada"/>
        <s v="Sant Joan Despí"/>
        <s v="Sant Joan les Fonts"/>
        <s v="Sant Jordi Desvalls"/>
        <s v="Sant Julià de Cerdanyola"/>
        <s v="Sant Julià de Ramis"/>
        <s v="Sant Julià de Vilatorta"/>
        <s v="Sant Julià del Llor i Bonmatí"/>
        <s v="Sant Just Desvern"/>
        <s v="Sant Llorenç d'Hortons"/>
        <s v="Sant Llorenç de la Muga"/>
        <s v="Sant Llorenç de Morunys"/>
        <s v="Sant Llorenç Savall"/>
        <s v="Sant Martí d'Albars"/>
        <s v="Sant Martí de Centelles"/>
        <s v="Sant Martí de Llémena"/>
        <s v="Sant Martí de Riucorb"/>
        <s v="Sant Martí de Tous"/>
        <s v="Sant Martí Sarroca"/>
        <s v="Sant Martí Sesgueioles"/>
        <s v="Sant Martí Vell"/>
        <s v="Sant Mateu de Bages"/>
        <s v="Sant Miquel de Campmajor"/>
        <s v="Sant Miquel de Fluvià"/>
        <s v="Sant Mori"/>
        <s v="Sant Pau de Segúries"/>
        <s v="Sant Pere de Ribes"/>
        <s v="Sant Pere de Riudebitlles"/>
        <s v="Sant Pere de Torelló"/>
        <s v="Sant Pere de Vilamajor"/>
        <s v="Sant Pere Pescador"/>
        <s v="Sant Pere Sallavinera"/>
        <s v="Sant Pol de Mar"/>
        <s v="Sant Quintí de Mediona"/>
        <s v="Sant Quirze de Besora"/>
        <s v="Sant Quirze del Vallès"/>
        <s v="Sant Quirze Safaja"/>
        <s v="Sant Ramon"/>
        <s v="Sant Sadurní d'Anoia"/>
        <s v="Sant Sadurní d'Osormort"/>
        <s v="Sant Salvador de Guardiola"/>
        <s v="Sant Vicenç de Castellet"/>
        <s v="Sant Vicenç de Montalt"/>
        <s v="Sant Vicenç de Torelló"/>
        <s v="Sant Vicenç dels Horts"/>
        <s v="Santa Bàrbara"/>
        <s v="Santa Cecília de Voltregà"/>
        <s v="Santa Coloma de Cervelló"/>
        <s v="Santa Coloma de Farners"/>
        <s v="Santa Coloma de Gramenet"/>
        <s v="Santa Coloma de Queralt"/>
        <s v="Santa Cristina d'Aro"/>
        <s v="Santa Eugènia de Berga"/>
        <s v="Santa Eulàlia de Riuprimer"/>
        <s v="Santa Eulàlia de Ronçana"/>
        <s v="Santa Fe del Penedès"/>
        <s v="Santa Llogaia d'Àlguema"/>
        <s v="Santa Margarida de Montbui"/>
        <s v="Santa Margarida i els Monjos"/>
        <s v="Santa Maria d'Oló"/>
        <s v="Santa Maria de Besora"/>
        <s v="Santa Maria de Martorelles"/>
        <s v="Santa Maria de Merlès"/>
        <s v="Santa Maria de Miralles"/>
        <s v="Santa Maria de Palautordera"/>
        <s v="Santa Oliva"/>
        <s v="Santa Pau"/>
        <s v="Santa Perpètua de Mogoda"/>
        <s v="Santa Susanna"/>
        <s v="Santpedor"/>
        <s v="Sarral"/>
        <s v="Sarrià de Ter"/>
        <s v="Sarroca de Bellera"/>
        <s v="Sarroca de Lleida"/>
        <s v="Saus, Camallera i Llampaies"/>
        <s v="Savallà del Comtat"/>
        <s v="Secuita, la"/>
        <s v="Selva de Mar, la"/>
        <s v="Selva del Camp, la"/>
        <s v="Senan"/>
        <s v="Sénia, la"/>
        <s v="Senterada"/>
        <s v="Sentiu de Sió, la"/>
        <s v="Sentmenat"/>
        <s v="Serinyà"/>
        <s v="Seròs"/>
        <s v="Serra de Daró"/>
        <s v="Setcases"/>
        <s v="Seu d'Urgell, la"/>
        <s v="Seva"/>
        <s v="Sidamon"/>
        <s v="Sils"/>
        <s v="Sitges"/>
        <s v="Siurana"/>
        <s v="Sobremunt"/>
        <s v="Soleràs, el"/>
        <s v="Solivella"/>
        <s v="Solsona"/>
        <s v="Sora"/>
        <s v="Soriguera"/>
        <s v="Sort"/>
        <s v="Soses"/>
        <s v="Subirats"/>
        <s v="Sudanell"/>
        <s v="Sunyer"/>
        <s v="Súria"/>
        <s v="Susqueda"/>
        <s v="Tagamanent"/>
        <s v="Talamanca"/>
        <s v="Talarn"/>
        <s v="Talavera"/>
        <s v="Tallada d'Empordà, la"/>
        <s v="Taradell"/>
        <s v="Tarragona"/>
        <s v="Tàrrega"/>
        <s v="Tarrés"/>
        <s v="Tarroja de Segarra"/>
        <s v="Tavèrnoles"/>
        <s v="Tavertet"/>
        <s v="Teià"/>
        <s v="Térmens"/>
        <s v="Terrades"/>
        <s v="Terrassa"/>
        <s v="Tiana"/>
        <s v="Tírvia"/>
        <s v="Tiurana"/>
        <s v="Tivenys"/>
        <s v="Tivissa"/>
        <s v="Tona"/>
        <s v="Torà"/>
        <s v="Tordera"/>
        <s v="Torelló"/>
        <s v="Torms, els"/>
        <s v="Tornabous"/>
        <s v="Torre de Cabdella, la"/>
        <s v="Torre de Claramunt, la"/>
        <s v="Torre de Fontaubella, la"/>
        <s v="Torre de l'Espanyol, la"/>
        <s v="Torre-serona"/>
        <s v="Torrebesses"/>
        <s v="Torredembarra"/>
        <s v="Torrefarrera"/>
        <s v="Torrefeta i Florejacs"/>
        <s v="Torregrossa"/>
        <s v="Torrelameu"/>
        <s v="Torrelavit"/>
        <s v="Torrelles de Foix"/>
        <s v="Torrelles de Llobregat"/>
        <s v="Torrent"/>
        <s v="Torres de Segre"/>
        <s v="Torroella de Fluvià"/>
        <s v="Torroella de Montgrí"/>
        <s v="Torroja del Priorat"/>
        <s v="Tortellà"/>
        <s v="Tortosa"/>
        <s v="Toses"/>
        <s v="Tossa de Mar"/>
        <s v="Tremp"/>
        <s v="Ullà"/>
        <s v="Ullastrell"/>
        <s v="Ullastret"/>
        <s v="Ulldecona"/>
        <s v="Ulldemolins"/>
        <s v="Ultramort"/>
        <s v="Urús"/>
        <s v="Vacarisses"/>
        <s v="Vajol, la"/>
        <s v="Vall d'en Bas, la"/>
        <s v="Vall de Bianya, la"/>
        <s v="Vall de Boí, la"/>
        <s v="Vall de Cardós"/>
        <s v="Vall-llobrega"/>
        <s v="Vallbona d'Anoia"/>
        <s v="Vallbona de les Monges"/>
        <s v="Vallcebre"/>
        <s v="Vallclara"/>
        <s v="Vallfogona de Balaguer"/>
        <s v="Vallfogona de Ripollès"/>
        <s v="Vallfogona de Riucorb"/>
        <s v="Vallgorguina"/>
        <s v="Vallirana"/>
        <s v="Vallmoll"/>
        <s v="Vallromanes"/>
        <s v="Valls"/>
        <s v="Valls d'Aguilar, les"/>
        <s v="Valls de Valira, les"/>
        <s v="Vandellòs i l'Hospitalet de l'Infant"/>
        <s v="Vansa i Fórnols, la"/>
        <s v="Veciana"/>
        <s v="Vendrell, el"/>
        <s v="Ventalló"/>
        <s v="Verdú"/>
        <s v="Verges"/>
        <s v="Vespella de Gaià"/>
        <s v="Vic"/>
        <s v="Vidrà"/>
        <s v="Vidreres"/>
        <s v="Vielha e Mijaran"/>
        <s v="Vila-rodona"/>
        <s v="Vila-sacra"/>
        <s v="Vila-sana"/>
        <s v="Vila-seca"/>
        <s v="Vilabella"/>
        <s v="Vilabertran"/>
        <s v="Vilablareix"/>
        <s v="Vilada"/>
        <s v="Viladamat"/>
        <s v="Viladasens"/>
        <s v="Viladecans"/>
        <s v="Viladecavalls"/>
        <s v="Vilademuls"/>
        <s v="Viladrau"/>
        <s v="Vilafant"/>
        <s v="Vilafranca del Penedès"/>
        <s v="Vilagrassa"/>
        <s v="Vilajuïga"/>
        <s v="Vilalba dels Arcs"/>
        <s v="Vilalba Sasserra"/>
        <s v="Vilaller"/>
        <s v="Vilallonga de Ter"/>
        <s v="Vilallonga del Camp"/>
        <s v="Vilamacolum"/>
        <s v="Vilamalla"/>
        <s v="Vilamaniscle"/>
        <s v="Vilamòs"/>
        <s v="Vilanant"/>
        <s v="Vilanova d'Escornalbou"/>
        <s v="Vilanova de Bellpuig"/>
        <s v="Vilanova de l'Aguda"/>
        <s v="Vilanova de la Barca"/>
        <s v="Vilanova de Meià"/>
        <s v="Vilanova de Prades"/>
        <s v="Vilanova de Sau"/>
        <s v="Vilanova de Segrià"/>
        <s v="Vilanova del Camí"/>
        <s v="Vilanova del Vallès"/>
        <s v="Vilanova i la Geltrú"/>
        <s v="Vilaplana"/>
        <s v="Vilassar de Dalt"/>
        <s v="Vilassar de Mar"/>
        <s v="Vilaür"/>
        <s v="Vilaverd"/>
        <s v="Vilella Alta, la"/>
        <s v="Vilella Baixa, la"/>
        <s v="Vilobí d'Onyar"/>
        <s v="Vilobí del Penedès"/>
        <s v="Vilopriu"/>
        <s v="Vilosell, el"/>
        <s v="Vimbodí i Poblet"/>
        <s v="Vinaixa"/>
        <s v="Vinebre"/>
        <s v="Vinyols i els Arcs"/>
        <s v="Viver i Serrateix"/>
        <s v="Xerta"/>
      </sharedItems>
    </cacheField>
    <cacheField name="county_code" uniqueList="1" numFmtId="0" sqlType="0" hierarchy="0" level="0" databaseField="1">
      <sharedItems count="43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</sharedItems>
    </cacheField>
    <cacheField name="county_name" uniqueList="1" numFmtId="0" sqlType="0" hierarchy="0" level="0" databaseField="1">
      <sharedItems count="43">
        <s v="Alt Camp"/>
        <s v="Alt Empordà"/>
        <s v="Alt Penedès"/>
        <s v="Alt Urgell"/>
        <s v="Alta Ribagorça"/>
        <s v="Anoia"/>
        <s v="Aran"/>
        <s v="Bages"/>
        <s v="Baix Camp"/>
        <s v="Baix Ebre"/>
        <s v="Baix Empordà"/>
        <s v="Baix Llobregat"/>
        <s v="Baix Penedès"/>
        <s v="Barcelonès"/>
        <s v="Berguedà"/>
        <s v="Cerdanya"/>
        <s v="Conca de Barberà"/>
        <s v="Garraf"/>
        <s v="Garrigues"/>
        <s v="Garrotxa"/>
        <s v="Gironès"/>
        <s v="Lluçanès"/>
        <s v="Maresme"/>
        <s v="Moianès"/>
        <s v="Montsià"/>
        <s v="Noguera"/>
        <s v="Osona"/>
        <s v="Pallars Jussà"/>
        <s v="Pallars Sobirà"/>
        <s v="Pla d'Urgell"/>
        <s v="Pla de l'Estany"/>
        <s v="Priorat"/>
        <s v="Ribera d'Ebre"/>
        <s v="Ripollès"/>
        <s v="Segarra"/>
        <s v="Segrià"/>
        <s v="Selva"/>
        <s v="Solsonès"/>
        <s v="Tarragonès"/>
        <s v="Terra Alta"/>
        <s v="Urgell"/>
        <s v="Vallès Occidental"/>
        <s v="Vallès Oriental"/>
      </sharedItems>
    </cacheField>
    <cacheField name="import_notes" uniqueList="1" numFmtId="0" sqlType="0" hierarchy="0" level="0" databaseField="1">
      <sharedItems count="1" containsBlank="1" containsString="0">
        <m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createdVersion="3" recordCount="202" r:id="rId1">
  <cacheSource type="worksheet">
    <worksheetSource ref="A1:D203" sheet="prepared_population_pyramid"/>
  </cacheSource>
  <cacheFields count="4">
    <cacheField name="year" uniqueList="1" numFmtId="0" sqlType="0" hierarchy="0" level="0" databaseField="1">
      <sharedItems count="1" containsInteger="1" containsNumber="1" containsSemiMixedTypes="0" containsString="0" minValue="2021" maxValue="2021">
        <n v="2021"/>
      </sharedItems>
    </cacheField>
    <cacheField name="age_years" uniqueList="1" numFmtId="0" sqlType="0" hierarchy="0" level="0" databaseField="1">
      <sharedItems count="101" containsInteger="1" containsNumber="1" containsSemiMixedTypes="0" containsString="0" minValue="0" maxValue="1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sex" uniqueList="1" numFmtId="0" sqlType="0" hierarchy="0" level="0" databaseField="1">
      <sharedItems count="2">
        <s v="F"/>
        <s v="M"/>
      </sharedItems>
    </cacheField>
    <cacheField name="population" uniqueList="1" numFmtId="0" sqlType="0" hierarchy="0" level="0" databaseField="1">
      <sharedItems count="133" containsInteger="1" containsNumber="1" containsSemiMixedTypes="0" containsString="0" minValue="0" maxValue="274">
        <n v="0"/>
        <n v="1"/>
        <n v="2"/>
        <n v="3"/>
        <n v="4"/>
        <n v="5"/>
        <n v="6"/>
        <n v="7"/>
        <n v="9"/>
        <n v="10"/>
        <n v="11"/>
        <n v="13"/>
        <n v="17"/>
        <n v="19"/>
        <n v="21"/>
        <n v="23"/>
        <n v="24"/>
        <n v="25"/>
        <n v="26"/>
        <n v="27"/>
        <n v="29"/>
        <n v="31"/>
        <n v="35"/>
        <n v="37"/>
        <n v="39"/>
        <n v="40"/>
        <n v="41"/>
        <n v="42"/>
        <n v="44"/>
        <n v="46"/>
        <n v="48"/>
        <n v="50"/>
        <n v="52"/>
        <n v="56"/>
        <n v="64"/>
        <n v="65"/>
        <n v="69"/>
        <n v="72"/>
        <n v="74"/>
        <n v="79"/>
        <n v="83"/>
        <n v="85"/>
        <n v="87"/>
        <n v="89"/>
        <n v="90"/>
        <n v="91"/>
        <n v="92"/>
        <n v="93"/>
        <n v="95"/>
        <n v="97"/>
        <n v="98"/>
        <n v="99"/>
        <n v="100"/>
        <n v="103"/>
        <n v="104"/>
        <n v="105"/>
        <n v="107"/>
        <n v="108"/>
        <n v="109"/>
        <n v="110"/>
        <n v="111"/>
        <n v="113"/>
        <n v="114"/>
        <n v="115"/>
        <n v="116"/>
        <n v="117"/>
        <n v="118"/>
        <n v="119"/>
        <n v="120"/>
        <n v="121"/>
        <n v="122"/>
        <n v="124"/>
        <n v="125"/>
        <n v="126"/>
        <n v="127"/>
        <n v="128"/>
        <n v="129"/>
        <n v="130"/>
        <n v="132"/>
        <n v="133"/>
        <n v="134"/>
        <n v="135"/>
        <n v="137"/>
        <n v="138"/>
        <n v="139"/>
        <n v="140"/>
        <n v="142"/>
        <n v="143"/>
        <n v="146"/>
        <n v="147"/>
        <n v="148"/>
        <n v="149"/>
        <n v="150"/>
        <n v="151"/>
        <n v="152"/>
        <n v="153"/>
        <n v="154"/>
        <n v="155"/>
        <n v="157"/>
        <n v="159"/>
        <n v="160"/>
        <n v="163"/>
        <n v="164"/>
        <n v="170"/>
        <n v="171"/>
        <n v="172"/>
        <n v="174"/>
        <n v="176"/>
        <n v="178"/>
        <n v="179"/>
        <n v="182"/>
        <n v="183"/>
        <n v="184"/>
        <n v="187"/>
        <n v="192"/>
        <n v="193"/>
        <n v="195"/>
        <n v="196"/>
        <n v="197"/>
        <n v="203"/>
        <n v="216"/>
        <n v="219"/>
        <n v="226"/>
        <n v="227"/>
        <n v="229"/>
        <n v="230"/>
        <n v="231"/>
        <n v="242"/>
        <n v="247"/>
        <n v="249"/>
        <n v="255"/>
        <n v="259"/>
        <n v="274"/>
      </sharedItems>
    </cacheField>
  </cacheFields>
</pivotCacheDefinition>
</file>

<file path=xl/pivotCache/pivotCacheRecords1.xml><?xml version="1.0" encoding="utf-8"?>
<pivotCacheRecords xmlns="http://schemas.openxmlformats.org/spreadsheetml/2006/main" count="947">
  <r>
    <x v="532"/>
    <x v="532"/>
    <x v="0"/>
    <x v="24"/>
    <x v="27"/>
    <x v="0"/>
  </r>
  <r>
    <x v="0"/>
    <x v="0"/>
    <x v="1"/>
    <x v="10"/>
    <x v="11"/>
    <x v="0"/>
  </r>
  <r>
    <x v="533"/>
    <x v="533"/>
    <x v="2"/>
    <x v="22"/>
    <x v="25"/>
    <x v="0"/>
  </r>
  <r>
    <x v="534"/>
    <x v="534"/>
    <x v="3"/>
    <x v="37"/>
    <x v="40"/>
    <x v="0"/>
  </r>
  <r>
    <x v="1"/>
    <x v="1"/>
    <x v="4"/>
    <x v="6"/>
    <x v="7"/>
    <x v="0"/>
  </r>
  <r>
    <x v="311"/>
    <x v="311"/>
    <x v="5"/>
    <x v="1"/>
    <x v="1"/>
    <x v="0"/>
  </r>
  <r>
    <x v="13"/>
    <x v="13"/>
    <x v="6"/>
    <x v="23"/>
    <x v="26"/>
    <x v="0"/>
  </r>
  <r>
    <x v="763"/>
    <x v="763"/>
    <x v="7"/>
    <x v="0"/>
    <x v="0"/>
    <x v="0"/>
  </r>
  <r>
    <x v="312"/>
    <x v="312"/>
    <x v="8"/>
    <x v="19"/>
    <x v="20"/>
    <x v="0"/>
  </r>
  <r>
    <x v="566"/>
    <x v="566"/>
    <x v="9"/>
    <x v="32"/>
    <x v="35"/>
    <x v="0"/>
  </r>
  <r>
    <x v="535"/>
    <x v="535"/>
    <x v="10"/>
    <x v="32"/>
    <x v="35"/>
    <x v="0"/>
  </r>
  <r>
    <x v="536"/>
    <x v="536"/>
    <x v="11"/>
    <x v="3"/>
    <x v="3"/>
    <x v="0"/>
  </r>
  <r>
    <x v="537"/>
    <x v="537"/>
    <x v="12"/>
    <x v="17"/>
    <x v="18"/>
    <x v="0"/>
  </r>
  <r>
    <x v="313"/>
    <x v="313"/>
    <x v="13"/>
    <x v="1"/>
    <x v="1"/>
    <x v="0"/>
  </r>
  <r>
    <x v="538"/>
    <x v="538"/>
    <x v="14"/>
    <x v="32"/>
    <x v="35"/>
    <x v="0"/>
  </r>
  <r>
    <x v="539"/>
    <x v="539"/>
    <x v="15"/>
    <x v="22"/>
    <x v="25"/>
    <x v="0"/>
  </r>
  <r>
    <x v="540"/>
    <x v="540"/>
    <x v="16"/>
    <x v="17"/>
    <x v="18"/>
    <x v="0"/>
  </r>
  <r>
    <x v="764"/>
    <x v="764"/>
    <x v="17"/>
    <x v="11"/>
    <x v="12"/>
    <x v="0"/>
  </r>
  <r>
    <x v="765"/>
    <x v="765"/>
    <x v="18"/>
    <x v="7"/>
    <x v="8"/>
    <x v="0"/>
  </r>
  <r>
    <x v="314"/>
    <x v="314"/>
    <x v="19"/>
    <x v="9"/>
    <x v="10"/>
    <x v="0"/>
  </r>
  <r>
    <x v="766"/>
    <x v="766"/>
    <x v="20"/>
    <x v="21"/>
    <x v="24"/>
    <x v="0"/>
  </r>
  <r>
    <x v="541"/>
    <x v="541"/>
    <x v="21"/>
    <x v="32"/>
    <x v="35"/>
    <x v="0"/>
  </r>
  <r>
    <x v="542"/>
    <x v="542"/>
    <x v="22"/>
    <x v="32"/>
    <x v="35"/>
    <x v="0"/>
  </r>
  <r>
    <x v="543"/>
    <x v="543"/>
    <x v="23"/>
    <x v="32"/>
    <x v="35"/>
    <x v="0"/>
  </r>
  <r>
    <x v="767"/>
    <x v="767"/>
    <x v="24"/>
    <x v="0"/>
    <x v="0"/>
    <x v="0"/>
  </r>
  <r>
    <x v="943"/>
    <x v="943"/>
    <x v="25"/>
    <x v="8"/>
    <x v="9"/>
    <x v="0"/>
  </r>
  <r>
    <x v="768"/>
    <x v="768"/>
    <x v="26"/>
    <x v="8"/>
    <x v="9"/>
    <x v="0"/>
  </r>
  <r>
    <x v="769"/>
    <x v="769"/>
    <x v="27"/>
    <x v="7"/>
    <x v="8"/>
    <x v="0"/>
  </r>
  <r>
    <x v="2"/>
    <x v="2"/>
    <x v="28"/>
    <x v="20"/>
    <x v="22"/>
    <x v="0"/>
  </r>
  <r>
    <x v="770"/>
    <x v="770"/>
    <x v="29"/>
    <x v="8"/>
    <x v="9"/>
    <x v="0"/>
  </r>
  <r>
    <x v="544"/>
    <x v="544"/>
    <x v="30"/>
    <x v="32"/>
    <x v="35"/>
    <x v="0"/>
  </r>
  <r>
    <x v="545"/>
    <x v="545"/>
    <x v="31"/>
    <x v="32"/>
    <x v="35"/>
    <x v="0"/>
  </r>
  <r>
    <x v="771"/>
    <x v="771"/>
    <x v="32"/>
    <x v="7"/>
    <x v="8"/>
    <x v="0"/>
  </r>
  <r>
    <x v="546"/>
    <x v="546"/>
    <x v="33"/>
    <x v="22"/>
    <x v="25"/>
    <x v="0"/>
  </r>
  <r>
    <x v="547"/>
    <x v="547"/>
    <x v="34"/>
    <x v="32"/>
    <x v="35"/>
    <x v="0"/>
  </r>
  <r>
    <x v="548"/>
    <x v="548"/>
    <x v="35"/>
    <x v="25"/>
    <x v="28"/>
    <x v="0"/>
  </r>
  <r>
    <x v="772"/>
    <x v="772"/>
    <x v="36"/>
    <x v="0"/>
    <x v="0"/>
    <x v="0"/>
  </r>
  <r>
    <x v="549"/>
    <x v="549"/>
    <x v="37"/>
    <x v="32"/>
    <x v="35"/>
    <x v="0"/>
  </r>
  <r>
    <x v="550"/>
    <x v="550"/>
    <x v="38"/>
    <x v="32"/>
    <x v="35"/>
    <x v="0"/>
  </r>
  <r>
    <x v="551"/>
    <x v="551"/>
    <x v="39"/>
    <x v="32"/>
    <x v="35"/>
    <x v="0"/>
  </r>
  <r>
    <x v="773"/>
    <x v="773"/>
    <x v="40"/>
    <x v="7"/>
    <x v="8"/>
    <x v="0"/>
  </r>
  <r>
    <x v="552"/>
    <x v="552"/>
    <x v="41"/>
    <x v="22"/>
    <x v="25"/>
    <x v="0"/>
  </r>
  <r>
    <x v="316"/>
    <x v="316"/>
    <x v="42"/>
    <x v="14"/>
    <x v="15"/>
    <x v="0"/>
  </r>
  <r>
    <x v="3"/>
    <x v="3"/>
    <x v="43"/>
    <x v="42"/>
    <x v="21"/>
    <x v="0"/>
  </r>
  <r>
    <x v="553"/>
    <x v="553"/>
    <x v="44"/>
    <x v="32"/>
    <x v="35"/>
    <x v="0"/>
  </r>
  <r>
    <x v="554"/>
    <x v="554"/>
    <x v="45"/>
    <x v="25"/>
    <x v="28"/>
    <x v="0"/>
  </r>
  <r>
    <x v="774"/>
    <x v="774"/>
    <x v="46"/>
    <x v="35"/>
    <x v="38"/>
    <x v="0"/>
  </r>
  <r>
    <x v="317"/>
    <x v="317"/>
    <x v="47"/>
    <x v="33"/>
    <x v="36"/>
    <x v="0"/>
  </r>
  <r>
    <x v="775"/>
    <x v="775"/>
    <x v="48"/>
    <x v="8"/>
    <x v="9"/>
    <x v="0"/>
  </r>
  <r>
    <x v="4"/>
    <x v="4"/>
    <x v="49"/>
    <x v="40"/>
    <x v="42"/>
    <x v="0"/>
  </r>
  <r>
    <x v="945"/>
    <x v="945"/>
    <x v="50"/>
    <x v="8"/>
    <x v="9"/>
    <x v="0"/>
  </r>
  <r>
    <x v="776"/>
    <x v="776"/>
    <x v="51"/>
    <x v="21"/>
    <x v="24"/>
    <x v="0"/>
  </r>
  <r>
    <x v="318"/>
    <x v="318"/>
    <x v="52"/>
    <x v="33"/>
    <x v="36"/>
    <x v="0"/>
  </r>
  <r>
    <x v="556"/>
    <x v="556"/>
    <x v="53"/>
    <x v="37"/>
    <x v="40"/>
    <x v="0"/>
  </r>
  <r>
    <x v="557"/>
    <x v="557"/>
    <x v="54"/>
    <x v="17"/>
    <x v="18"/>
    <x v="0"/>
  </r>
  <r>
    <x v="778"/>
    <x v="778"/>
    <x v="55"/>
    <x v="11"/>
    <x v="12"/>
    <x v="0"/>
  </r>
  <r>
    <x v="777"/>
    <x v="777"/>
    <x v="56"/>
    <x v="7"/>
    <x v="8"/>
    <x v="0"/>
  </r>
  <r>
    <x v="319"/>
    <x v="319"/>
    <x v="57"/>
    <x v="33"/>
    <x v="36"/>
    <x v="0"/>
  </r>
  <r>
    <x v="5"/>
    <x v="5"/>
    <x v="58"/>
    <x v="20"/>
    <x v="22"/>
    <x v="0"/>
  </r>
  <r>
    <x v="6"/>
    <x v="6"/>
    <x v="59"/>
    <x v="20"/>
    <x v="22"/>
    <x v="0"/>
  </r>
  <r>
    <x v="320"/>
    <x v="320"/>
    <x v="60"/>
    <x v="18"/>
    <x v="19"/>
    <x v="0"/>
  </r>
  <r>
    <x v="7"/>
    <x v="7"/>
    <x v="61"/>
    <x v="5"/>
    <x v="5"/>
    <x v="0"/>
  </r>
  <r>
    <x v="779"/>
    <x v="779"/>
    <x v="62"/>
    <x v="7"/>
    <x v="8"/>
    <x v="0"/>
  </r>
  <r>
    <x v="8"/>
    <x v="8"/>
    <x v="63"/>
    <x v="20"/>
    <x v="22"/>
    <x v="0"/>
  </r>
  <r>
    <x v="321"/>
    <x v="321"/>
    <x v="64"/>
    <x v="1"/>
    <x v="1"/>
    <x v="0"/>
  </r>
  <r>
    <x v="780"/>
    <x v="780"/>
    <x v="65"/>
    <x v="36"/>
    <x v="39"/>
    <x v="0"/>
  </r>
  <r>
    <x v="559"/>
    <x v="559"/>
    <x v="66"/>
    <x v="38"/>
    <x v="6"/>
    <x v="0"/>
  </r>
  <r>
    <x v="560"/>
    <x v="560"/>
    <x v="67"/>
    <x v="3"/>
    <x v="3"/>
    <x v="0"/>
  </r>
  <r>
    <x v="9"/>
    <x v="9"/>
    <x v="68"/>
    <x v="6"/>
    <x v="7"/>
    <x v="0"/>
  </r>
  <r>
    <x v="561"/>
    <x v="561"/>
    <x v="69"/>
    <x v="32"/>
    <x v="35"/>
    <x v="0"/>
  </r>
  <r>
    <x v="562"/>
    <x v="562"/>
    <x v="70"/>
    <x v="22"/>
    <x v="25"/>
    <x v="0"/>
  </r>
  <r>
    <x v="781"/>
    <x v="781"/>
    <x v="71"/>
    <x v="29"/>
    <x v="32"/>
    <x v="0"/>
  </r>
  <r>
    <x v="564"/>
    <x v="564"/>
    <x v="72"/>
    <x v="32"/>
    <x v="35"/>
    <x v="0"/>
  </r>
  <r>
    <x v="565"/>
    <x v="565"/>
    <x v="73"/>
    <x v="22"/>
    <x v="25"/>
    <x v="0"/>
  </r>
  <r>
    <x v="10"/>
    <x v="10"/>
    <x v="74"/>
    <x v="13"/>
    <x v="14"/>
    <x v="0"/>
  </r>
  <r>
    <x v="11"/>
    <x v="11"/>
    <x v="75"/>
    <x v="6"/>
    <x v="7"/>
    <x v="0"/>
  </r>
  <r>
    <x v="322"/>
    <x v="322"/>
    <x v="76"/>
    <x v="1"/>
    <x v="1"/>
    <x v="0"/>
  </r>
  <r>
    <x v="12"/>
    <x v="12"/>
    <x v="77"/>
    <x v="2"/>
    <x v="2"/>
    <x v="0"/>
  </r>
  <r>
    <x v="14"/>
    <x v="14"/>
    <x v="78"/>
    <x v="12"/>
    <x v="13"/>
    <x v="0"/>
  </r>
  <r>
    <x v="309"/>
    <x v="309"/>
    <x v="79"/>
    <x v="39"/>
    <x v="41"/>
    <x v="0"/>
  </r>
  <r>
    <x v="15"/>
    <x v="15"/>
    <x v="80"/>
    <x v="13"/>
    <x v="14"/>
    <x v="0"/>
  </r>
  <r>
    <x v="567"/>
    <x v="567"/>
    <x v="81"/>
    <x v="25"/>
    <x v="28"/>
    <x v="0"/>
  </r>
  <r>
    <x v="568"/>
    <x v="568"/>
    <x v="82"/>
    <x v="22"/>
    <x v="25"/>
    <x v="0"/>
  </r>
  <r>
    <x v="16"/>
    <x v="16"/>
    <x v="83"/>
    <x v="23"/>
    <x v="26"/>
    <x v="0"/>
  </r>
  <r>
    <x v="17"/>
    <x v="17"/>
    <x v="84"/>
    <x v="6"/>
    <x v="7"/>
    <x v="0"/>
  </r>
  <r>
    <x v="782"/>
    <x v="782"/>
    <x v="85"/>
    <x v="11"/>
    <x v="12"/>
    <x v="0"/>
  </r>
  <r>
    <x v="325"/>
    <x v="325"/>
    <x v="86"/>
    <x v="27"/>
    <x v="30"/>
    <x v="0"/>
  </r>
  <r>
    <x v="569"/>
    <x v="569"/>
    <x v="87"/>
    <x v="26"/>
    <x v="29"/>
    <x v="0"/>
  </r>
  <r>
    <x v="783"/>
    <x v="783"/>
    <x v="88"/>
    <x v="15"/>
    <x v="16"/>
    <x v="0"/>
  </r>
  <r>
    <x v="249"/>
    <x v="249"/>
    <x v="89"/>
    <x v="39"/>
    <x v="41"/>
    <x v="0"/>
  </r>
  <r>
    <x v="18"/>
    <x v="18"/>
    <x v="90"/>
    <x v="12"/>
    <x v="13"/>
    <x v="0"/>
  </r>
  <r>
    <x v="570"/>
    <x v="570"/>
    <x v="91"/>
    <x v="22"/>
    <x v="25"/>
    <x v="0"/>
  </r>
  <r>
    <x v="326"/>
    <x v="326"/>
    <x v="92"/>
    <x v="1"/>
    <x v="1"/>
    <x v="0"/>
  </r>
  <r>
    <x v="572"/>
    <x v="572"/>
    <x v="93"/>
    <x v="3"/>
    <x v="3"/>
    <x v="0"/>
  </r>
  <r>
    <x v="784"/>
    <x v="784"/>
    <x v="94"/>
    <x v="36"/>
    <x v="39"/>
    <x v="0"/>
  </r>
  <r>
    <x v="573"/>
    <x v="573"/>
    <x v="95"/>
    <x v="38"/>
    <x v="6"/>
    <x v="0"/>
  </r>
  <r>
    <x v="19"/>
    <x v="19"/>
    <x v="96"/>
    <x v="10"/>
    <x v="11"/>
    <x v="0"/>
  </r>
  <r>
    <x v="323"/>
    <x v="323"/>
    <x v="97"/>
    <x v="9"/>
    <x v="10"/>
    <x v="0"/>
  </r>
  <r>
    <x v="574"/>
    <x v="574"/>
    <x v="98"/>
    <x v="37"/>
    <x v="40"/>
    <x v="0"/>
  </r>
  <r>
    <x v="576"/>
    <x v="576"/>
    <x v="99"/>
    <x v="26"/>
    <x v="29"/>
    <x v="0"/>
  </r>
  <r>
    <x v="679"/>
    <x v="679"/>
    <x v="100"/>
    <x v="17"/>
    <x v="18"/>
    <x v="0"/>
  </r>
  <r>
    <x v="327"/>
    <x v="327"/>
    <x v="101"/>
    <x v="9"/>
    <x v="10"/>
    <x v="0"/>
  </r>
  <r>
    <x v="575"/>
    <x v="575"/>
    <x v="102"/>
    <x v="22"/>
    <x v="25"/>
    <x v="0"/>
  </r>
  <r>
    <x v="577"/>
    <x v="577"/>
    <x v="103"/>
    <x v="22"/>
    <x v="25"/>
    <x v="0"/>
  </r>
  <r>
    <x v="785"/>
    <x v="785"/>
    <x v="104"/>
    <x v="28"/>
    <x v="31"/>
    <x v="0"/>
  </r>
  <r>
    <x v="20"/>
    <x v="20"/>
    <x v="105"/>
    <x v="5"/>
    <x v="5"/>
    <x v="0"/>
  </r>
  <r>
    <x v="578"/>
    <x v="578"/>
    <x v="106"/>
    <x v="37"/>
    <x v="40"/>
    <x v="0"/>
  </r>
  <r>
    <x v="786"/>
    <x v="786"/>
    <x v="107"/>
    <x v="11"/>
    <x v="12"/>
    <x v="0"/>
  </r>
  <r>
    <x v="579"/>
    <x v="579"/>
    <x v="108"/>
    <x v="14"/>
    <x v="15"/>
    <x v="0"/>
  </r>
  <r>
    <x v="580"/>
    <x v="580"/>
    <x v="109"/>
    <x v="26"/>
    <x v="29"/>
    <x v="0"/>
  </r>
  <r>
    <x v="581"/>
    <x v="581"/>
    <x v="110"/>
    <x v="32"/>
    <x v="35"/>
    <x v="0"/>
  </r>
  <r>
    <x v="787"/>
    <x v="787"/>
    <x v="111"/>
    <x v="8"/>
    <x v="9"/>
    <x v="0"/>
  </r>
  <r>
    <x v="788"/>
    <x v="788"/>
    <x v="112"/>
    <x v="29"/>
    <x v="32"/>
    <x v="0"/>
  </r>
  <r>
    <x v="21"/>
    <x v="21"/>
    <x v="113"/>
    <x v="13"/>
    <x v="14"/>
    <x v="0"/>
  </r>
  <r>
    <x v="328"/>
    <x v="328"/>
    <x v="114"/>
    <x v="18"/>
    <x v="19"/>
    <x v="0"/>
  </r>
  <r>
    <x v="329"/>
    <x v="329"/>
    <x v="115"/>
    <x v="19"/>
    <x v="20"/>
    <x v="0"/>
  </r>
  <r>
    <x v="330"/>
    <x v="330"/>
    <x v="116"/>
    <x v="18"/>
    <x v="19"/>
    <x v="0"/>
  </r>
  <r>
    <x v="22"/>
    <x v="22"/>
    <x v="117"/>
    <x v="40"/>
    <x v="42"/>
    <x v="0"/>
  </r>
  <r>
    <x v="582"/>
    <x v="582"/>
    <x v="118"/>
    <x v="34"/>
    <x v="37"/>
    <x v="0"/>
  </r>
  <r>
    <x v="331"/>
    <x v="331"/>
    <x v="119"/>
    <x v="9"/>
    <x v="10"/>
    <x v="0"/>
  </r>
  <r>
    <x v="789"/>
    <x v="789"/>
    <x v="120"/>
    <x v="28"/>
    <x v="31"/>
    <x v="0"/>
  </r>
  <r>
    <x v="790"/>
    <x v="790"/>
    <x v="121"/>
    <x v="11"/>
    <x v="12"/>
    <x v="0"/>
  </r>
  <r>
    <x v="528"/>
    <x v="528"/>
    <x v="122"/>
    <x v="1"/>
    <x v="1"/>
    <x v="0"/>
  </r>
  <r>
    <x v="791"/>
    <x v="791"/>
    <x v="123"/>
    <x v="15"/>
    <x v="16"/>
    <x v="0"/>
  </r>
  <r>
    <x v="332"/>
    <x v="332"/>
    <x v="124"/>
    <x v="33"/>
    <x v="36"/>
    <x v="0"/>
  </r>
  <r>
    <x v="338"/>
    <x v="338"/>
    <x v="125"/>
    <x v="1"/>
    <x v="1"/>
    <x v="0"/>
  </r>
  <r>
    <x v="333"/>
    <x v="333"/>
    <x v="126"/>
    <x v="14"/>
    <x v="15"/>
    <x v="0"/>
  </r>
  <r>
    <x v="792"/>
    <x v="792"/>
    <x v="127"/>
    <x v="11"/>
    <x v="12"/>
    <x v="0"/>
  </r>
  <r>
    <x v="584"/>
    <x v="584"/>
    <x v="128"/>
    <x v="38"/>
    <x v="6"/>
    <x v="0"/>
  </r>
  <r>
    <x v="334"/>
    <x v="334"/>
    <x v="129"/>
    <x v="19"/>
    <x v="20"/>
    <x v="0"/>
  </r>
  <r>
    <x v="585"/>
    <x v="585"/>
    <x v="130"/>
    <x v="17"/>
    <x v="18"/>
    <x v="0"/>
  </r>
  <r>
    <x v="793"/>
    <x v="793"/>
    <x v="131"/>
    <x v="7"/>
    <x v="8"/>
    <x v="0"/>
  </r>
  <r>
    <x v="335"/>
    <x v="335"/>
    <x v="132"/>
    <x v="1"/>
    <x v="1"/>
    <x v="0"/>
  </r>
  <r>
    <x v="23"/>
    <x v="23"/>
    <x v="133"/>
    <x v="13"/>
    <x v="14"/>
    <x v="0"/>
  </r>
  <r>
    <x v="586"/>
    <x v="586"/>
    <x v="134"/>
    <x v="38"/>
    <x v="6"/>
    <x v="0"/>
  </r>
  <r>
    <x v="794"/>
    <x v="794"/>
    <x v="135"/>
    <x v="36"/>
    <x v="39"/>
    <x v="0"/>
  </r>
  <r>
    <x v="795"/>
    <x v="795"/>
    <x v="136"/>
    <x v="7"/>
    <x v="8"/>
    <x v="0"/>
  </r>
  <r>
    <x v="583"/>
    <x v="583"/>
    <x v="137"/>
    <x v="17"/>
    <x v="18"/>
    <x v="0"/>
  </r>
  <r>
    <x v="796"/>
    <x v="796"/>
    <x v="138"/>
    <x v="0"/>
    <x v="0"/>
    <x v="0"/>
  </r>
  <r>
    <x v="336"/>
    <x v="336"/>
    <x v="139"/>
    <x v="33"/>
    <x v="36"/>
    <x v="0"/>
  </r>
  <r>
    <x v="24"/>
    <x v="24"/>
    <x v="140"/>
    <x v="5"/>
    <x v="5"/>
    <x v="0"/>
  </r>
  <r>
    <x v="25"/>
    <x v="25"/>
    <x v="141"/>
    <x v="23"/>
    <x v="26"/>
    <x v="0"/>
  </r>
  <r>
    <x v="337"/>
    <x v="337"/>
    <x v="142"/>
    <x v="33"/>
    <x v="36"/>
    <x v="0"/>
  </r>
  <r>
    <x v="797"/>
    <x v="797"/>
    <x v="143"/>
    <x v="28"/>
    <x v="31"/>
    <x v="0"/>
  </r>
  <r>
    <x v="587"/>
    <x v="587"/>
    <x v="144"/>
    <x v="22"/>
    <x v="25"/>
    <x v="0"/>
  </r>
  <r>
    <x v="340"/>
    <x v="340"/>
    <x v="145"/>
    <x v="1"/>
    <x v="1"/>
    <x v="0"/>
  </r>
  <r>
    <x v="339"/>
    <x v="339"/>
    <x v="146"/>
    <x v="1"/>
    <x v="1"/>
    <x v="0"/>
  </r>
  <r>
    <x v="26"/>
    <x v="26"/>
    <x v="147"/>
    <x v="2"/>
    <x v="2"/>
    <x v="0"/>
  </r>
  <r>
    <x v="588"/>
    <x v="588"/>
    <x v="148"/>
    <x v="3"/>
    <x v="3"/>
    <x v="0"/>
  </r>
  <r>
    <x v="798"/>
    <x v="798"/>
    <x v="149"/>
    <x v="0"/>
    <x v="0"/>
    <x v="0"/>
  </r>
  <r>
    <x v="27"/>
    <x v="27"/>
    <x v="150"/>
    <x v="5"/>
    <x v="5"/>
    <x v="0"/>
  </r>
  <r>
    <x v="28"/>
    <x v="28"/>
    <x v="151"/>
    <x v="20"/>
    <x v="22"/>
    <x v="0"/>
  </r>
  <r>
    <x v="29"/>
    <x v="29"/>
    <x v="152"/>
    <x v="20"/>
    <x v="22"/>
    <x v="0"/>
  </r>
  <r>
    <x v="341"/>
    <x v="341"/>
    <x v="153"/>
    <x v="1"/>
    <x v="1"/>
    <x v="0"/>
  </r>
  <r>
    <x v="30"/>
    <x v="30"/>
    <x v="154"/>
    <x v="5"/>
    <x v="5"/>
    <x v="0"/>
  </r>
  <r>
    <x v="799"/>
    <x v="799"/>
    <x v="155"/>
    <x v="11"/>
    <x v="12"/>
    <x v="0"/>
  </r>
  <r>
    <x v="33"/>
    <x v="33"/>
    <x v="156"/>
    <x v="41"/>
    <x v="23"/>
    <x v="0"/>
  </r>
  <r>
    <x v="31"/>
    <x v="31"/>
    <x v="157"/>
    <x v="20"/>
    <x v="22"/>
    <x v="0"/>
  </r>
  <r>
    <x v="342"/>
    <x v="342"/>
    <x v="158"/>
    <x v="33"/>
    <x v="36"/>
    <x v="0"/>
  </r>
  <r>
    <x v="32"/>
    <x v="32"/>
    <x v="159"/>
    <x v="40"/>
    <x v="42"/>
    <x v="0"/>
  </r>
  <r>
    <x v="34"/>
    <x v="34"/>
    <x v="160"/>
    <x v="20"/>
    <x v="22"/>
    <x v="0"/>
  </r>
  <r>
    <x v="36"/>
    <x v="36"/>
    <x v="161"/>
    <x v="23"/>
    <x v="26"/>
    <x v="0"/>
  </r>
  <r>
    <x v="37"/>
    <x v="37"/>
    <x v="162"/>
    <x v="6"/>
    <x v="7"/>
    <x v="0"/>
  </r>
  <r>
    <x v="35"/>
    <x v="35"/>
    <x v="163"/>
    <x v="5"/>
    <x v="5"/>
    <x v="0"/>
  </r>
  <r>
    <x v="343"/>
    <x v="343"/>
    <x v="164"/>
    <x v="9"/>
    <x v="10"/>
    <x v="0"/>
  </r>
  <r>
    <x v="589"/>
    <x v="589"/>
    <x v="165"/>
    <x v="22"/>
    <x v="25"/>
    <x v="0"/>
  </r>
  <r>
    <x v="942"/>
    <x v="942"/>
    <x v="166"/>
    <x v="8"/>
    <x v="9"/>
    <x v="0"/>
  </r>
  <r>
    <x v="800"/>
    <x v="800"/>
    <x v="167"/>
    <x v="7"/>
    <x v="8"/>
    <x v="0"/>
  </r>
  <r>
    <x v="344"/>
    <x v="344"/>
    <x v="168"/>
    <x v="27"/>
    <x v="30"/>
    <x v="0"/>
  </r>
  <r>
    <x v="345"/>
    <x v="345"/>
    <x v="169"/>
    <x v="30"/>
    <x v="33"/>
    <x v="0"/>
  </r>
  <r>
    <x v="346"/>
    <x v="346"/>
    <x v="170"/>
    <x v="30"/>
    <x v="33"/>
    <x v="0"/>
  </r>
  <r>
    <x v="38"/>
    <x v="38"/>
    <x v="171"/>
    <x v="40"/>
    <x v="42"/>
    <x v="0"/>
  </r>
  <r>
    <x v="347"/>
    <x v="347"/>
    <x v="172"/>
    <x v="19"/>
    <x v="20"/>
    <x v="0"/>
  </r>
  <r>
    <x v="348"/>
    <x v="348"/>
    <x v="173"/>
    <x v="30"/>
    <x v="33"/>
    <x v="0"/>
  </r>
  <r>
    <x v="590"/>
    <x v="590"/>
    <x v="174"/>
    <x v="38"/>
    <x v="6"/>
    <x v="0"/>
  </r>
  <r>
    <x v="349"/>
    <x v="349"/>
    <x v="175"/>
    <x v="19"/>
    <x v="20"/>
    <x v="0"/>
  </r>
  <r>
    <x v="39"/>
    <x v="39"/>
    <x v="176"/>
    <x v="20"/>
    <x v="22"/>
    <x v="0"/>
  </r>
  <r>
    <x v="946"/>
    <x v="946"/>
    <x v="177"/>
    <x v="35"/>
    <x v="38"/>
    <x v="0"/>
  </r>
  <r>
    <x v="40"/>
    <x v="40"/>
    <x v="178"/>
    <x v="40"/>
    <x v="42"/>
    <x v="0"/>
  </r>
  <r>
    <x v="41"/>
    <x v="41"/>
    <x v="179"/>
    <x v="40"/>
    <x v="42"/>
    <x v="0"/>
  </r>
  <r>
    <x v="350"/>
    <x v="350"/>
    <x v="180"/>
    <x v="1"/>
    <x v="1"/>
    <x v="0"/>
  </r>
  <r>
    <x v="42"/>
    <x v="42"/>
    <x v="181"/>
    <x v="16"/>
    <x v="17"/>
    <x v="0"/>
  </r>
  <r>
    <x v="801"/>
    <x v="801"/>
    <x v="182"/>
    <x v="7"/>
    <x v="8"/>
    <x v="0"/>
  </r>
  <r>
    <x v="802"/>
    <x v="802"/>
    <x v="183"/>
    <x v="28"/>
    <x v="31"/>
    <x v="0"/>
  </r>
  <r>
    <x v="43"/>
    <x v="43"/>
    <x v="184"/>
    <x v="5"/>
    <x v="5"/>
    <x v="0"/>
  </r>
  <r>
    <x v="351"/>
    <x v="351"/>
    <x v="185"/>
    <x v="1"/>
    <x v="1"/>
    <x v="0"/>
  </r>
  <r>
    <x v="44"/>
    <x v="44"/>
    <x v="186"/>
    <x v="13"/>
    <x v="14"/>
    <x v="0"/>
  </r>
  <r>
    <x v="45"/>
    <x v="45"/>
    <x v="187"/>
    <x v="40"/>
    <x v="42"/>
    <x v="0"/>
  </r>
  <r>
    <x v="46"/>
    <x v="46"/>
    <x v="188"/>
    <x v="6"/>
    <x v="7"/>
    <x v="0"/>
  </r>
  <r>
    <x v="47"/>
    <x v="47"/>
    <x v="189"/>
    <x v="5"/>
    <x v="5"/>
    <x v="0"/>
  </r>
  <r>
    <x v="803"/>
    <x v="803"/>
    <x v="190"/>
    <x v="36"/>
    <x v="39"/>
    <x v="0"/>
  </r>
  <r>
    <x v="353"/>
    <x v="353"/>
    <x v="191"/>
    <x v="19"/>
    <x v="20"/>
    <x v="0"/>
  </r>
  <r>
    <x v="48"/>
    <x v="48"/>
    <x v="192"/>
    <x v="13"/>
    <x v="14"/>
    <x v="0"/>
  </r>
  <r>
    <x v="356"/>
    <x v="356"/>
    <x v="193"/>
    <x v="9"/>
    <x v="10"/>
    <x v="0"/>
  </r>
  <r>
    <x v="56"/>
    <x v="56"/>
    <x v="194"/>
    <x v="13"/>
    <x v="14"/>
    <x v="0"/>
  </r>
  <r>
    <x v="753"/>
    <x v="753"/>
    <x v="195"/>
    <x v="24"/>
    <x v="27"/>
    <x v="0"/>
  </r>
  <r>
    <x v="591"/>
    <x v="591"/>
    <x v="196"/>
    <x v="34"/>
    <x v="37"/>
    <x v="0"/>
  </r>
  <r>
    <x v="51"/>
    <x v="51"/>
    <x v="197"/>
    <x v="13"/>
    <x v="14"/>
    <x v="0"/>
  </r>
  <r>
    <x v="49"/>
    <x v="49"/>
    <x v="198"/>
    <x v="13"/>
    <x v="14"/>
    <x v="0"/>
  </r>
  <r>
    <x v="50"/>
    <x v="50"/>
    <x v="199"/>
    <x v="39"/>
    <x v="41"/>
    <x v="0"/>
  </r>
  <r>
    <x v="52"/>
    <x v="52"/>
    <x v="200"/>
    <x v="6"/>
    <x v="7"/>
    <x v="0"/>
  </r>
  <r>
    <x v="53"/>
    <x v="53"/>
    <x v="201"/>
    <x v="39"/>
    <x v="41"/>
    <x v="0"/>
  </r>
  <r>
    <x v="54"/>
    <x v="54"/>
    <x v="202"/>
    <x v="41"/>
    <x v="23"/>
    <x v="0"/>
  </r>
  <r>
    <x v="592"/>
    <x v="592"/>
    <x v="203"/>
    <x v="17"/>
    <x v="18"/>
    <x v="0"/>
  </r>
  <r>
    <x v="55"/>
    <x v="55"/>
    <x v="204"/>
    <x v="10"/>
    <x v="11"/>
    <x v="0"/>
  </r>
  <r>
    <x v="57"/>
    <x v="57"/>
    <x v="205"/>
    <x v="2"/>
    <x v="2"/>
    <x v="0"/>
  </r>
  <r>
    <x v="354"/>
    <x v="354"/>
    <x v="206"/>
    <x v="18"/>
    <x v="19"/>
    <x v="0"/>
  </r>
  <r>
    <x v="59"/>
    <x v="59"/>
    <x v="207"/>
    <x v="5"/>
    <x v="5"/>
    <x v="0"/>
  </r>
  <r>
    <x v="58"/>
    <x v="58"/>
    <x v="208"/>
    <x v="6"/>
    <x v="7"/>
    <x v="0"/>
  </r>
  <r>
    <x v="60"/>
    <x v="60"/>
    <x v="209"/>
    <x v="6"/>
    <x v="7"/>
    <x v="0"/>
  </r>
  <r>
    <x v="61"/>
    <x v="61"/>
    <x v="210"/>
    <x v="6"/>
    <x v="7"/>
    <x v="0"/>
  </r>
  <r>
    <x v="593"/>
    <x v="593"/>
    <x v="211"/>
    <x v="26"/>
    <x v="29"/>
    <x v="0"/>
  </r>
  <r>
    <x v="355"/>
    <x v="355"/>
    <x v="212"/>
    <x v="1"/>
    <x v="1"/>
    <x v="0"/>
  </r>
  <r>
    <x v="594"/>
    <x v="594"/>
    <x v="213"/>
    <x v="22"/>
    <x v="25"/>
    <x v="0"/>
  </r>
  <r>
    <x v="62"/>
    <x v="62"/>
    <x v="214"/>
    <x v="5"/>
    <x v="5"/>
    <x v="0"/>
  </r>
  <r>
    <x v="595"/>
    <x v="595"/>
    <x v="215"/>
    <x v="37"/>
    <x v="40"/>
    <x v="0"/>
  </r>
  <r>
    <x v="63"/>
    <x v="63"/>
    <x v="216"/>
    <x v="41"/>
    <x v="23"/>
    <x v="0"/>
  </r>
  <r>
    <x v="804"/>
    <x v="804"/>
    <x v="217"/>
    <x v="7"/>
    <x v="8"/>
    <x v="0"/>
  </r>
  <r>
    <x v="64"/>
    <x v="64"/>
    <x v="218"/>
    <x v="2"/>
    <x v="2"/>
    <x v="0"/>
  </r>
  <r>
    <x v="65"/>
    <x v="65"/>
    <x v="219"/>
    <x v="10"/>
    <x v="11"/>
    <x v="0"/>
  </r>
  <r>
    <x v="805"/>
    <x v="805"/>
    <x v="220"/>
    <x v="35"/>
    <x v="38"/>
    <x v="0"/>
  </r>
  <r>
    <x v="596"/>
    <x v="596"/>
    <x v="221"/>
    <x v="3"/>
    <x v="3"/>
    <x v="0"/>
  </r>
  <r>
    <x v="486"/>
    <x v="486"/>
    <x v="222"/>
    <x v="33"/>
    <x v="36"/>
    <x v="0"/>
  </r>
  <r>
    <x v="357"/>
    <x v="357"/>
    <x v="223"/>
    <x v="19"/>
    <x v="20"/>
    <x v="0"/>
  </r>
  <r>
    <x v="66"/>
    <x v="66"/>
    <x v="224"/>
    <x v="23"/>
    <x v="26"/>
    <x v="0"/>
  </r>
  <r>
    <x v="265"/>
    <x v="265"/>
    <x v="225"/>
    <x v="13"/>
    <x v="14"/>
    <x v="0"/>
  </r>
  <r>
    <x v="263"/>
    <x v="263"/>
    <x v="226"/>
    <x v="39"/>
    <x v="41"/>
    <x v="0"/>
  </r>
  <r>
    <x v="67"/>
    <x v="67"/>
    <x v="227"/>
    <x v="10"/>
    <x v="11"/>
    <x v="0"/>
  </r>
  <r>
    <x v="597"/>
    <x v="597"/>
    <x v="228"/>
    <x v="31"/>
    <x v="34"/>
    <x v="0"/>
  </r>
  <r>
    <x v="598"/>
    <x v="598"/>
    <x v="229"/>
    <x v="17"/>
    <x v="18"/>
    <x v="0"/>
  </r>
  <r>
    <x v="358"/>
    <x v="358"/>
    <x v="230"/>
    <x v="19"/>
    <x v="20"/>
    <x v="0"/>
  </r>
  <r>
    <x v="359"/>
    <x v="359"/>
    <x v="231"/>
    <x v="1"/>
    <x v="1"/>
    <x v="0"/>
  </r>
  <r>
    <x v="599"/>
    <x v="599"/>
    <x v="232"/>
    <x v="37"/>
    <x v="40"/>
    <x v="0"/>
  </r>
  <r>
    <x v="600"/>
    <x v="600"/>
    <x v="233"/>
    <x v="34"/>
    <x v="37"/>
    <x v="0"/>
  </r>
  <r>
    <x v="601"/>
    <x v="601"/>
    <x v="234"/>
    <x v="17"/>
    <x v="18"/>
    <x v="0"/>
  </r>
  <r>
    <x v="361"/>
    <x v="361"/>
    <x v="235"/>
    <x v="1"/>
    <x v="1"/>
    <x v="0"/>
  </r>
  <r>
    <x v="602"/>
    <x v="602"/>
    <x v="236"/>
    <x v="3"/>
    <x v="3"/>
    <x v="0"/>
  </r>
  <r>
    <x v="68"/>
    <x v="68"/>
    <x v="237"/>
    <x v="10"/>
    <x v="11"/>
    <x v="0"/>
  </r>
  <r>
    <x v="807"/>
    <x v="807"/>
    <x v="238"/>
    <x v="7"/>
    <x v="8"/>
    <x v="0"/>
  </r>
  <r>
    <x v="69"/>
    <x v="69"/>
    <x v="239"/>
    <x v="41"/>
    <x v="23"/>
    <x v="0"/>
  </r>
  <r>
    <x v="362"/>
    <x v="362"/>
    <x v="240"/>
    <x v="9"/>
    <x v="10"/>
    <x v="0"/>
  </r>
  <r>
    <x v="672"/>
    <x v="672"/>
    <x v="241"/>
    <x v="34"/>
    <x v="37"/>
    <x v="0"/>
  </r>
  <r>
    <x v="671"/>
    <x v="671"/>
    <x v="242"/>
    <x v="24"/>
    <x v="27"/>
    <x v="0"/>
  </r>
  <r>
    <x v="808"/>
    <x v="808"/>
    <x v="243"/>
    <x v="15"/>
    <x v="16"/>
    <x v="0"/>
  </r>
  <r>
    <x v="809"/>
    <x v="809"/>
    <x v="244"/>
    <x v="35"/>
    <x v="38"/>
    <x v="0"/>
  </r>
  <r>
    <x v="70"/>
    <x v="70"/>
    <x v="245"/>
    <x v="5"/>
    <x v="5"/>
    <x v="0"/>
  </r>
  <r>
    <x v="810"/>
    <x v="810"/>
    <x v="246"/>
    <x v="36"/>
    <x v="39"/>
    <x v="0"/>
  </r>
  <r>
    <x v="71"/>
    <x v="71"/>
    <x v="247"/>
    <x v="10"/>
    <x v="11"/>
    <x v="0"/>
  </r>
  <r>
    <x v="603"/>
    <x v="603"/>
    <x v="248"/>
    <x v="32"/>
    <x v="35"/>
    <x v="0"/>
  </r>
  <r>
    <x v="364"/>
    <x v="364"/>
    <x v="249"/>
    <x v="9"/>
    <x v="10"/>
    <x v="0"/>
  </r>
  <r>
    <x v="72"/>
    <x v="72"/>
    <x v="250"/>
    <x v="10"/>
    <x v="11"/>
    <x v="0"/>
  </r>
  <r>
    <x v="363"/>
    <x v="363"/>
    <x v="251"/>
    <x v="27"/>
    <x v="30"/>
    <x v="0"/>
  </r>
  <r>
    <x v="811"/>
    <x v="811"/>
    <x v="252"/>
    <x v="28"/>
    <x v="31"/>
    <x v="0"/>
  </r>
  <r>
    <x v="812"/>
    <x v="812"/>
    <x v="253"/>
    <x v="35"/>
    <x v="38"/>
    <x v="0"/>
  </r>
  <r>
    <x v="365"/>
    <x v="365"/>
    <x v="254"/>
    <x v="27"/>
    <x v="30"/>
    <x v="0"/>
  </r>
  <r>
    <x v="529"/>
    <x v="529"/>
    <x v="255"/>
    <x v="9"/>
    <x v="10"/>
    <x v="0"/>
  </r>
  <r>
    <x v="73"/>
    <x v="73"/>
    <x v="256"/>
    <x v="16"/>
    <x v="17"/>
    <x v="0"/>
  </r>
  <r>
    <x v="604"/>
    <x v="604"/>
    <x v="257"/>
    <x v="22"/>
    <x v="25"/>
    <x v="0"/>
  </r>
  <r>
    <x v="813"/>
    <x v="813"/>
    <x v="258"/>
    <x v="11"/>
    <x v="12"/>
    <x v="0"/>
  </r>
  <r>
    <x v="366"/>
    <x v="366"/>
    <x v="259"/>
    <x v="1"/>
    <x v="1"/>
    <x v="0"/>
  </r>
  <r>
    <x v="367"/>
    <x v="367"/>
    <x v="260"/>
    <x v="14"/>
    <x v="15"/>
    <x v="0"/>
  </r>
  <r>
    <x v="940"/>
    <x v="940"/>
    <x v="261"/>
    <x v="8"/>
    <x v="9"/>
    <x v="0"/>
  </r>
  <r>
    <x v="74"/>
    <x v="74"/>
    <x v="262"/>
    <x v="20"/>
    <x v="22"/>
    <x v="0"/>
  </r>
  <r>
    <x v="815"/>
    <x v="815"/>
    <x v="263"/>
    <x v="7"/>
    <x v="8"/>
    <x v="0"/>
  </r>
  <r>
    <x v="368"/>
    <x v="368"/>
    <x v="264"/>
    <x v="1"/>
    <x v="1"/>
    <x v="0"/>
  </r>
  <r>
    <x v="75"/>
    <x v="75"/>
    <x v="265"/>
    <x v="10"/>
    <x v="11"/>
    <x v="0"/>
  </r>
  <r>
    <x v="369"/>
    <x v="369"/>
    <x v="266"/>
    <x v="23"/>
    <x v="26"/>
    <x v="0"/>
  </r>
  <r>
    <x v="605"/>
    <x v="605"/>
    <x v="267"/>
    <x v="17"/>
    <x v="18"/>
    <x v="0"/>
  </r>
  <r>
    <x v="816"/>
    <x v="816"/>
    <x v="268"/>
    <x v="15"/>
    <x v="16"/>
    <x v="0"/>
  </r>
  <r>
    <x v="76"/>
    <x v="76"/>
    <x v="269"/>
    <x v="10"/>
    <x v="11"/>
    <x v="0"/>
  </r>
  <r>
    <x v="370"/>
    <x v="370"/>
    <x v="270"/>
    <x v="1"/>
    <x v="1"/>
    <x v="0"/>
  </r>
  <r>
    <x v="371"/>
    <x v="371"/>
    <x v="271"/>
    <x v="27"/>
    <x v="30"/>
    <x v="0"/>
  </r>
  <r>
    <x v="606"/>
    <x v="606"/>
    <x v="272"/>
    <x v="25"/>
    <x v="28"/>
    <x v="0"/>
  </r>
  <r>
    <x v="77"/>
    <x v="77"/>
    <x v="273"/>
    <x v="13"/>
    <x v="14"/>
    <x v="0"/>
  </r>
  <r>
    <x v="251"/>
    <x v="251"/>
    <x v="274"/>
    <x v="23"/>
    <x v="26"/>
    <x v="0"/>
  </r>
  <r>
    <x v="610"/>
    <x v="610"/>
    <x v="275"/>
    <x v="3"/>
    <x v="3"/>
    <x v="0"/>
  </r>
  <r>
    <x v="78"/>
    <x v="78"/>
    <x v="276"/>
    <x v="41"/>
    <x v="23"/>
    <x v="0"/>
  </r>
  <r>
    <x v="607"/>
    <x v="607"/>
    <x v="277"/>
    <x v="31"/>
    <x v="34"/>
    <x v="0"/>
  </r>
  <r>
    <x v="608"/>
    <x v="608"/>
    <x v="278"/>
    <x v="25"/>
    <x v="28"/>
    <x v="0"/>
  </r>
  <r>
    <x v="609"/>
    <x v="609"/>
    <x v="279"/>
    <x v="25"/>
    <x v="28"/>
    <x v="0"/>
  </r>
  <r>
    <x v="817"/>
    <x v="817"/>
    <x v="280"/>
    <x v="28"/>
    <x v="31"/>
    <x v="0"/>
  </r>
  <r>
    <x v="315"/>
    <x v="315"/>
    <x v="281"/>
    <x v="1"/>
    <x v="1"/>
    <x v="0"/>
  </r>
  <r>
    <x v="611"/>
    <x v="611"/>
    <x v="282"/>
    <x v="25"/>
    <x v="28"/>
    <x v="0"/>
  </r>
  <r>
    <x v="818"/>
    <x v="818"/>
    <x v="283"/>
    <x v="36"/>
    <x v="39"/>
    <x v="0"/>
  </r>
  <r>
    <x v="819"/>
    <x v="819"/>
    <x v="284"/>
    <x v="7"/>
    <x v="8"/>
    <x v="0"/>
  </r>
  <r>
    <x v="133"/>
    <x v="133"/>
    <x v="285"/>
    <x v="40"/>
    <x v="42"/>
    <x v="0"/>
  </r>
  <r>
    <x v="79"/>
    <x v="79"/>
    <x v="286"/>
    <x v="13"/>
    <x v="14"/>
    <x v="0"/>
  </r>
  <r>
    <x v="757"/>
    <x v="757"/>
    <x v="287"/>
    <x v="3"/>
    <x v="3"/>
    <x v="0"/>
  </r>
  <r>
    <x v="820"/>
    <x v="820"/>
    <x v="288"/>
    <x v="28"/>
    <x v="31"/>
    <x v="0"/>
  </r>
  <r>
    <x v="372"/>
    <x v="372"/>
    <x v="289"/>
    <x v="1"/>
    <x v="1"/>
    <x v="0"/>
  </r>
  <r>
    <x v="821"/>
    <x v="821"/>
    <x v="290"/>
    <x v="0"/>
    <x v="0"/>
    <x v="0"/>
  </r>
  <r>
    <x v="373"/>
    <x v="373"/>
    <x v="291"/>
    <x v="19"/>
    <x v="20"/>
    <x v="0"/>
  </r>
  <r>
    <x v="822"/>
    <x v="822"/>
    <x v="292"/>
    <x v="29"/>
    <x v="32"/>
    <x v="0"/>
  </r>
  <r>
    <x v="612"/>
    <x v="612"/>
    <x v="293"/>
    <x v="17"/>
    <x v="18"/>
    <x v="0"/>
  </r>
  <r>
    <x v="81"/>
    <x v="81"/>
    <x v="294"/>
    <x v="33"/>
    <x v="36"/>
    <x v="0"/>
  </r>
  <r>
    <x v="80"/>
    <x v="80"/>
    <x v="295"/>
    <x v="40"/>
    <x v="42"/>
    <x v="0"/>
  </r>
  <r>
    <x v="374"/>
    <x v="374"/>
    <x v="296"/>
    <x v="9"/>
    <x v="10"/>
    <x v="0"/>
  </r>
  <r>
    <x v="82"/>
    <x v="82"/>
    <x v="297"/>
    <x v="23"/>
    <x v="26"/>
    <x v="0"/>
  </r>
  <r>
    <x v="613"/>
    <x v="613"/>
    <x v="298"/>
    <x v="26"/>
    <x v="29"/>
    <x v="0"/>
  </r>
  <r>
    <x v="83"/>
    <x v="83"/>
    <x v="299"/>
    <x v="6"/>
    <x v="7"/>
    <x v="0"/>
  </r>
  <r>
    <x v="84"/>
    <x v="84"/>
    <x v="300"/>
    <x v="2"/>
    <x v="2"/>
    <x v="0"/>
  </r>
  <r>
    <x v="375"/>
    <x v="375"/>
    <x v="301"/>
    <x v="14"/>
    <x v="15"/>
    <x v="0"/>
  </r>
  <r>
    <x v="376"/>
    <x v="376"/>
    <x v="302"/>
    <x v="9"/>
    <x v="10"/>
    <x v="0"/>
  </r>
  <r>
    <x v="377"/>
    <x v="377"/>
    <x v="303"/>
    <x v="27"/>
    <x v="30"/>
    <x v="0"/>
  </r>
  <r>
    <x v="614"/>
    <x v="614"/>
    <x v="304"/>
    <x v="22"/>
    <x v="25"/>
    <x v="0"/>
  </r>
  <r>
    <x v="530"/>
    <x v="530"/>
    <x v="305"/>
    <x v="9"/>
    <x v="10"/>
    <x v="0"/>
  </r>
  <r>
    <x v="823"/>
    <x v="823"/>
    <x v="306"/>
    <x v="15"/>
    <x v="16"/>
    <x v="0"/>
  </r>
  <r>
    <x v="378"/>
    <x v="378"/>
    <x v="307"/>
    <x v="19"/>
    <x v="20"/>
    <x v="0"/>
  </r>
  <r>
    <x v="379"/>
    <x v="379"/>
    <x v="308"/>
    <x v="1"/>
    <x v="1"/>
    <x v="0"/>
  </r>
  <r>
    <x v="85"/>
    <x v="85"/>
    <x v="309"/>
    <x v="40"/>
    <x v="42"/>
    <x v="0"/>
  </r>
  <r>
    <x v="824"/>
    <x v="824"/>
    <x v="310"/>
    <x v="21"/>
    <x v="24"/>
    <x v="0"/>
  </r>
  <r>
    <x v="615"/>
    <x v="615"/>
    <x v="311"/>
    <x v="37"/>
    <x v="40"/>
    <x v="0"/>
  </r>
  <r>
    <x v="616"/>
    <x v="616"/>
    <x v="312"/>
    <x v="17"/>
    <x v="18"/>
    <x v="0"/>
  </r>
  <r>
    <x v="89"/>
    <x v="89"/>
    <x v="313"/>
    <x v="6"/>
    <x v="7"/>
    <x v="0"/>
  </r>
  <r>
    <x v="825"/>
    <x v="825"/>
    <x v="314"/>
    <x v="21"/>
    <x v="24"/>
    <x v="0"/>
  </r>
  <r>
    <x v="86"/>
    <x v="86"/>
    <x v="315"/>
    <x v="39"/>
    <x v="41"/>
    <x v="0"/>
  </r>
  <r>
    <x v="826"/>
    <x v="826"/>
    <x v="316"/>
    <x v="36"/>
    <x v="39"/>
    <x v="0"/>
  </r>
  <r>
    <x v="827"/>
    <x v="827"/>
    <x v="317"/>
    <x v="29"/>
    <x v="32"/>
    <x v="0"/>
  </r>
  <r>
    <x v="828"/>
    <x v="828"/>
    <x v="318"/>
    <x v="0"/>
    <x v="0"/>
    <x v="0"/>
  </r>
  <r>
    <x v="87"/>
    <x v="87"/>
    <x v="319"/>
    <x v="40"/>
    <x v="42"/>
    <x v="0"/>
  </r>
  <r>
    <x v="380"/>
    <x v="380"/>
    <x v="320"/>
    <x v="1"/>
    <x v="1"/>
    <x v="0"/>
  </r>
  <r>
    <x v="381"/>
    <x v="381"/>
    <x v="321"/>
    <x v="9"/>
    <x v="10"/>
    <x v="0"/>
  </r>
  <r>
    <x v="382"/>
    <x v="382"/>
    <x v="322"/>
    <x v="1"/>
    <x v="1"/>
    <x v="0"/>
  </r>
  <r>
    <x v="88"/>
    <x v="88"/>
    <x v="323"/>
    <x v="10"/>
    <x v="11"/>
    <x v="0"/>
  </r>
  <r>
    <x v="617"/>
    <x v="617"/>
    <x v="324"/>
    <x v="24"/>
    <x v="27"/>
    <x v="0"/>
  </r>
  <r>
    <x v="90"/>
    <x v="90"/>
    <x v="325"/>
    <x v="2"/>
    <x v="2"/>
    <x v="0"/>
  </r>
  <r>
    <x v="383"/>
    <x v="383"/>
    <x v="326"/>
    <x v="14"/>
    <x v="15"/>
    <x v="0"/>
  </r>
  <r>
    <x v="761"/>
    <x v="761"/>
    <x v="327"/>
    <x v="32"/>
    <x v="35"/>
    <x v="0"/>
  </r>
  <r>
    <x v="829"/>
    <x v="829"/>
    <x v="328"/>
    <x v="29"/>
    <x v="32"/>
    <x v="0"/>
  </r>
  <r>
    <x v="384"/>
    <x v="384"/>
    <x v="329"/>
    <x v="19"/>
    <x v="20"/>
    <x v="0"/>
  </r>
  <r>
    <x v="91"/>
    <x v="91"/>
    <x v="330"/>
    <x v="13"/>
    <x v="14"/>
    <x v="0"/>
  </r>
  <r>
    <x v="92"/>
    <x v="92"/>
    <x v="331"/>
    <x v="13"/>
    <x v="14"/>
    <x v="0"/>
  </r>
  <r>
    <x v="830"/>
    <x v="830"/>
    <x v="332"/>
    <x v="21"/>
    <x v="24"/>
    <x v="0"/>
  </r>
  <r>
    <x v="618"/>
    <x v="618"/>
    <x v="333"/>
    <x v="26"/>
    <x v="29"/>
    <x v="0"/>
  </r>
  <r>
    <x v="385"/>
    <x v="385"/>
    <x v="334"/>
    <x v="30"/>
    <x v="33"/>
    <x v="0"/>
  </r>
  <r>
    <x v="619"/>
    <x v="619"/>
    <x v="335"/>
    <x v="13"/>
    <x v="14"/>
    <x v="0"/>
  </r>
  <r>
    <x v="93"/>
    <x v="93"/>
    <x v="336"/>
    <x v="2"/>
    <x v="2"/>
    <x v="0"/>
  </r>
  <r>
    <x v="620"/>
    <x v="620"/>
    <x v="337"/>
    <x v="17"/>
    <x v="18"/>
    <x v="0"/>
  </r>
  <r>
    <x v="94"/>
    <x v="94"/>
    <x v="338"/>
    <x v="41"/>
    <x v="23"/>
    <x v="0"/>
  </r>
  <r>
    <x v="621"/>
    <x v="621"/>
    <x v="339"/>
    <x v="32"/>
    <x v="35"/>
    <x v="0"/>
  </r>
  <r>
    <x v="95"/>
    <x v="95"/>
    <x v="340"/>
    <x v="40"/>
    <x v="42"/>
    <x v="0"/>
  </r>
  <r>
    <x v="622"/>
    <x v="622"/>
    <x v="341"/>
    <x v="31"/>
    <x v="34"/>
    <x v="0"/>
  </r>
  <r>
    <x v="624"/>
    <x v="624"/>
    <x v="342"/>
    <x v="17"/>
    <x v="18"/>
    <x v="0"/>
  </r>
  <r>
    <x v="623"/>
    <x v="623"/>
    <x v="343"/>
    <x v="31"/>
    <x v="34"/>
    <x v="0"/>
  </r>
  <r>
    <x v="831"/>
    <x v="831"/>
    <x v="344"/>
    <x v="28"/>
    <x v="31"/>
    <x v="0"/>
  </r>
  <r>
    <x v="96"/>
    <x v="96"/>
    <x v="345"/>
    <x v="40"/>
    <x v="42"/>
    <x v="0"/>
  </r>
  <r>
    <x v="386"/>
    <x v="386"/>
    <x v="346"/>
    <x v="9"/>
    <x v="10"/>
    <x v="0"/>
  </r>
  <r>
    <x v="98"/>
    <x v="98"/>
    <x v="347"/>
    <x v="13"/>
    <x v="14"/>
    <x v="0"/>
  </r>
  <r>
    <x v="832"/>
    <x v="832"/>
    <x v="348"/>
    <x v="28"/>
    <x v="31"/>
    <x v="0"/>
  </r>
  <r>
    <x v="387"/>
    <x v="387"/>
    <x v="349"/>
    <x v="14"/>
    <x v="15"/>
    <x v="0"/>
  </r>
  <r>
    <x v="625"/>
    <x v="625"/>
    <x v="350"/>
    <x v="37"/>
    <x v="40"/>
    <x v="0"/>
  </r>
  <r>
    <x v="752"/>
    <x v="752"/>
    <x v="351"/>
    <x v="25"/>
    <x v="28"/>
    <x v="0"/>
  </r>
  <r>
    <x v="626"/>
    <x v="626"/>
    <x v="352"/>
    <x v="31"/>
    <x v="34"/>
    <x v="0"/>
  </r>
  <r>
    <x v="627"/>
    <x v="627"/>
    <x v="353"/>
    <x v="34"/>
    <x v="37"/>
    <x v="0"/>
  </r>
  <r>
    <x v="99"/>
    <x v="99"/>
    <x v="354"/>
    <x v="23"/>
    <x v="26"/>
    <x v="0"/>
  </r>
  <r>
    <x v="833"/>
    <x v="833"/>
    <x v="355"/>
    <x v="36"/>
    <x v="39"/>
    <x v="0"/>
  </r>
  <r>
    <x v="100"/>
    <x v="100"/>
    <x v="356"/>
    <x v="12"/>
    <x v="13"/>
    <x v="0"/>
  </r>
  <r>
    <x v="161"/>
    <x v="161"/>
    <x v="357"/>
    <x v="5"/>
    <x v="5"/>
    <x v="0"/>
  </r>
  <r>
    <x v="388"/>
    <x v="388"/>
    <x v="358"/>
    <x v="33"/>
    <x v="36"/>
    <x v="0"/>
  </r>
  <r>
    <x v="101"/>
    <x v="101"/>
    <x v="359"/>
    <x v="5"/>
    <x v="5"/>
    <x v="0"/>
  </r>
  <r>
    <x v="631"/>
    <x v="631"/>
    <x v="360"/>
    <x v="24"/>
    <x v="27"/>
    <x v="0"/>
  </r>
  <r>
    <x v="389"/>
    <x v="389"/>
    <x v="361"/>
    <x v="14"/>
    <x v="15"/>
    <x v="0"/>
  </r>
  <r>
    <x v="629"/>
    <x v="629"/>
    <x v="362"/>
    <x v="26"/>
    <x v="29"/>
    <x v="0"/>
  </r>
  <r>
    <x v="628"/>
    <x v="628"/>
    <x v="363"/>
    <x v="22"/>
    <x v="25"/>
    <x v="0"/>
  </r>
  <r>
    <x v="630"/>
    <x v="630"/>
    <x v="364"/>
    <x v="31"/>
    <x v="34"/>
    <x v="0"/>
  </r>
  <r>
    <x v="390"/>
    <x v="390"/>
    <x v="365"/>
    <x v="9"/>
    <x v="10"/>
    <x v="0"/>
  </r>
  <r>
    <x v="391"/>
    <x v="391"/>
    <x v="366"/>
    <x v="1"/>
    <x v="1"/>
    <x v="0"/>
  </r>
  <r>
    <x v="102"/>
    <x v="102"/>
    <x v="367"/>
    <x v="5"/>
    <x v="5"/>
    <x v="0"/>
  </r>
  <r>
    <x v="759"/>
    <x v="759"/>
    <x v="368"/>
    <x v="3"/>
    <x v="3"/>
    <x v="0"/>
  </r>
  <r>
    <x v="392"/>
    <x v="392"/>
    <x v="369"/>
    <x v="19"/>
    <x v="20"/>
    <x v="0"/>
  </r>
  <r>
    <x v="632"/>
    <x v="632"/>
    <x v="370"/>
    <x v="17"/>
    <x v="18"/>
    <x v="0"/>
  </r>
  <r>
    <x v="633"/>
    <x v="633"/>
    <x v="371"/>
    <x v="17"/>
    <x v="18"/>
    <x v="0"/>
  </r>
  <r>
    <x v="635"/>
    <x v="635"/>
    <x v="372"/>
    <x v="38"/>
    <x v="6"/>
    <x v="0"/>
  </r>
  <r>
    <x v="636"/>
    <x v="636"/>
    <x v="373"/>
    <x v="26"/>
    <x v="29"/>
    <x v="0"/>
  </r>
  <r>
    <x v="103"/>
    <x v="103"/>
    <x v="374"/>
    <x v="5"/>
    <x v="5"/>
    <x v="0"/>
  </r>
  <r>
    <x v="393"/>
    <x v="393"/>
    <x v="375"/>
    <x v="1"/>
    <x v="1"/>
    <x v="0"/>
  </r>
  <r>
    <x v="637"/>
    <x v="637"/>
    <x v="376"/>
    <x v="25"/>
    <x v="28"/>
    <x v="0"/>
  </r>
  <r>
    <x v="638"/>
    <x v="638"/>
    <x v="377"/>
    <x v="34"/>
    <x v="37"/>
    <x v="0"/>
  </r>
  <r>
    <x v="104"/>
    <x v="104"/>
    <x v="378"/>
    <x v="40"/>
    <x v="42"/>
    <x v="0"/>
  </r>
  <r>
    <x v="394"/>
    <x v="394"/>
    <x v="379"/>
    <x v="19"/>
    <x v="20"/>
    <x v="0"/>
  </r>
  <r>
    <x v="395"/>
    <x v="395"/>
    <x v="380"/>
    <x v="19"/>
    <x v="20"/>
    <x v="0"/>
  </r>
  <r>
    <x v="396"/>
    <x v="396"/>
    <x v="381"/>
    <x v="30"/>
    <x v="33"/>
    <x v="0"/>
  </r>
  <r>
    <x v="397"/>
    <x v="397"/>
    <x v="382"/>
    <x v="1"/>
    <x v="1"/>
    <x v="0"/>
  </r>
  <r>
    <x v="639"/>
    <x v="639"/>
    <x v="383"/>
    <x v="32"/>
    <x v="35"/>
    <x v="0"/>
  </r>
  <r>
    <x v="640"/>
    <x v="640"/>
    <x v="384"/>
    <x v="25"/>
    <x v="28"/>
    <x v="0"/>
  </r>
  <r>
    <x v="634"/>
    <x v="634"/>
    <x v="385"/>
    <x v="32"/>
    <x v="35"/>
    <x v="0"/>
  </r>
  <r>
    <x v="398"/>
    <x v="398"/>
    <x v="386"/>
    <x v="1"/>
    <x v="1"/>
    <x v="0"/>
  </r>
  <r>
    <x v="641"/>
    <x v="641"/>
    <x v="387"/>
    <x v="14"/>
    <x v="15"/>
    <x v="0"/>
  </r>
  <r>
    <x v="106"/>
    <x v="106"/>
    <x v="388"/>
    <x v="40"/>
    <x v="42"/>
    <x v="0"/>
  </r>
  <r>
    <x v="107"/>
    <x v="107"/>
    <x v="389"/>
    <x v="40"/>
    <x v="42"/>
    <x v="0"/>
  </r>
  <r>
    <x v="642"/>
    <x v="642"/>
    <x v="390"/>
    <x v="24"/>
    <x v="27"/>
    <x v="0"/>
  </r>
  <r>
    <x v="105"/>
    <x v="105"/>
    <x v="391"/>
    <x v="40"/>
    <x v="42"/>
    <x v="0"/>
  </r>
  <r>
    <x v="399"/>
    <x v="399"/>
    <x v="392"/>
    <x v="14"/>
    <x v="15"/>
    <x v="0"/>
  </r>
  <r>
    <x v="834"/>
    <x v="834"/>
    <x v="393"/>
    <x v="28"/>
    <x v="31"/>
    <x v="0"/>
  </r>
  <r>
    <x v="643"/>
    <x v="643"/>
    <x v="394"/>
    <x v="34"/>
    <x v="37"/>
    <x v="0"/>
  </r>
  <r>
    <x v="835"/>
    <x v="835"/>
    <x v="395"/>
    <x v="15"/>
    <x v="16"/>
    <x v="0"/>
  </r>
  <r>
    <x v="836"/>
    <x v="836"/>
    <x v="396"/>
    <x v="11"/>
    <x v="12"/>
    <x v="0"/>
  </r>
  <r>
    <x v="400"/>
    <x v="400"/>
    <x v="397"/>
    <x v="33"/>
    <x v="36"/>
    <x v="0"/>
  </r>
  <r>
    <x v="401"/>
    <x v="401"/>
    <x v="398"/>
    <x v="30"/>
    <x v="33"/>
    <x v="0"/>
  </r>
  <r>
    <x v="108"/>
    <x v="108"/>
    <x v="399"/>
    <x v="42"/>
    <x v="21"/>
    <x v="0"/>
  </r>
  <r>
    <x v="407"/>
    <x v="407"/>
    <x v="400"/>
    <x v="1"/>
    <x v="1"/>
    <x v="0"/>
  </r>
  <r>
    <x v="408"/>
    <x v="408"/>
    <x v="401"/>
    <x v="33"/>
    <x v="36"/>
    <x v="0"/>
  </r>
  <r>
    <x v="402"/>
    <x v="402"/>
    <x v="402"/>
    <x v="19"/>
    <x v="20"/>
    <x v="0"/>
  </r>
  <r>
    <x v="403"/>
    <x v="403"/>
    <x v="403"/>
    <x v="18"/>
    <x v="19"/>
    <x v="0"/>
  </r>
  <r>
    <x v="647"/>
    <x v="647"/>
    <x v="404"/>
    <x v="32"/>
    <x v="35"/>
    <x v="0"/>
  </r>
  <r>
    <x v="644"/>
    <x v="644"/>
    <x v="405"/>
    <x v="37"/>
    <x v="40"/>
    <x v="0"/>
  </r>
  <r>
    <x v="109"/>
    <x v="109"/>
    <x v="406"/>
    <x v="20"/>
    <x v="22"/>
    <x v="0"/>
  </r>
  <r>
    <x v="110"/>
    <x v="110"/>
    <x v="407"/>
    <x v="23"/>
    <x v="26"/>
    <x v="0"/>
  </r>
  <r>
    <x v="111"/>
    <x v="111"/>
    <x v="408"/>
    <x v="23"/>
    <x v="26"/>
    <x v="0"/>
  </r>
  <r>
    <x v="112"/>
    <x v="112"/>
    <x v="409"/>
    <x v="6"/>
    <x v="7"/>
    <x v="0"/>
  </r>
  <r>
    <x v="838"/>
    <x v="838"/>
    <x v="410"/>
    <x v="28"/>
    <x v="31"/>
    <x v="0"/>
  </r>
  <r>
    <x v="837"/>
    <x v="837"/>
    <x v="411"/>
    <x v="28"/>
    <x v="31"/>
    <x v="0"/>
  </r>
  <r>
    <x v="239"/>
    <x v="239"/>
    <x v="412"/>
    <x v="6"/>
    <x v="7"/>
    <x v="0"/>
  </r>
  <r>
    <x v="113"/>
    <x v="113"/>
    <x v="413"/>
    <x v="10"/>
    <x v="11"/>
    <x v="0"/>
  </r>
  <r>
    <x v="114"/>
    <x v="114"/>
    <x v="414"/>
    <x v="40"/>
    <x v="42"/>
    <x v="0"/>
  </r>
  <r>
    <x v="839"/>
    <x v="839"/>
    <x v="415"/>
    <x v="21"/>
    <x v="24"/>
    <x v="0"/>
  </r>
  <r>
    <x v="405"/>
    <x v="405"/>
    <x v="416"/>
    <x v="1"/>
    <x v="1"/>
    <x v="0"/>
  </r>
  <r>
    <x v="840"/>
    <x v="840"/>
    <x v="417"/>
    <x v="21"/>
    <x v="24"/>
    <x v="0"/>
  </r>
  <r>
    <x v="115"/>
    <x v="115"/>
    <x v="418"/>
    <x v="23"/>
    <x v="26"/>
    <x v="0"/>
  </r>
  <r>
    <x v="116"/>
    <x v="116"/>
    <x v="419"/>
    <x v="23"/>
    <x v="26"/>
    <x v="0"/>
  </r>
  <r>
    <x v="841"/>
    <x v="841"/>
    <x v="420"/>
    <x v="11"/>
    <x v="12"/>
    <x v="0"/>
  </r>
  <r>
    <x v="117"/>
    <x v="117"/>
    <x v="421"/>
    <x v="20"/>
    <x v="22"/>
    <x v="0"/>
  </r>
  <r>
    <x v="842"/>
    <x v="842"/>
    <x v="422"/>
    <x v="0"/>
    <x v="0"/>
    <x v="0"/>
  </r>
  <r>
    <x v="843"/>
    <x v="843"/>
    <x v="423"/>
    <x v="7"/>
    <x v="8"/>
    <x v="0"/>
  </r>
  <r>
    <x v="118"/>
    <x v="118"/>
    <x v="424"/>
    <x v="5"/>
    <x v="5"/>
    <x v="0"/>
  </r>
  <r>
    <x v="844"/>
    <x v="844"/>
    <x v="425"/>
    <x v="28"/>
    <x v="31"/>
    <x v="0"/>
  </r>
  <r>
    <x v="645"/>
    <x v="645"/>
    <x v="426"/>
    <x v="32"/>
    <x v="35"/>
    <x v="0"/>
  </r>
  <r>
    <x v="406"/>
    <x v="406"/>
    <x v="427"/>
    <x v="33"/>
    <x v="36"/>
    <x v="0"/>
  </r>
  <r>
    <x v="646"/>
    <x v="646"/>
    <x v="428"/>
    <x v="31"/>
    <x v="34"/>
    <x v="0"/>
  </r>
  <r>
    <x v="119"/>
    <x v="119"/>
    <x v="429"/>
    <x v="39"/>
    <x v="41"/>
    <x v="0"/>
  </r>
  <r>
    <x v="120"/>
    <x v="120"/>
    <x v="430"/>
    <x v="20"/>
    <x v="22"/>
    <x v="0"/>
  </r>
  <r>
    <x v="121"/>
    <x v="121"/>
    <x v="431"/>
    <x v="2"/>
    <x v="2"/>
    <x v="0"/>
  </r>
  <r>
    <x v="648"/>
    <x v="648"/>
    <x v="432"/>
    <x v="22"/>
    <x v="25"/>
    <x v="0"/>
  </r>
  <r>
    <x v="404"/>
    <x v="404"/>
    <x v="433"/>
    <x v="14"/>
    <x v="15"/>
    <x v="0"/>
  </r>
  <r>
    <x v="409"/>
    <x v="409"/>
    <x v="434"/>
    <x v="18"/>
    <x v="19"/>
    <x v="0"/>
  </r>
  <r>
    <x v="845"/>
    <x v="845"/>
    <x v="435"/>
    <x v="0"/>
    <x v="0"/>
    <x v="0"/>
  </r>
  <r>
    <x v="649"/>
    <x v="649"/>
    <x v="436"/>
    <x v="26"/>
    <x v="29"/>
    <x v="0"/>
  </r>
  <r>
    <x v="846"/>
    <x v="846"/>
    <x v="437"/>
    <x v="29"/>
    <x v="32"/>
    <x v="0"/>
  </r>
  <r>
    <x v="137"/>
    <x v="137"/>
    <x v="438"/>
    <x v="41"/>
    <x v="23"/>
    <x v="0"/>
  </r>
  <r>
    <x v="847"/>
    <x v="847"/>
    <x v="439"/>
    <x v="28"/>
    <x v="31"/>
    <x v="0"/>
  </r>
  <r>
    <x v="122"/>
    <x v="122"/>
    <x v="440"/>
    <x v="10"/>
    <x v="11"/>
    <x v="0"/>
  </r>
  <r>
    <x v="651"/>
    <x v="651"/>
    <x v="441"/>
    <x v="26"/>
    <x v="29"/>
    <x v="0"/>
  </r>
  <r>
    <x v="410"/>
    <x v="410"/>
    <x v="442"/>
    <x v="1"/>
    <x v="1"/>
    <x v="0"/>
  </r>
  <r>
    <x v="123"/>
    <x v="123"/>
    <x v="443"/>
    <x v="40"/>
    <x v="42"/>
    <x v="0"/>
  </r>
  <r>
    <x v="411"/>
    <x v="411"/>
    <x v="444"/>
    <x v="30"/>
    <x v="33"/>
    <x v="0"/>
  </r>
  <r>
    <x v="650"/>
    <x v="650"/>
    <x v="445"/>
    <x v="34"/>
    <x v="37"/>
    <x v="0"/>
  </r>
  <r>
    <x v="127"/>
    <x v="127"/>
    <x v="446"/>
    <x v="41"/>
    <x v="23"/>
    <x v="0"/>
  </r>
  <r>
    <x v="126"/>
    <x v="126"/>
    <x v="447"/>
    <x v="6"/>
    <x v="7"/>
    <x v="0"/>
  </r>
  <r>
    <x v="852"/>
    <x v="852"/>
    <x v="448"/>
    <x v="0"/>
    <x v="0"/>
    <x v="0"/>
  </r>
  <r>
    <x v="413"/>
    <x v="413"/>
    <x v="449"/>
    <x v="9"/>
    <x v="10"/>
    <x v="0"/>
  </r>
  <r>
    <x v="853"/>
    <x v="853"/>
    <x v="450"/>
    <x v="7"/>
    <x v="8"/>
    <x v="0"/>
  </r>
  <r>
    <x v="412"/>
    <x v="412"/>
    <x v="451"/>
    <x v="18"/>
    <x v="19"/>
    <x v="0"/>
  </r>
  <r>
    <x v="848"/>
    <x v="848"/>
    <x v="452"/>
    <x v="15"/>
    <x v="16"/>
    <x v="0"/>
  </r>
  <r>
    <x v="849"/>
    <x v="849"/>
    <x v="453"/>
    <x v="7"/>
    <x v="8"/>
    <x v="0"/>
  </r>
  <r>
    <x v="124"/>
    <x v="124"/>
    <x v="454"/>
    <x v="39"/>
    <x v="41"/>
    <x v="0"/>
  </r>
  <r>
    <x v="129"/>
    <x v="129"/>
    <x v="455"/>
    <x v="13"/>
    <x v="14"/>
    <x v="0"/>
  </r>
  <r>
    <x v="653"/>
    <x v="653"/>
    <x v="456"/>
    <x v="14"/>
    <x v="15"/>
    <x v="0"/>
  </r>
  <r>
    <x v="130"/>
    <x v="130"/>
    <x v="457"/>
    <x v="23"/>
    <x v="26"/>
    <x v="0"/>
  </r>
  <r>
    <x v="654"/>
    <x v="654"/>
    <x v="458"/>
    <x v="3"/>
    <x v="3"/>
    <x v="0"/>
  </r>
  <r>
    <x v="850"/>
    <x v="850"/>
    <x v="459"/>
    <x v="0"/>
    <x v="0"/>
    <x v="0"/>
  </r>
  <r>
    <x v="652"/>
    <x v="652"/>
    <x v="460"/>
    <x v="22"/>
    <x v="25"/>
    <x v="0"/>
  </r>
  <r>
    <x v="125"/>
    <x v="125"/>
    <x v="461"/>
    <x v="20"/>
    <x v="22"/>
    <x v="0"/>
  </r>
  <r>
    <x v="131"/>
    <x v="131"/>
    <x v="462"/>
    <x v="13"/>
    <x v="14"/>
    <x v="0"/>
  </r>
  <r>
    <x v="132"/>
    <x v="132"/>
    <x v="463"/>
    <x v="5"/>
    <x v="5"/>
    <x v="0"/>
  </r>
  <r>
    <x v="851"/>
    <x v="851"/>
    <x v="464"/>
    <x v="11"/>
    <x v="12"/>
    <x v="0"/>
  </r>
  <r>
    <x v="134"/>
    <x v="134"/>
    <x v="465"/>
    <x v="40"/>
    <x v="42"/>
    <x v="0"/>
  </r>
  <r>
    <x v="656"/>
    <x v="656"/>
    <x v="466"/>
    <x v="32"/>
    <x v="35"/>
    <x v="0"/>
  </r>
  <r>
    <x v="655"/>
    <x v="655"/>
    <x v="467"/>
    <x v="31"/>
    <x v="34"/>
    <x v="0"/>
  </r>
  <r>
    <x v="657"/>
    <x v="657"/>
    <x v="468"/>
    <x v="31"/>
    <x v="34"/>
    <x v="0"/>
  </r>
  <r>
    <x v="135"/>
    <x v="135"/>
    <x v="469"/>
    <x v="40"/>
    <x v="42"/>
    <x v="0"/>
  </r>
  <r>
    <x v="136"/>
    <x v="136"/>
    <x v="470"/>
    <x v="40"/>
    <x v="42"/>
    <x v="0"/>
  </r>
  <r>
    <x v="854"/>
    <x v="854"/>
    <x v="471"/>
    <x v="29"/>
    <x v="32"/>
    <x v="0"/>
  </r>
  <r>
    <x v="855"/>
    <x v="855"/>
    <x v="472"/>
    <x v="29"/>
    <x v="32"/>
    <x v="0"/>
  </r>
  <r>
    <x v="856"/>
    <x v="856"/>
    <x v="473"/>
    <x v="35"/>
    <x v="38"/>
    <x v="0"/>
  </r>
  <r>
    <x v="857"/>
    <x v="857"/>
    <x v="474"/>
    <x v="28"/>
    <x v="31"/>
    <x v="0"/>
  </r>
  <r>
    <x v="128"/>
    <x v="128"/>
    <x v="475"/>
    <x v="23"/>
    <x v="26"/>
    <x v="0"/>
  </r>
  <r>
    <x v="138"/>
    <x v="138"/>
    <x v="476"/>
    <x v="6"/>
    <x v="7"/>
    <x v="0"/>
  </r>
  <r>
    <x v="658"/>
    <x v="658"/>
    <x v="477"/>
    <x v="37"/>
    <x v="40"/>
    <x v="0"/>
  </r>
  <r>
    <x v="555"/>
    <x v="555"/>
    <x v="478"/>
    <x v="38"/>
    <x v="6"/>
    <x v="0"/>
  </r>
  <r>
    <x v="139"/>
    <x v="139"/>
    <x v="479"/>
    <x v="6"/>
    <x v="7"/>
    <x v="0"/>
  </r>
  <r>
    <x v="140"/>
    <x v="140"/>
    <x v="480"/>
    <x v="6"/>
    <x v="7"/>
    <x v="0"/>
  </r>
  <r>
    <x v="414"/>
    <x v="414"/>
    <x v="481"/>
    <x v="1"/>
    <x v="1"/>
    <x v="0"/>
  </r>
  <r>
    <x v="659"/>
    <x v="659"/>
    <x v="482"/>
    <x v="34"/>
    <x v="37"/>
    <x v="0"/>
  </r>
  <r>
    <x v="141"/>
    <x v="141"/>
    <x v="483"/>
    <x v="13"/>
    <x v="14"/>
    <x v="0"/>
  </r>
  <r>
    <x v="858"/>
    <x v="858"/>
    <x v="484"/>
    <x v="35"/>
    <x v="38"/>
    <x v="0"/>
  </r>
  <r>
    <x v="859"/>
    <x v="859"/>
    <x v="485"/>
    <x v="0"/>
    <x v="0"/>
    <x v="0"/>
  </r>
  <r>
    <x v="660"/>
    <x v="660"/>
    <x v="486"/>
    <x v="34"/>
    <x v="37"/>
    <x v="0"/>
  </r>
  <r>
    <x v="142"/>
    <x v="142"/>
    <x v="487"/>
    <x v="5"/>
    <x v="5"/>
    <x v="0"/>
  </r>
  <r>
    <x v="415"/>
    <x v="415"/>
    <x v="488"/>
    <x v="30"/>
    <x v="33"/>
    <x v="0"/>
  </r>
  <r>
    <x v="144"/>
    <x v="144"/>
    <x v="489"/>
    <x v="2"/>
    <x v="2"/>
    <x v="0"/>
  </r>
  <r>
    <x v="145"/>
    <x v="145"/>
    <x v="490"/>
    <x v="2"/>
    <x v="2"/>
    <x v="0"/>
  </r>
  <r>
    <x v="146"/>
    <x v="146"/>
    <x v="491"/>
    <x v="10"/>
    <x v="11"/>
    <x v="0"/>
  </r>
  <r>
    <x v="661"/>
    <x v="661"/>
    <x v="492"/>
    <x v="3"/>
    <x v="3"/>
    <x v="0"/>
  </r>
  <r>
    <x v="662"/>
    <x v="662"/>
    <x v="493"/>
    <x v="22"/>
    <x v="25"/>
    <x v="0"/>
  </r>
  <r>
    <x v="663"/>
    <x v="663"/>
    <x v="494"/>
    <x v="34"/>
    <x v="37"/>
    <x v="0"/>
  </r>
  <r>
    <x v="147"/>
    <x v="147"/>
    <x v="495"/>
    <x v="16"/>
    <x v="17"/>
    <x v="0"/>
  </r>
  <r>
    <x v="148"/>
    <x v="148"/>
    <x v="496"/>
    <x v="42"/>
    <x v="21"/>
    <x v="0"/>
  </r>
  <r>
    <x v="416"/>
    <x v="416"/>
    <x v="497"/>
    <x v="18"/>
    <x v="19"/>
    <x v="0"/>
  </r>
  <r>
    <x v="664"/>
    <x v="664"/>
    <x v="498"/>
    <x v="31"/>
    <x v="34"/>
    <x v="0"/>
  </r>
  <r>
    <x v="143"/>
    <x v="143"/>
    <x v="499"/>
    <x v="13"/>
    <x v="14"/>
    <x v="0"/>
  </r>
  <r>
    <x v="665"/>
    <x v="665"/>
    <x v="500"/>
    <x v="17"/>
    <x v="18"/>
    <x v="0"/>
  </r>
  <r>
    <x v="666"/>
    <x v="666"/>
    <x v="501"/>
    <x v="37"/>
    <x v="40"/>
    <x v="0"/>
  </r>
  <r>
    <x v="417"/>
    <x v="417"/>
    <x v="502"/>
    <x v="1"/>
    <x v="1"/>
    <x v="0"/>
  </r>
  <r>
    <x v="667"/>
    <x v="667"/>
    <x v="503"/>
    <x v="3"/>
    <x v="3"/>
    <x v="0"/>
  </r>
  <r>
    <x v="149"/>
    <x v="149"/>
    <x v="504"/>
    <x v="23"/>
    <x v="26"/>
    <x v="0"/>
  </r>
  <r>
    <x v="150"/>
    <x v="150"/>
    <x v="505"/>
    <x v="42"/>
    <x v="21"/>
    <x v="0"/>
  </r>
  <r>
    <x v="151"/>
    <x v="151"/>
    <x v="506"/>
    <x v="5"/>
    <x v="5"/>
    <x v="0"/>
  </r>
  <r>
    <x v="152"/>
    <x v="152"/>
    <x v="507"/>
    <x v="20"/>
    <x v="22"/>
    <x v="0"/>
  </r>
  <r>
    <x v="668"/>
    <x v="668"/>
    <x v="508"/>
    <x v="22"/>
    <x v="25"/>
    <x v="0"/>
  </r>
  <r>
    <x v="418"/>
    <x v="418"/>
    <x v="509"/>
    <x v="33"/>
    <x v="36"/>
    <x v="0"/>
  </r>
  <r>
    <x v="669"/>
    <x v="669"/>
    <x v="510"/>
    <x v="37"/>
    <x v="40"/>
    <x v="0"/>
  </r>
  <r>
    <x v="153"/>
    <x v="153"/>
    <x v="511"/>
    <x v="2"/>
    <x v="2"/>
    <x v="0"/>
  </r>
  <r>
    <x v="154"/>
    <x v="154"/>
    <x v="512"/>
    <x v="20"/>
    <x v="22"/>
    <x v="0"/>
  </r>
  <r>
    <x v="419"/>
    <x v="419"/>
    <x v="513"/>
    <x v="9"/>
    <x v="10"/>
    <x v="0"/>
  </r>
  <r>
    <x v="420"/>
    <x v="420"/>
    <x v="514"/>
    <x v="9"/>
    <x v="10"/>
    <x v="0"/>
  </r>
  <r>
    <x v="670"/>
    <x v="670"/>
    <x v="515"/>
    <x v="26"/>
    <x v="29"/>
    <x v="0"/>
  </r>
  <r>
    <x v="421"/>
    <x v="421"/>
    <x v="516"/>
    <x v="1"/>
    <x v="1"/>
    <x v="0"/>
  </r>
  <r>
    <x v="423"/>
    <x v="423"/>
    <x v="517"/>
    <x v="9"/>
    <x v="10"/>
    <x v="0"/>
  </r>
  <r>
    <x v="422"/>
    <x v="422"/>
    <x v="518"/>
    <x v="1"/>
    <x v="1"/>
    <x v="0"/>
  </r>
  <r>
    <x v="155"/>
    <x v="155"/>
    <x v="519"/>
    <x v="39"/>
    <x v="41"/>
    <x v="0"/>
  </r>
  <r>
    <x v="861"/>
    <x v="861"/>
    <x v="520"/>
    <x v="35"/>
    <x v="38"/>
    <x v="0"/>
  </r>
  <r>
    <x v="156"/>
    <x v="156"/>
    <x v="521"/>
    <x v="10"/>
    <x v="11"/>
    <x v="0"/>
  </r>
  <r>
    <x v="860"/>
    <x v="860"/>
    <x v="522"/>
    <x v="29"/>
    <x v="32"/>
    <x v="0"/>
  </r>
  <r>
    <x v="310"/>
    <x v="310"/>
    <x v="523"/>
    <x v="10"/>
    <x v="11"/>
    <x v="0"/>
  </r>
  <r>
    <x v="424"/>
    <x v="424"/>
    <x v="524"/>
    <x v="27"/>
    <x v="30"/>
    <x v="0"/>
  </r>
  <r>
    <x v="425"/>
    <x v="425"/>
    <x v="525"/>
    <x v="9"/>
    <x v="10"/>
    <x v="0"/>
  </r>
  <r>
    <x v="157"/>
    <x v="157"/>
    <x v="526"/>
    <x v="10"/>
    <x v="11"/>
    <x v="0"/>
  </r>
  <r>
    <x v="426"/>
    <x v="426"/>
    <x v="527"/>
    <x v="30"/>
    <x v="33"/>
    <x v="0"/>
  </r>
  <r>
    <x v="158"/>
    <x v="158"/>
    <x v="528"/>
    <x v="40"/>
    <x v="42"/>
    <x v="0"/>
  </r>
  <r>
    <x v="427"/>
    <x v="427"/>
    <x v="529"/>
    <x v="9"/>
    <x v="10"/>
    <x v="0"/>
  </r>
  <r>
    <x v="862"/>
    <x v="862"/>
    <x v="530"/>
    <x v="15"/>
    <x v="16"/>
    <x v="0"/>
  </r>
  <r>
    <x v="428"/>
    <x v="428"/>
    <x v="531"/>
    <x v="1"/>
    <x v="1"/>
    <x v="0"/>
  </r>
  <r>
    <x v="863"/>
    <x v="863"/>
    <x v="532"/>
    <x v="8"/>
    <x v="9"/>
    <x v="0"/>
  </r>
  <r>
    <x v="429"/>
    <x v="429"/>
    <x v="533"/>
    <x v="1"/>
    <x v="1"/>
    <x v="0"/>
  </r>
  <r>
    <x v="673"/>
    <x v="673"/>
    <x v="534"/>
    <x v="22"/>
    <x v="25"/>
    <x v="0"/>
  </r>
  <r>
    <x v="430"/>
    <x v="430"/>
    <x v="535"/>
    <x v="9"/>
    <x v="10"/>
    <x v="0"/>
  </r>
  <r>
    <x v="159"/>
    <x v="159"/>
    <x v="536"/>
    <x v="42"/>
    <x v="21"/>
    <x v="0"/>
  </r>
  <r>
    <x v="864"/>
    <x v="864"/>
    <x v="537"/>
    <x v="35"/>
    <x v="38"/>
    <x v="0"/>
  </r>
  <r>
    <x v="431"/>
    <x v="431"/>
    <x v="538"/>
    <x v="1"/>
    <x v="1"/>
    <x v="0"/>
  </r>
  <r>
    <x v="674"/>
    <x v="674"/>
    <x v="539"/>
    <x v="3"/>
    <x v="3"/>
    <x v="0"/>
  </r>
  <r>
    <x v="865"/>
    <x v="865"/>
    <x v="540"/>
    <x v="8"/>
    <x v="9"/>
    <x v="0"/>
  </r>
  <r>
    <x v="160"/>
    <x v="160"/>
    <x v="541"/>
    <x v="5"/>
    <x v="5"/>
    <x v="0"/>
  </r>
  <r>
    <x v="866"/>
    <x v="866"/>
    <x v="542"/>
    <x v="15"/>
    <x v="16"/>
    <x v="0"/>
  </r>
  <r>
    <x v="162"/>
    <x v="162"/>
    <x v="543"/>
    <x v="20"/>
    <x v="22"/>
    <x v="0"/>
  </r>
  <r>
    <x v="867"/>
    <x v="867"/>
    <x v="544"/>
    <x v="36"/>
    <x v="39"/>
    <x v="0"/>
  </r>
  <r>
    <x v="675"/>
    <x v="675"/>
    <x v="545"/>
    <x v="34"/>
    <x v="37"/>
    <x v="0"/>
  </r>
  <r>
    <x v="676"/>
    <x v="676"/>
    <x v="546"/>
    <x v="34"/>
    <x v="37"/>
    <x v="0"/>
  </r>
  <r>
    <x v="868"/>
    <x v="868"/>
    <x v="547"/>
    <x v="15"/>
    <x v="16"/>
    <x v="0"/>
  </r>
  <r>
    <x v="869"/>
    <x v="869"/>
    <x v="548"/>
    <x v="0"/>
    <x v="0"/>
    <x v="0"/>
  </r>
  <r>
    <x v="163"/>
    <x v="163"/>
    <x v="549"/>
    <x v="2"/>
    <x v="2"/>
    <x v="0"/>
  </r>
  <r>
    <x v="432"/>
    <x v="432"/>
    <x v="550"/>
    <x v="18"/>
    <x v="19"/>
    <x v="0"/>
  </r>
  <r>
    <x v="433"/>
    <x v="433"/>
    <x v="551"/>
    <x v="30"/>
    <x v="33"/>
    <x v="0"/>
  </r>
  <r>
    <x v="760"/>
    <x v="760"/>
    <x v="552"/>
    <x v="31"/>
    <x v="34"/>
    <x v="0"/>
  </r>
  <r>
    <x v="677"/>
    <x v="677"/>
    <x v="553"/>
    <x v="26"/>
    <x v="29"/>
    <x v="0"/>
  </r>
  <r>
    <x v="678"/>
    <x v="678"/>
    <x v="554"/>
    <x v="17"/>
    <x v="18"/>
    <x v="0"/>
  </r>
  <r>
    <x v="164"/>
    <x v="164"/>
    <x v="555"/>
    <x v="5"/>
    <x v="5"/>
    <x v="0"/>
  </r>
  <r>
    <x v="165"/>
    <x v="165"/>
    <x v="556"/>
    <x v="13"/>
    <x v="14"/>
    <x v="0"/>
  </r>
  <r>
    <x v="870"/>
    <x v="870"/>
    <x v="557"/>
    <x v="35"/>
    <x v="38"/>
    <x v="0"/>
  </r>
  <r>
    <x v="871"/>
    <x v="871"/>
    <x v="558"/>
    <x v="36"/>
    <x v="39"/>
    <x v="0"/>
  </r>
  <r>
    <x v="872"/>
    <x v="872"/>
    <x v="559"/>
    <x v="35"/>
    <x v="38"/>
    <x v="0"/>
  </r>
  <r>
    <x v="680"/>
    <x v="680"/>
    <x v="560"/>
    <x v="24"/>
    <x v="27"/>
    <x v="0"/>
  </r>
  <r>
    <x v="873"/>
    <x v="873"/>
    <x v="561"/>
    <x v="28"/>
    <x v="31"/>
    <x v="0"/>
  </r>
  <r>
    <x v="166"/>
    <x v="166"/>
    <x v="562"/>
    <x v="39"/>
    <x v="41"/>
    <x v="0"/>
  </r>
  <r>
    <x v="874"/>
    <x v="874"/>
    <x v="563"/>
    <x v="0"/>
    <x v="0"/>
    <x v="0"/>
  </r>
  <r>
    <x v="558"/>
    <x v="558"/>
    <x v="564"/>
    <x v="3"/>
    <x v="3"/>
    <x v="0"/>
  </r>
  <r>
    <x v="434"/>
    <x v="434"/>
    <x v="565"/>
    <x v="1"/>
    <x v="1"/>
    <x v="0"/>
  </r>
  <r>
    <x v="682"/>
    <x v="682"/>
    <x v="566"/>
    <x v="4"/>
    <x v="4"/>
    <x v="0"/>
  </r>
  <r>
    <x v="180"/>
    <x v="180"/>
    <x v="567"/>
    <x v="6"/>
    <x v="7"/>
    <x v="0"/>
  </r>
  <r>
    <x v="902"/>
    <x v="902"/>
    <x v="568"/>
    <x v="15"/>
    <x v="16"/>
    <x v="0"/>
  </r>
  <r>
    <x v="167"/>
    <x v="167"/>
    <x v="569"/>
    <x v="2"/>
    <x v="2"/>
    <x v="0"/>
  </r>
  <r>
    <x v="435"/>
    <x v="435"/>
    <x v="570"/>
    <x v="1"/>
    <x v="1"/>
    <x v="0"/>
  </r>
  <r>
    <x v="681"/>
    <x v="681"/>
    <x v="571"/>
    <x v="22"/>
    <x v="25"/>
    <x v="0"/>
  </r>
  <r>
    <x v="436"/>
    <x v="436"/>
    <x v="572"/>
    <x v="27"/>
    <x v="30"/>
    <x v="0"/>
  </r>
  <r>
    <x v="875"/>
    <x v="875"/>
    <x v="573"/>
    <x v="28"/>
    <x v="31"/>
    <x v="0"/>
  </r>
  <r>
    <x v="439"/>
    <x v="439"/>
    <x v="574"/>
    <x v="1"/>
    <x v="1"/>
    <x v="0"/>
  </r>
  <r>
    <x v="437"/>
    <x v="437"/>
    <x v="575"/>
    <x v="1"/>
    <x v="1"/>
    <x v="0"/>
  </r>
  <r>
    <x v="683"/>
    <x v="683"/>
    <x v="576"/>
    <x v="32"/>
    <x v="35"/>
    <x v="0"/>
  </r>
  <r>
    <x v="876"/>
    <x v="876"/>
    <x v="577"/>
    <x v="28"/>
    <x v="31"/>
    <x v="0"/>
  </r>
  <r>
    <x v="877"/>
    <x v="877"/>
    <x v="578"/>
    <x v="7"/>
    <x v="8"/>
    <x v="0"/>
  </r>
  <r>
    <x v="878"/>
    <x v="878"/>
    <x v="579"/>
    <x v="36"/>
    <x v="39"/>
    <x v="0"/>
  </r>
  <r>
    <x v="168"/>
    <x v="168"/>
    <x v="580"/>
    <x v="10"/>
    <x v="11"/>
    <x v="0"/>
  </r>
  <r>
    <x v="879"/>
    <x v="879"/>
    <x v="581"/>
    <x v="7"/>
    <x v="8"/>
    <x v="0"/>
  </r>
  <r>
    <x v="170"/>
    <x v="170"/>
    <x v="582"/>
    <x v="42"/>
    <x v="21"/>
    <x v="0"/>
  </r>
  <r>
    <x v="169"/>
    <x v="169"/>
    <x v="583"/>
    <x v="5"/>
    <x v="5"/>
    <x v="0"/>
  </r>
  <r>
    <x v="684"/>
    <x v="684"/>
    <x v="584"/>
    <x v="14"/>
    <x v="15"/>
    <x v="0"/>
  </r>
  <r>
    <x v="685"/>
    <x v="685"/>
    <x v="585"/>
    <x v="37"/>
    <x v="40"/>
    <x v="0"/>
  </r>
  <r>
    <x v="686"/>
    <x v="686"/>
    <x v="586"/>
    <x v="22"/>
    <x v="25"/>
    <x v="0"/>
  </r>
  <r>
    <x v="227"/>
    <x v="227"/>
    <x v="587"/>
    <x v="20"/>
    <x v="22"/>
    <x v="0"/>
  </r>
  <r>
    <x v="171"/>
    <x v="171"/>
    <x v="588"/>
    <x v="20"/>
    <x v="22"/>
    <x v="0"/>
  </r>
  <r>
    <x v="438"/>
    <x v="438"/>
    <x v="589"/>
    <x v="18"/>
    <x v="19"/>
    <x v="0"/>
  </r>
  <r>
    <x v="687"/>
    <x v="687"/>
    <x v="590"/>
    <x v="14"/>
    <x v="15"/>
    <x v="0"/>
  </r>
  <r>
    <x v="173"/>
    <x v="173"/>
    <x v="591"/>
    <x v="13"/>
    <x v="14"/>
    <x v="0"/>
  </r>
  <r>
    <x v="440"/>
    <x v="440"/>
    <x v="592"/>
    <x v="14"/>
    <x v="15"/>
    <x v="0"/>
  </r>
  <r>
    <x v="172"/>
    <x v="172"/>
    <x v="593"/>
    <x v="2"/>
    <x v="2"/>
    <x v="0"/>
  </r>
  <r>
    <x v="688"/>
    <x v="688"/>
    <x v="594"/>
    <x v="17"/>
    <x v="18"/>
    <x v="0"/>
  </r>
  <r>
    <x v="880"/>
    <x v="880"/>
    <x v="595"/>
    <x v="0"/>
    <x v="0"/>
    <x v="0"/>
  </r>
  <r>
    <x v="689"/>
    <x v="689"/>
    <x v="596"/>
    <x v="37"/>
    <x v="40"/>
    <x v="0"/>
  </r>
  <r>
    <x v="690"/>
    <x v="690"/>
    <x v="597"/>
    <x v="32"/>
    <x v="35"/>
    <x v="0"/>
  </r>
  <r>
    <x v="174"/>
    <x v="174"/>
    <x v="598"/>
    <x v="5"/>
    <x v="5"/>
    <x v="0"/>
  </r>
  <r>
    <x v="175"/>
    <x v="175"/>
    <x v="599"/>
    <x v="13"/>
    <x v="14"/>
    <x v="0"/>
  </r>
  <r>
    <x v="441"/>
    <x v="441"/>
    <x v="600"/>
    <x v="19"/>
    <x v="20"/>
    <x v="0"/>
  </r>
  <r>
    <x v="352"/>
    <x v="352"/>
    <x v="601"/>
    <x v="30"/>
    <x v="33"/>
    <x v="0"/>
  </r>
  <r>
    <x v="881"/>
    <x v="881"/>
    <x v="602"/>
    <x v="0"/>
    <x v="0"/>
    <x v="0"/>
  </r>
  <r>
    <x v="442"/>
    <x v="442"/>
    <x v="603"/>
    <x v="1"/>
    <x v="1"/>
    <x v="0"/>
  </r>
  <r>
    <x v="176"/>
    <x v="176"/>
    <x v="604"/>
    <x v="6"/>
    <x v="7"/>
    <x v="0"/>
  </r>
  <r>
    <x v="897"/>
    <x v="897"/>
    <x v="605"/>
    <x v="21"/>
    <x v="24"/>
    <x v="0"/>
  </r>
  <r>
    <x v="882"/>
    <x v="882"/>
    <x v="606"/>
    <x v="29"/>
    <x v="32"/>
    <x v="0"/>
  </r>
  <r>
    <x v="443"/>
    <x v="443"/>
    <x v="607"/>
    <x v="9"/>
    <x v="10"/>
    <x v="0"/>
  </r>
  <r>
    <x v="177"/>
    <x v="177"/>
    <x v="608"/>
    <x v="39"/>
    <x v="41"/>
    <x v="0"/>
  </r>
  <r>
    <x v="883"/>
    <x v="883"/>
    <x v="609"/>
    <x v="35"/>
    <x v="38"/>
    <x v="0"/>
  </r>
  <r>
    <x v="884"/>
    <x v="884"/>
    <x v="610"/>
    <x v="7"/>
    <x v="8"/>
    <x v="0"/>
  </r>
  <r>
    <x v="691"/>
    <x v="691"/>
    <x v="611"/>
    <x v="25"/>
    <x v="28"/>
    <x v="0"/>
  </r>
  <r>
    <x v="885"/>
    <x v="885"/>
    <x v="613"/>
    <x v="0"/>
    <x v="0"/>
    <x v="0"/>
  </r>
  <r>
    <x v="886"/>
    <x v="886"/>
    <x v="612"/>
    <x v="29"/>
    <x v="32"/>
    <x v="0"/>
  </r>
  <r>
    <x v="754"/>
    <x v="754"/>
    <x v="614"/>
    <x v="31"/>
    <x v="34"/>
    <x v="0"/>
  </r>
  <r>
    <x v="692"/>
    <x v="692"/>
    <x v="615"/>
    <x v="3"/>
    <x v="3"/>
    <x v="0"/>
  </r>
  <r>
    <x v="444"/>
    <x v="444"/>
    <x v="616"/>
    <x v="30"/>
    <x v="33"/>
    <x v="0"/>
  </r>
  <r>
    <x v="445"/>
    <x v="445"/>
    <x v="617"/>
    <x v="33"/>
    <x v="36"/>
    <x v="0"/>
  </r>
  <r>
    <x v="887"/>
    <x v="887"/>
    <x v="618"/>
    <x v="35"/>
    <x v="38"/>
    <x v="0"/>
  </r>
  <r>
    <x v="693"/>
    <x v="693"/>
    <x v="619"/>
    <x v="34"/>
    <x v="37"/>
    <x v="0"/>
  </r>
  <r>
    <x v="446"/>
    <x v="446"/>
    <x v="620"/>
    <x v="30"/>
    <x v="33"/>
    <x v="0"/>
  </r>
  <r>
    <x v="178"/>
    <x v="178"/>
    <x v="621"/>
    <x v="39"/>
    <x v="41"/>
    <x v="0"/>
  </r>
  <r>
    <x v="762"/>
    <x v="762"/>
    <x v="622"/>
    <x v="14"/>
    <x v="15"/>
    <x v="0"/>
  </r>
  <r>
    <x v="447"/>
    <x v="447"/>
    <x v="623"/>
    <x v="33"/>
    <x v="36"/>
    <x v="0"/>
  </r>
  <r>
    <x v="448"/>
    <x v="448"/>
    <x v="624"/>
    <x v="18"/>
    <x v="19"/>
    <x v="0"/>
  </r>
  <r>
    <x v="888"/>
    <x v="888"/>
    <x v="625"/>
    <x v="7"/>
    <x v="8"/>
    <x v="0"/>
  </r>
  <r>
    <x v="889"/>
    <x v="889"/>
    <x v="626"/>
    <x v="7"/>
    <x v="8"/>
    <x v="0"/>
  </r>
  <r>
    <x v="449"/>
    <x v="449"/>
    <x v="627"/>
    <x v="33"/>
    <x v="36"/>
    <x v="0"/>
  </r>
  <r>
    <x v="890"/>
    <x v="890"/>
    <x v="628"/>
    <x v="7"/>
    <x v="8"/>
    <x v="0"/>
  </r>
  <r>
    <x v="450"/>
    <x v="450"/>
    <x v="629"/>
    <x v="1"/>
    <x v="1"/>
    <x v="0"/>
  </r>
  <r>
    <x v="179"/>
    <x v="179"/>
    <x v="630"/>
    <x v="40"/>
    <x v="42"/>
    <x v="0"/>
  </r>
  <r>
    <x v="891"/>
    <x v="891"/>
    <x v="631"/>
    <x v="15"/>
    <x v="16"/>
    <x v="0"/>
  </r>
  <r>
    <x v="892"/>
    <x v="892"/>
    <x v="632"/>
    <x v="35"/>
    <x v="38"/>
    <x v="0"/>
  </r>
  <r>
    <x v="181"/>
    <x v="181"/>
    <x v="633"/>
    <x v="23"/>
    <x v="26"/>
    <x v="0"/>
  </r>
  <r>
    <x v="893"/>
    <x v="893"/>
    <x v="634"/>
    <x v="0"/>
    <x v="0"/>
    <x v="0"/>
  </r>
  <r>
    <x v="894"/>
    <x v="894"/>
    <x v="635"/>
    <x v="8"/>
    <x v="9"/>
    <x v="0"/>
  </r>
  <r>
    <x v="451"/>
    <x v="451"/>
    <x v="636"/>
    <x v="1"/>
    <x v="1"/>
    <x v="0"/>
  </r>
  <r>
    <x v="694"/>
    <x v="694"/>
    <x v="637"/>
    <x v="32"/>
    <x v="35"/>
    <x v="0"/>
  </r>
  <r>
    <x v="895"/>
    <x v="895"/>
    <x v="638"/>
    <x v="0"/>
    <x v="0"/>
    <x v="0"/>
  </r>
  <r>
    <x v="182"/>
    <x v="182"/>
    <x v="639"/>
    <x v="39"/>
    <x v="41"/>
    <x v="0"/>
  </r>
  <r>
    <x v="183"/>
    <x v="183"/>
    <x v="640"/>
    <x v="5"/>
    <x v="5"/>
    <x v="0"/>
  </r>
  <r>
    <x v="452"/>
    <x v="452"/>
    <x v="641"/>
    <x v="9"/>
    <x v="10"/>
    <x v="0"/>
  </r>
  <r>
    <x v="306"/>
    <x v="306"/>
    <x v="642"/>
    <x v="23"/>
    <x v="26"/>
    <x v="0"/>
  </r>
  <r>
    <x v="184"/>
    <x v="184"/>
    <x v="643"/>
    <x v="39"/>
    <x v="41"/>
    <x v="0"/>
  </r>
  <r>
    <x v="185"/>
    <x v="185"/>
    <x v="644"/>
    <x v="13"/>
    <x v="14"/>
    <x v="0"/>
  </r>
  <r>
    <x v="695"/>
    <x v="695"/>
    <x v="645"/>
    <x v="24"/>
    <x v="27"/>
    <x v="0"/>
  </r>
  <r>
    <x v="187"/>
    <x v="187"/>
    <x v="646"/>
    <x v="13"/>
    <x v="14"/>
    <x v="0"/>
  </r>
  <r>
    <x v="453"/>
    <x v="453"/>
    <x v="647"/>
    <x v="18"/>
    <x v="19"/>
    <x v="0"/>
  </r>
  <r>
    <x v="188"/>
    <x v="188"/>
    <x v="648"/>
    <x v="6"/>
    <x v="7"/>
    <x v="0"/>
  </r>
  <r>
    <x v="896"/>
    <x v="896"/>
    <x v="649"/>
    <x v="35"/>
    <x v="38"/>
    <x v="0"/>
  </r>
  <r>
    <x v="944"/>
    <x v="944"/>
    <x v="650"/>
    <x v="35"/>
    <x v="38"/>
    <x v="0"/>
  </r>
  <r>
    <x v="454"/>
    <x v="454"/>
    <x v="651"/>
    <x v="19"/>
    <x v="20"/>
    <x v="0"/>
  </r>
  <r>
    <x v="696"/>
    <x v="696"/>
    <x v="652"/>
    <x v="31"/>
    <x v="34"/>
    <x v="0"/>
  </r>
  <r>
    <x v="191"/>
    <x v="191"/>
    <x v="653"/>
    <x v="12"/>
    <x v="13"/>
    <x v="0"/>
  </r>
  <r>
    <x v="192"/>
    <x v="192"/>
    <x v="654"/>
    <x v="23"/>
    <x v="26"/>
    <x v="0"/>
  </r>
  <r>
    <x v="193"/>
    <x v="193"/>
    <x v="655"/>
    <x v="10"/>
    <x v="11"/>
    <x v="0"/>
  </r>
  <r>
    <x v="194"/>
    <x v="194"/>
    <x v="656"/>
    <x v="20"/>
    <x v="22"/>
    <x v="0"/>
  </r>
  <r>
    <x v="455"/>
    <x v="455"/>
    <x v="657"/>
    <x v="19"/>
    <x v="20"/>
    <x v="0"/>
  </r>
  <r>
    <x v="480"/>
    <x v="480"/>
    <x v="658"/>
    <x v="18"/>
    <x v="19"/>
    <x v="0"/>
  </r>
  <r>
    <x v="195"/>
    <x v="195"/>
    <x v="659"/>
    <x v="40"/>
    <x v="42"/>
    <x v="0"/>
  </r>
  <r>
    <x v="196"/>
    <x v="196"/>
    <x v="660"/>
    <x v="23"/>
    <x v="26"/>
    <x v="0"/>
  </r>
  <r>
    <x v="197"/>
    <x v="197"/>
    <x v="661"/>
    <x v="10"/>
    <x v="11"/>
    <x v="0"/>
  </r>
  <r>
    <x v="198"/>
    <x v="198"/>
    <x v="662"/>
    <x v="23"/>
    <x v="26"/>
    <x v="0"/>
  </r>
  <r>
    <x v="200"/>
    <x v="200"/>
    <x v="663"/>
    <x v="20"/>
    <x v="22"/>
    <x v="0"/>
  </r>
  <r>
    <x v="199"/>
    <x v="199"/>
    <x v="664"/>
    <x v="40"/>
    <x v="42"/>
    <x v="0"/>
  </r>
  <r>
    <x v="201"/>
    <x v="201"/>
    <x v="665"/>
    <x v="10"/>
    <x v="11"/>
    <x v="0"/>
  </r>
  <r>
    <x v="456"/>
    <x v="456"/>
    <x v="666"/>
    <x v="1"/>
    <x v="1"/>
    <x v="0"/>
  </r>
  <r>
    <x v="202"/>
    <x v="202"/>
    <x v="667"/>
    <x v="39"/>
    <x v="41"/>
    <x v="0"/>
  </r>
  <r>
    <x v="203"/>
    <x v="203"/>
    <x v="668"/>
    <x v="2"/>
    <x v="2"/>
    <x v="0"/>
  </r>
  <r>
    <x v="700"/>
    <x v="700"/>
    <x v="669"/>
    <x v="24"/>
    <x v="27"/>
    <x v="0"/>
  </r>
  <r>
    <x v="204"/>
    <x v="204"/>
    <x v="670"/>
    <x v="40"/>
    <x v="42"/>
    <x v="0"/>
  </r>
  <r>
    <x v="205"/>
    <x v="205"/>
    <x v="671"/>
    <x v="10"/>
    <x v="11"/>
    <x v="0"/>
  </r>
  <r>
    <x v="457"/>
    <x v="457"/>
    <x v="672"/>
    <x v="33"/>
    <x v="36"/>
    <x v="0"/>
  </r>
  <r>
    <x v="207"/>
    <x v="207"/>
    <x v="673"/>
    <x v="40"/>
    <x v="42"/>
    <x v="0"/>
  </r>
  <r>
    <x v="458"/>
    <x v="458"/>
    <x v="674"/>
    <x v="9"/>
    <x v="10"/>
    <x v="0"/>
  </r>
  <r>
    <x v="208"/>
    <x v="208"/>
    <x v="675"/>
    <x v="10"/>
    <x v="11"/>
    <x v="0"/>
  </r>
  <r>
    <x v="459"/>
    <x v="459"/>
    <x v="676"/>
    <x v="18"/>
    <x v="19"/>
    <x v="0"/>
  </r>
  <r>
    <x v="209"/>
    <x v="209"/>
    <x v="677"/>
    <x v="6"/>
    <x v="7"/>
    <x v="0"/>
  </r>
  <r>
    <x v="460"/>
    <x v="460"/>
    <x v="678"/>
    <x v="18"/>
    <x v="19"/>
    <x v="0"/>
  </r>
  <r>
    <x v="206"/>
    <x v="206"/>
    <x v="679"/>
    <x v="40"/>
    <x v="42"/>
    <x v="0"/>
  </r>
  <r>
    <x v="210"/>
    <x v="210"/>
    <x v="680"/>
    <x v="6"/>
    <x v="7"/>
    <x v="0"/>
  </r>
  <r>
    <x v="461"/>
    <x v="461"/>
    <x v="681"/>
    <x v="19"/>
    <x v="20"/>
    <x v="0"/>
  </r>
  <r>
    <x v="697"/>
    <x v="697"/>
    <x v="682"/>
    <x v="31"/>
    <x v="34"/>
    <x v="0"/>
  </r>
  <r>
    <x v="701"/>
    <x v="701"/>
    <x v="683"/>
    <x v="31"/>
    <x v="34"/>
    <x v="0"/>
  </r>
  <r>
    <x v="462"/>
    <x v="462"/>
    <x v="684"/>
    <x v="33"/>
    <x v="36"/>
    <x v="0"/>
  </r>
  <r>
    <x v="212"/>
    <x v="212"/>
    <x v="685"/>
    <x v="23"/>
    <x v="26"/>
    <x v="0"/>
  </r>
  <r>
    <x v="190"/>
    <x v="190"/>
    <x v="686"/>
    <x v="20"/>
    <x v="22"/>
    <x v="0"/>
  </r>
  <r>
    <x v="941"/>
    <x v="941"/>
    <x v="687"/>
    <x v="21"/>
    <x v="24"/>
    <x v="0"/>
  </r>
  <r>
    <x v="213"/>
    <x v="213"/>
    <x v="688"/>
    <x v="13"/>
    <x v="14"/>
    <x v="0"/>
  </r>
  <r>
    <x v="463"/>
    <x v="463"/>
    <x v="689"/>
    <x v="18"/>
    <x v="19"/>
    <x v="0"/>
  </r>
  <r>
    <x v="898"/>
    <x v="898"/>
    <x v="690"/>
    <x v="11"/>
    <x v="12"/>
    <x v="0"/>
  </r>
  <r>
    <x v="465"/>
    <x v="465"/>
    <x v="691"/>
    <x v="30"/>
    <x v="33"/>
    <x v="0"/>
  </r>
  <r>
    <x v="466"/>
    <x v="466"/>
    <x v="692"/>
    <x v="19"/>
    <x v="20"/>
    <x v="0"/>
  </r>
  <r>
    <x v="215"/>
    <x v="215"/>
    <x v="693"/>
    <x v="6"/>
    <x v="7"/>
    <x v="0"/>
  </r>
  <r>
    <x v="214"/>
    <x v="214"/>
    <x v="694"/>
    <x v="10"/>
    <x v="11"/>
    <x v="0"/>
  </r>
  <r>
    <x v="482"/>
    <x v="482"/>
    <x v="695"/>
    <x v="18"/>
    <x v="19"/>
    <x v="0"/>
  </r>
  <r>
    <x v="464"/>
    <x v="464"/>
    <x v="696"/>
    <x v="19"/>
    <x v="20"/>
    <x v="0"/>
  </r>
  <r>
    <x v="308"/>
    <x v="308"/>
    <x v="697"/>
    <x v="13"/>
    <x v="14"/>
    <x v="0"/>
  </r>
  <r>
    <x v="467"/>
    <x v="467"/>
    <x v="698"/>
    <x v="19"/>
    <x v="20"/>
    <x v="0"/>
  </r>
  <r>
    <x v="217"/>
    <x v="217"/>
    <x v="699"/>
    <x v="23"/>
    <x v="26"/>
    <x v="0"/>
  </r>
  <r>
    <x v="531"/>
    <x v="531"/>
    <x v="700"/>
    <x v="33"/>
    <x v="36"/>
    <x v="0"/>
  </r>
  <r>
    <x v="218"/>
    <x v="218"/>
    <x v="701"/>
    <x v="10"/>
    <x v="11"/>
    <x v="0"/>
  </r>
  <r>
    <x v="219"/>
    <x v="219"/>
    <x v="702"/>
    <x v="2"/>
    <x v="2"/>
    <x v="0"/>
  </r>
  <r>
    <x v="469"/>
    <x v="469"/>
    <x v="703"/>
    <x v="1"/>
    <x v="1"/>
    <x v="0"/>
  </r>
  <r>
    <x v="698"/>
    <x v="698"/>
    <x v="704"/>
    <x v="34"/>
    <x v="37"/>
    <x v="0"/>
  </r>
  <r>
    <x v="220"/>
    <x v="220"/>
    <x v="705"/>
    <x v="39"/>
    <x v="41"/>
    <x v="0"/>
  </r>
  <r>
    <x v="222"/>
    <x v="222"/>
    <x v="706"/>
    <x v="42"/>
    <x v="21"/>
    <x v="0"/>
  </r>
  <r>
    <x v="221"/>
    <x v="221"/>
    <x v="707"/>
    <x v="23"/>
    <x v="26"/>
    <x v="0"/>
  </r>
  <r>
    <x v="470"/>
    <x v="470"/>
    <x v="708"/>
    <x v="19"/>
    <x v="20"/>
    <x v="0"/>
  </r>
  <r>
    <x v="751"/>
    <x v="751"/>
    <x v="709"/>
    <x v="37"/>
    <x v="40"/>
    <x v="0"/>
  </r>
  <r>
    <x v="223"/>
    <x v="223"/>
    <x v="710"/>
    <x v="5"/>
    <x v="5"/>
    <x v="0"/>
  </r>
  <r>
    <x v="224"/>
    <x v="224"/>
    <x v="711"/>
    <x v="2"/>
    <x v="2"/>
    <x v="0"/>
  </r>
  <r>
    <x v="225"/>
    <x v="225"/>
    <x v="712"/>
    <x v="5"/>
    <x v="5"/>
    <x v="0"/>
  </r>
  <r>
    <x v="471"/>
    <x v="471"/>
    <x v="713"/>
    <x v="19"/>
    <x v="20"/>
    <x v="0"/>
  </r>
  <r>
    <x v="226"/>
    <x v="226"/>
    <x v="714"/>
    <x v="6"/>
    <x v="7"/>
    <x v="0"/>
  </r>
  <r>
    <x v="472"/>
    <x v="472"/>
    <x v="715"/>
    <x v="27"/>
    <x v="30"/>
    <x v="0"/>
  </r>
  <r>
    <x v="473"/>
    <x v="473"/>
    <x v="716"/>
    <x v="1"/>
    <x v="1"/>
    <x v="0"/>
  </r>
  <r>
    <x v="474"/>
    <x v="474"/>
    <x v="717"/>
    <x v="1"/>
    <x v="1"/>
    <x v="0"/>
  </r>
  <r>
    <x v="475"/>
    <x v="475"/>
    <x v="718"/>
    <x v="30"/>
    <x v="33"/>
    <x v="0"/>
  </r>
  <r>
    <x v="228"/>
    <x v="228"/>
    <x v="719"/>
    <x v="16"/>
    <x v="17"/>
    <x v="0"/>
  </r>
  <r>
    <x v="229"/>
    <x v="229"/>
    <x v="720"/>
    <x v="2"/>
    <x v="2"/>
    <x v="0"/>
  </r>
  <r>
    <x v="230"/>
    <x v="230"/>
    <x v="721"/>
    <x v="23"/>
    <x v="26"/>
    <x v="0"/>
  </r>
  <r>
    <x v="231"/>
    <x v="231"/>
    <x v="722"/>
    <x v="40"/>
    <x v="42"/>
    <x v="0"/>
  </r>
  <r>
    <x v="476"/>
    <x v="476"/>
    <x v="723"/>
    <x v="1"/>
    <x v="1"/>
    <x v="0"/>
  </r>
  <r>
    <x v="186"/>
    <x v="186"/>
    <x v="724"/>
    <x v="5"/>
    <x v="5"/>
    <x v="0"/>
  </r>
  <r>
    <x v="232"/>
    <x v="232"/>
    <x v="725"/>
    <x v="20"/>
    <x v="22"/>
    <x v="0"/>
  </r>
  <r>
    <x v="233"/>
    <x v="233"/>
    <x v="726"/>
    <x v="2"/>
    <x v="2"/>
    <x v="0"/>
  </r>
  <r>
    <x v="234"/>
    <x v="234"/>
    <x v="727"/>
    <x v="23"/>
    <x v="26"/>
    <x v="0"/>
  </r>
  <r>
    <x v="235"/>
    <x v="235"/>
    <x v="728"/>
    <x v="39"/>
    <x v="41"/>
    <x v="0"/>
  </r>
  <r>
    <x v="236"/>
    <x v="236"/>
    <x v="729"/>
    <x v="41"/>
    <x v="23"/>
    <x v="0"/>
  </r>
  <r>
    <x v="699"/>
    <x v="699"/>
    <x v="730"/>
    <x v="31"/>
    <x v="34"/>
    <x v="0"/>
  </r>
  <r>
    <x v="237"/>
    <x v="237"/>
    <x v="731"/>
    <x v="2"/>
    <x v="2"/>
    <x v="0"/>
  </r>
  <r>
    <x v="238"/>
    <x v="238"/>
    <x v="732"/>
    <x v="23"/>
    <x v="26"/>
    <x v="0"/>
  </r>
  <r>
    <x v="97"/>
    <x v="97"/>
    <x v="733"/>
    <x v="6"/>
    <x v="7"/>
    <x v="0"/>
  </r>
  <r>
    <x v="259"/>
    <x v="259"/>
    <x v="734"/>
    <x v="6"/>
    <x v="7"/>
    <x v="0"/>
  </r>
  <r>
    <x v="261"/>
    <x v="261"/>
    <x v="735"/>
    <x v="20"/>
    <x v="22"/>
    <x v="0"/>
  </r>
  <r>
    <x v="262"/>
    <x v="262"/>
    <x v="736"/>
    <x v="23"/>
    <x v="26"/>
    <x v="0"/>
  </r>
  <r>
    <x v="260"/>
    <x v="260"/>
    <x v="737"/>
    <x v="10"/>
    <x v="11"/>
    <x v="0"/>
  </r>
  <r>
    <x v="899"/>
    <x v="899"/>
    <x v="738"/>
    <x v="21"/>
    <x v="24"/>
    <x v="0"/>
  </r>
  <r>
    <x v="240"/>
    <x v="240"/>
    <x v="739"/>
    <x v="23"/>
    <x v="26"/>
    <x v="0"/>
  </r>
  <r>
    <x v="241"/>
    <x v="241"/>
    <x v="740"/>
    <x v="10"/>
    <x v="11"/>
    <x v="0"/>
  </r>
  <r>
    <x v="477"/>
    <x v="477"/>
    <x v="741"/>
    <x v="33"/>
    <x v="36"/>
    <x v="0"/>
  </r>
  <r>
    <x v="242"/>
    <x v="242"/>
    <x v="742"/>
    <x v="12"/>
    <x v="13"/>
    <x v="0"/>
  </r>
  <r>
    <x v="900"/>
    <x v="900"/>
    <x v="743"/>
    <x v="15"/>
    <x v="16"/>
    <x v="0"/>
  </r>
  <r>
    <x v="478"/>
    <x v="478"/>
    <x v="744"/>
    <x v="9"/>
    <x v="10"/>
    <x v="0"/>
  </r>
  <r>
    <x v="243"/>
    <x v="243"/>
    <x v="745"/>
    <x v="23"/>
    <x v="26"/>
    <x v="0"/>
  </r>
  <r>
    <x v="244"/>
    <x v="244"/>
    <x v="746"/>
    <x v="23"/>
    <x v="26"/>
    <x v="0"/>
  </r>
  <r>
    <x v="245"/>
    <x v="245"/>
    <x v="747"/>
    <x v="40"/>
    <x v="42"/>
    <x v="0"/>
  </r>
  <r>
    <x v="246"/>
    <x v="246"/>
    <x v="748"/>
    <x v="2"/>
    <x v="2"/>
    <x v="0"/>
  </r>
  <r>
    <x v="479"/>
    <x v="479"/>
    <x v="749"/>
    <x v="1"/>
    <x v="1"/>
    <x v="0"/>
  </r>
  <r>
    <x v="247"/>
    <x v="247"/>
    <x v="750"/>
    <x v="5"/>
    <x v="5"/>
    <x v="0"/>
  </r>
  <r>
    <x v="248"/>
    <x v="248"/>
    <x v="751"/>
    <x v="2"/>
    <x v="2"/>
    <x v="0"/>
  </r>
  <r>
    <x v="255"/>
    <x v="255"/>
    <x v="752"/>
    <x v="41"/>
    <x v="23"/>
    <x v="0"/>
  </r>
  <r>
    <x v="250"/>
    <x v="250"/>
    <x v="753"/>
    <x v="23"/>
    <x v="26"/>
    <x v="0"/>
  </r>
  <r>
    <x v="253"/>
    <x v="253"/>
    <x v="754"/>
    <x v="40"/>
    <x v="42"/>
    <x v="0"/>
  </r>
  <r>
    <x v="252"/>
    <x v="252"/>
    <x v="755"/>
    <x v="13"/>
    <x v="14"/>
    <x v="0"/>
  </r>
  <r>
    <x v="254"/>
    <x v="254"/>
    <x v="756"/>
    <x v="5"/>
    <x v="5"/>
    <x v="0"/>
  </r>
  <r>
    <x v="256"/>
    <x v="256"/>
    <x v="757"/>
    <x v="40"/>
    <x v="42"/>
    <x v="0"/>
  </r>
  <r>
    <x v="901"/>
    <x v="901"/>
    <x v="758"/>
    <x v="11"/>
    <x v="12"/>
    <x v="0"/>
  </r>
  <r>
    <x v="481"/>
    <x v="481"/>
    <x v="759"/>
    <x v="18"/>
    <x v="19"/>
    <x v="0"/>
  </r>
  <r>
    <x v="257"/>
    <x v="257"/>
    <x v="760"/>
    <x v="39"/>
    <x v="41"/>
    <x v="0"/>
  </r>
  <r>
    <x v="258"/>
    <x v="258"/>
    <x v="761"/>
    <x v="20"/>
    <x v="22"/>
    <x v="0"/>
  </r>
  <r>
    <x v="189"/>
    <x v="189"/>
    <x v="762"/>
    <x v="6"/>
    <x v="7"/>
    <x v="0"/>
  </r>
  <r>
    <x v="903"/>
    <x v="903"/>
    <x v="763"/>
    <x v="15"/>
    <x v="16"/>
    <x v="0"/>
  </r>
  <r>
    <x v="483"/>
    <x v="483"/>
    <x v="764"/>
    <x v="19"/>
    <x v="20"/>
    <x v="0"/>
  </r>
  <r>
    <x v="703"/>
    <x v="703"/>
    <x v="765"/>
    <x v="24"/>
    <x v="27"/>
    <x v="0"/>
  </r>
  <r>
    <x v="702"/>
    <x v="702"/>
    <x v="766"/>
    <x v="32"/>
    <x v="35"/>
    <x v="0"/>
  </r>
  <r>
    <x v="484"/>
    <x v="484"/>
    <x v="767"/>
    <x v="1"/>
    <x v="1"/>
    <x v="0"/>
  </r>
  <r>
    <x v="904"/>
    <x v="904"/>
    <x v="768"/>
    <x v="15"/>
    <x v="16"/>
    <x v="0"/>
  </r>
  <r>
    <x v="905"/>
    <x v="905"/>
    <x v="769"/>
    <x v="35"/>
    <x v="38"/>
    <x v="0"/>
  </r>
  <r>
    <x v="485"/>
    <x v="485"/>
    <x v="770"/>
    <x v="1"/>
    <x v="1"/>
    <x v="0"/>
  </r>
  <r>
    <x v="906"/>
    <x v="906"/>
    <x v="771"/>
    <x v="7"/>
    <x v="8"/>
    <x v="0"/>
  </r>
  <r>
    <x v="907"/>
    <x v="907"/>
    <x v="772"/>
    <x v="15"/>
    <x v="16"/>
    <x v="0"/>
  </r>
  <r>
    <x v="806"/>
    <x v="806"/>
    <x v="773"/>
    <x v="21"/>
    <x v="24"/>
    <x v="0"/>
  </r>
  <r>
    <x v="704"/>
    <x v="704"/>
    <x v="774"/>
    <x v="24"/>
    <x v="27"/>
    <x v="0"/>
  </r>
  <r>
    <x v="563"/>
    <x v="563"/>
    <x v="775"/>
    <x v="22"/>
    <x v="25"/>
    <x v="0"/>
  </r>
  <r>
    <x v="264"/>
    <x v="264"/>
    <x v="776"/>
    <x v="39"/>
    <x v="41"/>
    <x v="0"/>
  </r>
  <r>
    <x v="487"/>
    <x v="487"/>
    <x v="777"/>
    <x v="27"/>
    <x v="30"/>
    <x v="0"/>
  </r>
  <r>
    <x v="706"/>
    <x v="706"/>
    <x v="778"/>
    <x v="32"/>
    <x v="35"/>
    <x v="0"/>
  </r>
  <r>
    <x v="488"/>
    <x v="488"/>
    <x v="779"/>
    <x v="9"/>
    <x v="10"/>
    <x v="0"/>
  </r>
  <r>
    <x v="489"/>
    <x v="489"/>
    <x v="780"/>
    <x v="30"/>
    <x v="33"/>
    <x v="0"/>
  </r>
  <r>
    <x v="705"/>
    <x v="705"/>
    <x v="781"/>
    <x v="3"/>
    <x v="3"/>
    <x v="0"/>
  </r>
  <r>
    <x v="266"/>
    <x v="266"/>
    <x v="782"/>
    <x v="23"/>
    <x v="26"/>
    <x v="0"/>
  </r>
  <r>
    <x v="707"/>
    <x v="707"/>
    <x v="783"/>
    <x v="26"/>
    <x v="29"/>
    <x v="0"/>
  </r>
  <r>
    <x v="490"/>
    <x v="490"/>
    <x v="784"/>
    <x v="33"/>
    <x v="36"/>
    <x v="0"/>
  </r>
  <r>
    <x v="267"/>
    <x v="267"/>
    <x v="785"/>
    <x v="16"/>
    <x v="17"/>
    <x v="0"/>
  </r>
  <r>
    <x v="360"/>
    <x v="360"/>
    <x v="786"/>
    <x v="1"/>
    <x v="1"/>
    <x v="0"/>
  </r>
  <r>
    <x v="268"/>
    <x v="268"/>
    <x v="787"/>
    <x v="42"/>
    <x v="21"/>
    <x v="0"/>
  </r>
  <r>
    <x v="708"/>
    <x v="708"/>
    <x v="788"/>
    <x v="17"/>
    <x v="18"/>
    <x v="0"/>
  </r>
  <r>
    <x v="908"/>
    <x v="908"/>
    <x v="789"/>
    <x v="15"/>
    <x v="16"/>
    <x v="0"/>
  </r>
  <r>
    <x v="709"/>
    <x v="709"/>
    <x v="790"/>
    <x v="34"/>
    <x v="37"/>
    <x v="0"/>
  </r>
  <r>
    <x v="269"/>
    <x v="269"/>
    <x v="791"/>
    <x v="23"/>
    <x v="26"/>
    <x v="0"/>
  </r>
  <r>
    <x v="710"/>
    <x v="710"/>
    <x v="792"/>
    <x v="25"/>
    <x v="28"/>
    <x v="0"/>
  </r>
  <r>
    <x v="711"/>
    <x v="711"/>
    <x v="793"/>
    <x v="25"/>
    <x v="28"/>
    <x v="0"/>
  </r>
  <r>
    <x v="712"/>
    <x v="712"/>
    <x v="794"/>
    <x v="32"/>
    <x v="35"/>
    <x v="0"/>
  </r>
  <r>
    <x v="270"/>
    <x v="270"/>
    <x v="795"/>
    <x v="2"/>
    <x v="2"/>
    <x v="0"/>
  </r>
  <r>
    <x v="713"/>
    <x v="713"/>
    <x v="796"/>
    <x v="32"/>
    <x v="35"/>
    <x v="0"/>
  </r>
  <r>
    <x v="714"/>
    <x v="714"/>
    <x v="797"/>
    <x v="32"/>
    <x v="35"/>
    <x v="0"/>
  </r>
  <r>
    <x v="271"/>
    <x v="271"/>
    <x v="798"/>
    <x v="6"/>
    <x v="7"/>
    <x v="0"/>
  </r>
  <r>
    <x v="491"/>
    <x v="491"/>
    <x v="799"/>
    <x v="33"/>
    <x v="36"/>
    <x v="0"/>
  </r>
  <r>
    <x v="273"/>
    <x v="273"/>
    <x v="800"/>
    <x v="40"/>
    <x v="42"/>
    <x v="0"/>
  </r>
  <r>
    <x v="274"/>
    <x v="274"/>
    <x v="801"/>
    <x v="6"/>
    <x v="7"/>
    <x v="0"/>
  </r>
  <r>
    <x v="715"/>
    <x v="715"/>
    <x v="802"/>
    <x v="24"/>
    <x v="27"/>
    <x v="0"/>
  </r>
  <r>
    <x v="716"/>
    <x v="716"/>
    <x v="803"/>
    <x v="31"/>
    <x v="34"/>
    <x v="0"/>
  </r>
  <r>
    <x v="492"/>
    <x v="492"/>
    <x v="804"/>
    <x v="9"/>
    <x v="10"/>
    <x v="0"/>
  </r>
  <r>
    <x v="275"/>
    <x v="275"/>
    <x v="805"/>
    <x v="23"/>
    <x v="26"/>
    <x v="0"/>
  </r>
  <r>
    <x v="909"/>
    <x v="909"/>
    <x v="806"/>
    <x v="35"/>
    <x v="38"/>
    <x v="0"/>
  </r>
  <r>
    <x v="717"/>
    <x v="717"/>
    <x v="807"/>
    <x v="37"/>
    <x v="40"/>
    <x v="0"/>
  </r>
  <r>
    <x v="718"/>
    <x v="718"/>
    <x v="808"/>
    <x v="17"/>
    <x v="18"/>
    <x v="0"/>
  </r>
  <r>
    <x v="719"/>
    <x v="719"/>
    <x v="809"/>
    <x v="31"/>
    <x v="34"/>
    <x v="0"/>
  </r>
  <r>
    <x v="272"/>
    <x v="272"/>
    <x v="810"/>
    <x v="23"/>
    <x v="26"/>
    <x v="0"/>
  </r>
  <r>
    <x v="277"/>
    <x v="277"/>
    <x v="811"/>
    <x v="23"/>
    <x v="26"/>
    <x v="0"/>
  </r>
  <r>
    <x v="278"/>
    <x v="278"/>
    <x v="812"/>
    <x v="20"/>
    <x v="22"/>
    <x v="0"/>
  </r>
  <r>
    <x v="720"/>
    <x v="720"/>
    <x v="813"/>
    <x v="22"/>
    <x v="25"/>
    <x v="0"/>
  </r>
  <r>
    <x v="493"/>
    <x v="493"/>
    <x v="814"/>
    <x v="1"/>
    <x v="1"/>
    <x v="0"/>
  </r>
  <r>
    <x v="276"/>
    <x v="276"/>
    <x v="815"/>
    <x v="39"/>
    <x v="41"/>
    <x v="0"/>
  </r>
  <r>
    <x v="279"/>
    <x v="279"/>
    <x v="816"/>
    <x v="20"/>
    <x v="22"/>
    <x v="0"/>
  </r>
  <r>
    <x v="721"/>
    <x v="721"/>
    <x v="817"/>
    <x v="25"/>
    <x v="28"/>
    <x v="0"/>
  </r>
  <r>
    <x v="722"/>
    <x v="722"/>
    <x v="818"/>
    <x v="22"/>
    <x v="25"/>
    <x v="0"/>
  </r>
  <r>
    <x v="910"/>
    <x v="910"/>
    <x v="819"/>
    <x v="8"/>
    <x v="9"/>
    <x v="0"/>
  </r>
  <r>
    <x v="911"/>
    <x v="911"/>
    <x v="820"/>
    <x v="29"/>
    <x v="32"/>
    <x v="0"/>
  </r>
  <r>
    <x v="280"/>
    <x v="280"/>
    <x v="821"/>
    <x v="23"/>
    <x v="26"/>
    <x v="0"/>
  </r>
  <r>
    <x v="723"/>
    <x v="723"/>
    <x v="822"/>
    <x v="34"/>
    <x v="37"/>
    <x v="0"/>
  </r>
  <r>
    <x v="281"/>
    <x v="281"/>
    <x v="823"/>
    <x v="20"/>
    <x v="22"/>
    <x v="0"/>
  </r>
  <r>
    <x v="282"/>
    <x v="282"/>
    <x v="824"/>
    <x v="23"/>
    <x v="26"/>
    <x v="0"/>
  </r>
  <r>
    <x v="724"/>
    <x v="724"/>
    <x v="825"/>
    <x v="17"/>
    <x v="18"/>
    <x v="0"/>
  </r>
  <r>
    <x v="725"/>
    <x v="725"/>
    <x v="826"/>
    <x v="37"/>
    <x v="40"/>
    <x v="0"/>
  </r>
  <r>
    <x v="727"/>
    <x v="727"/>
    <x v="827"/>
    <x v="24"/>
    <x v="27"/>
    <x v="0"/>
  </r>
  <r>
    <x v="283"/>
    <x v="283"/>
    <x v="828"/>
    <x v="5"/>
    <x v="5"/>
    <x v="0"/>
  </r>
  <r>
    <x v="912"/>
    <x v="912"/>
    <x v="829"/>
    <x v="28"/>
    <x v="31"/>
    <x v="0"/>
  </r>
  <r>
    <x v="913"/>
    <x v="913"/>
    <x v="830"/>
    <x v="29"/>
    <x v="32"/>
    <x v="0"/>
  </r>
  <r>
    <x v="732"/>
    <x v="732"/>
    <x v="831"/>
    <x v="32"/>
    <x v="35"/>
    <x v="0"/>
  </r>
  <r>
    <x v="726"/>
    <x v="726"/>
    <x v="832"/>
    <x v="32"/>
    <x v="35"/>
    <x v="0"/>
  </r>
  <r>
    <x v="914"/>
    <x v="914"/>
    <x v="833"/>
    <x v="35"/>
    <x v="38"/>
    <x v="0"/>
  </r>
  <r>
    <x v="728"/>
    <x v="728"/>
    <x v="834"/>
    <x v="32"/>
    <x v="35"/>
    <x v="0"/>
  </r>
  <r>
    <x v="756"/>
    <x v="756"/>
    <x v="835"/>
    <x v="31"/>
    <x v="34"/>
    <x v="0"/>
  </r>
  <r>
    <x v="729"/>
    <x v="729"/>
    <x v="836"/>
    <x v="26"/>
    <x v="29"/>
    <x v="0"/>
  </r>
  <r>
    <x v="730"/>
    <x v="730"/>
    <x v="837"/>
    <x v="22"/>
    <x v="25"/>
    <x v="0"/>
  </r>
  <r>
    <x v="284"/>
    <x v="284"/>
    <x v="838"/>
    <x v="2"/>
    <x v="2"/>
    <x v="0"/>
  </r>
  <r>
    <x v="285"/>
    <x v="285"/>
    <x v="839"/>
    <x v="2"/>
    <x v="2"/>
    <x v="0"/>
  </r>
  <r>
    <x v="286"/>
    <x v="286"/>
    <x v="840"/>
    <x v="10"/>
    <x v="11"/>
    <x v="0"/>
  </r>
  <r>
    <x v="494"/>
    <x v="494"/>
    <x v="841"/>
    <x v="9"/>
    <x v="10"/>
    <x v="0"/>
  </r>
  <r>
    <x v="731"/>
    <x v="731"/>
    <x v="842"/>
    <x v="32"/>
    <x v="35"/>
    <x v="0"/>
  </r>
  <r>
    <x v="495"/>
    <x v="495"/>
    <x v="843"/>
    <x v="1"/>
    <x v="1"/>
    <x v="0"/>
  </r>
  <r>
    <x v="496"/>
    <x v="496"/>
    <x v="844"/>
    <x v="9"/>
    <x v="10"/>
    <x v="0"/>
  </r>
  <r>
    <x v="915"/>
    <x v="915"/>
    <x v="845"/>
    <x v="28"/>
    <x v="31"/>
    <x v="0"/>
  </r>
  <r>
    <x v="497"/>
    <x v="497"/>
    <x v="846"/>
    <x v="18"/>
    <x v="19"/>
    <x v="0"/>
  </r>
  <r>
    <x v="916"/>
    <x v="916"/>
    <x v="847"/>
    <x v="8"/>
    <x v="9"/>
    <x v="0"/>
  </r>
  <r>
    <x v="498"/>
    <x v="498"/>
    <x v="848"/>
    <x v="30"/>
    <x v="33"/>
    <x v="0"/>
  </r>
  <r>
    <x v="499"/>
    <x v="499"/>
    <x v="849"/>
    <x v="33"/>
    <x v="36"/>
    <x v="0"/>
  </r>
  <r>
    <x v="733"/>
    <x v="733"/>
    <x v="850"/>
    <x v="24"/>
    <x v="27"/>
    <x v="0"/>
  </r>
  <r>
    <x v="501"/>
    <x v="501"/>
    <x v="851"/>
    <x v="9"/>
    <x v="10"/>
    <x v="0"/>
  </r>
  <r>
    <x v="287"/>
    <x v="287"/>
    <x v="852"/>
    <x v="39"/>
    <x v="41"/>
    <x v="0"/>
  </r>
  <r>
    <x v="502"/>
    <x v="502"/>
    <x v="853"/>
    <x v="9"/>
    <x v="10"/>
    <x v="0"/>
  </r>
  <r>
    <x v="917"/>
    <x v="917"/>
    <x v="854"/>
    <x v="21"/>
    <x v="24"/>
    <x v="0"/>
  </r>
  <r>
    <x v="918"/>
    <x v="918"/>
    <x v="855"/>
    <x v="28"/>
    <x v="31"/>
    <x v="0"/>
  </r>
  <r>
    <x v="500"/>
    <x v="500"/>
    <x v="856"/>
    <x v="9"/>
    <x v="10"/>
    <x v="0"/>
  </r>
  <r>
    <x v="503"/>
    <x v="503"/>
    <x v="857"/>
    <x v="14"/>
    <x v="15"/>
    <x v="0"/>
  </r>
  <r>
    <x v="288"/>
    <x v="288"/>
    <x v="858"/>
    <x v="39"/>
    <x v="41"/>
    <x v="0"/>
  </r>
  <r>
    <x v="324"/>
    <x v="324"/>
    <x v="859"/>
    <x v="1"/>
    <x v="1"/>
    <x v="0"/>
  </r>
  <r>
    <x v="504"/>
    <x v="504"/>
    <x v="860"/>
    <x v="18"/>
    <x v="19"/>
    <x v="0"/>
  </r>
  <r>
    <x v="505"/>
    <x v="505"/>
    <x v="861"/>
    <x v="18"/>
    <x v="19"/>
    <x v="0"/>
  </r>
  <r>
    <x v="571"/>
    <x v="571"/>
    <x v="862"/>
    <x v="4"/>
    <x v="4"/>
    <x v="0"/>
  </r>
  <r>
    <x v="750"/>
    <x v="750"/>
    <x v="863"/>
    <x v="25"/>
    <x v="28"/>
    <x v="0"/>
  </r>
  <r>
    <x v="506"/>
    <x v="506"/>
    <x v="864"/>
    <x v="9"/>
    <x v="10"/>
    <x v="0"/>
  </r>
  <r>
    <x v="289"/>
    <x v="289"/>
    <x v="865"/>
    <x v="5"/>
    <x v="5"/>
    <x v="0"/>
  </r>
  <r>
    <x v="734"/>
    <x v="734"/>
    <x v="866"/>
    <x v="37"/>
    <x v="40"/>
    <x v="0"/>
  </r>
  <r>
    <x v="290"/>
    <x v="290"/>
    <x v="867"/>
    <x v="13"/>
    <x v="14"/>
    <x v="0"/>
  </r>
  <r>
    <x v="919"/>
    <x v="919"/>
    <x v="868"/>
    <x v="15"/>
    <x v="16"/>
    <x v="0"/>
  </r>
  <r>
    <x v="736"/>
    <x v="736"/>
    <x v="869"/>
    <x v="22"/>
    <x v="25"/>
    <x v="0"/>
  </r>
  <r>
    <x v="468"/>
    <x v="468"/>
    <x v="870"/>
    <x v="30"/>
    <x v="33"/>
    <x v="0"/>
  </r>
  <r>
    <x v="920"/>
    <x v="920"/>
    <x v="871"/>
    <x v="15"/>
    <x v="16"/>
    <x v="0"/>
  </r>
  <r>
    <x v="291"/>
    <x v="291"/>
    <x v="872"/>
    <x v="40"/>
    <x v="42"/>
    <x v="0"/>
  </r>
  <r>
    <x v="292"/>
    <x v="292"/>
    <x v="873"/>
    <x v="10"/>
    <x v="11"/>
    <x v="0"/>
  </r>
  <r>
    <x v="921"/>
    <x v="921"/>
    <x v="874"/>
    <x v="0"/>
    <x v="0"/>
    <x v="0"/>
  </r>
  <r>
    <x v="293"/>
    <x v="293"/>
    <x v="875"/>
    <x v="40"/>
    <x v="42"/>
    <x v="0"/>
  </r>
  <r>
    <x v="922"/>
    <x v="922"/>
    <x v="876"/>
    <x v="0"/>
    <x v="0"/>
    <x v="0"/>
  </r>
  <r>
    <x v="755"/>
    <x v="755"/>
    <x v="877"/>
    <x v="3"/>
    <x v="3"/>
    <x v="0"/>
  </r>
  <r>
    <x v="735"/>
    <x v="735"/>
    <x v="878"/>
    <x v="3"/>
    <x v="3"/>
    <x v="0"/>
  </r>
  <r>
    <x v="923"/>
    <x v="923"/>
    <x v="879"/>
    <x v="7"/>
    <x v="8"/>
    <x v="0"/>
  </r>
  <r>
    <x v="758"/>
    <x v="758"/>
    <x v="880"/>
    <x v="3"/>
    <x v="3"/>
    <x v="0"/>
  </r>
  <r>
    <x v="294"/>
    <x v="294"/>
    <x v="881"/>
    <x v="5"/>
    <x v="5"/>
    <x v="0"/>
  </r>
  <r>
    <x v="924"/>
    <x v="924"/>
    <x v="882"/>
    <x v="11"/>
    <x v="12"/>
    <x v="0"/>
  </r>
  <r>
    <x v="507"/>
    <x v="507"/>
    <x v="883"/>
    <x v="1"/>
    <x v="1"/>
    <x v="0"/>
  </r>
  <r>
    <x v="737"/>
    <x v="737"/>
    <x v="884"/>
    <x v="37"/>
    <x v="40"/>
    <x v="0"/>
  </r>
  <r>
    <x v="508"/>
    <x v="508"/>
    <x v="885"/>
    <x v="9"/>
    <x v="10"/>
    <x v="0"/>
  </r>
  <r>
    <x v="925"/>
    <x v="925"/>
    <x v="886"/>
    <x v="35"/>
    <x v="38"/>
    <x v="0"/>
  </r>
  <r>
    <x v="295"/>
    <x v="295"/>
    <x v="887"/>
    <x v="23"/>
    <x v="26"/>
    <x v="0"/>
  </r>
  <r>
    <x v="509"/>
    <x v="509"/>
    <x v="888"/>
    <x v="23"/>
    <x v="26"/>
    <x v="0"/>
  </r>
  <r>
    <x v="510"/>
    <x v="510"/>
    <x v="889"/>
    <x v="33"/>
    <x v="36"/>
    <x v="0"/>
  </r>
  <r>
    <x v="738"/>
    <x v="738"/>
    <x v="890"/>
    <x v="38"/>
    <x v="6"/>
    <x v="0"/>
  </r>
  <r>
    <x v="931"/>
    <x v="931"/>
    <x v="891"/>
    <x v="0"/>
    <x v="0"/>
    <x v="0"/>
  </r>
  <r>
    <x v="525"/>
    <x v="525"/>
    <x v="892"/>
    <x v="1"/>
    <x v="1"/>
    <x v="0"/>
  </r>
  <r>
    <x v="746"/>
    <x v="746"/>
    <x v="893"/>
    <x v="26"/>
    <x v="29"/>
    <x v="0"/>
  </r>
  <r>
    <x v="932"/>
    <x v="932"/>
    <x v="894"/>
    <x v="35"/>
    <x v="38"/>
    <x v="0"/>
  </r>
  <r>
    <x v="926"/>
    <x v="926"/>
    <x v="895"/>
    <x v="0"/>
    <x v="0"/>
    <x v="0"/>
  </r>
  <r>
    <x v="511"/>
    <x v="511"/>
    <x v="896"/>
    <x v="1"/>
    <x v="1"/>
    <x v="0"/>
  </r>
  <r>
    <x v="512"/>
    <x v="512"/>
    <x v="897"/>
    <x v="19"/>
    <x v="20"/>
    <x v="0"/>
  </r>
  <r>
    <x v="296"/>
    <x v="296"/>
    <x v="898"/>
    <x v="13"/>
    <x v="14"/>
    <x v="0"/>
  </r>
  <r>
    <x v="514"/>
    <x v="514"/>
    <x v="899"/>
    <x v="1"/>
    <x v="1"/>
    <x v="0"/>
  </r>
  <r>
    <x v="513"/>
    <x v="513"/>
    <x v="900"/>
    <x v="19"/>
    <x v="20"/>
    <x v="0"/>
  </r>
  <r>
    <x v="298"/>
    <x v="298"/>
    <x v="901"/>
    <x v="10"/>
    <x v="11"/>
    <x v="0"/>
  </r>
  <r>
    <x v="297"/>
    <x v="297"/>
    <x v="902"/>
    <x v="39"/>
    <x v="41"/>
    <x v="0"/>
  </r>
  <r>
    <x v="515"/>
    <x v="515"/>
    <x v="903"/>
    <x v="27"/>
    <x v="30"/>
    <x v="0"/>
  </r>
  <r>
    <x v="516"/>
    <x v="516"/>
    <x v="904"/>
    <x v="23"/>
    <x v="26"/>
    <x v="0"/>
  </r>
  <r>
    <x v="517"/>
    <x v="517"/>
    <x v="905"/>
    <x v="1"/>
    <x v="1"/>
    <x v="0"/>
  </r>
  <r>
    <x v="302"/>
    <x v="302"/>
    <x v="906"/>
    <x v="2"/>
    <x v="2"/>
    <x v="0"/>
  </r>
  <r>
    <x v="739"/>
    <x v="739"/>
    <x v="907"/>
    <x v="37"/>
    <x v="40"/>
    <x v="0"/>
  </r>
  <r>
    <x v="519"/>
    <x v="519"/>
    <x v="908"/>
    <x v="1"/>
    <x v="1"/>
    <x v="0"/>
  </r>
  <r>
    <x v="936"/>
    <x v="936"/>
    <x v="909"/>
    <x v="36"/>
    <x v="39"/>
    <x v="0"/>
  </r>
  <r>
    <x v="303"/>
    <x v="303"/>
    <x v="910"/>
    <x v="40"/>
    <x v="42"/>
    <x v="0"/>
  </r>
  <r>
    <x v="740"/>
    <x v="740"/>
    <x v="911"/>
    <x v="4"/>
    <x v="4"/>
    <x v="0"/>
  </r>
  <r>
    <x v="520"/>
    <x v="520"/>
    <x v="912"/>
    <x v="30"/>
    <x v="33"/>
    <x v="0"/>
  </r>
  <r>
    <x v="927"/>
    <x v="927"/>
    <x v="913"/>
    <x v="35"/>
    <x v="38"/>
    <x v="0"/>
  </r>
  <r>
    <x v="521"/>
    <x v="521"/>
    <x v="914"/>
    <x v="1"/>
    <x v="1"/>
    <x v="0"/>
  </r>
  <r>
    <x v="522"/>
    <x v="522"/>
    <x v="915"/>
    <x v="1"/>
    <x v="1"/>
    <x v="0"/>
  </r>
  <r>
    <x v="523"/>
    <x v="523"/>
    <x v="916"/>
    <x v="1"/>
    <x v="1"/>
    <x v="0"/>
  </r>
  <r>
    <x v="741"/>
    <x v="741"/>
    <x v="917"/>
    <x v="38"/>
    <x v="6"/>
    <x v="0"/>
  </r>
  <r>
    <x v="524"/>
    <x v="524"/>
    <x v="918"/>
    <x v="1"/>
    <x v="1"/>
    <x v="0"/>
  </r>
  <r>
    <x v="928"/>
    <x v="928"/>
    <x v="919"/>
    <x v="7"/>
    <x v="8"/>
    <x v="0"/>
  </r>
  <r>
    <x v="742"/>
    <x v="742"/>
    <x v="920"/>
    <x v="26"/>
    <x v="29"/>
    <x v="0"/>
  </r>
  <r>
    <x v="743"/>
    <x v="743"/>
    <x v="921"/>
    <x v="22"/>
    <x v="25"/>
    <x v="0"/>
  </r>
  <r>
    <x v="748"/>
    <x v="748"/>
    <x v="922"/>
    <x v="32"/>
    <x v="35"/>
    <x v="0"/>
  </r>
  <r>
    <x v="744"/>
    <x v="744"/>
    <x v="923"/>
    <x v="22"/>
    <x v="25"/>
    <x v="0"/>
  </r>
  <r>
    <x v="929"/>
    <x v="929"/>
    <x v="924"/>
    <x v="15"/>
    <x v="16"/>
    <x v="0"/>
  </r>
  <r>
    <x v="300"/>
    <x v="300"/>
    <x v="925"/>
    <x v="23"/>
    <x v="26"/>
    <x v="0"/>
  </r>
  <r>
    <x v="745"/>
    <x v="745"/>
    <x v="926"/>
    <x v="32"/>
    <x v="35"/>
    <x v="0"/>
  </r>
  <r>
    <x v="299"/>
    <x v="299"/>
    <x v="927"/>
    <x v="5"/>
    <x v="5"/>
    <x v="0"/>
  </r>
  <r>
    <x v="307"/>
    <x v="307"/>
    <x v="928"/>
    <x v="40"/>
    <x v="42"/>
    <x v="0"/>
  </r>
  <r>
    <x v="304"/>
    <x v="304"/>
    <x v="929"/>
    <x v="16"/>
    <x v="17"/>
    <x v="0"/>
  </r>
  <r>
    <x v="930"/>
    <x v="930"/>
    <x v="930"/>
    <x v="7"/>
    <x v="8"/>
    <x v="0"/>
  </r>
  <r>
    <x v="211"/>
    <x v="211"/>
    <x v="931"/>
    <x v="20"/>
    <x v="22"/>
    <x v="0"/>
  </r>
  <r>
    <x v="216"/>
    <x v="216"/>
    <x v="932"/>
    <x v="20"/>
    <x v="22"/>
    <x v="0"/>
  </r>
  <r>
    <x v="518"/>
    <x v="518"/>
    <x v="933"/>
    <x v="1"/>
    <x v="1"/>
    <x v="0"/>
  </r>
  <r>
    <x v="933"/>
    <x v="933"/>
    <x v="934"/>
    <x v="15"/>
    <x v="16"/>
    <x v="0"/>
  </r>
  <r>
    <x v="934"/>
    <x v="934"/>
    <x v="935"/>
    <x v="28"/>
    <x v="31"/>
    <x v="0"/>
  </r>
  <r>
    <x v="935"/>
    <x v="935"/>
    <x v="936"/>
    <x v="28"/>
    <x v="31"/>
    <x v="0"/>
  </r>
  <r>
    <x v="527"/>
    <x v="527"/>
    <x v="937"/>
    <x v="33"/>
    <x v="36"/>
    <x v="0"/>
  </r>
  <r>
    <x v="301"/>
    <x v="301"/>
    <x v="938"/>
    <x v="2"/>
    <x v="2"/>
    <x v="0"/>
  </r>
  <r>
    <x v="526"/>
    <x v="526"/>
    <x v="939"/>
    <x v="9"/>
    <x v="10"/>
    <x v="0"/>
  </r>
  <r>
    <x v="747"/>
    <x v="747"/>
    <x v="940"/>
    <x v="17"/>
    <x v="18"/>
    <x v="0"/>
  </r>
  <r>
    <x v="937"/>
    <x v="937"/>
    <x v="941"/>
    <x v="15"/>
    <x v="16"/>
    <x v="0"/>
  </r>
  <r>
    <x v="749"/>
    <x v="749"/>
    <x v="942"/>
    <x v="17"/>
    <x v="18"/>
    <x v="0"/>
  </r>
  <r>
    <x v="938"/>
    <x v="938"/>
    <x v="943"/>
    <x v="29"/>
    <x v="32"/>
    <x v="0"/>
  </r>
  <r>
    <x v="939"/>
    <x v="939"/>
    <x v="944"/>
    <x v="7"/>
    <x v="8"/>
    <x v="0"/>
  </r>
  <r>
    <x v="305"/>
    <x v="305"/>
    <x v="945"/>
    <x v="13"/>
    <x v="14"/>
    <x v="0"/>
  </r>
  <r>
    <x v="814"/>
    <x v="814"/>
    <x v="946"/>
    <x v="8"/>
    <x v="9"/>
    <x v="0"/>
  </r>
</pivotCacheRecords>
</file>

<file path=xl/pivotCache/pivotCacheRecords2.xml><?xml version="1.0" encoding="utf-8"?>
<pivotCacheRecords xmlns="http://schemas.openxmlformats.org/spreadsheetml/2006/main" count="947">
  <r>
    <x v="532"/>
    <x v="532"/>
    <x v="0"/>
    <x v="24"/>
    <x v="27"/>
    <x v="0"/>
  </r>
  <r>
    <x v="0"/>
    <x v="0"/>
    <x v="1"/>
    <x v="10"/>
    <x v="11"/>
    <x v="0"/>
  </r>
  <r>
    <x v="533"/>
    <x v="533"/>
    <x v="2"/>
    <x v="22"/>
    <x v="25"/>
    <x v="0"/>
  </r>
  <r>
    <x v="534"/>
    <x v="534"/>
    <x v="3"/>
    <x v="37"/>
    <x v="40"/>
    <x v="0"/>
  </r>
  <r>
    <x v="1"/>
    <x v="1"/>
    <x v="4"/>
    <x v="6"/>
    <x v="7"/>
    <x v="0"/>
  </r>
  <r>
    <x v="311"/>
    <x v="311"/>
    <x v="5"/>
    <x v="1"/>
    <x v="1"/>
    <x v="0"/>
  </r>
  <r>
    <x v="13"/>
    <x v="13"/>
    <x v="6"/>
    <x v="23"/>
    <x v="26"/>
    <x v="0"/>
  </r>
  <r>
    <x v="763"/>
    <x v="763"/>
    <x v="7"/>
    <x v="0"/>
    <x v="0"/>
    <x v="0"/>
  </r>
  <r>
    <x v="312"/>
    <x v="312"/>
    <x v="8"/>
    <x v="19"/>
    <x v="20"/>
    <x v="0"/>
  </r>
  <r>
    <x v="566"/>
    <x v="566"/>
    <x v="9"/>
    <x v="32"/>
    <x v="35"/>
    <x v="0"/>
  </r>
  <r>
    <x v="535"/>
    <x v="535"/>
    <x v="10"/>
    <x v="32"/>
    <x v="35"/>
    <x v="0"/>
  </r>
  <r>
    <x v="536"/>
    <x v="536"/>
    <x v="11"/>
    <x v="3"/>
    <x v="3"/>
    <x v="0"/>
  </r>
  <r>
    <x v="537"/>
    <x v="537"/>
    <x v="12"/>
    <x v="17"/>
    <x v="18"/>
    <x v="0"/>
  </r>
  <r>
    <x v="313"/>
    <x v="313"/>
    <x v="13"/>
    <x v="1"/>
    <x v="1"/>
    <x v="0"/>
  </r>
  <r>
    <x v="538"/>
    <x v="538"/>
    <x v="14"/>
    <x v="32"/>
    <x v="35"/>
    <x v="0"/>
  </r>
  <r>
    <x v="539"/>
    <x v="539"/>
    <x v="15"/>
    <x v="22"/>
    <x v="25"/>
    <x v="0"/>
  </r>
  <r>
    <x v="540"/>
    <x v="540"/>
    <x v="16"/>
    <x v="17"/>
    <x v="18"/>
    <x v="0"/>
  </r>
  <r>
    <x v="764"/>
    <x v="764"/>
    <x v="17"/>
    <x v="11"/>
    <x v="12"/>
    <x v="0"/>
  </r>
  <r>
    <x v="765"/>
    <x v="765"/>
    <x v="18"/>
    <x v="7"/>
    <x v="8"/>
    <x v="0"/>
  </r>
  <r>
    <x v="314"/>
    <x v="314"/>
    <x v="19"/>
    <x v="9"/>
    <x v="10"/>
    <x v="0"/>
  </r>
  <r>
    <x v="766"/>
    <x v="766"/>
    <x v="20"/>
    <x v="21"/>
    <x v="24"/>
    <x v="0"/>
  </r>
  <r>
    <x v="541"/>
    <x v="541"/>
    <x v="21"/>
    <x v="32"/>
    <x v="35"/>
    <x v="0"/>
  </r>
  <r>
    <x v="542"/>
    <x v="542"/>
    <x v="22"/>
    <x v="32"/>
    <x v="35"/>
    <x v="0"/>
  </r>
  <r>
    <x v="543"/>
    <x v="543"/>
    <x v="23"/>
    <x v="32"/>
    <x v="35"/>
    <x v="0"/>
  </r>
  <r>
    <x v="767"/>
    <x v="767"/>
    <x v="24"/>
    <x v="0"/>
    <x v="0"/>
    <x v="0"/>
  </r>
  <r>
    <x v="943"/>
    <x v="943"/>
    <x v="25"/>
    <x v="8"/>
    <x v="9"/>
    <x v="0"/>
  </r>
  <r>
    <x v="768"/>
    <x v="768"/>
    <x v="26"/>
    <x v="8"/>
    <x v="9"/>
    <x v="0"/>
  </r>
  <r>
    <x v="769"/>
    <x v="769"/>
    <x v="27"/>
    <x v="7"/>
    <x v="8"/>
    <x v="0"/>
  </r>
  <r>
    <x v="2"/>
    <x v="2"/>
    <x v="28"/>
    <x v="20"/>
    <x v="22"/>
    <x v="0"/>
  </r>
  <r>
    <x v="770"/>
    <x v="770"/>
    <x v="29"/>
    <x v="8"/>
    <x v="9"/>
    <x v="0"/>
  </r>
  <r>
    <x v="544"/>
    <x v="544"/>
    <x v="30"/>
    <x v="32"/>
    <x v="35"/>
    <x v="0"/>
  </r>
  <r>
    <x v="545"/>
    <x v="545"/>
    <x v="31"/>
    <x v="32"/>
    <x v="35"/>
    <x v="0"/>
  </r>
  <r>
    <x v="771"/>
    <x v="771"/>
    <x v="32"/>
    <x v="7"/>
    <x v="8"/>
    <x v="0"/>
  </r>
  <r>
    <x v="546"/>
    <x v="546"/>
    <x v="33"/>
    <x v="22"/>
    <x v="25"/>
    <x v="0"/>
  </r>
  <r>
    <x v="547"/>
    <x v="547"/>
    <x v="34"/>
    <x v="32"/>
    <x v="35"/>
    <x v="0"/>
  </r>
  <r>
    <x v="548"/>
    <x v="548"/>
    <x v="35"/>
    <x v="25"/>
    <x v="28"/>
    <x v="0"/>
  </r>
  <r>
    <x v="772"/>
    <x v="772"/>
    <x v="36"/>
    <x v="0"/>
    <x v="0"/>
    <x v="0"/>
  </r>
  <r>
    <x v="549"/>
    <x v="549"/>
    <x v="37"/>
    <x v="32"/>
    <x v="35"/>
    <x v="0"/>
  </r>
  <r>
    <x v="550"/>
    <x v="550"/>
    <x v="38"/>
    <x v="32"/>
    <x v="35"/>
    <x v="0"/>
  </r>
  <r>
    <x v="551"/>
    <x v="551"/>
    <x v="39"/>
    <x v="32"/>
    <x v="35"/>
    <x v="0"/>
  </r>
  <r>
    <x v="773"/>
    <x v="773"/>
    <x v="40"/>
    <x v="7"/>
    <x v="8"/>
    <x v="0"/>
  </r>
  <r>
    <x v="552"/>
    <x v="552"/>
    <x v="41"/>
    <x v="22"/>
    <x v="25"/>
    <x v="0"/>
  </r>
  <r>
    <x v="316"/>
    <x v="316"/>
    <x v="42"/>
    <x v="14"/>
    <x v="15"/>
    <x v="0"/>
  </r>
  <r>
    <x v="3"/>
    <x v="3"/>
    <x v="43"/>
    <x v="42"/>
    <x v="21"/>
    <x v="0"/>
  </r>
  <r>
    <x v="553"/>
    <x v="553"/>
    <x v="44"/>
    <x v="32"/>
    <x v="35"/>
    <x v="0"/>
  </r>
  <r>
    <x v="554"/>
    <x v="554"/>
    <x v="45"/>
    <x v="25"/>
    <x v="28"/>
    <x v="0"/>
  </r>
  <r>
    <x v="774"/>
    <x v="774"/>
    <x v="46"/>
    <x v="35"/>
    <x v="38"/>
    <x v="0"/>
  </r>
  <r>
    <x v="317"/>
    <x v="317"/>
    <x v="47"/>
    <x v="33"/>
    <x v="36"/>
    <x v="0"/>
  </r>
  <r>
    <x v="775"/>
    <x v="775"/>
    <x v="48"/>
    <x v="8"/>
    <x v="9"/>
    <x v="0"/>
  </r>
  <r>
    <x v="4"/>
    <x v="4"/>
    <x v="49"/>
    <x v="40"/>
    <x v="42"/>
    <x v="0"/>
  </r>
  <r>
    <x v="945"/>
    <x v="945"/>
    <x v="50"/>
    <x v="8"/>
    <x v="9"/>
    <x v="0"/>
  </r>
  <r>
    <x v="776"/>
    <x v="776"/>
    <x v="51"/>
    <x v="21"/>
    <x v="24"/>
    <x v="0"/>
  </r>
  <r>
    <x v="318"/>
    <x v="318"/>
    <x v="52"/>
    <x v="33"/>
    <x v="36"/>
    <x v="0"/>
  </r>
  <r>
    <x v="556"/>
    <x v="556"/>
    <x v="53"/>
    <x v="37"/>
    <x v="40"/>
    <x v="0"/>
  </r>
  <r>
    <x v="557"/>
    <x v="557"/>
    <x v="54"/>
    <x v="17"/>
    <x v="18"/>
    <x v="0"/>
  </r>
  <r>
    <x v="778"/>
    <x v="778"/>
    <x v="55"/>
    <x v="11"/>
    <x v="12"/>
    <x v="0"/>
  </r>
  <r>
    <x v="777"/>
    <x v="777"/>
    <x v="56"/>
    <x v="7"/>
    <x v="8"/>
    <x v="0"/>
  </r>
  <r>
    <x v="319"/>
    <x v="319"/>
    <x v="57"/>
    <x v="33"/>
    <x v="36"/>
    <x v="0"/>
  </r>
  <r>
    <x v="5"/>
    <x v="5"/>
    <x v="58"/>
    <x v="20"/>
    <x v="22"/>
    <x v="0"/>
  </r>
  <r>
    <x v="6"/>
    <x v="6"/>
    <x v="59"/>
    <x v="20"/>
    <x v="22"/>
    <x v="0"/>
  </r>
  <r>
    <x v="320"/>
    <x v="320"/>
    <x v="60"/>
    <x v="18"/>
    <x v="19"/>
    <x v="0"/>
  </r>
  <r>
    <x v="7"/>
    <x v="7"/>
    <x v="61"/>
    <x v="5"/>
    <x v="5"/>
    <x v="0"/>
  </r>
  <r>
    <x v="779"/>
    <x v="779"/>
    <x v="62"/>
    <x v="7"/>
    <x v="8"/>
    <x v="0"/>
  </r>
  <r>
    <x v="8"/>
    <x v="8"/>
    <x v="63"/>
    <x v="20"/>
    <x v="22"/>
    <x v="0"/>
  </r>
  <r>
    <x v="321"/>
    <x v="321"/>
    <x v="64"/>
    <x v="1"/>
    <x v="1"/>
    <x v="0"/>
  </r>
  <r>
    <x v="780"/>
    <x v="780"/>
    <x v="65"/>
    <x v="36"/>
    <x v="39"/>
    <x v="0"/>
  </r>
  <r>
    <x v="559"/>
    <x v="559"/>
    <x v="66"/>
    <x v="38"/>
    <x v="6"/>
    <x v="0"/>
  </r>
  <r>
    <x v="560"/>
    <x v="560"/>
    <x v="67"/>
    <x v="3"/>
    <x v="3"/>
    <x v="0"/>
  </r>
  <r>
    <x v="9"/>
    <x v="9"/>
    <x v="68"/>
    <x v="6"/>
    <x v="7"/>
    <x v="0"/>
  </r>
  <r>
    <x v="561"/>
    <x v="561"/>
    <x v="69"/>
    <x v="32"/>
    <x v="35"/>
    <x v="0"/>
  </r>
  <r>
    <x v="562"/>
    <x v="562"/>
    <x v="70"/>
    <x v="22"/>
    <x v="25"/>
    <x v="0"/>
  </r>
  <r>
    <x v="781"/>
    <x v="781"/>
    <x v="71"/>
    <x v="29"/>
    <x v="32"/>
    <x v="0"/>
  </r>
  <r>
    <x v="564"/>
    <x v="564"/>
    <x v="72"/>
    <x v="32"/>
    <x v="35"/>
    <x v="0"/>
  </r>
  <r>
    <x v="565"/>
    <x v="565"/>
    <x v="73"/>
    <x v="22"/>
    <x v="25"/>
    <x v="0"/>
  </r>
  <r>
    <x v="10"/>
    <x v="10"/>
    <x v="74"/>
    <x v="13"/>
    <x v="14"/>
    <x v="0"/>
  </r>
  <r>
    <x v="11"/>
    <x v="11"/>
    <x v="75"/>
    <x v="6"/>
    <x v="7"/>
    <x v="0"/>
  </r>
  <r>
    <x v="322"/>
    <x v="322"/>
    <x v="76"/>
    <x v="1"/>
    <x v="1"/>
    <x v="0"/>
  </r>
  <r>
    <x v="12"/>
    <x v="12"/>
    <x v="77"/>
    <x v="2"/>
    <x v="2"/>
    <x v="0"/>
  </r>
  <r>
    <x v="14"/>
    <x v="14"/>
    <x v="78"/>
    <x v="12"/>
    <x v="13"/>
    <x v="0"/>
  </r>
  <r>
    <x v="309"/>
    <x v="309"/>
    <x v="79"/>
    <x v="39"/>
    <x v="41"/>
    <x v="0"/>
  </r>
  <r>
    <x v="15"/>
    <x v="15"/>
    <x v="80"/>
    <x v="13"/>
    <x v="14"/>
    <x v="0"/>
  </r>
  <r>
    <x v="567"/>
    <x v="567"/>
    <x v="81"/>
    <x v="25"/>
    <x v="28"/>
    <x v="0"/>
  </r>
  <r>
    <x v="568"/>
    <x v="568"/>
    <x v="82"/>
    <x v="22"/>
    <x v="25"/>
    <x v="0"/>
  </r>
  <r>
    <x v="16"/>
    <x v="16"/>
    <x v="83"/>
    <x v="23"/>
    <x v="26"/>
    <x v="0"/>
  </r>
  <r>
    <x v="17"/>
    <x v="17"/>
    <x v="84"/>
    <x v="6"/>
    <x v="7"/>
    <x v="0"/>
  </r>
  <r>
    <x v="782"/>
    <x v="782"/>
    <x v="85"/>
    <x v="11"/>
    <x v="12"/>
    <x v="0"/>
  </r>
  <r>
    <x v="325"/>
    <x v="325"/>
    <x v="86"/>
    <x v="27"/>
    <x v="30"/>
    <x v="0"/>
  </r>
  <r>
    <x v="569"/>
    <x v="569"/>
    <x v="87"/>
    <x v="26"/>
    <x v="29"/>
    <x v="0"/>
  </r>
  <r>
    <x v="783"/>
    <x v="783"/>
    <x v="88"/>
    <x v="15"/>
    <x v="16"/>
    <x v="0"/>
  </r>
  <r>
    <x v="249"/>
    <x v="249"/>
    <x v="89"/>
    <x v="39"/>
    <x v="41"/>
    <x v="0"/>
  </r>
  <r>
    <x v="18"/>
    <x v="18"/>
    <x v="90"/>
    <x v="12"/>
    <x v="13"/>
    <x v="0"/>
  </r>
  <r>
    <x v="570"/>
    <x v="570"/>
    <x v="91"/>
    <x v="22"/>
    <x v="25"/>
    <x v="0"/>
  </r>
  <r>
    <x v="326"/>
    <x v="326"/>
    <x v="92"/>
    <x v="1"/>
    <x v="1"/>
    <x v="0"/>
  </r>
  <r>
    <x v="572"/>
    <x v="572"/>
    <x v="93"/>
    <x v="3"/>
    <x v="3"/>
    <x v="0"/>
  </r>
  <r>
    <x v="784"/>
    <x v="784"/>
    <x v="94"/>
    <x v="36"/>
    <x v="39"/>
    <x v="0"/>
  </r>
  <r>
    <x v="573"/>
    <x v="573"/>
    <x v="95"/>
    <x v="38"/>
    <x v="6"/>
    <x v="0"/>
  </r>
  <r>
    <x v="19"/>
    <x v="19"/>
    <x v="96"/>
    <x v="10"/>
    <x v="11"/>
    <x v="0"/>
  </r>
  <r>
    <x v="323"/>
    <x v="323"/>
    <x v="97"/>
    <x v="9"/>
    <x v="10"/>
    <x v="0"/>
  </r>
  <r>
    <x v="574"/>
    <x v="574"/>
    <x v="98"/>
    <x v="37"/>
    <x v="40"/>
    <x v="0"/>
  </r>
  <r>
    <x v="576"/>
    <x v="576"/>
    <x v="99"/>
    <x v="26"/>
    <x v="29"/>
    <x v="0"/>
  </r>
  <r>
    <x v="679"/>
    <x v="679"/>
    <x v="100"/>
    <x v="17"/>
    <x v="18"/>
    <x v="0"/>
  </r>
  <r>
    <x v="327"/>
    <x v="327"/>
    <x v="101"/>
    <x v="9"/>
    <x v="10"/>
    <x v="0"/>
  </r>
  <r>
    <x v="575"/>
    <x v="575"/>
    <x v="102"/>
    <x v="22"/>
    <x v="25"/>
    <x v="0"/>
  </r>
  <r>
    <x v="577"/>
    <x v="577"/>
    <x v="103"/>
    <x v="22"/>
    <x v="25"/>
    <x v="0"/>
  </r>
  <r>
    <x v="785"/>
    <x v="785"/>
    <x v="104"/>
    <x v="28"/>
    <x v="31"/>
    <x v="0"/>
  </r>
  <r>
    <x v="20"/>
    <x v="20"/>
    <x v="105"/>
    <x v="5"/>
    <x v="5"/>
    <x v="0"/>
  </r>
  <r>
    <x v="578"/>
    <x v="578"/>
    <x v="106"/>
    <x v="37"/>
    <x v="40"/>
    <x v="0"/>
  </r>
  <r>
    <x v="786"/>
    <x v="786"/>
    <x v="107"/>
    <x v="11"/>
    <x v="12"/>
    <x v="0"/>
  </r>
  <r>
    <x v="579"/>
    <x v="579"/>
    <x v="108"/>
    <x v="14"/>
    <x v="15"/>
    <x v="0"/>
  </r>
  <r>
    <x v="580"/>
    <x v="580"/>
    <x v="109"/>
    <x v="26"/>
    <x v="29"/>
    <x v="0"/>
  </r>
  <r>
    <x v="581"/>
    <x v="581"/>
    <x v="110"/>
    <x v="32"/>
    <x v="35"/>
    <x v="0"/>
  </r>
  <r>
    <x v="787"/>
    <x v="787"/>
    <x v="111"/>
    <x v="8"/>
    <x v="9"/>
    <x v="0"/>
  </r>
  <r>
    <x v="788"/>
    <x v="788"/>
    <x v="112"/>
    <x v="29"/>
    <x v="32"/>
    <x v="0"/>
  </r>
  <r>
    <x v="21"/>
    <x v="21"/>
    <x v="113"/>
    <x v="13"/>
    <x v="14"/>
    <x v="0"/>
  </r>
  <r>
    <x v="328"/>
    <x v="328"/>
    <x v="114"/>
    <x v="18"/>
    <x v="19"/>
    <x v="0"/>
  </r>
  <r>
    <x v="329"/>
    <x v="329"/>
    <x v="115"/>
    <x v="19"/>
    <x v="20"/>
    <x v="0"/>
  </r>
  <r>
    <x v="330"/>
    <x v="330"/>
    <x v="116"/>
    <x v="18"/>
    <x v="19"/>
    <x v="0"/>
  </r>
  <r>
    <x v="22"/>
    <x v="22"/>
    <x v="117"/>
    <x v="40"/>
    <x v="42"/>
    <x v="0"/>
  </r>
  <r>
    <x v="582"/>
    <x v="582"/>
    <x v="118"/>
    <x v="34"/>
    <x v="37"/>
    <x v="0"/>
  </r>
  <r>
    <x v="331"/>
    <x v="331"/>
    <x v="119"/>
    <x v="9"/>
    <x v="10"/>
    <x v="0"/>
  </r>
  <r>
    <x v="789"/>
    <x v="789"/>
    <x v="120"/>
    <x v="28"/>
    <x v="31"/>
    <x v="0"/>
  </r>
  <r>
    <x v="790"/>
    <x v="790"/>
    <x v="121"/>
    <x v="11"/>
    <x v="12"/>
    <x v="0"/>
  </r>
  <r>
    <x v="528"/>
    <x v="528"/>
    <x v="122"/>
    <x v="1"/>
    <x v="1"/>
    <x v="0"/>
  </r>
  <r>
    <x v="791"/>
    <x v="791"/>
    <x v="123"/>
    <x v="15"/>
    <x v="16"/>
    <x v="0"/>
  </r>
  <r>
    <x v="332"/>
    <x v="332"/>
    <x v="124"/>
    <x v="33"/>
    <x v="36"/>
    <x v="0"/>
  </r>
  <r>
    <x v="338"/>
    <x v="338"/>
    <x v="125"/>
    <x v="1"/>
    <x v="1"/>
    <x v="0"/>
  </r>
  <r>
    <x v="333"/>
    <x v="333"/>
    <x v="126"/>
    <x v="14"/>
    <x v="15"/>
    <x v="0"/>
  </r>
  <r>
    <x v="792"/>
    <x v="792"/>
    <x v="127"/>
    <x v="11"/>
    <x v="12"/>
    <x v="0"/>
  </r>
  <r>
    <x v="584"/>
    <x v="584"/>
    <x v="128"/>
    <x v="38"/>
    <x v="6"/>
    <x v="0"/>
  </r>
  <r>
    <x v="334"/>
    <x v="334"/>
    <x v="129"/>
    <x v="19"/>
    <x v="20"/>
    <x v="0"/>
  </r>
  <r>
    <x v="585"/>
    <x v="585"/>
    <x v="130"/>
    <x v="17"/>
    <x v="18"/>
    <x v="0"/>
  </r>
  <r>
    <x v="793"/>
    <x v="793"/>
    <x v="131"/>
    <x v="7"/>
    <x v="8"/>
    <x v="0"/>
  </r>
  <r>
    <x v="335"/>
    <x v="335"/>
    <x v="132"/>
    <x v="1"/>
    <x v="1"/>
    <x v="0"/>
  </r>
  <r>
    <x v="23"/>
    <x v="23"/>
    <x v="133"/>
    <x v="13"/>
    <x v="14"/>
    <x v="0"/>
  </r>
  <r>
    <x v="586"/>
    <x v="586"/>
    <x v="134"/>
    <x v="38"/>
    <x v="6"/>
    <x v="0"/>
  </r>
  <r>
    <x v="794"/>
    <x v="794"/>
    <x v="135"/>
    <x v="36"/>
    <x v="39"/>
    <x v="0"/>
  </r>
  <r>
    <x v="795"/>
    <x v="795"/>
    <x v="136"/>
    <x v="7"/>
    <x v="8"/>
    <x v="0"/>
  </r>
  <r>
    <x v="583"/>
    <x v="583"/>
    <x v="137"/>
    <x v="17"/>
    <x v="18"/>
    <x v="0"/>
  </r>
  <r>
    <x v="796"/>
    <x v="796"/>
    <x v="138"/>
    <x v="0"/>
    <x v="0"/>
    <x v="0"/>
  </r>
  <r>
    <x v="336"/>
    <x v="336"/>
    <x v="139"/>
    <x v="33"/>
    <x v="36"/>
    <x v="0"/>
  </r>
  <r>
    <x v="24"/>
    <x v="24"/>
    <x v="140"/>
    <x v="5"/>
    <x v="5"/>
    <x v="0"/>
  </r>
  <r>
    <x v="25"/>
    <x v="25"/>
    <x v="141"/>
    <x v="23"/>
    <x v="26"/>
    <x v="0"/>
  </r>
  <r>
    <x v="337"/>
    <x v="337"/>
    <x v="142"/>
    <x v="33"/>
    <x v="36"/>
    <x v="0"/>
  </r>
  <r>
    <x v="797"/>
    <x v="797"/>
    <x v="143"/>
    <x v="28"/>
    <x v="31"/>
    <x v="0"/>
  </r>
  <r>
    <x v="587"/>
    <x v="587"/>
    <x v="144"/>
    <x v="22"/>
    <x v="25"/>
    <x v="0"/>
  </r>
  <r>
    <x v="340"/>
    <x v="340"/>
    <x v="145"/>
    <x v="1"/>
    <x v="1"/>
    <x v="0"/>
  </r>
  <r>
    <x v="339"/>
    <x v="339"/>
    <x v="146"/>
    <x v="1"/>
    <x v="1"/>
    <x v="0"/>
  </r>
  <r>
    <x v="26"/>
    <x v="26"/>
    <x v="147"/>
    <x v="2"/>
    <x v="2"/>
    <x v="0"/>
  </r>
  <r>
    <x v="588"/>
    <x v="588"/>
    <x v="148"/>
    <x v="3"/>
    <x v="3"/>
    <x v="0"/>
  </r>
  <r>
    <x v="798"/>
    <x v="798"/>
    <x v="149"/>
    <x v="0"/>
    <x v="0"/>
    <x v="0"/>
  </r>
  <r>
    <x v="27"/>
    <x v="27"/>
    <x v="150"/>
    <x v="5"/>
    <x v="5"/>
    <x v="0"/>
  </r>
  <r>
    <x v="28"/>
    <x v="28"/>
    <x v="151"/>
    <x v="20"/>
    <x v="22"/>
    <x v="0"/>
  </r>
  <r>
    <x v="29"/>
    <x v="29"/>
    <x v="152"/>
    <x v="20"/>
    <x v="22"/>
    <x v="0"/>
  </r>
  <r>
    <x v="341"/>
    <x v="341"/>
    <x v="153"/>
    <x v="1"/>
    <x v="1"/>
    <x v="0"/>
  </r>
  <r>
    <x v="30"/>
    <x v="30"/>
    <x v="154"/>
    <x v="5"/>
    <x v="5"/>
    <x v="0"/>
  </r>
  <r>
    <x v="799"/>
    <x v="799"/>
    <x v="155"/>
    <x v="11"/>
    <x v="12"/>
    <x v="0"/>
  </r>
  <r>
    <x v="33"/>
    <x v="33"/>
    <x v="156"/>
    <x v="41"/>
    <x v="23"/>
    <x v="0"/>
  </r>
  <r>
    <x v="31"/>
    <x v="31"/>
    <x v="157"/>
    <x v="20"/>
    <x v="22"/>
    <x v="0"/>
  </r>
  <r>
    <x v="342"/>
    <x v="342"/>
    <x v="158"/>
    <x v="33"/>
    <x v="36"/>
    <x v="0"/>
  </r>
  <r>
    <x v="32"/>
    <x v="32"/>
    <x v="159"/>
    <x v="40"/>
    <x v="42"/>
    <x v="0"/>
  </r>
  <r>
    <x v="34"/>
    <x v="34"/>
    <x v="160"/>
    <x v="20"/>
    <x v="22"/>
    <x v="0"/>
  </r>
  <r>
    <x v="36"/>
    <x v="36"/>
    <x v="161"/>
    <x v="23"/>
    <x v="26"/>
    <x v="0"/>
  </r>
  <r>
    <x v="37"/>
    <x v="37"/>
    <x v="162"/>
    <x v="6"/>
    <x v="7"/>
    <x v="0"/>
  </r>
  <r>
    <x v="35"/>
    <x v="35"/>
    <x v="163"/>
    <x v="5"/>
    <x v="5"/>
    <x v="0"/>
  </r>
  <r>
    <x v="343"/>
    <x v="343"/>
    <x v="164"/>
    <x v="9"/>
    <x v="10"/>
    <x v="0"/>
  </r>
  <r>
    <x v="589"/>
    <x v="589"/>
    <x v="165"/>
    <x v="22"/>
    <x v="25"/>
    <x v="0"/>
  </r>
  <r>
    <x v="942"/>
    <x v="942"/>
    <x v="166"/>
    <x v="8"/>
    <x v="9"/>
    <x v="0"/>
  </r>
  <r>
    <x v="800"/>
    <x v="800"/>
    <x v="167"/>
    <x v="7"/>
    <x v="8"/>
    <x v="0"/>
  </r>
  <r>
    <x v="344"/>
    <x v="344"/>
    <x v="168"/>
    <x v="27"/>
    <x v="30"/>
    <x v="0"/>
  </r>
  <r>
    <x v="345"/>
    <x v="345"/>
    <x v="169"/>
    <x v="30"/>
    <x v="33"/>
    <x v="0"/>
  </r>
  <r>
    <x v="346"/>
    <x v="346"/>
    <x v="170"/>
    <x v="30"/>
    <x v="33"/>
    <x v="0"/>
  </r>
  <r>
    <x v="38"/>
    <x v="38"/>
    <x v="171"/>
    <x v="40"/>
    <x v="42"/>
    <x v="0"/>
  </r>
  <r>
    <x v="347"/>
    <x v="347"/>
    <x v="172"/>
    <x v="19"/>
    <x v="20"/>
    <x v="0"/>
  </r>
  <r>
    <x v="348"/>
    <x v="348"/>
    <x v="173"/>
    <x v="30"/>
    <x v="33"/>
    <x v="0"/>
  </r>
  <r>
    <x v="590"/>
    <x v="590"/>
    <x v="174"/>
    <x v="38"/>
    <x v="6"/>
    <x v="0"/>
  </r>
  <r>
    <x v="349"/>
    <x v="349"/>
    <x v="175"/>
    <x v="19"/>
    <x v="20"/>
    <x v="0"/>
  </r>
  <r>
    <x v="39"/>
    <x v="39"/>
    <x v="176"/>
    <x v="20"/>
    <x v="22"/>
    <x v="0"/>
  </r>
  <r>
    <x v="946"/>
    <x v="946"/>
    <x v="177"/>
    <x v="35"/>
    <x v="38"/>
    <x v="0"/>
  </r>
  <r>
    <x v="40"/>
    <x v="40"/>
    <x v="178"/>
    <x v="40"/>
    <x v="42"/>
    <x v="0"/>
  </r>
  <r>
    <x v="41"/>
    <x v="41"/>
    <x v="179"/>
    <x v="40"/>
    <x v="42"/>
    <x v="0"/>
  </r>
  <r>
    <x v="350"/>
    <x v="350"/>
    <x v="180"/>
    <x v="1"/>
    <x v="1"/>
    <x v="0"/>
  </r>
  <r>
    <x v="42"/>
    <x v="42"/>
    <x v="181"/>
    <x v="16"/>
    <x v="17"/>
    <x v="0"/>
  </r>
  <r>
    <x v="801"/>
    <x v="801"/>
    <x v="182"/>
    <x v="7"/>
    <x v="8"/>
    <x v="0"/>
  </r>
  <r>
    <x v="802"/>
    <x v="802"/>
    <x v="183"/>
    <x v="28"/>
    <x v="31"/>
    <x v="0"/>
  </r>
  <r>
    <x v="43"/>
    <x v="43"/>
    <x v="184"/>
    <x v="5"/>
    <x v="5"/>
    <x v="0"/>
  </r>
  <r>
    <x v="351"/>
    <x v="351"/>
    <x v="185"/>
    <x v="1"/>
    <x v="1"/>
    <x v="0"/>
  </r>
  <r>
    <x v="44"/>
    <x v="44"/>
    <x v="186"/>
    <x v="13"/>
    <x v="14"/>
    <x v="0"/>
  </r>
  <r>
    <x v="45"/>
    <x v="45"/>
    <x v="187"/>
    <x v="40"/>
    <x v="42"/>
    <x v="0"/>
  </r>
  <r>
    <x v="46"/>
    <x v="46"/>
    <x v="188"/>
    <x v="6"/>
    <x v="7"/>
    <x v="0"/>
  </r>
  <r>
    <x v="47"/>
    <x v="47"/>
    <x v="189"/>
    <x v="5"/>
    <x v="5"/>
    <x v="0"/>
  </r>
  <r>
    <x v="803"/>
    <x v="803"/>
    <x v="190"/>
    <x v="36"/>
    <x v="39"/>
    <x v="0"/>
  </r>
  <r>
    <x v="353"/>
    <x v="353"/>
    <x v="191"/>
    <x v="19"/>
    <x v="20"/>
    <x v="0"/>
  </r>
  <r>
    <x v="48"/>
    <x v="48"/>
    <x v="192"/>
    <x v="13"/>
    <x v="14"/>
    <x v="0"/>
  </r>
  <r>
    <x v="356"/>
    <x v="356"/>
    <x v="193"/>
    <x v="9"/>
    <x v="10"/>
    <x v="0"/>
  </r>
  <r>
    <x v="56"/>
    <x v="56"/>
    <x v="194"/>
    <x v="13"/>
    <x v="14"/>
    <x v="0"/>
  </r>
  <r>
    <x v="753"/>
    <x v="753"/>
    <x v="195"/>
    <x v="24"/>
    <x v="27"/>
    <x v="0"/>
  </r>
  <r>
    <x v="591"/>
    <x v="591"/>
    <x v="196"/>
    <x v="34"/>
    <x v="37"/>
    <x v="0"/>
  </r>
  <r>
    <x v="51"/>
    <x v="51"/>
    <x v="197"/>
    <x v="13"/>
    <x v="14"/>
    <x v="0"/>
  </r>
  <r>
    <x v="49"/>
    <x v="49"/>
    <x v="198"/>
    <x v="13"/>
    <x v="14"/>
    <x v="0"/>
  </r>
  <r>
    <x v="50"/>
    <x v="50"/>
    <x v="199"/>
    <x v="39"/>
    <x v="41"/>
    <x v="0"/>
  </r>
  <r>
    <x v="52"/>
    <x v="52"/>
    <x v="200"/>
    <x v="6"/>
    <x v="7"/>
    <x v="0"/>
  </r>
  <r>
    <x v="53"/>
    <x v="53"/>
    <x v="201"/>
    <x v="39"/>
    <x v="41"/>
    <x v="0"/>
  </r>
  <r>
    <x v="54"/>
    <x v="54"/>
    <x v="202"/>
    <x v="41"/>
    <x v="23"/>
    <x v="0"/>
  </r>
  <r>
    <x v="592"/>
    <x v="592"/>
    <x v="203"/>
    <x v="17"/>
    <x v="18"/>
    <x v="0"/>
  </r>
  <r>
    <x v="55"/>
    <x v="55"/>
    <x v="204"/>
    <x v="10"/>
    <x v="11"/>
    <x v="0"/>
  </r>
  <r>
    <x v="57"/>
    <x v="57"/>
    <x v="205"/>
    <x v="2"/>
    <x v="2"/>
    <x v="0"/>
  </r>
  <r>
    <x v="354"/>
    <x v="354"/>
    <x v="206"/>
    <x v="18"/>
    <x v="19"/>
    <x v="0"/>
  </r>
  <r>
    <x v="59"/>
    <x v="59"/>
    <x v="207"/>
    <x v="5"/>
    <x v="5"/>
    <x v="0"/>
  </r>
  <r>
    <x v="58"/>
    <x v="58"/>
    <x v="208"/>
    <x v="6"/>
    <x v="7"/>
    <x v="0"/>
  </r>
  <r>
    <x v="60"/>
    <x v="60"/>
    <x v="209"/>
    <x v="6"/>
    <x v="7"/>
    <x v="0"/>
  </r>
  <r>
    <x v="61"/>
    <x v="61"/>
    <x v="210"/>
    <x v="6"/>
    <x v="7"/>
    <x v="0"/>
  </r>
  <r>
    <x v="593"/>
    <x v="593"/>
    <x v="211"/>
    <x v="26"/>
    <x v="29"/>
    <x v="0"/>
  </r>
  <r>
    <x v="355"/>
    <x v="355"/>
    <x v="212"/>
    <x v="1"/>
    <x v="1"/>
    <x v="0"/>
  </r>
  <r>
    <x v="594"/>
    <x v="594"/>
    <x v="213"/>
    <x v="22"/>
    <x v="25"/>
    <x v="0"/>
  </r>
  <r>
    <x v="62"/>
    <x v="62"/>
    <x v="214"/>
    <x v="5"/>
    <x v="5"/>
    <x v="0"/>
  </r>
  <r>
    <x v="595"/>
    <x v="595"/>
    <x v="215"/>
    <x v="37"/>
    <x v="40"/>
    <x v="0"/>
  </r>
  <r>
    <x v="63"/>
    <x v="63"/>
    <x v="216"/>
    <x v="41"/>
    <x v="23"/>
    <x v="0"/>
  </r>
  <r>
    <x v="804"/>
    <x v="804"/>
    <x v="217"/>
    <x v="7"/>
    <x v="8"/>
    <x v="0"/>
  </r>
  <r>
    <x v="64"/>
    <x v="64"/>
    <x v="218"/>
    <x v="2"/>
    <x v="2"/>
    <x v="0"/>
  </r>
  <r>
    <x v="65"/>
    <x v="65"/>
    <x v="219"/>
    <x v="10"/>
    <x v="11"/>
    <x v="0"/>
  </r>
  <r>
    <x v="805"/>
    <x v="805"/>
    <x v="220"/>
    <x v="35"/>
    <x v="38"/>
    <x v="0"/>
  </r>
  <r>
    <x v="596"/>
    <x v="596"/>
    <x v="221"/>
    <x v="3"/>
    <x v="3"/>
    <x v="0"/>
  </r>
  <r>
    <x v="486"/>
    <x v="486"/>
    <x v="222"/>
    <x v="33"/>
    <x v="36"/>
    <x v="0"/>
  </r>
  <r>
    <x v="357"/>
    <x v="357"/>
    <x v="223"/>
    <x v="19"/>
    <x v="20"/>
    <x v="0"/>
  </r>
  <r>
    <x v="66"/>
    <x v="66"/>
    <x v="224"/>
    <x v="23"/>
    <x v="26"/>
    <x v="0"/>
  </r>
  <r>
    <x v="265"/>
    <x v="265"/>
    <x v="225"/>
    <x v="13"/>
    <x v="14"/>
    <x v="0"/>
  </r>
  <r>
    <x v="263"/>
    <x v="263"/>
    <x v="226"/>
    <x v="39"/>
    <x v="41"/>
    <x v="0"/>
  </r>
  <r>
    <x v="67"/>
    <x v="67"/>
    <x v="227"/>
    <x v="10"/>
    <x v="11"/>
    <x v="0"/>
  </r>
  <r>
    <x v="597"/>
    <x v="597"/>
    <x v="228"/>
    <x v="31"/>
    <x v="34"/>
    <x v="0"/>
  </r>
  <r>
    <x v="598"/>
    <x v="598"/>
    <x v="229"/>
    <x v="17"/>
    <x v="18"/>
    <x v="0"/>
  </r>
  <r>
    <x v="358"/>
    <x v="358"/>
    <x v="230"/>
    <x v="19"/>
    <x v="20"/>
    <x v="0"/>
  </r>
  <r>
    <x v="359"/>
    <x v="359"/>
    <x v="231"/>
    <x v="1"/>
    <x v="1"/>
    <x v="0"/>
  </r>
  <r>
    <x v="599"/>
    <x v="599"/>
    <x v="232"/>
    <x v="37"/>
    <x v="40"/>
    <x v="0"/>
  </r>
  <r>
    <x v="600"/>
    <x v="600"/>
    <x v="233"/>
    <x v="34"/>
    <x v="37"/>
    <x v="0"/>
  </r>
  <r>
    <x v="601"/>
    <x v="601"/>
    <x v="234"/>
    <x v="17"/>
    <x v="18"/>
    <x v="0"/>
  </r>
  <r>
    <x v="361"/>
    <x v="361"/>
    <x v="235"/>
    <x v="1"/>
    <x v="1"/>
    <x v="0"/>
  </r>
  <r>
    <x v="602"/>
    <x v="602"/>
    <x v="236"/>
    <x v="3"/>
    <x v="3"/>
    <x v="0"/>
  </r>
  <r>
    <x v="68"/>
    <x v="68"/>
    <x v="237"/>
    <x v="10"/>
    <x v="11"/>
    <x v="0"/>
  </r>
  <r>
    <x v="807"/>
    <x v="807"/>
    <x v="238"/>
    <x v="7"/>
    <x v="8"/>
    <x v="0"/>
  </r>
  <r>
    <x v="69"/>
    <x v="69"/>
    <x v="239"/>
    <x v="41"/>
    <x v="23"/>
    <x v="0"/>
  </r>
  <r>
    <x v="362"/>
    <x v="362"/>
    <x v="240"/>
    <x v="9"/>
    <x v="10"/>
    <x v="0"/>
  </r>
  <r>
    <x v="672"/>
    <x v="672"/>
    <x v="241"/>
    <x v="34"/>
    <x v="37"/>
    <x v="0"/>
  </r>
  <r>
    <x v="671"/>
    <x v="671"/>
    <x v="242"/>
    <x v="24"/>
    <x v="27"/>
    <x v="0"/>
  </r>
  <r>
    <x v="808"/>
    <x v="808"/>
    <x v="243"/>
    <x v="15"/>
    <x v="16"/>
    <x v="0"/>
  </r>
  <r>
    <x v="809"/>
    <x v="809"/>
    <x v="244"/>
    <x v="35"/>
    <x v="38"/>
    <x v="0"/>
  </r>
  <r>
    <x v="70"/>
    <x v="70"/>
    <x v="245"/>
    <x v="5"/>
    <x v="5"/>
    <x v="0"/>
  </r>
  <r>
    <x v="810"/>
    <x v="810"/>
    <x v="246"/>
    <x v="36"/>
    <x v="39"/>
    <x v="0"/>
  </r>
  <r>
    <x v="71"/>
    <x v="71"/>
    <x v="247"/>
    <x v="10"/>
    <x v="11"/>
    <x v="0"/>
  </r>
  <r>
    <x v="603"/>
    <x v="603"/>
    <x v="248"/>
    <x v="32"/>
    <x v="35"/>
    <x v="0"/>
  </r>
  <r>
    <x v="364"/>
    <x v="364"/>
    <x v="249"/>
    <x v="9"/>
    <x v="10"/>
    <x v="0"/>
  </r>
  <r>
    <x v="72"/>
    <x v="72"/>
    <x v="250"/>
    <x v="10"/>
    <x v="11"/>
    <x v="0"/>
  </r>
  <r>
    <x v="363"/>
    <x v="363"/>
    <x v="251"/>
    <x v="27"/>
    <x v="30"/>
    <x v="0"/>
  </r>
  <r>
    <x v="811"/>
    <x v="811"/>
    <x v="252"/>
    <x v="28"/>
    <x v="31"/>
    <x v="0"/>
  </r>
  <r>
    <x v="812"/>
    <x v="812"/>
    <x v="253"/>
    <x v="35"/>
    <x v="38"/>
    <x v="0"/>
  </r>
  <r>
    <x v="365"/>
    <x v="365"/>
    <x v="254"/>
    <x v="27"/>
    <x v="30"/>
    <x v="0"/>
  </r>
  <r>
    <x v="529"/>
    <x v="529"/>
    <x v="255"/>
    <x v="9"/>
    <x v="10"/>
    <x v="0"/>
  </r>
  <r>
    <x v="73"/>
    <x v="73"/>
    <x v="256"/>
    <x v="16"/>
    <x v="17"/>
    <x v="0"/>
  </r>
  <r>
    <x v="604"/>
    <x v="604"/>
    <x v="257"/>
    <x v="22"/>
    <x v="25"/>
    <x v="0"/>
  </r>
  <r>
    <x v="813"/>
    <x v="813"/>
    <x v="258"/>
    <x v="11"/>
    <x v="12"/>
    <x v="0"/>
  </r>
  <r>
    <x v="366"/>
    <x v="366"/>
    <x v="259"/>
    <x v="1"/>
    <x v="1"/>
    <x v="0"/>
  </r>
  <r>
    <x v="367"/>
    <x v="367"/>
    <x v="260"/>
    <x v="14"/>
    <x v="15"/>
    <x v="0"/>
  </r>
  <r>
    <x v="940"/>
    <x v="940"/>
    <x v="261"/>
    <x v="8"/>
    <x v="9"/>
    <x v="0"/>
  </r>
  <r>
    <x v="74"/>
    <x v="74"/>
    <x v="262"/>
    <x v="20"/>
    <x v="22"/>
    <x v="0"/>
  </r>
  <r>
    <x v="815"/>
    <x v="815"/>
    <x v="263"/>
    <x v="7"/>
    <x v="8"/>
    <x v="0"/>
  </r>
  <r>
    <x v="368"/>
    <x v="368"/>
    <x v="264"/>
    <x v="1"/>
    <x v="1"/>
    <x v="0"/>
  </r>
  <r>
    <x v="75"/>
    <x v="75"/>
    <x v="265"/>
    <x v="10"/>
    <x v="11"/>
    <x v="0"/>
  </r>
  <r>
    <x v="369"/>
    <x v="369"/>
    <x v="266"/>
    <x v="23"/>
    <x v="26"/>
    <x v="0"/>
  </r>
  <r>
    <x v="605"/>
    <x v="605"/>
    <x v="267"/>
    <x v="17"/>
    <x v="18"/>
    <x v="0"/>
  </r>
  <r>
    <x v="816"/>
    <x v="816"/>
    <x v="268"/>
    <x v="15"/>
    <x v="16"/>
    <x v="0"/>
  </r>
  <r>
    <x v="76"/>
    <x v="76"/>
    <x v="269"/>
    <x v="10"/>
    <x v="11"/>
    <x v="0"/>
  </r>
  <r>
    <x v="370"/>
    <x v="370"/>
    <x v="270"/>
    <x v="1"/>
    <x v="1"/>
    <x v="0"/>
  </r>
  <r>
    <x v="371"/>
    <x v="371"/>
    <x v="271"/>
    <x v="27"/>
    <x v="30"/>
    <x v="0"/>
  </r>
  <r>
    <x v="606"/>
    <x v="606"/>
    <x v="272"/>
    <x v="25"/>
    <x v="28"/>
    <x v="0"/>
  </r>
  <r>
    <x v="77"/>
    <x v="77"/>
    <x v="273"/>
    <x v="13"/>
    <x v="14"/>
    <x v="0"/>
  </r>
  <r>
    <x v="251"/>
    <x v="251"/>
    <x v="274"/>
    <x v="23"/>
    <x v="26"/>
    <x v="0"/>
  </r>
  <r>
    <x v="610"/>
    <x v="610"/>
    <x v="275"/>
    <x v="3"/>
    <x v="3"/>
    <x v="0"/>
  </r>
  <r>
    <x v="78"/>
    <x v="78"/>
    <x v="276"/>
    <x v="41"/>
    <x v="23"/>
    <x v="0"/>
  </r>
  <r>
    <x v="607"/>
    <x v="607"/>
    <x v="277"/>
    <x v="31"/>
    <x v="34"/>
    <x v="0"/>
  </r>
  <r>
    <x v="608"/>
    <x v="608"/>
    <x v="278"/>
    <x v="25"/>
    <x v="28"/>
    <x v="0"/>
  </r>
  <r>
    <x v="609"/>
    <x v="609"/>
    <x v="279"/>
    <x v="25"/>
    <x v="28"/>
    <x v="0"/>
  </r>
  <r>
    <x v="817"/>
    <x v="817"/>
    <x v="280"/>
    <x v="28"/>
    <x v="31"/>
    <x v="0"/>
  </r>
  <r>
    <x v="315"/>
    <x v="315"/>
    <x v="281"/>
    <x v="1"/>
    <x v="1"/>
    <x v="0"/>
  </r>
  <r>
    <x v="611"/>
    <x v="611"/>
    <x v="282"/>
    <x v="25"/>
    <x v="28"/>
    <x v="0"/>
  </r>
  <r>
    <x v="818"/>
    <x v="818"/>
    <x v="283"/>
    <x v="36"/>
    <x v="39"/>
    <x v="0"/>
  </r>
  <r>
    <x v="819"/>
    <x v="819"/>
    <x v="284"/>
    <x v="7"/>
    <x v="8"/>
    <x v="0"/>
  </r>
  <r>
    <x v="133"/>
    <x v="133"/>
    <x v="285"/>
    <x v="40"/>
    <x v="42"/>
    <x v="0"/>
  </r>
  <r>
    <x v="79"/>
    <x v="79"/>
    <x v="286"/>
    <x v="13"/>
    <x v="14"/>
    <x v="0"/>
  </r>
  <r>
    <x v="757"/>
    <x v="757"/>
    <x v="287"/>
    <x v="3"/>
    <x v="3"/>
    <x v="0"/>
  </r>
  <r>
    <x v="820"/>
    <x v="820"/>
    <x v="288"/>
    <x v="28"/>
    <x v="31"/>
    <x v="0"/>
  </r>
  <r>
    <x v="372"/>
    <x v="372"/>
    <x v="289"/>
    <x v="1"/>
    <x v="1"/>
    <x v="0"/>
  </r>
  <r>
    <x v="821"/>
    <x v="821"/>
    <x v="290"/>
    <x v="0"/>
    <x v="0"/>
    <x v="0"/>
  </r>
  <r>
    <x v="373"/>
    <x v="373"/>
    <x v="291"/>
    <x v="19"/>
    <x v="20"/>
    <x v="0"/>
  </r>
  <r>
    <x v="822"/>
    <x v="822"/>
    <x v="292"/>
    <x v="29"/>
    <x v="32"/>
    <x v="0"/>
  </r>
  <r>
    <x v="612"/>
    <x v="612"/>
    <x v="293"/>
    <x v="17"/>
    <x v="18"/>
    <x v="0"/>
  </r>
  <r>
    <x v="81"/>
    <x v="81"/>
    <x v="294"/>
    <x v="33"/>
    <x v="36"/>
    <x v="0"/>
  </r>
  <r>
    <x v="80"/>
    <x v="80"/>
    <x v="295"/>
    <x v="40"/>
    <x v="42"/>
    <x v="0"/>
  </r>
  <r>
    <x v="374"/>
    <x v="374"/>
    <x v="296"/>
    <x v="9"/>
    <x v="10"/>
    <x v="0"/>
  </r>
  <r>
    <x v="82"/>
    <x v="82"/>
    <x v="297"/>
    <x v="23"/>
    <x v="26"/>
    <x v="0"/>
  </r>
  <r>
    <x v="613"/>
    <x v="613"/>
    <x v="298"/>
    <x v="26"/>
    <x v="29"/>
    <x v="0"/>
  </r>
  <r>
    <x v="83"/>
    <x v="83"/>
    <x v="299"/>
    <x v="6"/>
    <x v="7"/>
    <x v="0"/>
  </r>
  <r>
    <x v="84"/>
    <x v="84"/>
    <x v="300"/>
    <x v="2"/>
    <x v="2"/>
    <x v="0"/>
  </r>
  <r>
    <x v="375"/>
    <x v="375"/>
    <x v="301"/>
    <x v="14"/>
    <x v="15"/>
    <x v="0"/>
  </r>
  <r>
    <x v="376"/>
    <x v="376"/>
    <x v="302"/>
    <x v="9"/>
    <x v="10"/>
    <x v="0"/>
  </r>
  <r>
    <x v="377"/>
    <x v="377"/>
    <x v="303"/>
    <x v="27"/>
    <x v="30"/>
    <x v="0"/>
  </r>
  <r>
    <x v="614"/>
    <x v="614"/>
    <x v="304"/>
    <x v="22"/>
    <x v="25"/>
    <x v="0"/>
  </r>
  <r>
    <x v="530"/>
    <x v="530"/>
    <x v="305"/>
    <x v="9"/>
    <x v="10"/>
    <x v="0"/>
  </r>
  <r>
    <x v="823"/>
    <x v="823"/>
    <x v="306"/>
    <x v="15"/>
    <x v="16"/>
    <x v="0"/>
  </r>
  <r>
    <x v="378"/>
    <x v="378"/>
    <x v="307"/>
    <x v="19"/>
    <x v="20"/>
    <x v="0"/>
  </r>
  <r>
    <x v="379"/>
    <x v="379"/>
    <x v="308"/>
    <x v="1"/>
    <x v="1"/>
    <x v="0"/>
  </r>
  <r>
    <x v="85"/>
    <x v="85"/>
    <x v="309"/>
    <x v="40"/>
    <x v="42"/>
    <x v="0"/>
  </r>
  <r>
    <x v="824"/>
    <x v="824"/>
    <x v="310"/>
    <x v="21"/>
    <x v="24"/>
    <x v="0"/>
  </r>
  <r>
    <x v="615"/>
    <x v="615"/>
    <x v="311"/>
    <x v="37"/>
    <x v="40"/>
    <x v="0"/>
  </r>
  <r>
    <x v="616"/>
    <x v="616"/>
    <x v="312"/>
    <x v="17"/>
    <x v="18"/>
    <x v="0"/>
  </r>
  <r>
    <x v="89"/>
    <x v="89"/>
    <x v="313"/>
    <x v="6"/>
    <x v="7"/>
    <x v="0"/>
  </r>
  <r>
    <x v="825"/>
    <x v="825"/>
    <x v="314"/>
    <x v="21"/>
    <x v="24"/>
    <x v="0"/>
  </r>
  <r>
    <x v="86"/>
    <x v="86"/>
    <x v="315"/>
    <x v="39"/>
    <x v="41"/>
    <x v="0"/>
  </r>
  <r>
    <x v="826"/>
    <x v="826"/>
    <x v="316"/>
    <x v="36"/>
    <x v="39"/>
    <x v="0"/>
  </r>
  <r>
    <x v="827"/>
    <x v="827"/>
    <x v="317"/>
    <x v="29"/>
    <x v="32"/>
    <x v="0"/>
  </r>
  <r>
    <x v="828"/>
    <x v="828"/>
    <x v="318"/>
    <x v="0"/>
    <x v="0"/>
    <x v="0"/>
  </r>
  <r>
    <x v="87"/>
    <x v="87"/>
    <x v="319"/>
    <x v="40"/>
    <x v="42"/>
    <x v="0"/>
  </r>
  <r>
    <x v="380"/>
    <x v="380"/>
    <x v="320"/>
    <x v="1"/>
    <x v="1"/>
    <x v="0"/>
  </r>
  <r>
    <x v="381"/>
    <x v="381"/>
    <x v="321"/>
    <x v="9"/>
    <x v="10"/>
    <x v="0"/>
  </r>
  <r>
    <x v="382"/>
    <x v="382"/>
    <x v="322"/>
    <x v="1"/>
    <x v="1"/>
    <x v="0"/>
  </r>
  <r>
    <x v="88"/>
    <x v="88"/>
    <x v="323"/>
    <x v="10"/>
    <x v="11"/>
    <x v="0"/>
  </r>
  <r>
    <x v="617"/>
    <x v="617"/>
    <x v="324"/>
    <x v="24"/>
    <x v="27"/>
    <x v="0"/>
  </r>
  <r>
    <x v="90"/>
    <x v="90"/>
    <x v="325"/>
    <x v="2"/>
    <x v="2"/>
    <x v="0"/>
  </r>
  <r>
    <x v="383"/>
    <x v="383"/>
    <x v="326"/>
    <x v="14"/>
    <x v="15"/>
    <x v="0"/>
  </r>
  <r>
    <x v="761"/>
    <x v="761"/>
    <x v="327"/>
    <x v="32"/>
    <x v="35"/>
    <x v="0"/>
  </r>
  <r>
    <x v="829"/>
    <x v="829"/>
    <x v="328"/>
    <x v="29"/>
    <x v="32"/>
    <x v="0"/>
  </r>
  <r>
    <x v="384"/>
    <x v="384"/>
    <x v="329"/>
    <x v="19"/>
    <x v="20"/>
    <x v="0"/>
  </r>
  <r>
    <x v="91"/>
    <x v="91"/>
    <x v="330"/>
    <x v="13"/>
    <x v="14"/>
    <x v="0"/>
  </r>
  <r>
    <x v="92"/>
    <x v="92"/>
    <x v="331"/>
    <x v="13"/>
    <x v="14"/>
    <x v="0"/>
  </r>
  <r>
    <x v="830"/>
    <x v="830"/>
    <x v="332"/>
    <x v="21"/>
    <x v="24"/>
    <x v="0"/>
  </r>
  <r>
    <x v="618"/>
    <x v="618"/>
    <x v="333"/>
    <x v="26"/>
    <x v="29"/>
    <x v="0"/>
  </r>
  <r>
    <x v="385"/>
    <x v="385"/>
    <x v="334"/>
    <x v="30"/>
    <x v="33"/>
    <x v="0"/>
  </r>
  <r>
    <x v="619"/>
    <x v="619"/>
    <x v="335"/>
    <x v="13"/>
    <x v="14"/>
    <x v="0"/>
  </r>
  <r>
    <x v="93"/>
    <x v="93"/>
    <x v="336"/>
    <x v="2"/>
    <x v="2"/>
    <x v="0"/>
  </r>
  <r>
    <x v="620"/>
    <x v="620"/>
    <x v="337"/>
    <x v="17"/>
    <x v="18"/>
    <x v="0"/>
  </r>
  <r>
    <x v="94"/>
    <x v="94"/>
    <x v="338"/>
    <x v="41"/>
    <x v="23"/>
    <x v="0"/>
  </r>
  <r>
    <x v="621"/>
    <x v="621"/>
    <x v="339"/>
    <x v="32"/>
    <x v="35"/>
    <x v="0"/>
  </r>
  <r>
    <x v="95"/>
    <x v="95"/>
    <x v="340"/>
    <x v="40"/>
    <x v="42"/>
    <x v="0"/>
  </r>
  <r>
    <x v="622"/>
    <x v="622"/>
    <x v="341"/>
    <x v="31"/>
    <x v="34"/>
    <x v="0"/>
  </r>
  <r>
    <x v="624"/>
    <x v="624"/>
    <x v="342"/>
    <x v="17"/>
    <x v="18"/>
    <x v="0"/>
  </r>
  <r>
    <x v="623"/>
    <x v="623"/>
    <x v="343"/>
    <x v="31"/>
    <x v="34"/>
    <x v="0"/>
  </r>
  <r>
    <x v="831"/>
    <x v="831"/>
    <x v="344"/>
    <x v="28"/>
    <x v="31"/>
    <x v="0"/>
  </r>
  <r>
    <x v="96"/>
    <x v="96"/>
    <x v="345"/>
    <x v="40"/>
    <x v="42"/>
    <x v="0"/>
  </r>
  <r>
    <x v="386"/>
    <x v="386"/>
    <x v="346"/>
    <x v="9"/>
    <x v="10"/>
    <x v="0"/>
  </r>
  <r>
    <x v="98"/>
    <x v="98"/>
    <x v="347"/>
    <x v="13"/>
    <x v="14"/>
    <x v="0"/>
  </r>
  <r>
    <x v="832"/>
    <x v="832"/>
    <x v="348"/>
    <x v="28"/>
    <x v="31"/>
    <x v="0"/>
  </r>
  <r>
    <x v="387"/>
    <x v="387"/>
    <x v="349"/>
    <x v="14"/>
    <x v="15"/>
    <x v="0"/>
  </r>
  <r>
    <x v="625"/>
    <x v="625"/>
    <x v="350"/>
    <x v="37"/>
    <x v="40"/>
    <x v="0"/>
  </r>
  <r>
    <x v="752"/>
    <x v="752"/>
    <x v="351"/>
    <x v="25"/>
    <x v="28"/>
    <x v="0"/>
  </r>
  <r>
    <x v="626"/>
    <x v="626"/>
    <x v="352"/>
    <x v="31"/>
    <x v="34"/>
    <x v="0"/>
  </r>
  <r>
    <x v="627"/>
    <x v="627"/>
    <x v="353"/>
    <x v="34"/>
    <x v="37"/>
    <x v="0"/>
  </r>
  <r>
    <x v="99"/>
    <x v="99"/>
    <x v="354"/>
    <x v="23"/>
    <x v="26"/>
    <x v="0"/>
  </r>
  <r>
    <x v="833"/>
    <x v="833"/>
    <x v="355"/>
    <x v="36"/>
    <x v="39"/>
    <x v="0"/>
  </r>
  <r>
    <x v="100"/>
    <x v="100"/>
    <x v="356"/>
    <x v="12"/>
    <x v="13"/>
    <x v="0"/>
  </r>
  <r>
    <x v="161"/>
    <x v="161"/>
    <x v="357"/>
    <x v="5"/>
    <x v="5"/>
    <x v="0"/>
  </r>
  <r>
    <x v="388"/>
    <x v="388"/>
    <x v="358"/>
    <x v="33"/>
    <x v="36"/>
    <x v="0"/>
  </r>
  <r>
    <x v="101"/>
    <x v="101"/>
    <x v="359"/>
    <x v="5"/>
    <x v="5"/>
    <x v="0"/>
  </r>
  <r>
    <x v="631"/>
    <x v="631"/>
    <x v="360"/>
    <x v="24"/>
    <x v="27"/>
    <x v="0"/>
  </r>
  <r>
    <x v="389"/>
    <x v="389"/>
    <x v="361"/>
    <x v="14"/>
    <x v="15"/>
    <x v="0"/>
  </r>
  <r>
    <x v="629"/>
    <x v="629"/>
    <x v="362"/>
    <x v="26"/>
    <x v="29"/>
    <x v="0"/>
  </r>
  <r>
    <x v="628"/>
    <x v="628"/>
    <x v="363"/>
    <x v="22"/>
    <x v="25"/>
    <x v="0"/>
  </r>
  <r>
    <x v="630"/>
    <x v="630"/>
    <x v="364"/>
    <x v="31"/>
    <x v="34"/>
    <x v="0"/>
  </r>
  <r>
    <x v="390"/>
    <x v="390"/>
    <x v="365"/>
    <x v="9"/>
    <x v="10"/>
    <x v="0"/>
  </r>
  <r>
    <x v="391"/>
    <x v="391"/>
    <x v="366"/>
    <x v="1"/>
    <x v="1"/>
    <x v="0"/>
  </r>
  <r>
    <x v="102"/>
    <x v="102"/>
    <x v="367"/>
    <x v="5"/>
    <x v="5"/>
    <x v="0"/>
  </r>
  <r>
    <x v="759"/>
    <x v="759"/>
    <x v="368"/>
    <x v="3"/>
    <x v="3"/>
    <x v="0"/>
  </r>
  <r>
    <x v="392"/>
    <x v="392"/>
    <x v="369"/>
    <x v="19"/>
    <x v="20"/>
    <x v="0"/>
  </r>
  <r>
    <x v="632"/>
    <x v="632"/>
    <x v="370"/>
    <x v="17"/>
    <x v="18"/>
    <x v="0"/>
  </r>
  <r>
    <x v="633"/>
    <x v="633"/>
    <x v="371"/>
    <x v="17"/>
    <x v="18"/>
    <x v="0"/>
  </r>
  <r>
    <x v="635"/>
    <x v="635"/>
    <x v="372"/>
    <x v="38"/>
    <x v="6"/>
    <x v="0"/>
  </r>
  <r>
    <x v="636"/>
    <x v="636"/>
    <x v="373"/>
    <x v="26"/>
    <x v="29"/>
    <x v="0"/>
  </r>
  <r>
    <x v="103"/>
    <x v="103"/>
    <x v="374"/>
    <x v="5"/>
    <x v="5"/>
    <x v="0"/>
  </r>
  <r>
    <x v="393"/>
    <x v="393"/>
    <x v="375"/>
    <x v="1"/>
    <x v="1"/>
    <x v="0"/>
  </r>
  <r>
    <x v="637"/>
    <x v="637"/>
    <x v="376"/>
    <x v="25"/>
    <x v="28"/>
    <x v="0"/>
  </r>
  <r>
    <x v="638"/>
    <x v="638"/>
    <x v="377"/>
    <x v="34"/>
    <x v="37"/>
    <x v="0"/>
  </r>
  <r>
    <x v="104"/>
    <x v="104"/>
    <x v="378"/>
    <x v="40"/>
    <x v="42"/>
    <x v="0"/>
  </r>
  <r>
    <x v="394"/>
    <x v="394"/>
    <x v="379"/>
    <x v="19"/>
    <x v="20"/>
    <x v="0"/>
  </r>
  <r>
    <x v="395"/>
    <x v="395"/>
    <x v="380"/>
    <x v="19"/>
    <x v="20"/>
    <x v="0"/>
  </r>
  <r>
    <x v="396"/>
    <x v="396"/>
    <x v="381"/>
    <x v="30"/>
    <x v="33"/>
    <x v="0"/>
  </r>
  <r>
    <x v="397"/>
    <x v="397"/>
    <x v="382"/>
    <x v="1"/>
    <x v="1"/>
    <x v="0"/>
  </r>
  <r>
    <x v="639"/>
    <x v="639"/>
    <x v="383"/>
    <x v="32"/>
    <x v="35"/>
    <x v="0"/>
  </r>
  <r>
    <x v="640"/>
    <x v="640"/>
    <x v="384"/>
    <x v="25"/>
    <x v="28"/>
    <x v="0"/>
  </r>
  <r>
    <x v="634"/>
    <x v="634"/>
    <x v="385"/>
    <x v="32"/>
    <x v="35"/>
    <x v="0"/>
  </r>
  <r>
    <x v="398"/>
    <x v="398"/>
    <x v="386"/>
    <x v="1"/>
    <x v="1"/>
    <x v="0"/>
  </r>
  <r>
    <x v="641"/>
    <x v="641"/>
    <x v="387"/>
    <x v="14"/>
    <x v="15"/>
    <x v="0"/>
  </r>
  <r>
    <x v="106"/>
    <x v="106"/>
    <x v="388"/>
    <x v="40"/>
    <x v="42"/>
    <x v="0"/>
  </r>
  <r>
    <x v="107"/>
    <x v="107"/>
    <x v="389"/>
    <x v="40"/>
    <x v="42"/>
    <x v="0"/>
  </r>
  <r>
    <x v="642"/>
    <x v="642"/>
    <x v="390"/>
    <x v="24"/>
    <x v="27"/>
    <x v="0"/>
  </r>
  <r>
    <x v="105"/>
    <x v="105"/>
    <x v="391"/>
    <x v="40"/>
    <x v="42"/>
    <x v="0"/>
  </r>
  <r>
    <x v="399"/>
    <x v="399"/>
    <x v="392"/>
    <x v="14"/>
    <x v="15"/>
    <x v="0"/>
  </r>
  <r>
    <x v="834"/>
    <x v="834"/>
    <x v="393"/>
    <x v="28"/>
    <x v="31"/>
    <x v="0"/>
  </r>
  <r>
    <x v="643"/>
    <x v="643"/>
    <x v="394"/>
    <x v="34"/>
    <x v="37"/>
    <x v="0"/>
  </r>
  <r>
    <x v="835"/>
    <x v="835"/>
    <x v="395"/>
    <x v="15"/>
    <x v="16"/>
    <x v="0"/>
  </r>
  <r>
    <x v="836"/>
    <x v="836"/>
    <x v="396"/>
    <x v="11"/>
    <x v="12"/>
    <x v="0"/>
  </r>
  <r>
    <x v="400"/>
    <x v="400"/>
    <x v="397"/>
    <x v="33"/>
    <x v="36"/>
    <x v="0"/>
  </r>
  <r>
    <x v="401"/>
    <x v="401"/>
    <x v="398"/>
    <x v="30"/>
    <x v="33"/>
    <x v="0"/>
  </r>
  <r>
    <x v="108"/>
    <x v="108"/>
    <x v="399"/>
    <x v="42"/>
    <x v="21"/>
    <x v="0"/>
  </r>
  <r>
    <x v="407"/>
    <x v="407"/>
    <x v="400"/>
    <x v="1"/>
    <x v="1"/>
    <x v="0"/>
  </r>
  <r>
    <x v="408"/>
    <x v="408"/>
    <x v="401"/>
    <x v="33"/>
    <x v="36"/>
    <x v="0"/>
  </r>
  <r>
    <x v="402"/>
    <x v="402"/>
    <x v="402"/>
    <x v="19"/>
    <x v="20"/>
    <x v="0"/>
  </r>
  <r>
    <x v="403"/>
    <x v="403"/>
    <x v="403"/>
    <x v="18"/>
    <x v="19"/>
    <x v="0"/>
  </r>
  <r>
    <x v="647"/>
    <x v="647"/>
    <x v="404"/>
    <x v="32"/>
    <x v="35"/>
    <x v="0"/>
  </r>
  <r>
    <x v="644"/>
    <x v="644"/>
    <x v="405"/>
    <x v="37"/>
    <x v="40"/>
    <x v="0"/>
  </r>
  <r>
    <x v="109"/>
    <x v="109"/>
    <x v="406"/>
    <x v="20"/>
    <x v="22"/>
    <x v="0"/>
  </r>
  <r>
    <x v="110"/>
    <x v="110"/>
    <x v="407"/>
    <x v="23"/>
    <x v="26"/>
    <x v="0"/>
  </r>
  <r>
    <x v="111"/>
    <x v="111"/>
    <x v="408"/>
    <x v="23"/>
    <x v="26"/>
    <x v="0"/>
  </r>
  <r>
    <x v="112"/>
    <x v="112"/>
    <x v="409"/>
    <x v="6"/>
    <x v="7"/>
    <x v="0"/>
  </r>
  <r>
    <x v="838"/>
    <x v="838"/>
    <x v="410"/>
    <x v="28"/>
    <x v="31"/>
    <x v="0"/>
  </r>
  <r>
    <x v="837"/>
    <x v="837"/>
    <x v="411"/>
    <x v="28"/>
    <x v="31"/>
    <x v="0"/>
  </r>
  <r>
    <x v="239"/>
    <x v="239"/>
    <x v="412"/>
    <x v="6"/>
    <x v="7"/>
    <x v="0"/>
  </r>
  <r>
    <x v="113"/>
    <x v="113"/>
    <x v="413"/>
    <x v="10"/>
    <x v="11"/>
    <x v="0"/>
  </r>
  <r>
    <x v="114"/>
    <x v="114"/>
    <x v="414"/>
    <x v="40"/>
    <x v="42"/>
    <x v="0"/>
  </r>
  <r>
    <x v="839"/>
    <x v="839"/>
    <x v="415"/>
    <x v="21"/>
    <x v="24"/>
    <x v="0"/>
  </r>
  <r>
    <x v="405"/>
    <x v="405"/>
    <x v="416"/>
    <x v="1"/>
    <x v="1"/>
    <x v="0"/>
  </r>
  <r>
    <x v="840"/>
    <x v="840"/>
    <x v="417"/>
    <x v="21"/>
    <x v="24"/>
    <x v="0"/>
  </r>
  <r>
    <x v="115"/>
    <x v="115"/>
    <x v="418"/>
    <x v="23"/>
    <x v="26"/>
    <x v="0"/>
  </r>
  <r>
    <x v="116"/>
    <x v="116"/>
    <x v="419"/>
    <x v="23"/>
    <x v="26"/>
    <x v="0"/>
  </r>
  <r>
    <x v="841"/>
    <x v="841"/>
    <x v="420"/>
    <x v="11"/>
    <x v="12"/>
    <x v="0"/>
  </r>
  <r>
    <x v="117"/>
    <x v="117"/>
    <x v="421"/>
    <x v="20"/>
    <x v="22"/>
    <x v="0"/>
  </r>
  <r>
    <x v="842"/>
    <x v="842"/>
    <x v="422"/>
    <x v="0"/>
    <x v="0"/>
    <x v="0"/>
  </r>
  <r>
    <x v="843"/>
    <x v="843"/>
    <x v="423"/>
    <x v="7"/>
    <x v="8"/>
    <x v="0"/>
  </r>
  <r>
    <x v="118"/>
    <x v="118"/>
    <x v="424"/>
    <x v="5"/>
    <x v="5"/>
    <x v="0"/>
  </r>
  <r>
    <x v="844"/>
    <x v="844"/>
    <x v="425"/>
    <x v="28"/>
    <x v="31"/>
    <x v="0"/>
  </r>
  <r>
    <x v="645"/>
    <x v="645"/>
    <x v="426"/>
    <x v="32"/>
    <x v="35"/>
    <x v="0"/>
  </r>
  <r>
    <x v="406"/>
    <x v="406"/>
    <x v="427"/>
    <x v="33"/>
    <x v="36"/>
    <x v="0"/>
  </r>
  <r>
    <x v="646"/>
    <x v="646"/>
    <x v="428"/>
    <x v="31"/>
    <x v="34"/>
    <x v="0"/>
  </r>
  <r>
    <x v="119"/>
    <x v="119"/>
    <x v="429"/>
    <x v="39"/>
    <x v="41"/>
    <x v="0"/>
  </r>
  <r>
    <x v="120"/>
    <x v="120"/>
    <x v="430"/>
    <x v="20"/>
    <x v="22"/>
    <x v="0"/>
  </r>
  <r>
    <x v="121"/>
    <x v="121"/>
    <x v="431"/>
    <x v="2"/>
    <x v="2"/>
    <x v="0"/>
  </r>
  <r>
    <x v="648"/>
    <x v="648"/>
    <x v="432"/>
    <x v="22"/>
    <x v="25"/>
    <x v="0"/>
  </r>
  <r>
    <x v="404"/>
    <x v="404"/>
    <x v="433"/>
    <x v="14"/>
    <x v="15"/>
    <x v="0"/>
  </r>
  <r>
    <x v="409"/>
    <x v="409"/>
    <x v="434"/>
    <x v="18"/>
    <x v="19"/>
    <x v="0"/>
  </r>
  <r>
    <x v="845"/>
    <x v="845"/>
    <x v="435"/>
    <x v="0"/>
    <x v="0"/>
    <x v="0"/>
  </r>
  <r>
    <x v="649"/>
    <x v="649"/>
    <x v="436"/>
    <x v="26"/>
    <x v="29"/>
    <x v="0"/>
  </r>
  <r>
    <x v="846"/>
    <x v="846"/>
    <x v="437"/>
    <x v="29"/>
    <x v="32"/>
    <x v="0"/>
  </r>
  <r>
    <x v="137"/>
    <x v="137"/>
    <x v="438"/>
    <x v="41"/>
    <x v="23"/>
    <x v="0"/>
  </r>
  <r>
    <x v="847"/>
    <x v="847"/>
    <x v="439"/>
    <x v="28"/>
    <x v="31"/>
    <x v="0"/>
  </r>
  <r>
    <x v="122"/>
    <x v="122"/>
    <x v="440"/>
    <x v="10"/>
    <x v="11"/>
    <x v="0"/>
  </r>
  <r>
    <x v="651"/>
    <x v="651"/>
    <x v="441"/>
    <x v="26"/>
    <x v="29"/>
    <x v="0"/>
  </r>
  <r>
    <x v="410"/>
    <x v="410"/>
    <x v="442"/>
    <x v="1"/>
    <x v="1"/>
    <x v="0"/>
  </r>
  <r>
    <x v="123"/>
    <x v="123"/>
    <x v="443"/>
    <x v="40"/>
    <x v="42"/>
    <x v="0"/>
  </r>
  <r>
    <x v="411"/>
    <x v="411"/>
    <x v="444"/>
    <x v="30"/>
    <x v="33"/>
    <x v="0"/>
  </r>
  <r>
    <x v="650"/>
    <x v="650"/>
    <x v="445"/>
    <x v="34"/>
    <x v="37"/>
    <x v="0"/>
  </r>
  <r>
    <x v="127"/>
    <x v="127"/>
    <x v="446"/>
    <x v="41"/>
    <x v="23"/>
    <x v="0"/>
  </r>
  <r>
    <x v="126"/>
    <x v="126"/>
    <x v="447"/>
    <x v="6"/>
    <x v="7"/>
    <x v="0"/>
  </r>
  <r>
    <x v="852"/>
    <x v="852"/>
    <x v="448"/>
    <x v="0"/>
    <x v="0"/>
    <x v="0"/>
  </r>
  <r>
    <x v="413"/>
    <x v="413"/>
    <x v="449"/>
    <x v="9"/>
    <x v="10"/>
    <x v="0"/>
  </r>
  <r>
    <x v="853"/>
    <x v="853"/>
    <x v="450"/>
    <x v="7"/>
    <x v="8"/>
    <x v="0"/>
  </r>
  <r>
    <x v="412"/>
    <x v="412"/>
    <x v="451"/>
    <x v="18"/>
    <x v="19"/>
    <x v="0"/>
  </r>
  <r>
    <x v="848"/>
    <x v="848"/>
    <x v="452"/>
    <x v="15"/>
    <x v="16"/>
    <x v="0"/>
  </r>
  <r>
    <x v="849"/>
    <x v="849"/>
    <x v="453"/>
    <x v="7"/>
    <x v="8"/>
    <x v="0"/>
  </r>
  <r>
    <x v="124"/>
    <x v="124"/>
    <x v="454"/>
    <x v="39"/>
    <x v="41"/>
    <x v="0"/>
  </r>
  <r>
    <x v="129"/>
    <x v="129"/>
    <x v="455"/>
    <x v="13"/>
    <x v="14"/>
    <x v="0"/>
  </r>
  <r>
    <x v="653"/>
    <x v="653"/>
    <x v="456"/>
    <x v="14"/>
    <x v="15"/>
    <x v="0"/>
  </r>
  <r>
    <x v="130"/>
    <x v="130"/>
    <x v="457"/>
    <x v="23"/>
    <x v="26"/>
    <x v="0"/>
  </r>
  <r>
    <x v="654"/>
    <x v="654"/>
    <x v="458"/>
    <x v="3"/>
    <x v="3"/>
    <x v="0"/>
  </r>
  <r>
    <x v="850"/>
    <x v="850"/>
    <x v="459"/>
    <x v="0"/>
    <x v="0"/>
    <x v="0"/>
  </r>
  <r>
    <x v="652"/>
    <x v="652"/>
    <x v="460"/>
    <x v="22"/>
    <x v="25"/>
    <x v="0"/>
  </r>
  <r>
    <x v="125"/>
    <x v="125"/>
    <x v="461"/>
    <x v="20"/>
    <x v="22"/>
    <x v="0"/>
  </r>
  <r>
    <x v="131"/>
    <x v="131"/>
    <x v="462"/>
    <x v="13"/>
    <x v="14"/>
    <x v="0"/>
  </r>
  <r>
    <x v="132"/>
    <x v="132"/>
    <x v="463"/>
    <x v="5"/>
    <x v="5"/>
    <x v="0"/>
  </r>
  <r>
    <x v="851"/>
    <x v="851"/>
    <x v="464"/>
    <x v="11"/>
    <x v="12"/>
    <x v="0"/>
  </r>
  <r>
    <x v="134"/>
    <x v="134"/>
    <x v="465"/>
    <x v="40"/>
    <x v="42"/>
    <x v="0"/>
  </r>
  <r>
    <x v="656"/>
    <x v="656"/>
    <x v="466"/>
    <x v="32"/>
    <x v="35"/>
    <x v="0"/>
  </r>
  <r>
    <x v="655"/>
    <x v="655"/>
    <x v="467"/>
    <x v="31"/>
    <x v="34"/>
    <x v="0"/>
  </r>
  <r>
    <x v="657"/>
    <x v="657"/>
    <x v="468"/>
    <x v="31"/>
    <x v="34"/>
    <x v="0"/>
  </r>
  <r>
    <x v="135"/>
    <x v="135"/>
    <x v="469"/>
    <x v="40"/>
    <x v="42"/>
    <x v="0"/>
  </r>
  <r>
    <x v="136"/>
    <x v="136"/>
    <x v="470"/>
    <x v="40"/>
    <x v="42"/>
    <x v="0"/>
  </r>
  <r>
    <x v="854"/>
    <x v="854"/>
    <x v="471"/>
    <x v="29"/>
    <x v="32"/>
    <x v="0"/>
  </r>
  <r>
    <x v="855"/>
    <x v="855"/>
    <x v="472"/>
    <x v="29"/>
    <x v="32"/>
    <x v="0"/>
  </r>
  <r>
    <x v="856"/>
    <x v="856"/>
    <x v="473"/>
    <x v="35"/>
    <x v="38"/>
    <x v="0"/>
  </r>
  <r>
    <x v="857"/>
    <x v="857"/>
    <x v="474"/>
    <x v="28"/>
    <x v="31"/>
    <x v="0"/>
  </r>
  <r>
    <x v="128"/>
    <x v="128"/>
    <x v="475"/>
    <x v="23"/>
    <x v="26"/>
    <x v="0"/>
  </r>
  <r>
    <x v="138"/>
    <x v="138"/>
    <x v="476"/>
    <x v="6"/>
    <x v="7"/>
    <x v="0"/>
  </r>
  <r>
    <x v="658"/>
    <x v="658"/>
    <x v="477"/>
    <x v="37"/>
    <x v="40"/>
    <x v="0"/>
  </r>
  <r>
    <x v="555"/>
    <x v="555"/>
    <x v="478"/>
    <x v="38"/>
    <x v="6"/>
    <x v="0"/>
  </r>
  <r>
    <x v="139"/>
    <x v="139"/>
    <x v="479"/>
    <x v="6"/>
    <x v="7"/>
    <x v="0"/>
  </r>
  <r>
    <x v="140"/>
    <x v="140"/>
    <x v="480"/>
    <x v="6"/>
    <x v="7"/>
    <x v="0"/>
  </r>
  <r>
    <x v="414"/>
    <x v="414"/>
    <x v="481"/>
    <x v="1"/>
    <x v="1"/>
    <x v="0"/>
  </r>
  <r>
    <x v="659"/>
    <x v="659"/>
    <x v="482"/>
    <x v="34"/>
    <x v="37"/>
    <x v="0"/>
  </r>
  <r>
    <x v="141"/>
    <x v="141"/>
    <x v="483"/>
    <x v="13"/>
    <x v="14"/>
    <x v="0"/>
  </r>
  <r>
    <x v="858"/>
    <x v="858"/>
    <x v="484"/>
    <x v="35"/>
    <x v="38"/>
    <x v="0"/>
  </r>
  <r>
    <x v="859"/>
    <x v="859"/>
    <x v="485"/>
    <x v="0"/>
    <x v="0"/>
    <x v="0"/>
  </r>
  <r>
    <x v="660"/>
    <x v="660"/>
    <x v="486"/>
    <x v="34"/>
    <x v="37"/>
    <x v="0"/>
  </r>
  <r>
    <x v="142"/>
    <x v="142"/>
    <x v="487"/>
    <x v="5"/>
    <x v="5"/>
    <x v="0"/>
  </r>
  <r>
    <x v="415"/>
    <x v="415"/>
    <x v="488"/>
    <x v="30"/>
    <x v="33"/>
    <x v="0"/>
  </r>
  <r>
    <x v="144"/>
    <x v="144"/>
    <x v="489"/>
    <x v="2"/>
    <x v="2"/>
    <x v="0"/>
  </r>
  <r>
    <x v="145"/>
    <x v="145"/>
    <x v="490"/>
    <x v="2"/>
    <x v="2"/>
    <x v="0"/>
  </r>
  <r>
    <x v="146"/>
    <x v="146"/>
    <x v="491"/>
    <x v="10"/>
    <x v="11"/>
    <x v="0"/>
  </r>
  <r>
    <x v="661"/>
    <x v="661"/>
    <x v="492"/>
    <x v="3"/>
    <x v="3"/>
    <x v="0"/>
  </r>
  <r>
    <x v="662"/>
    <x v="662"/>
    <x v="493"/>
    <x v="22"/>
    <x v="25"/>
    <x v="0"/>
  </r>
  <r>
    <x v="663"/>
    <x v="663"/>
    <x v="494"/>
    <x v="34"/>
    <x v="37"/>
    <x v="0"/>
  </r>
  <r>
    <x v="147"/>
    <x v="147"/>
    <x v="495"/>
    <x v="16"/>
    <x v="17"/>
    <x v="0"/>
  </r>
  <r>
    <x v="148"/>
    <x v="148"/>
    <x v="496"/>
    <x v="42"/>
    <x v="21"/>
    <x v="0"/>
  </r>
  <r>
    <x v="416"/>
    <x v="416"/>
    <x v="497"/>
    <x v="18"/>
    <x v="19"/>
    <x v="0"/>
  </r>
  <r>
    <x v="664"/>
    <x v="664"/>
    <x v="498"/>
    <x v="31"/>
    <x v="34"/>
    <x v="0"/>
  </r>
  <r>
    <x v="143"/>
    <x v="143"/>
    <x v="499"/>
    <x v="13"/>
    <x v="14"/>
    <x v="0"/>
  </r>
  <r>
    <x v="665"/>
    <x v="665"/>
    <x v="500"/>
    <x v="17"/>
    <x v="18"/>
    <x v="0"/>
  </r>
  <r>
    <x v="666"/>
    <x v="666"/>
    <x v="501"/>
    <x v="37"/>
    <x v="40"/>
    <x v="0"/>
  </r>
  <r>
    <x v="417"/>
    <x v="417"/>
    <x v="502"/>
    <x v="1"/>
    <x v="1"/>
    <x v="0"/>
  </r>
  <r>
    <x v="667"/>
    <x v="667"/>
    <x v="503"/>
    <x v="3"/>
    <x v="3"/>
    <x v="0"/>
  </r>
  <r>
    <x v="149"/>
    <x v="149"/>
    <x v="504"/>
    <x v="23"/>
    <x v="26"/>
    <x v="0"/>
  </r>
  <r>
    <x v="150"/>
    <x v="150"/>
    <x v="505"/>
    <x v="42"/>
    <x v="21"/>
    <x v="0"/>
  </r>
  <r>
    <x v="151"/>
    <x v="151"/>
    <x v="506"/>
    <x v="5"/>
    <x v="5"/>
    <x v="0"/>
  </r>
  <r>
    <x v="152"/>
    <x v="152"/>
    <x v="507"/>
    <x v="20"/>
    <x v="22"/>
    <x v="0"/>
  </r>
  <r>
    <x v="668"/>
    <x v="668"/>
    <x v="508"/>
    <x v="22"/>
    <x v="25"/>
    <x v="0"/>
  </r>
  <r>
    <x v="418"/>
    <x v="418"/>
    <x v="509"/>
    <x v="33"/>
    <x v="36"/>
    <x v="0"/>
  </r>
  <r>
    <x v="669"/>
    <x v="669"/>
    <x v="510"/>
    <x v="37"/>
    <x v="40"/>
    <x v="0"/>
  </r>
  <r>
    <x v="153"/>
    <x v="153"/>
    <x v="511"/>
    <x v="2"/>
    <x v="2"/>
    <x v="0"/>
  </r>
  <r>
    <x v="154"/>
    <x v="154"/>
    <x v="512"/>
    <x v="20"/>
    <x v="22"/>
    <x v="0"/>
  </r>
  <r>
    <x v="419"/>
    <x v="419"/>
    <x v="513"/>
    <x v="9"/>
    <x v="10"/>
    <x v="0"/>
  </r>
  <r>
    <x v="420"/>
    <x v="420"/>
    <x v="514"/>
    <x v="9"/>
    <x v="10"/>
    <x v="0"/>
  </r>
  <r>
    <x v="670"/>
    <x v="670"/>
    <x v="515"/>
    <x v="26"/>
    <x v="29"/>
    <x v="0"/>
  </r>
  <r>
    <x v="421"/>
    <x v="421"/>
    <x v="516"/>
    <x v="1"/>
    <x v="1"/>
    <x v="0"/>
  </r>
  <r>
    <x v="423"/>
    <x v="423"/>
    <x v="517"/>
    <x v="9"/>
    <x v="10"/>
    <x v="0"/>
  </r>
  <r>
    <x v="422"/>
    <x v="422"/>
    <x v="518"/>
    <x v="1"/>
    <x v="1"/>
    <x v="0"/>
  </r>
  <r>
    <x v="155"/>
    <x v="155"/>
    <x v="519"/>
    <x v="39"/>
    <x v="41"/>
    <x v="0"/>
  </r>
  <r>
    <x v="861"/>
    <x v="861"/>
    <x v="520"/>
    <x v="35"/>
    <x v="38"/>
    <x v="0"/>
  </r>
  <r>
    <x v="156"/>
    <x v="156"/>
    <x v="521"/>
    <x v="10"/>
    <x v="11"/>
    <x v="0"/>
  </r>
  <r>
    <x v="860"/>
    <x v="860"/>
    <x v="522"/>
    <x v="29"/>
    <x v="32"/>
    <x v="0"/>
  </r>
  <r>
    <x v="310"/>
    <x v="310"/>
    <x v="523"/>
    <x v="10"/>
    <x v="11"/>
    <x v="0"/>
  </r>
  <r>
    <x v="424"/>
    <x v="424"/>
    <x v="524"/>
    <x v="27"/>
    <x v="30"/>
    <x v="0"/>
  </r>
  <r>
    <x v="425"/>
    <x v="425"/>
    <x v="525"/>
    <x v="9"/>
    <x v="10"/>
    <x v="0"/>
  </r>
  <r>
    <x v="157"/>
    <x v="157"/>
    <x v="526"/>
    <x v="10"/>
    <x v="11"/>
    <x v="0"/>
  </r>
  <r>
    <x v="426"/>
    <x v="426"/>
    <x v="527"/>
    <x v="30"/>
    <x v="33"/>
    <x v="0"/>
  </r>
  <r>
    <x v="158"/>
    <x v="158"/>
    <x v="528"/>
    <x v="40"/>
    <x v="42"/>
    <x v="0"/>
  </r>
  <r>
    <x v="427"/>
    <x v="427"/>
    <x v="529"/>
    <x v="9"/>
    <x v="10"/>
    <x v="0"/>
  </r>
  <r>
    <x v="862"/>
    <x v="862"/>
    <x v="530"/>
    <x v="15"/>
    <x v="16"/>
    <x v="0"/>
  </r>
  <r>
    <x v="428"/>
    <x v="428"/>
    <x v="531"/>
    <x v="1"/>
    <x v="1"/>
    <x v="0"/>
  </r>
  <r>
    <x v="863"/>
    <x v="863"/>
    <x v="532"/>
    <x v="8"/>
    <x v="9"/>
    <x v="0"/>
  </r>
  <r>
    <x v="429"/>
    <x v="429"/>
    <x v="533"/>
    <x v="1"/>
    <x v="1"/>
    <x v="0"/>
  </r>
  <r>
    <x v="673"/>
    <x v="673"/>
    <x v="534"/>
    <x v="22"/>
    <x v="25"/>
    <x v="0"/>
  </r>
  <r>
    <x v="430"/>
    <x v="430"/>
    <x v="535"/>
    <x v="9"/>
    <x v="10"/>
    <x v="0"/>
  </r>
  <r>
    <x v="159"/>
    <x v="159"/>
    <x v="536"/>
    <x v="42"/>
    <x v="21"/>
    <x v="0"/>
  </r>
  <r>
    <x v="864"/>
    <x v="864"/>
    <x v="537"/>
    <x v="35"/>
    <x v="38"/>
    <x v="0"/>
  </r>
  <r>
    <x v="431"/>
    <x v="431"/>
    <x v="538"/>
    <x v="1"/>
    <x v="1"/>
    <x v="0"/>
  </r>
  <r>
    <x v="674"/>
    <x v="674"/>
    <x v="539"/>
    <x v="3"/>
    <x v="3"/>
    <x v="0"/>
  </r>
  <r>
    <x v="865"/>
    <x v="865"/>
    <x v="540"/>
    <x v="8"/>
    <x v="9"/>
    <x v="0"/>
  </r>
  <r>
    <x v="160"/>
    <x v="160"/>
    <x v="541"/>
    <x v="5"/>
    <x v="5"/>
    <x v="0"/>
  </r>
  <r>
    <x v="866"/>
    <x v="866"/>
    <x v="542"/>
    <x v="15"/>
    <x v="16"/>
    <x v="0"/>
  </r>
  <r>
    <x v="162"/>
    <x v="162"/>
    <x v="543"/>
    <x v="20"/>
    <x v="22"/>
    <x v="0"/>
  </r>
  <r>
    <x v="867"/>
    <x v="867"/>
    <x v="544"/>
    <x v="36"/>
    <x v="39"/>
    <x v="0"/>
  </r>
  <r>
    <x v="675"/>
    <x v="675"/>
    <x v="545"/>
    <x v="34"/>
    <x v="37"/>
    <x v="0"/>
  </r>
  <r>
    <x v="676"/>
    <x v="676"/>
    <x v="546"/>
    <x v="34"/>
    <x v="37"/>
    <x v="0"/>
  </r>
  <r>
    <x v="868"/>
    <x v="868"/>
    <x v="547"/>
    <x v="15"/>
    <x v="16"/>
    <x v="0"/>
  </r>
  <r>
    <x v="869"/>
    <x v="869"/>
    <x v="548"/>
    <x v="0"/>
    <x v="0"/>
    <x v="0"/>
  </r>
  <r>
    <x v="163"/>
    <x v="163"/>
    <x v="549"/>
    <x v="2"/>
    <x v="2"/>
    <x v="0"/>
  </r>
  <r>
    <x v="432"/>
    <x v="432"/>
    <x v="550"/>
    <x v="18"/>
    <x v="19"/>
    <x v="0"/>
  </r>
  <r>
    <x v="433"/>
    <x v="433"/>
    <x v="551"/>
    <x v="30"/>
    <x v="33"/>
    <x v="0"/>
  </r>
  <r>
    <x v="760"/>
    <x v="760"/>
    <x v="552"/>
    <x v="31"/>
    <x v="34"/>
    <x v="0"/>
  </r>
  <r>
    <x v="677"/>
    <x v="677"/>
    <x v="553"/>
    <x v="26"/>
    <x v="29"/>
    <x v="0"/>
  </r>
  <r>
    <x v="678"/>
    <x v="678"/>
    <x v="554"/>
    <x v="17"/>
    <x v="18"/>
    <x v="0"/>
  </r>
  <r>
    <x v="164"/>
    <x v="164"/>
    <x v="555"/>
    <x v="5"/>
    <x v="5"/>
    <x v="0"/>
  </r>
  <r>
    <x v="165"/>
    <x v="165"/>
    <x v="556"/>
    <x v="13"/>
    <x v="14"/>
    <x v="0"/>
  </r>
  <r>
    <x v="870"/>
    <x v="870"/>
    <x v="557"/>
    <x v="35"/>
    <x v="38"/>
    <x v="0"/>
  </r>
  <r>
    <x v="871"/>
    <x v="871"/>
    <x v="558"/>
    <x v="36"/>
    <x v="39"/>
    <x v="0"/>
  </r>
  <r>
    <x v="872"/>
    <x v="872"/>
    <x v="559"/>
    <x v="35"/>
    <x v="38"/>
    <x v="0"/>
  </r>
  <r>
    <x v="680"/>
    <x v="680"/>
    <x v="560"/>
    <x v="24"/>
    <x v="27"/>
    <x v="0"/>
  </r>
  <r>
    <x v="873"/>
    <x v="873"/>
    <x v="561"/>
    <x v="28"/>
    <x v="31"/>
    <x v="0"/>
  </r>
  <r>
    <x v="166"/>
    <x v="166"/>
    <x v="562"/>
    <x v="39"/>
    <x v="41"/>
    <x v="0"/>
  </r>
  <r>
    <x v="874"/>
    <x v="874"/>
    <x v="563"/>
    <x v="0"/>
    <x v="0"/>
    <x v="0"/>
  </r>
  <r>
    <x v="558"/>
    <x v="558"/>
    <x v="564"/>
    <x v="3"/>
    <x v="3"/>
    <x v="0"/>
  </r>
  <r>
    <x v="434"/>
    <x v="434"/>
    <x v="565"/>
    <x v="1"/>
    <x v="1"/>
    <x v="0"/>
  </r>
  <r>
    <x v="682"/>
    <x v="682"/>
    <x v="566"/>
    <x v="4"/>
    <x v="4"/>
    <x v="0"/>
  </r>
  <r>
    <x v="180"/>
    <x v="180"/>
    <x v="567"/>
    <x v="6"/>
    <x v="7"/>
    <x v="0"/>
  </r>
  <r>
    <x v="902"/>
    <x v="902"/>
    <x v="568"/>
    <x v="15"/>
    <x v="16"/>
    <x v="0"/>
  </r>
  <r>
    <x v="167"/>
    <x v="167"/>
    <x v="569"/>
    <x v="2"/>
    <x v="2"/>
    <x v="0"/>
  </r>
  <r>
    <x v="435"/>
    <x v="435"/>
    <x v="570"/>
    <x v="1"/>
    <x v="1"/>
    <x v="0"/>
  </r>
  <r>
    <x v="681"/>
    <x v="681"/>
    <x v="571"/>
    <x v="22"/>
    <x v="25"/>
    <x v="0"/>
  </r>
  <r>
    <x v="436"/>
    <x v="436"/>
    <x v="572"/>
    <x v="27"/>
    <x v="30"/>
    <x v="0"/>
  </r>
  <r>
    <x v="875"/>
    <x v="875"/>
    <x v="573"/>
    <x v="28"/>
    <x v="31"/>
    <x v="0"/>
  </r>
  <r>
    <x v="439"/>
    <x v="439"/>
    <x v="574"/>
    <x v="1"/>
    <x v="1"/>
    <x v="0"/>
  </r>
  <r>
    <x v="437"/>
    <x v="437"/>
    <x v="575"/>
    <x v="1"/>
    <x v="1"/>
    <x v="0"/>
  </r>
  <r>
    <x v="683"/>
    <x v="683"/>
    <x v="576"/>
    <x v="32"/>
    <x v="35"/>
    <x v="0"/>
  </r>
  <r>
    <x v="876"/>
    <x v="876"/>
    <x v="577"/>
    <x v="28"/>
    <x v="31"/>
    <x v="0"/>
  </r>
  <r>
    <x v="877"/>
    <x v="877"/>
    <x v="578"/>
    <x v="7"/>
    <x v="8"/>
    <x v="0"/>
  </r>
  <r>
    <x v="878"/>
    <x v="878"/>
    <x v="579"/>
    <x v="36"/>
    <x v="39"/>
    <x v="0"/>
  </r>
  <r>
    <x v="168"/>
    <x v="168"/>
    <x v="580"/>
    <x v="10"/>
    <x v="11"/>
    <x v="0"/>
  </r>
  <r>
    <x v="879"/>
    <x v="879"/>
    <x v="581"/>
    <x v="7"/>
    <x v="8"/>
    <x v="0"/>
  </r>
  <r>
    <x v="170"/>
    <x v="170"/>
    <x v="582"/>
    <x v="42"/>
    <x v="21"/>
    <x v="0"/>
  </r>
  <r>
    <x v="169"/>
    <x v="169"/>
    <x v="583"/>
    <x v="5"/>
    <x v="5"/>
    <x v="0"/>
  </r>
  <r>
    <x v="684"/>
    <x v="684"/>
    <x v="584"/>
    <x v="14"/>
    <x v="15"/>
    <x v="0"/>
  </r>
  <r>
    <x v="685"/>
    <x v="685"/>
    <x v="585"/>
    <x v="37"/>
    <x v="40"/>
    <x v="0"/>
  </r>
  <r>
    <x v="686"/>
    <x v="686"/>
    <x v="586"/>
    <x v="22"/>
    <x v="25"/>
    <x v="0"/>
  </r>
  <r>
    <x v="227"/>
    <x v="227"/>
    <x v="587"/>
    <x v="20"/>
    <x v="22"/>
    <x v="0"/>
  </r>
  <r>
    <x v="171"/>
    <x v="171"/>
    <x v="588"/>
    <x v="20"/>
    <x v="22"/>
    <x v="0"/>
  </r>
  <r>
    <x v="438"/>
    <x v="438"/>
    <x v="589"/>
    <x v="18"/>
    <x v="19"/>
    <x v="0"/>
  </r>
  <r>
    <x v="687"/>
    <x v="687"/>
    <x v="590"/>
    <x v="14"/>
    <x v="15"/>
    <x v="0"/>
  </r>
  <r>
    <x v="173"/>
    <x v="173"/>
    <x v="591"/>
    <x v="13"/>
    <x v="14"/>
    <x v="0"/>
  </r>
  <r>
    <x v="440"/>
    <x v="440"/>
    <x v="592"/>
    <x v="14"/>
    <x v="15"/>
    <x v="0"/>
  </r>
  <r>
    <x v="172"/>
    <x v="172"/>
    <x v="593"/>
    <x v="2"/>
    <x v="2"/>
    <x v="0"/>
  </r>
  <r>
    <x v="688"/>
    <x v="688"/>
    <x v="594"/>
    <x v="17"/>
    <x v="18"/>
    <x v="0"/>
  </r>
  <r>
    <x v="880"/>
    <x v="880"/>
    <x v="595"/>
    <x v="0"/>
    <x v="0"/>
    <x v="0"/>
  </r>
  <r>
    <x v="689"/>
    <x v="689"/>
    <x v="596"/>
    <x v="37"/>
    <x v="40"/>
    <x v="0"/>
  </r>
  <r>
    <x v="690"/>
    <x v="690"/>
    <x v="597"/>
    <x v="32"/>
    <x v="35"/>
    <x v="0"/>
  </r>
  <r>
    <x v="174"/>
    <x v="174"/>
    <x v="598"/>
    <x v="5"/>
    <x v="5"/>
    <x v="0"/>
  </r>
  <r>
    <x v="175"/>
    <x v="175"/>
    <x v="599"/>
    <x v="13"/>
    <x v="14"/>
    <x v="0"/>
  </r>
  <r>
    <x v="441"/>
    <x v="441"/>
    <x v="600"/>
    <x v="19"/>
    <x v="20"/>
    <x v="0"/>
  </r>
  <r>
    <x v="352"/>
    <x v="352"/>
    <x v="601"/>
    <x v="30"/>
    <x v="33"/>
    <x v="0"/>
  </r>
  <r>
    <x v="881"/>
    <x v="881"/>
    <x v="602"/>
    <x v="0"/>
    <x v="0"/>
    <x v="0"/>
  </r>
  <r>
    <x v="442"/>
    <x v="442"/>
    <x v="603"/>
    <x v="1"/>
    <x v="1"/>
    <x v="0"/>
  </r>
  <r>
    <x v="176"/>
    <x v="176"/>
    <x v="604"/>
    <x v="6"/>
    <x v="7"/>
    <x v="0"/>
  </r>
  <r>
    <x v="897"/>
    <x v="897"/>
    <x v="605"/>
    <x v="21"/>
    <x v="24"/>
    <x v="0"/>
  </r>
  <r>
    <x v="882"/>
    <x v="882"/>
    <x v="606"/>
    <x v="29"/>
    <x v="32"/>
    <x v="0"/>
  </r>
  <r>
    <x v="443"/>
    <x v="443"/>
    <x v="607"/>
    <x v="9"/>
    <x v="10"/>
    <x v="0"/>
  </r>
  <r>
    <x v="177"/>
    <x v="177"/>
    <x v="608"/>
    <x v="39"/>
    <x v="41"/>
    <x v="0"/>
  </r>
  <r>
    <x v="883"/>
    <x v="883"/>
    <x v="609"/>
    <x v="35"/>
    <x v="38"/>
    <x v="0"/>
  </r>
  <r>
    <x v="884"/>
    <x v="884"/>
    <x v="610"/>
    <x v="7"/>
    <x v="8"/>
    <x v="0"/>
  </r>
  <r>
    <x v="691"/>
    <x v="691"/>
    <x v="611"/>
    <x v="25"/>
    <x v="28"/>
    <x v="0"/>
  </r>
  <r>
    <x v="885"/>
    <x v="885"/>
    <x v="613"/>
    <x v="0"/>
    <x v="0"/>
    <x v="0"/>
  </r>
  <r>
    <x v="886"/>
    <x v="886"/>
    <x v="612"/>
    <x v="29"/>
    <x v="32"/>
    <x v="0"/>
  </r>
  <r>
    <x v="754"/>
    <x v="754"/>
    <x v="614"/>
    <x v="31"/>
    <x v="34"/>
    <x v="0"/>
  </r>
  <r>
    <x v="692"/>
    <x v="692"/>
    <x v="615"/>
    <x v="3"/>
    <x v="3"/>
    <x v="0"/>
  </r>
  <r>
    <x v="444"/>
    <x v="444"/>
    <x v="616"/>
    <x v="30"/>
    <x v="33"/>
    <x v="0"/>
  </r>
  <r>
    <x v="445"/>
    <x v="445"/>
    <x v="617"/>
    <x v="33"/>
    <x v="36"/>
    <x v="0"/>
  </r>
  <r>
    <x v="887"/>
    <x v="887"/>
    <x v="618"/>
    <x v="35"/>
    <x v="38"/>
    <x v="0"/>
  </r>
  <r>
    <x v="693"/>
    <x v="693"/>
    <x v="619"/>
    <x v="34"/>
    <x v="37"/>
    <x v="0"/>
  </r>
  <r>
    <x v="446"/>
    <x v="446"/>
    <x v="620"/>
    <x v="30"/>
    <x v="33"/>
    <x v="0"/>
  </r>
  <r>
    <x v="178"/>
    <x v="178"/>
    <x v="621"/>
    <x v="39"/>
    <x v="41"/>
    <x v="0"/>
  </r>
  <r>
    <x v="762"/>
    <x v="762"/>
    <x v="622"/>
    <x v="14"/>
    <x v="15"/>
    <x v="0"/>
  </r>
  <r>
    <x v="447"/>
    <x v="447"/>
    <x v="623"/>
    <x v="33"/>
    <x v="36"/>
    <x v="0"/>
  </r>
  <r>
    <x v="448"/>
    <x v="448"/>
    <x v="624"/>
    <x v="18"/>
    <x v="19"/>
    <x v="0"/>
  </r>
  <r>
    <x v="888"/>
    <x v="888"/>
    <x v="625"/>
    <x v="7"/>
    <x v="8"/>
    <x v="0"/>
  </r>
  <r>
    <x v="889"/>
    <x v="889"/>
    <x v="626"/>
    <x v="7"/>
    <x v="8"/>
    <x v="0"/>
  </r>
  <r>
    <x v="449"/>
    <x v="449"/>
    <x v="627"/>
    <x v="33"/>
    <x v="36"/>
    <x v="0"/>
  </r>
  <r>
    <x v="890"/>
    <x v="890"/>
    <x v="628"/>
    <x v="7"/>
    <x v="8"/>
    <x v="0"/>
  </r>
  <r>
    <x v="450"/>
    <x v="450"/>
    <x v="629"/>
    <x v="1"/>
    <x v="1"/>
    <x v="0"/>
  </r>
  <r>
    <x v="179"/>
    <x v="179"/>
    <x v="630"/>
    <x v="40"/>
    <x v="42"/>
    <x v="0"/>
  </r>
  <r>
    <x v="891"/>
    <x v="891"/>
    <x v="631"/>
    <x v="15"/>
    <x v="16"/>
    <x v="0"/>
  </r>
  <r>
    <x v="892"/>
    <x v="892"/>
    <x v="632"/>
    <x v="35"/>
    <x v="38"/>
    <x v="0"/>
  </r>
  <r>
    <x v="181"/>
    <x v="181"/>
    <x v="633"/>
    <x v="23"/>
    <x v="26"/>
    <x v="0"/>
  </r>
  <r>
    <x v="893"/>
    <x v="893"/>
    <x v="634"/>
    <x v="0"/>
    <x v="0"/>
    <x v="0"/>
  </r>
  <r>
    <x v="894"/>
    <x v="894"/>
    <x v="635"/>
    <x v="8"/>
    <x v="9"/>
    <x v="0"/>
  </r>
  <r>
    <x v="451"/>
    <x v="451"/>
    <x v="636"/>
    <x v="1"/>
    <x v="1"/>
    <x v="0"/>
  </r>
  <r>
    <x v="694"/>
    <x v="694"/>
    <x v="637"/>
    <x v="32"/>
    <x v="35"/>
    <x v="0"/>
  </r>
  <r>
    <x v="895"/>
    <x v="895"/>
    <x v="638"/>
    <x v="0"/>
    <x v="0"/>
    <x v="0"/>
  </r>
  <r>
    <x v="182"/>
    <x v="182"/>
    <x v="639"/>
    <x v="39"/>
    <x v="41"/>
    <x v="0"/>
  </r>
  <r>
    <x v="183"/>
    <x v="183"/>
    <x v="640"/>
    <x v="5"/>
    <x v="5"/>
    <x v="0"/>
  </r>
  <r>
    <x v="452"/>
    <x v="452"/>
    <x v="641"/>
    <x v="9"/>
    <x v="10"/>
    <x v="0"/>
  </r>
  <r>
    <x v="306"/>
    <x v="306"/>
    <x v="642"/>
    <x v="23"/>
    <x v="26"/>
    <x v="0"/>
  </r>
  <r>
    <x v="184"/>
    <x v="184"/>
    <x v="643"/>
    <x v="39"/>
    <x v="41"/>
    <x v="0"/>
  </r>
  <r>
    <x v="185"/>
    <x v="185"/>
    <x v="644"/>
    <x v="13"/>
    <x v="14"/>
    <x v="0"/>
  </r>
  <r>
    <x v="695"/>
    <x v="695"/>
    <x v="645"/>
    <x v="24"/>
    <x v="27"/>
    <x v="0"/>
  </r>
  <r>
    <x v="187"/>
    <x v="187"/>
    <x v="646"/>
    <x v="13"/>
    <x v="14"/>
    <x v="0"/>
  </r>
  <r>
    <x v="453"/>
    <x v="453"/>
    <x v="647"/>
    <x v="18"/>
    <x v="19"/>
    <x v="0"/>
  </r>
  <r>
    <x v="188"/>
    <x v="188"/>
    <x v="648"/>
    <x v="6"/>
    <x v="7"/>
    <x v="0"/>
  </r>
  <r>
    <x v="896"/>
    <x v="896"/>
    <x v="649"/>
    <x v="35"/>
    <x v="38"/>
    <x v="0"/>
  </r>
  <r>
    <x v="944"/>
    <x v="944"/>
    <x v="650"/>
    <x v="35"/>
    <x v="38"/>
    <x v="0"/>
  </r>
  <r>
    <x v="454"/>
    <x v="454"/>
    <x v="651"/>
    <x v="19"/>
    <x v="20"/>
    <x v="0"/>
  </r>
  <r>
    <x v="696"/>
    <x v="696"/>
    <x v="652"/>
    <x v="31"/>
    <x v="34"/>
    <x v="0"/>
  </r>
  <r>
    <x v="191"/>
    <x v="191"/>
    <x v="653"/>
    <x v="12"/>
    <x v="13"/>
    <x v="0"/>
  </r>
  <r>
    <x v="192"/>
    <x v="192"/>
    <x v="654"/>
    <x v="23"/>
    <x v="26"/>
    <x v="0"/>
  </r>
  <r>
    <x v="193"/>
    <x v="193"/>
    <x v="655"/>
    <x v="10"/>
    <x v="11"/>
    <x v="0"/>
  </r>
  <r>
    <x v="194"/>
    <x v="194"/>
    <x v="656"/>
    <x v="20"/>
    <x v="22"/>
    <x v="0"/>
  </r>
  <r>
    <x v="455"/>
    <x v="455"/>
    <x v="657"/>
    <x v="19"/>
    <x v="20"/>
    <x v="0"/>
  </r>
  <r>
    <x v="480"/>
    <x v="480"/>
    <x v="658"/>
    <x v="18"/>
    <x v="19"/>
    <x v="0"/>
  </r>
  <r>
    <x v="195"/>
    <x v="195"/>
    <x v="659"/>
    <x v="40"/>
    <x v="42"/>
    <x v="0"/>
  </r>
  <r>
    <x v="196"/>
    <x v="196"/>
    <x v="660"/>
    <x v="23"/>
    <x v="26"/>
    <x v="0"/>
  </r>
  <r>
    <x v="197"/>
    <x v="197"/>
    <x v="661"/>
    <x v="10"/>
    <x v="11"/>
    <x v="0"/>
  </r>
  <r>
    <x v="198"/>
    <x v="198"/>
    <x v="662"/>
    <x v="23"/>
    <x v="26"/>
    <x v="0"/>
  </r>
  <r>
    <x v="200"/>
    <x v="200"/>
    <x v="663"/>
    <x v="20"/>
    <x v="22"/>
    <x v="0"/>
  </r>
  <r>
    <x v="199"/>
    <x v="199"/>
    <x v="664"/>
    <x v="40"/>
    <x v="42"/>
    <x v="0"/>
  </r>
  <r>
    <x v="201"/>
    <x v="201"/>
    <x v="665"/>
    <x v="10"/>
    <x v="11"/>
    <x v="0"/>
  </r>
  <r>
    <x v="456"/>
    <x v="456"/>
    <x v="666"/>
    <x v="1"/>
    <x v="1"/>
    <x v="0"/>
  </r>
  <r>
    <x v="202"/>
    <x v="202"/>
    <x v="667"/>
    <x v="39"/>
    <x v="41"/>
    <x v="0"/>
  </r>
  <r>
    <x v="203"/>
    <x v="203"/>
    <x v="668"/>
    <x v="2"/>
    <x v="2"/>
    <x v="0"/>
  </r>
  <r>
    <x v="700"/>
    <x v="700"/>
    <x v="669"/>
    <x v="24"/>
    <x v="27"/>
    <x v="0"/>
  </r>
  <r>
    <x v="204"/>
    <x v="204"/>
    <x v="670"/>
    <x v="40"/>
    <x v="42"/>
    <x v="0"/>
  </r>
  <r>
    <x v="205"/>
    <x v="205"/>
    <x v="671"/>
    <x v="10"/>
    <x v="11"/>
    <x v="0"/>
  </r>
  <r>
    <x v="457"/>
    <x v="457"/>
    <x v="672"/>
    <x v="33"/>
    <x v="36"/>
    <x v="0"/>
  </r>
  <r>
    <x v="207"/>
    <x v="207"/>
    <x v="673"/>
    <x v="40"/>
    <x v="42"/>
    <x v="0"/>
  </r>
  <r>
    <x v="458"/>
    <x v="458"/>
    <x v="674"/>
    <x v="9"/>
    <x v="10"/>
    <x v="0"/>
  </r>
  <r>
    <x v="208"/>
    <x v="208"/>
    <x v="675"/>
    <x v="10"/>
    <x v="11"/>
    <x v="0"/>
  </r>
  <r>
    <x v="459"/>
    <x v="459"/>
    <x v="676"/>
    <x v="18"/>
    <x v="19"/>
    <x v="0"/>
  </r>
  <r>
    <x v="209"/>
    <x v="209"/>
    <x v="677"/>
    <x v="6"/>
    <x v="7"/>
    <x v="0"/>
  </r>
  <r>
    <x v="460"/>
    <x v="460"/>
    <x v="678"/>
    <x v="18"/>
    <x v="19"/>
    <x v="0"/>
  </r>
  <r>
    <x v="206"/>
    <x v="206"/>
    <x v="679"/>
    <x v="40"/>
    <x v="42"/>
    <x v="0"/>
  </r>
  <r>
    <x v="210"/>
    <x v="210"/>
    <x v="680"/>
    <x v="6"/>
    <x v="7"/>
    <x v="0"/>
  </r>
  <r>
    <x v="461"/>
    <x v="461"/>
    <x v="681"/>
    <x v="19"/>
    <x v="20"/>
    <x v="0"/>
  </r>
  <r>
    <x v="697"/>
    <x v="697"/>
    <x v="682"/>
    <x v="31"/>
    <x v="34"/>
    <x v="0"/>
  </r>
  <r>
    <x v="701"/>
    <x v="701"/>
    <x v="683"/>
    <x v="31"/>
    <x v="34"/>
    <x v="0"/>
  </r>
  <r>
    <x v="462"/>
    <x v="462"/>
    <x v="684"/>
    <x v="33"/>
    <x v="36"/>
    <x v="0"/>
  </r>
  <r>
    <x v="212"/>
    <x v="212"/>
    <x v="685"/>
    <x v="23"/>
    <x v="26"/>
    <x v="0"/>
  </r>
  <r>
    <x v="190"/>
    <x v="190"/>
    <x v="686"/>
    <x v="20"/>
    <x v="22"/>
    <x v="0"/>
  </r>
  <r>
    <x v="941"/>
    <x v="941"/>
    <x v="687"/>
    <x v="21"/>
    <x v="24"/>
    <x v="0"/>
  </r>
  <r>
    <x v="213"/>
    <x v="213"/>
    <x v="688"/>
    <x v="13"/>
    <x v="14"/>
    <x v="0"/>
  </r>
  <r>
    <x v="463"/>
    <x v="463"/>
    <x v="689"/>
    <x v="18"/>
    <x v="19"/>
    <x v="0"/>
  </r>
  <r>
    <x v="898"/>
    <x v="898"/>
    <x v="690"/>
    <x v="11"/>
    <x v="12"/>
    <x v="0"/>
  </r>
  <r>
    <x v="465"/>
    <x v="465"/>
    <x v="691"/>
    <x v="30"/>
    <x v="33"/>
    <x v="0"/>
  </r>
  <r>
    <x v="466"/>
    <x v="466"/>
    <x v="692"/>
    <x v="19"/>
    <x v="20"/>
    <x v="0"/>
  </r>
  <r>
    <x v="215"/>
    <x v="215"/>
    <x v="693"/>
    <x v="6"/>
    <x v="7"/>
    <x v="0"/>
  </r>
  <r>
    <x v="214"/>
    <x v="214"/>
    <x v="694"/>
    <x v="10"/>
    <x v="11"/>
    <x v="0"/>
  </r>
  <r>
    <x v="482"/>
    <x v="482"/>
    <x v="695"/>
    <x v="18"/>
    <x v="19"/>
    <x v="0"/>
  </r>
  <r>
    <x v="464"/>
    <x v="464"/>
    <x v="696"/>
    <x v="19"/>
    <x v="20"/>
    <x v="0"/>
  </r>
  <r>
    <x v="308"/>
    <x v="308"/>
    <x v="697"/>
    <x v="13"/>
    <x v="14"/>
    <x v="0"/>
  </r>
  <r>
    <x v="467"/>
    <x v="467"/>
    <x v="698"/>
    <x v="19"/>
    <x v="20"/>
    <x v="0"/>
  </r>
  <r>
    <x v="217"/>
    <x v="217"/>
    <x v="699"/>
    <x v="23"/>
    <x v="26"/>
    <x v="0"/>
  </r>
  <r>
    <x v="531"/>
    <x v="531"/>
    <x v="700"/>
    <x v="33"/>
    <x v="36"/>
    <x v="0"/>
  </r>
  <r>
    <x v="218"/>
    <x v="218"/>
    <x v="701"/>
    <x v="10"/>
    <x v="11"/>
    <x v="0"/>
  </r>
  <r>
    <x v="219"/>
    <x v="219"/>
    <x v="702"/>
    <x v="2"/>
    <x v="2"/>
    <x v="0"/>
  </r>
  <r>
    <x v="469"/>
    <x v="469"/>
    <x v="703"/>
    <x v="1"/>
    <x v="1"/>
    <x v="0"/>
  </r>
  <r>
    <x v="698"/>
    <x v="698"/>
    <x v="704"/>
    <x v="34"/>
    <x v="37"/>
    <x v="0"/>
  </r>
  <r>
    <x v="220"/>
    <x v="220"/>
    <x v="705"/>
    <x v="39"/>
    <x v="41"/>
    <x v="0"/>
  </r>
  <r>
    <x v="222"/>
    <x v="222"/>
    <x v="706"/>
    <x v="42"/>
    <x v="21"/>
    <x v="0"/>
  </r>
  <r>
    <x v="221"/>
    <x v="221"/>
    <x v="707"/>
    <x v="23"/>
    <x v="26"/>
    <x v="0"/>
  </r>
  <r>
    <x v="470"/>
    <x v="470"/>
    <x v="708"/>
    <x v="19"/>
    <x v="20"/>
    <x v="0"/>
  </r>
  <r>
    <x v="751"/>
    <x v="751"/>
    <x v="709"/>
    <x v="37"/>
    <x v="40"/>
    <x v="0"/>
  </r>
  <r>
    <x v="223"/>
    <x v="223"/>
    <x v="710"/>
    <x v="5"/>
    <x v="5"/>
    <x v="0"/>
  </r>
  <r>
    <x v="224"/>
    <x v="224"/>
    <x v="711"/>
    <x v="2"/>
    <x v="2"/>
    <x v="0"/>
  </r>
  <r>
    <x v="225"/>
    <x v="225"/>
    <x v="712"/>
    <x v="5"/>
    <x v="5"/>
    <x v="0"/>
  </r>
  <r>
    <x v="471"/>
    <x v="471"/>
    <x v="713"/>
    <x v="19"/>
    <x v="20"/>
    <x v="0"/>
  </r>
  <r>
    <x v="226"/>
    <x v="226"/>
    <x v="714"/>
    <x v="6"/>
    <x v="7"/>
    <x v="0"/>
  </r>
  <r>
    <x v="472"/>
    <x v="472"/>
    <x v="715"/>
    <x v="27"/>
    <x v="30"/>
    <x v="0"/>
  </r>
  <r>
    <x v="473"/>
    <x v="473"/>
    <x v="716"/>
    <x v="1"/>
    <x v="1"/>
    <x v="0"/>
  </r>
  <r>
    <x v="474"/>
    <x v="474"/>
    <x v="717"/>
    <x v="1"/>
    <x v="1"/>
    <x v="0"/>
  </r>
  <r>
    <x v="475"/>
    <x v="475"/>
    <x v="718"/>
    <x v="30"/>
    <x v="33"/>
    <x v="0"/>
  </r>
  <r>
    <x v="228"/>
    <x v="228"/>
    <x v="719"/>
    <x v="16"/>
    <x v="17"/>
    <x v="0"/>
  </r>
  <r>
    <x v="229"/>
    <x v="229"/>
    <x v="720"/>
    <x v="2"/>
    <x v="2"/>
    <x v="0"/>
  </r>
  <r>
    <x v="230"/>
    <x v="230"/>
    <x v="721"/>
    <x v="23"/>
    <x v="26"/>
    <x v="0"/>
  </r>
  <r>
    <x v="231"/>
    <x v="231"/>
    <x v="722"/>
    <x v="40"/>
    <x v="42"/>
    <x v="0"/>
  </r>
  <r>
    <x v="476"/>
    <x v="476"/>
    <x v="723"/>
    <x v="1"/>
    <x v="1"/>
    <x v="0"/>
  </r>
  <r>
    <x v="186"/>
    <x v="186"/>
    <x v="724"/>
    <x v="5"/>
    <x v="5"/>
    <x v="0"/>
  </r>
  <r>
    <x v="232"/>
    <x v="232"/>
    <x v="725"/>
    <x v="20"/>
    <x v="22"/>
    <x v="0"/>
  </r>
  <r>
    <x v="233"/>
    <x v="233"/>
    <x v="726"/>
    <x v="2"/>
    <x v="2"/>
    <x v="0"/>
  </r>
  <r>
    <x v="234"/>
    <x v="234"/>
    <x v="727"/>
    <x v="23"/>
    <x v="26"/>
    <x v="0"/>
  </r>
  <r>
    <x v="235"/>
    <x v="235"/>
    <x v="728"/>
    <x v="39"/>
    <x v="41"/>
    <x v="0"/>
  </r>
  <r>
    <x v="236"/>
    <x v="236"/>
    <x v="729"/>
    <x v="41"/>
    <x v="23"/>
    <x v="0"/>
  </r>
  <r>
    <x v="699"/>
    <x v="699"/>
    <x v="730"/>
    <x v="31"/>
    <x v="34"/>
    <x v="0"/>
  </r>
  <r>
    <x v="237"/>
    <x v="237"/>
    <x v="731"/>
    <x v="2"/>
    <x v="2"/>
    <x v="0"/>
  </r>
  <r>
    <x v="238"/>
    <x v="238"/>
    <x v="732"/>
    <x v="23"/>
    <x v="26"/>
    <x v="0"/>
  </r>
  <r>
    <x v="97"/>
    <x v="97"/>
    <x v="733"/>
    <x v="6"/>
    <x v="7"/>
    <x v="0"/>
  </r>
  <r>
    <x v="259"/>
    <x v="259"/>
    <x v="734"/>
    <x v="6"/>
    <x v="7"/>
    <x v="0"/>
  </r>
  <r>
    <x v="261"/>
    <x v="261"/>
    <x v="735"/>
    <x v="20"/>
    <x v="22"/>
    <x v="0"/>
  </r>
  <r>
    <x v="262"/>
    <x v="262"/>
    <x v="736"/>
    <x v="23"/>
    <x v="26"/>
    <x v="0"/>
  </r>
  <r>
    <x v="260"/>
    <x v="260"/>
    <x v="737"/>
    <x v="10"/>
    <x v="11"/>
    <x v="0"/>
  </r>
  <r>
    <x v="899"/>
    <x v="899"/>
    <x v="738"/>
    <x v="21"/>
    <x v="24"/>
    <x v="0"/>
  </r>
  <r>
    <x v="240"/>
    <x v="240"/>
    <x v="739"/>
    <x v="23"/>
    <x v="26"/>
    <x v="0"/>
  </r>
  <r>
    <x v="241"/>
    <x v="241"/>
    <x v="740"/>
    <x v="10"/>
    <x v="11"/>
    <x v="0"/>
  </r>
  <r>
    <x v="477"/>
    <x v="477"/>
    <x v="741"/>
    <x v="33"/>
    <x v="36"/>
    <x v="0"/>
  </r>
  <r>
    <x v="242"/>
    <x v="242"/>
    <x v="742"/>
    <x v="12"/>
    <x v="13"/>
    <x v="0"/>
  </r>
  <r>
    <x v="900"/>
    <x v="900"/>
    <x v="743"/>
    <x v="15"/>
    <x v="16"/>
    <x v="0"/>
  </r>
  <r>
    <x v="478"/>
    <x v="478"/>
    <x v="744"/>
    <x v="9"/>
    <x v="10"/>
    <x v="0"/>
  </r>
  <r>
    <x v="243"/>
    <x v="243"/>
    <x v="745"/>
    <x v="23"/>
    <x v="26"/>
    <x v="0"/>
  </r>
  <r>
    <x v="244"/>
    <x v="244"/>
    <x v="746"/>
    <x v="23"/>
    <x v="26"/>
    <x v="0"/>
  </r>
  <r>
    <x v="245"/>
    <x v="245"/>
    <x v="747"/>
    <x v="40"/>
    <x v="42"/>
    <x v="0"/>
  </r>
  <r>
    <x v="246"/>
    <x v="246"/>
    <x v="748"/>
    <x v="2"/>
    <x v="2"/>
    <x v="0"/>
  </r>
  <r>
    <x v="479"/>
    <x v="479"/>
    <x v="749"/>
    <x v="1"/>
    <x v="1"/>
    <x v="0"/>
  </r>
  <r>
    <x v="247"/>
    <x v="247"/>
    <x v="750"/>
    <x v="5"/>
    <x v="5"/>
    <x v="0"/>
  </r>
  <r>
    <x v="248"/>
    <x v="248"/>
    <x v="751"/>
    <x v="2"/>
    <x v="2"/>
    <x v="0"/>
  </r>
  <r>
    <x v="255"/>
    <x v="255"/>
    <x v="752"/>
    <x v="41"/>
    <x v="23"/>
    <x v="0"/>
  </r>
  <r>
    <x v="250"/>
    <x v="250"/>
    <x v="753"/>
    <x v="23"/>
    <x v="26"/>
    <x v="0"/>
  </r>
  <r>
    <x v="253"/>
    <x v="253"/>
    <x v="754"/>
    <x v="40"/>
    <x v="42"/>
    <x v="0"/>
  </r>
  <r>
    <x v="252"/>
    <x v="252"/>
    <x v="755"/>
    <x v="13"/>
    <x v="14"/>
    <x v="0"/>
  </r>
  <r>
    <x v="254"/>
    <x v="254"/>
    <x v="756"/>
    <x v="5"/>
    <x v="5"/>
    <x v="0"/>
  </r>
  <r>
    <x v="256"/>
    <x v="256"/>
    <x v="757"/>
    <x v="40"/>
    <x v="42"/>
    <x v="0"/>
  </r>
  <r>
    <x v="901"/>
    <x v="901"/>
    <x v="758"/>
    <x v="11"/>
    <x v="12"/>
    <x v="0"/>
  </r>
  <r>
    <x v="481"/>
    <x v="481"/>
    <x v="759"/>
    <x v="18"/>
    <x v="19"/>
    <x v="0"/>
  </r>
  <r>
    <x v="257"/>
    <x v="257"/>
    <x v="760"/>
    <x v="39"/>
    <x v="41"/>
    <x v="0"/>
  </r>
  <r>
    <x v="258"/>
    <x v="258"/>
    <x v="761"/>
    <x v="20"/>
    <x v="22"/>
    <x v="0"/>
  </r>
  <r>
    <x v="189"/>
    <x v="189"/>
    <x v="762"/>
    <x v="6"/>
    <x v="7"/>
    <x v="0"/>
  </r>
  <r>
    <x v="903"/>
    <x v="903"/>
    <x v="763"/>
    <x v="15"/>
    <x v="16"/>
    <x v="0"/>
  </r>
  <r>
    <x v="483"/>
    <x v="483"/>
    <x v="764"/>
    <x v="19"/>
    <x v="20"/>
    <x v="0"/>
  </r>
  <r>
    <x v="703"/>
    <x v="703"/>
    <x v="765"/>
    <x v="24"/>
    <x v="27"/>
    <x v="0"/>
  </r>
  <r>
    <x v="702"/>
    <x v="702"/>
    <x v="766"/>
    <x v="32"/>
    <x v="35"/>
    <x v="0"/>
  </r>
  <r>
    <x v="484"/>
    <x v="484"/>
    <x v="767"/>
    <x v="1"/>
    <x v="1"/>
    <x v="0"/>
  </r>
  <r>
    <x v="904"/>
    <x v="904"/>
    <x v="768"/>
    <x v="15"/>
    <x v="16"/>
    <x v="0"/>
  </r>
  <r>
    <x v="905"/>
    <x v="905"/>
    <x v="769"/>
    <x v="35"/>
    <x v="38"/>
    <x v="0"/>
  </r>
  <r>
    <x v="485"/>
    <x v="485"/>
    <x v="770"/>
    <x v="1"/>
    <x v="1"/>
    <x v="0"/>
  </r>
  <r>
    <x v="906"/>
    <x v="906"/>
    <x v="771"/>
    <x v="7"/>
    <x v="8"/>
    <x v="0"/>
  </r>
  <r>
    <x v="907"/>
    <x v="907"/>
    <x v="772"/>
    <x v="15"/>
    <x v="16"/>
    <x v="0"/>
  </r>
  <r>
    <x v="806"/>
    <x v="806"/>
    <x v="773"/>
    <x v="21"/>
    <x v="24"/>
    <x v="0"/>
  </r>
  <r>
    <x v="704"/>
    <x v="704"/>
    <x v="774"/>
    <x v="24"/>
    <x v="27"/>
    <x v="0"/>
  </r>
  <r>
    <x v="563"/>
    <x v="563"/>
    <x v="775"/>
    <x v="22"/>
    <x v="25"/>
    <x v="0"/>
  </r>
  <r>
    <x v="264"/>
    <x v="264"/>
    <x v="776"/>
    <x v="39"/>
    <x v="41"/>
    <x v="0"/>
  </r>
  <r>
    <x v="487"/>
    <x v="487"/>
    <x v="777"/>
    <x v="27"/>
    <x v="30"/>
    <x v="0"/>
  </r>
  <r>
    <x v="706"/>
    <x v="706"/>
    <x v="778"/>
    <x v="32"/>
    <x v="35"/>
    <x v="0"/>
  </r>
  <r>
    <x v="488"/>
    <x v="488"/>
    <x v="779"/>
    <x v="9"/>
    <x v="10"/>
    <x v="0"/>
  </r>
  <r>
    <x v="489"/>
    <x v="489"/>
    <x v="780"/>
    <x v="30"/>
    <x v="33"/>
    <x v="0"/>
  </r>
  <r>
    <x v="705"/>
    <x v="705"/>
    <x v="781"/>
    <x v="3"/>
    <x v="3"/>
    <x v="0"/>
  </r>
  <r>
    <x v="266"/>
    <x v="266"/>
    <x v="782"/>
    <x v="23"/>
    <x v="26"/>
    <x v="0"/>
  </r>
  <r>
    <x v="707"/>
    <x v="707"/>
    <x v="783"/>
    <x v="26"/>
    <x v="29"/>
    <x v="0"/>
  </r>
  <r>
    <x v="490"/>
    <x v="490"/>
    <x v="784"/>
    <x v="33"/>
    <x v="36"/>
    <x v="0"/>
  </r>
  <r>
    <x v="267"/>
    <x v="267"/>
    <x v="785"/>
    <x v="16"/>
    <x v="17"/>
    <x v="0"/>
  </r>
  <r>
    <x v="360"/>
    <x v="360"/>
    <x v="786"/>
    <x v="1"/>
    <x v="1"/>
    <x v="0"/>
  </r>
  <r>
    <x v="268"/>
    <x v="268"/>
    <x v="787"/>
    <x v="42"/>
    <x v="21"/>
    <x v="0"/>
  </r>
  <r>
    <x v="708"/>
    <x v="708"/>
    <x v="788"/>
    <x v="17"/>
    <x v="18"/>
    <x v="0"/>
  </r>
  <r>
    <x v="908"/>
    <x v="908"/>
    <x v="789"/>
    <x v="15"/>
    <x v="16"/>
    <x v="0"/>
  </r>
  <r>
    <x v="709"/>
    <x v="709"/>
    <x v="790"/>
    <x v="34"/>
    <x v="37"/>
    <x v="0"/>
  </r>
  <r>
    <x v="269"/>
    <x v="269"/>
    <x v="791"/>
    <x v="23"/>
    <x v="26"/>
    <x v="0"/>
  </r>
  <r>
    <x v="710"/>
    <x v="710"/>
    <x v="792"/>
    <x v="25"/>
    <x v="28"/>
    <x v="0"/>
  </r>
  <r>
    <x v="711"/>
    <x v="711"/>
    <x v="793"/>
    <x v="25"/>
    <x v="28"/>
    <x v="0"/>
  </r>
  <r>
    <x v="712"/>
    <x v="712"/>
    <x v="794"/>
    <x v="32"/>
    <x v="35"/>
    <x v="0"/>
  </r>
  <r>
    <x v="270"/>
    <x v="270"/>
    <x v="795"/>
    <x v="2"/>
    <x v="2"/>
    <x v="0"/>
  </r>
  <r>
    <x v="713"/>
    <x v="713"/>
    <x v="796"/>
    <x v="32"/>
    <x v="35"/>
    <x v="0"/>
  </r>
  <r>
    <x v="714"/>
    <x v="714"/>
    <x v="797"/>
    <x v="32"/>
    <x v="35"/>
    <x v="0"/>
  </r>
  <r>
    <x v="271"/>
    <x v="271"/>
    <x v="798"/>
    <x v="6"/>
    <x v="7"/>
    <x v="0"/>
  </r>
  <r>
    <x v="491"/>
    <x v="491"/>
    <x v="799"/>
    <x v="33"/>
    <x v="36"/>
    <x v="0"/>
  </r>
  <r>
    <x v="273"/>
    <x v="273"/>
    <x v="800"/>
    <x v="40"/>
    <x v="42"/>
    <x v="0"/>
  </r>
  <r>
    <x v="274"/>
    <x v="274"/>
    <x v="801"/>
    <x v="6"/>
    <x v="7"/>
    <x v="0"/>
  </r>
  <r>
    <x v="715"/>
    <x v="715"/>
    <x v="802"/>
    <x v="24"/>
    <x v="27"/>
    <x v="0"/>
  </r>
  <r>
    <x v="716"/>
    <x v="716"/>
    <x v="803"/>
    <x v="31"/>
    <x v="34"/>
    <x v="0"/>
  </r>
  <r>
    <x v="492"/>
    <x v="492"/>
    <x v="804"/>
    <x v="9"/>
    <x v="10"/>
    <x v="0"/>
  </r>
  <r>
    <x v="275"/>
    <x v="275"/>
    <x v="805"/>
    <x v="23"/>
    <x v="26"/>
    <x v="0"/>
  </r>
  <r>
    <x v="909"/>
    <x v="909"/>
    <x v="806"/>
    <x v="35"/>
    <x v="38"/>
    <x v="0"/>
  </r>
  <r>
    <x v="717"/>
    <x v="717"/>
    <x v="807"/>
    <x v="37"/>
    <x v="40"/>
    <x v="0"/>
  </r>
  <r>
    <x v="718"/>
    <x v="718"/>
    <x v="808"/>
    <x v="17"/>
    <x v="18"/>
    <x v="0"/>
  </r>
  <r>
    <x v="719"/>
    <x v="719"/>
    <x v="809"/>
    <x v="31"/>
    <x v="34"/>
    <x v="0"/>
  </r>
  <r>
    <x v="272"/>
    <x v="272"/>
    <x v="810"/>
    <x v="23"/>
    <x v="26"/>
    <x v="0"/>
  </r>
  <r>
    <x v="277"/>
    <x v="277"/>
    <x v="811"/>
    <x v="23"/>
    <x v="26"/>
    <x v="0"/>
  </r>
  <r>
    <x v="278"/>
    <x v="278"/>
    <x v="812"/>
    <x v="20"/>
    <x v="22"/>
    <x v="0"/>
  </r>
  <r>
    <x v="720"/>
    <x v="720"/>
    <x v="813"/>
    <x v="22"/>
    <x v="25"/>
    <x v="0"/>
  </r>
  <r>
    <x v="493"/>
    <x v="493"/>
    <x v="814"/>
    <x v="1"/>
    <x v="1"/>
    <x v="0"/>
  </r>
  <r>
    <x v="276"/>
    <x v="276"/>
    <x v="815"/>
    <x v="39"/>
    <x v="41"/>
    <x v="0"/>
  </r>
  <r>
    <x v="279"/>
    <x v="279"/>
    <x v="816"/>
    <x v="20"/>
    <x v="22"/>
    <x v="0"/>
  </r>
  <r>
    <x v="721"/>
    <x v="721"/>
    <x v="817"/>
    <x v="25"/>
    <x v="28"/>
    <x v="0"/>
  </r>
  <r>
    <x v="722"/>
    <x v="722"/>
    <x v="818"/>
    <x v="22"/>
    <x v="25"/>
    <x v="0"/>
  </r>
  <r>
    <x v="910"/>
    <x v="910"/>
    <x v="819"/>
    <x v="8"/>
    <x v="9"/>
    <x v="0"/>
  </r>
  <r>
    <x v="911"/>
    <x v="911"/>
    <x v="820"/>
    <x v="29"/>
    <x v="32"/>
    <x v="0"/>
  </r>
  <r>
    <x v="280"/>
    <x v="280"/>
    <x v="821"/>
    <x v="23"/>
    <x v="26"/>
    <x v="0"/>
  </r>
  <r>
    <x v="723"/>
    <x v="723"/>
    <x v="822"/>
    <x v="34"/>
    <x v="37"/>
    <x v="0"/>
  </r>
  <r>
    <x v="281"/>
    <x v="281"/>
    <x v="823"/>
    <x v="20"/>
    <x v="22"/>
    <x v="0"/>
  </r>
  <r>
    <x v="282"/>
    <x v="282"/>
    <x v="824"/>
    <x v="23"/>
    <x v="26"/>
    <x v="0"/>
  </r>
  <r>
    <x v="724"/>
    <x v="724"/>
    <x v="825"/>
    <x v="17"/>
    <x v="18"/>
    <x v="0"/>
  </r>
  <r>
    <x v="725"/>
    <x v="725"/>
    <x v="826"/>
    <x v="37"/>
    <x v="40"/>
    <x v="0"/>
  </r>
  <r>
    <x v="727"/>
    <x v="727"/>
    <x v="827"/>
    <x v="24"/>
    <x v="27"/>
    <x v="0"/>
  </r>
  <r>
    <x v="283"/>
    <x v="283"/>
    <x v="828"/>
    <x v="5"/>
    <x v="5"/>
    <x v="0"/>
  </r>
  <r>
    <x v="912"/>
    <x v="912"/>
    <x v="829"/>
    <x v="28"/>
    <x v="31"/>
    <x v="0"/>
  </r>
  <r>
    <x v="913"/>
    <x v="913"/>
    <x v="830"/>
    <x v="29"/>
    <x v="32"/>
    <x v="0"/>
  </r>
  <r>
    <x v="732"/>
    <x v="732"/>
    <x v="831"/>
    <x v="32"/>
    <x v="35"/>
    <x v="0"/>
  </r>
  <r>
    <x v="726"/>
    <x v="726"/>
    <x v="832"/>
    <x v="32"/>
    <x v="35"/>
    <x v="0"/>
  </r>
  <r>
    <x v="914"/>
    <x v="914"/>
    <x v="833"/>
    <x v="35"/>
    <x v="38"/>
    <x v="0"/>
  </r>
  <r>
    <x v="728"/>
    <x v="728"/>
    <x v="834"/>
    <x v="32"/>
    <x v="35"/>
    <x v="0"/>
  </r>
  <r>
    <x v="756"/>
    <x v="756"/>
    <x v="835"/>
    <x v="31"/>
    <x v="34"/>
    <x v="0"/>
  </r>
  <r>
    <x v="729"/>
    <x v="729"/>
    <x v="836"/>
    <x v="26"/>
    <x v="29"/>
    <x v="0"/>
  </r>
  <r>
    <x v="730"/>
    <x v="730"/>
    <x v="837"/>
    <x v="22"/>
    <x v="25"/>
    <x v="0"/>
  </r>
  <r>
    <x v="284"/>
    <x v="284"/>
    <x v="838"/>
    <x v="2"/>
    <x v="2"/>
    <x v="0"/>
  </r>
  <r>
    <x v="285"/>
    <x v="285"/>
    <x v="839"/>
    <x v="2"/>
    <x v="2"/>
    <x v="0"/>
  </r>
  <r>
    <x v="286"/>
    <x v="286"/>
    <x v="840"/>
    <x v="10"/>
    <x v="11"/>
    <x v="0"/>
  </r>
  <r>
    <x v="494"/>
    <x v="494"/>
    <x v="841"/>
    <x v="9"/>
    <x v="10"/>
    <x v="0"/>
  </r>
  <r>
    <x v="731"/>
    <x v="731"/>
    <x v="842"/>
    <x v="32"/>
    <x v="35"/>
    <x v="0"/>
  </r>
  <r>
    <x v="495"/>
    <x v="495"/>
    <x v="843"/>
    <x v="1"/>
    <x v="1"/>
    <x v="0"/>
  </r>
  <r>
    <x v="496"/>
    <x v="496"/>
    <x v="844"/>
    <x v="9"/>
    <x v="10"/>
    <x v="0"/>
  </r>
  <r>
    <x v="915"/>
    <x v="915"/>
    <x v="845"/>
    <x v="28"/>
    <x v="31"/>
    <x v="0"/>
  </r>
  <r>
    <x v="497"/>
    <x v="497"/>
    <x v="846"/>
    <x v="18"/>
    <x v="19"/>
    <x v="0"/>
  </r>
  <r>
    <x v="916"/>
    <x v="916"/>
    <x v="847"/>
    <x v="8"/>
    <x v="9"/>
    <x v="0"/>
  </r>
  <r>
    <x v="498"/>
    <x v="498"/>
    <x v="848"/>
    <x v="30"/>
    <x v="33"/>
    <x v="0"/>
  </r>
  <r>
    <x v="499"/>
    <x v="499"/>
    <x v="849"/>
    <x v="33"/>
    <x v="36"/>
    <x v="0"/>
  </r>
  <r>
    <x v="733"/>
    <x v="733"/>
    <x v="850"/>
    <x v="24"/>
    <x v="27"/>
    <x v="0"/>
  </r>
  <r>
    <x v="501"/>
    <x v="501"/>
    <x v="851"/>
    <x v="9"/>
    <x v="10"/>
    <x v="0"/>
  </r>
  <r>
    <x v="287"/>
    <x v="287"/>
    <x v="852"/>
    <x v="39"/>
    <x v="41"/>
    <x v="0"/>
  </r>
  <r>
    <x v="502"/>
    <x v="502"/>
    <x v="853"/>
    <x v="9"/>
    <x v="10"/>
    <x v="0"/>
  </r>
  <r>
    <x v="917"/>
    <x v="917"/>
    <x v="854"/>
    <x v="21"/>
    <x v="24"/>
    <x v="0"/>
  </r>
  <r>
    <x v="918"/>
    <x v="918"/>
    <x v="855"/>
    <x v="28"/>
    <x v="31"/>
    <x v="0"/>
  </r>
  <r>
    <x v="500"/>
    <x v="500"/>
    <x v="856"/>
    <x v="9"/>
    <x v="10"/>
    <x v="0"/>
  </r>
  <r>
    <x v="503"/>
    <x v="503"/>
    <x v="857"/>
    <x v="14"/>
    <x v="15"/>
    <x v="0"/>
  </r>
  <r>
    <x v="288"/>
    <x v="288"/>
    <x v="858"/>
    <x v="39"/>
    <x v="41"/>
    <x v="0"/>
  </r>
  <r>
    <x v="324"/>
    <x v="324"/>
    <x v="859"/>
    <x v="1"/>
    <x v="1"/>
    <x v="0"/>
  </r>
  <r>
    <x v="504"/>
    <x v="504"/>
    <x v="860"/>
    <x v="18"/>
    <x v="19"/>
    <x v="0"/>
  </r>
  <r>
    <x v="505"/>
    <x v="505"/>
    <x v="861"/>
    <x v="18"/>
    <x v="19"/>
    <x v="0"/>
  </r>
  <r>
    <x v="571"/>
    <x v="571"/>
    <x v="862"/>
    <x v="4"/>
    <x v="4"/>
    <x v="0"/>
  </r>
  <r>
    <x v="750"/>
    <x v="750"/>
    <x v="863"/>
    <x v="25"/>
    <x v="28"/>
    <x v="0"/>
  </r>
  <r>
    <x v="506"/>
    <x v="506"/>
    <x v="864"/>
    <x v="9"/>
    <x v="10"/>
    <x v="0"/>
  </r>
  <r>
    <x v="289"/>
    <x v="289"/>
    <x v="865"/>
    <x v="5"/>
    <x v="5"/>
    <x v="0"/>
  </r>
  <r>
    <x v="734"/>
    <x v="734"/>
    <x v="866"/>
    <x v="37"/>
    <x v="40"/>
    <x v="0"/>
  </r>
  <r>
    <x v="290"/>
    <x v="290"/>
    <x v="867"/>
    <x v="13"/>
    <x v="14"/>
    <x v="0"/>
  </r>
  <r>
    <x v="919"/>
    <x v="919"/>
    <x v="868"/>
    <x v="15"/>
    <x v="16"/>
    <x v="0"/>
  </r>
  <r>
    <x v="736"/>
    <x v="736"/>
    <x v="869"/>
    <x v="22"/>
    <x v="25"/>
    <x v="0"/>
  </r>
  <r>
    <x v="468"/>
    <x v="468"/>
    <x v="870"/>
    <x v="30"/>
    <x v="33"/>
    <x v="0"/>
  </r>
  <r>
    <x v="920"/>
    <x v="920"/>
    <x v="871"/>
    <x v="15"/>
    <x v="16"/>
    <x v="0"/>
  </r>
  <r>
    <x v="291"/>
    <x v="291"/>
    <x v="872"/>
    <x v="40"/>
    <x v="42"/>
    <x v="0"/>
  </r>
  <r>
    <x v="292"/>
    <x v="292"/>
    <x v="873"/>
    <x v="10"/>
    <x v="11"/>
    <x v="0"/>
  </r>
  <r>
    <x v="921"/>
    <x v="921"/>
    <x v="874"/>
    <x v="0"/>
    <x v="0"/>
    <x v="0"/>
  </r>
  <r>
    <x v="293"/>
    <x v="293"/>
    <x v="875"/>
    <x v="40"/>
    <x v="42"/>
    <x v="0"/>
  </r>
  <r>
    <x v="922"/>
    <x v="922"/>
    <x v="876"/>
    <x v="0"/>
    <x v="0"/>
    <x v="0"/>
  </r>
  <r>
    <x v="755"/>
    <x v="755"/>
    <x v="877"/>
    <x v="3"/>
    <x v="3"/>
    <x v="0"/>
  </r>
  <r>
    <x v="735"/>
    <x v="735"/>
    <x v="878"/>
    <x v="3"/>
    <x v="3"/>
    <x v="0"/>
  </r>
  <r>
    <x v="923"/>
    <x v="923"/>
    <x v="879"/>
    <x v="7"/>
    <x v="8"/>
    <x v="0"/>
  </r>
  <r>
    <x v="758"/>
    <x v="758"/>
    <x v="880"/>
    <x v="3"/>
    <x v="3"/>
    <x v="0"/>
  </r>
  <r>
    <x v="294"/>
    <x v="294"/>
    <x v="881"/>
    <x v="5"/>
    <x v="5"/>
    <x v="0"/>
  </r>
  <r>
    <x v="924"/>
    <x v="924"/>
    <x v="882"/>
    <x v="11"/>
    <x v="12"/>
    <x v="0"/>
  </r>
  <r>
    <x v="507"/>
    <x v="507"/>
    <x v="883"/>
    <x v="1"/>
    <x v="1"/>
    <x v="0"/>
  </r>
  <r>
    <x v="737"/>
    <x v="737"/>
    <x v="884"/>
    <x v="37"/>
    <x v="40"/>
    <x v="0"/>
  </r>
  <r>
    <x v="508"/>
    <x v="508"/>
    <x v="885"/>
    <x v="9"/>
    <x v="10"/>
    <x v="0"/>
  </r>
  <r>
    <x v="925"/>
    <x v="925"/>
    <x v="886"/>
    <x v="35"/>
    <x v="38"/>
    <x v="0"/>
  </r>
  <r>
    <x v="295"/>
    <x v="295"/>
    <x v="887"/>
    <x v="23"/>
    <x v="26"/>
    <x v="0"/>
  </r>
  <r>
    <x v="509"/>
    <x v="509"/>
    <x v="888"/>
    <x v="23"/>
    <x v="26"/>
    <x v="0"/>
  </r>
  <r>
    <x v="510"/>
    <x v="510"/>
    <x v="889"/>
    <x v="33"/>
    <x v="36"/>
    <x v="0"/>
  </r>
  <r>
    <x v="738"/>
    <x v="738"/>
    <x v="890"/>
    <x v="38"/>
    <x v="6"/>
    <x v="0"/>
  </r>
  <r>
    <x v="931"/>
    <x v="931"/>
    <x v="891"/>
    <x v="0"/>
    <x v="0"/>
    <x v="0"/>
  </r>
  <r>
    <x v="525"/>
    <x v="525"/>
    <x v="892"/>
    <x v="1"/>
    <x v="1"/>
    <x v="0"/>
  </r>
  <r>
    <x v="746"/>
    <x v="746"/>
    <x v="893"/>
    <x v="26"/>
    <x v="29"/>
    <x v="0"/>
  </r>
  <r>
    <x v="932"/>
    <x v="932"/>
    <x v="894"/>
    <x v="35"/>
    <x v="38"/>
    <x v="0"/>
  </r>
  <r>
    <x v="926"/>
    <x v="926"/>
    <x v="895"/>
    <x v="0"/>
    <x v="0"/>
    <x v="0"/>
  </r>
  <r>
    <x v="511"/>
    <x v="511"/>
    <x v="896"/>
    <x v="1"/>
    <x v="1"/>
    <x v="0"/>
  </r>
  <r>
    <x v="512"/>
    <x v="512"/>
    <x v="897"/>
    <x v="19"/>
    <x v="20"/>
    <x v="0"/>
  </r>
  <r>
    <x v="296"/>
    <x v="296"/>
    <x v="898"/>
    <x v="13"/>
    <x v="14"/>
    <x v="0"/>
  </r>
  <r>
    <x v="514"/>
    <x v="514"/>
    <x v="899"/>
    <x v="1"/>
    <x v="1"/>
    <x v="0"/>
  </r>
  <r>
    <x v="513"/>
    <x v="513"/>
    <x v="900"/>
    <x v="19"/>
    <x v="20"/>
    <x v="0"/>
  </r>
  <r>
    <x v="298"/>
    <x v="298"/>
    <x v="901"/>
    <x v="10"/>
    <x v="11"/>
    <x v="0"/>
  </r>
  <r>
    <x v="297"/>
    <x v="297"/>
    <x v="902"/>
    <x v="39"/>
    <x v="41"/>
    <x v="0"/>
  </r>
  <r>
    <x v="515"/>
    <x v="515"/>
    <x v="903"/>
    <x v="27"/>
    <x v="30"/>
    <x v="0"/>
  </r>
  <r>
    <x v="516"/>
    <x v="516"/>
    <x v="904"/>
    <x v="23"/>
    <x v="26"/>
    <x v="0"/>
  </r>
  <r>
    <x v="517"/>
    <x v="517"/>
    <x v="905"/>
    <x v="1"/>
    <x v="1"/>
    <x v="0"/>
  </r>
  <r>
    <x v="302"/>
    <x v="302"/>
    <x v="906"/>
    <x v="2"/>
    <x v="2"/>
    <x v="0"/>
  </r>
  <r>
    <x v="739"/>
    <x v="739"/>
    <x v="907"/>
    <x v="37"/>
    <x v="40"/>
    <x v="0"/>
  </r>
  <r>
    <x v="519"/>
    <x v="519"/>
    <x v="908"/>
    <x v="1"/>
    <x v="1"/>
    <x v="0"/>
  </r>
  <r>
    <x v="936"/>
    <x v="936"/>
    <x v="909"/>
    <x v="36"/>
    <x v="39"/>
    <x v="0"/>
  </r>
  <r>
    <x v="303"/>
    <x v="303"/>
    <x v="910"/>
    <x v="40"/>
    <x v="42"/>
    <x v="0"/>
  </r>
  <r>
    <x v="740"/>
    <x v="740"/>
    <x v="911"/>
    <x v="4"/>
    <x v="4"/>
    <x v="0"/>
  </r>
  <r>
    <x v="520"/>
    <x v="520"/>
    <x v="912"/>
    <x v="30"/>
    <x v="33"/>
    <x v="0"/>
  </r>
  <r>
    <x v="927"/>
    <x v="927"/>
    <x v="913"/>
    <x v="35"/>
    <x v="38"/>
    <x v="0"/>
  </r>
  <r>
    <x v="521"/>
    <x v="521"/>
    <x v="914"/>
    <x v="1"/>
    <x v="1"/>
    <x v="0"/>
  </r>
  <r>
    <x v="522"/>
    <x v="522"/>
    <x v="915"/>
    <x v="1"/>
    <x v="1"/>
    <x v="0"/>
  </r>
  <r>
    <x v="523"/>
    <x v="523"/>
    <x v="916"/>
    <x v="1"/>
    <x v="1"/>
    <x v="0"/>
  </r>
  <r>
    <x v="741"/>
    <x v="741"/>
    <x v="917"/>
    <x v="38"/>
    <x v="6"/>
    <x v="0"/>
  </r>
  <r>
    <x v="524"/>
    <x v="524"/>
    <x v="918"/>
    <x v="1"/>
    <x v="1"/>
    <x v="0"/>
  </r>
  <r>
    <x v="928"/>
    <x v="928"/>
    <x v="919"/>
    <x v="7"/>
    <x v="8"/>
    <x v="0"/>
  </r>
  <r>
    <x v="742"/>
    <x v="742"/>
    <x v="920"/>
    <x v="26"/>
    <x v="29"/>
    <x v="0"/>
  </r>
  <r>
    <x v="743"/>
    <x v="743"/>
    <x v="921"/>
    <x v="22"/>
    <x v="25"/>
    <x v="0"/>
  </r>
  <r>
    <x v="748"/>
    <x v="748"/>
    <x v="922"/>
    <x v="32"/>
    <x v="35"/>
    <x v="0"/>
  </r>
  <r>
    <x v="744"/>
    <x v="744"/>
    <x v="923"/>
    <x v="22"/>
    <x v="25"/>
    <x v="0"/>
  </r>
  <r>
    <x v="929"/>
    <x v="929"/>
    <x v="924"/>
    <x v="15"/>
    <x v="16"/>
    <x v="0"/>
  </r>
  <r>
    <x v="300"/>
    <x v="300"/>
    <x v="925"/>
    <x v="23"/>
    <x v="26"/>
    <x v="0"/>
  </r>
  <r>
    <x v="745"/>
    <x v="745"/>
    <x v="926"/>
    <x v="32"/>
    <x v="35"/>
    <x v="0"/>
  </r>
  <r>
    <x v="299"/>
    <x v="299"/>
    <x v="927"/>
    <x v="5"/>
    <x v="5"/>
    <x v="0"/>
  </r>
  <r>
    <x v="307"/>
    <x v="307"/>
    <x v="928"/>
    <x v="40"/>
    <x v="42"/>
    <x v="0"/>
  </r>
  <r>
    <x v="304"/>
    <x v="304"/>
    <x v="929"/>
    <x v="16"/>
    <x v="17"/>
    <x v="0"/>
  </r>
  <r>
    <x v="930"/>
    <x v="930"/>
    <x v="930"/>
    <x v="7"/>
    <x v="8"/>
    <x v="0"/>
  </r>
  <r>
    <x v="211"/>
    <x v="211"/>
    <x v="931"/>
    <x v="20"/>
    <x v="22"/>
    <x v="0"/>
  </r>
  <r>
    <x v="216"/>
    <x v="216"/>
    <x v="932"/>
    <x v="20"/>
    <x v="22"/>
    <x v="0"/>
  </r>
  <r>
    <x v="518"/>
    <x v="518"/>
    <x v="933"/>
    <x v="1"/>
    <x v="1"/>
    <x v="0"/>
  </r>
  <r>
    <x v="933"/>
    <x v="933"/>
    <x v="934"/>
    <x v="15"/>
    <x v="16"/>
    <x v="0"/>
  </r>
  <r>
    <x v="934"/>
    <x v="934"/>
    <x v="935"/>
    <x v="28"/>
    <x v="31"/>
    <x v="0"/>
  </r>
  <r>
    <x v="935"/>
    <x v="935"/>
    <x v="936"/>
    <x v="28"/>
    <x v="31"/>
    <x v="0"/>
  </r>
  <r>
    <x v="527"/>
    <x v="527"/>
    <x v="937"/>
    <x v="33"/>
    <x v="36"/>
    <x v="0"/>
  </r>
  <r>
    <x v="301"/>
    <x v="301"/>
    <x v="938"/>
    <x v="2"/>
    <x v="2"/>
    <x v="0"/>
  </r>
  <r>
    <x v="526"/>
    <x v="526"/>
    <x v="939"/>
    <x v="9"/>
    <x v="10"/>
    <x v="0"/>
  </r>
  <r>
    <x v="747"/>
    <x v="747"/>
    <x v="940"/>
    <x v="17"/>
    <x v="18"/>
    <x v="0"/>
  </r>
  <r>
    <x v="937"/>
    <x v="937"/>
    <x v="941"/>
    <x v="15"/>
    <x v="16"/>
    <x v="0"/>
  </r>
  <r>
    <x v="749"/>
    <x v="749"/>
    <x v="942"/>
    <x v="17"/>
    <x v="18"/>
    <x v="0"/>
  </r>
  <r>
    <x v="938"/>
    <x v="938"/>
    <x v="943"/>
    <x v="29"/>
    <x v="32"/>
    <x v="0"/>
  </r>
  <r>
    <x v="939"/>
    <x v="939"/>
    <x v="944"/>
    <x v="7"/>
    <x v="8"/>
    <x v="0"/>
  </r>
  <r>
    <x v="305"/>
    <x v="305"/>
    <x v="945"/>
    <x v="13"/>
    <x v="14"/>
    <x v="0"/>
  </r>
  <r>
    <x v="814"/>
    <x v="814"/>
    <x v="946"/>
    <x v="8"/>
    <x v="9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CountyControl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B47" firstHeaderRow="1" firstDataRow="1" firstDataCol="1"/>
  <pivotFields count="6"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4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</items>
    </pivotField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4"/>
  </rowFields>
  <dataFields count="1">
    <dataField name="municipality_code" fld="1" subtotal="sum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opulationByAgeSex" cacheId="2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D106" firstHeaderRow="1" firstDataRow="2" firstDataCol="1"/>
  <pivotFields count="4"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</items>
    </pivotField>
    <pivotField axis="axisCol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dataField="1" showDropDowns="1" compact="0" outline="1" subtotalTop="1" dragToRow="1" dragToCol="1" dragToPage="1" dragToData="1" dragOff="1" showAll="0" topAutoShow="1" itemPageCount="10" sortType="manual" defaultSubtotal="1"/>
  </pivotFields>
  <rowFields count="1">
    <field x="1"/>
  </rowFields>
  <colFields count="1">
    <field x="2"/>
  </colFields>
  <dataFields count="1">
    <dataField name="population" fld="3" subtotal="sum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5" customWidth="1" style="38" min="1" max="1"/>
    <col width="68" customWidth="1" style="38" min="2" max="2"/>
    <col width="52" customWidth="1" style="38" min="3" max="3"/>
  </cols>
  <sheetData>
    <row r="1" ht="15.75" customHeight="1" s="39">
      <c r="A1" s="40" t="inlineStr">
        <is>
          <t>property</t>
        </is>
      </c>
      <c r="B1" s="40" t="inlineStr">
        <is>
          <t>value</t>
        </is>
      </c>
      <c r="C1" s="40" t="inlineStr">
        <is>
          <t>notes</t>
        </is>
      </c>
    </row>
    <row r="2" ht="15" customHeight="1" s="39">
      <c r="A2" s="38" t="inlineStr">
        <is>
          <t>project_name</t>
        </is>
      </c>
      <c r="B2" s="38" t="inlineStr">
        <is>
          <t>tigit-projecte-territorial</t>
        </is>
      </c>
      <c r="C2" s="38" t="inlineStr">
        <is>
          <t>Identitat estable del projecte</t>
        </is>
      </c>
    </row>
    <row r="3" ht="15" customHeight="1" s="39">
      <c r="A3" s="38" t="inlineStr">
        <is>
          <t>chapter_snapshot</t>
        </is>
      </c>
      <c r="B3" s="38" t="inlineStr">
        <is>
          <t>05</t>
        </is>
      </c>
      <c r="C3" s="38" t="inlineStr">
        <is>
          <t>Fita de preparació de dades</t>
        </is>
      </c>
    </row>
    <row r="4" ht="15" customHeight="1" s="39">
      <c r="A4" s="38" t="inlineStr">
        <is>
          <t>case_territory</t>
        </is>
      </c>
      <c r="B4" s="38" t="inlineStr">
        <is>
          <t>Tarragonès</t>
        </is>
      </c>
      <c r="C4" s="38" t="inlineStr">
        <is>
          <t>Cas de demostració; contrastar l'ortografia amb la font oficial</t>
        </is>
      </c>
    </row>
    <row r="5" ht="15" customHeight="1" s="39">
      <c r="A5" s="38" t="inlineStr">
        <is>
          <t>territorial_unit</t>
        </is>
      </c>
      <c r="B5" s="38" t="inlineStr">
        <is>
          <t>municipi</t>
        </is>
      </c>
      <c r="C5" s="38" t="inlineStr">
        <is>
          <t>Una fila analítica per municipi</t>
        </is>
      </c>
    </row>
    <row r="6" ht="15" customHeight="1" s="39">
      <c r="A6" s="38" t="inlineStr">
        <is>
          <t>reference_period</t>
        </is>
      </c>
      <c r="B6" s="38" t="inlineStr">
        <is>
          <t>2021</t>
        </is>
      </c>
      <c r="C6" s="38" t="inlineStr">
        <is>
          <t>Període representat per les dades de població i habitatge</t>
        </is>
      </c>
    </row>
    <row r="7" ht="15" customHeight="1" s="39">
      <c r="A7" s="38" t="inlineStr">
        <is>
          <t>working_language</t>
        </is>
      </c>
      <c r="B7" s="38" t="inlineStr">
        <is>
          <t>ca</t>
        </is>
      </c>
      <c r="C7" s="38" t="inlineStr">
        <is>
          <t>El català és la llengua de treball</t>
        </is>
      </c>
    </row>
    <row r="8" ht="15" customHeight="1" s="39">
      <c r="A8" s="38" t="inlineStr">
        <is>
          <t>spreadsheet_application</t>
        </is>
      </c>
      <c r="B8" s="38" t="inlineStr">
        <is>
          <t>LibreOffice Calc 24.2.7.2; validar també amb Excel abans de publicar</t>
        </is>
      </c>
      <c r="C8" s="38" t="inlineStr">
        <is>
          <t>Anotar Calc o Excel i la versió utilitzada</t>
        </is>
      </c>
    </row>
    <row r="9" ht="15" customHeight="1" s="39">
      <c r="A9" s="38" t="inlineStr">
        <is>
          <t>regional_configuration</t>
        </is>
      </c>
      <c r="B9" s="38" t="inlineStr">
        <is>
          <t>Interfície catalana; decimal amb coma; fórmules OOXML en anglès al fitxer</t>
        </is>
      </c>
      <c r="C9" s="38" t="inlineStr">
        <is>
          <t>Anotar els separadors decimals i de fórmules</t>
        </is>
      </c>
    </row>
    <row r="10" ht="15" customHeight="1" s="39">
      <c r="A10" s="38" t="inlineStr">
        <is>
          <t>author</t>
        </is>
      </c>
      <c r="B10" s="38" t="inlineStr">
        <is>
          <t>Equip docent TIGIT</t>
        </is>
      </c>
      <c r="C10" s="38" t="inlineStr">
        <is>
          <t>Completar abans de produir captures docents</t>
        </is>
      </c>
    </row>
    <row r="11" ht="15" customHeight="1" s="39">
      <c r="A11" s="38" t="inlineStr">
        <is>
          <t>question</t>
        </is>
      </c>
      <c r="B11" s="38" t="inlineStr">
        <is>
          <t>Com es distribueixen la població i el parc d'habitatges entre els municipis?</t>
        </is>
      </c>
      <c r="C11" s="38" t="inlineStr">
        <is>
          <t>Pregunta descriptiva inicial</t>
        </is>
      </c>
    </row>
  </sheetData>
  <autoFilter ref="A1:C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5" customWidth="1" style="38" min="1" max="1"/>
    <col width="12" customWidth="1" style="38" min="2" max="2"/>
    <col width="42" customWidth="1" style="38" min="3" max="4"/>
    <col width="27" customWidth="1" style="38" min="5" max="5"/>
    <col width="13" customWidth="1" style="38" min="6" max="6"/>
    <col width="42" customWidth="1" style="38" min="7" max="9"/>
    <col width="35" customWidth="1" style="38" min="10" max="10"/>
    <col width="42" customWidth="1" style="38" min="11" max="11"/>
  </cols>
  <sheetData>
    <row r="1" ht="15.75" customHeight="1" s="39">
      <c r="A1" s="40" t="inlineStr">
        <is>
          <t>source_id</t>
        </is>
      </c>
      <c r="B1" s="40" t="inlineStr">
        <is>
          <t>producer</t>
        </is>
      </c>
      <c r="C1" s="40" t="inlineStr">
        <is>
          <t>title</t>
        </is>
      </c>
      <c r="D1" s="40" t="inlineStr">
        <is>
          <t>url</t>
        </is>
      </c>
      <c r="E1" s="40" t="inlineStr">
        <is>
          <t>reference_period</t>
        </is>
      </c>
      <c r="F1" s="40" t="inlineStr">
        <is>
          <t>access_date</t>
        </is>
      </c>
      <c r="G1" s="40" t="inlineStr">
        <is>
          <t>license</t>
        </is>
      </c>
      <c r="H1" s="40" t="inlineStr">
        <is>
          <t>format</t>
        </is>
      </c>
      <c r="I1" s="40" t="inlineStr">
        <is>
          <t>selection</t>
        </is>
      </c>
      <c r="J1" s="40" t="inlineStr">
        <is>
          <t>raw_file</t>
        </is>
      </c>
      <c r="K1" s="40" t="inlineStr">
        <is>
          <t>notes</t>
        </is>
      </c>
    </row>
    <row r="2" ht="15" customHeight="1" s="39">
      <c r="A2" s="38" t="inlineStr">
        <is>
          <t>idescat_population_2021</t>
        </is>
      </c>
      <c r="B2" s="38" t="inlineStr">
        <is>
          <t>Idescat</t>
        </is>
      </c>
      <c r="C2" s="38" t="inlineStr">
        <is>
          <t>Població. Per sexe i edat any a any</t>
        </is>
      </c>
      <c r="D2" s="38" t="inlineStr">
        <is>
          <t>https://api.idescat.cat/taules/v2/censph/10/5975/mun/data?lang=ca&amp;YEAR=2021&amp;MUN=430120,430430,430477,430509,430957,430976,431009,431037,431093,431114,431227,431264,431310,431359,431444,431482,431536,431649,431665,431711,439057,439076&amp;SEX=TOTAL</t>
        </is>
      </c>
      <c r="E2" s="38" t="inlineStr">
        <is>
          <t>2021</t>
        </is>
      </c>
      <c r="F2" s="38" t="inlineStr">
        <is>
          <t>2026-08-18</t>
        </is>
      </c>
      <c r="G2" s="38" t="inlineStr">
        <is>
          <t>Condicions d'ús de l'API d'Idescat</t>
        </is>
      </c>
      <c r="H2" s="38" t="inlineStr">
        <is>
          <t>CSV UTF-8 derivat d'una consulta JSON-stat documentada</t>
        </is>
      </c>
      <c r="I2" s="38" t="inlineStr">
        <is>
          <t>Tarragonès; edats simples; total de tots els sexes</t>
        </is>
      </c>
      <c r="J2" s="38" t="inlineStr">
        <is>
          <t>poblacio-edat-tarragones-2021.csv</t>
        </is>
      </c>
      <c r="K2" s="38" t="inlineStr">
        <is>
          <t>La versió docent conserva també la consulta reproduïble de l'API</t>
        </is>
      </c>
    </row>
    <row r="3" ht="15" customHeight="1" s="39">
      <c r="A3" s="38" t="inlineStr">
        <is>
          <t>idescat_housing_2021</t>
        </is>
      </c>
      <c r="B3" s="38" t="inlineStr">
        <is>
          <t>Idescat</t>
        </is>
      </c>
      <c r="C3" s="38" t="inlineStr">
        <is>
          <t>Habitatges. Per tipus d'habitatge</t>
        </is>
      </c>
      <c r="D3" s="38" t="inlineStr">
        <is>
          <t>https://www.idescat.cat/pub/?id=censph&amp;n=30&amp;lang=ca&amp;geo=mun&amp;f=ssv</t>
        </is>
      </c>
      <c r="E3" s="38" t="inlineStr">
        <is>
          <t>2021</t>
        </is>
      </c>
      <c r="F3" s="38" t="inlineStr">
        <is>
          <t>2026-08-18</t>
        </is>
      </c>
      <c r="G3" s="38" t="inlineStr">
        <is>
          <t>Avís legal i condicions de reutilització d'Idescat</t>
        </is>
      </c>
      <c r="H3" s="38" t="inlineStr">
        <is>
          <t>CSV UTF-8; separador ;</t>
        </is>
      </c>
      <c r="I3" s="38" t="inlineStr">
        <is>
          <t>Tots els municipis</t>
        </is>
      </c>
      <c r="J3" s="38" t="inlineStr">
        <is>
          <t>t30mun.csv</t>
        </is>
      </c>
      <c r="K3" s="38" t="inlineStr">
        <is>
          <t>Revisar les notes de confidencialitat i arrodoniment</t>
        </is>
      </c>
    </row>
    <row r="4" ht="15" customHeight="1" s="39">
      <c r="A4" s="38" t="inlineStr">
        <is>
          <t>idescat_codes</t>
        </is>
      </c>
      <c r="B4" s="38" t="inlineStr">
        <is>
          <t>Idescat</t>
        </is>
      </c>
      <c r="C4" s="38" t="inlineStr">
        <is>
          <t>Codis de municipis i comarques</t>
        </is>
      </c>
      <c r="D4" s="38" t="inlineStr">
        <is>
          <t>https://www.idescat.cat/codis/?id=50&amp;n=9&amp;lang=ca&amp;f=ssv</t>
        </is>
      </c>
      <c r="E4" s="38" t="inlineStr">
        <is>
          <t>vigent en la data d'accés</t>
        </is>
      </c>
      <c r="F4" s="38" t="inlineStr">
        <is>
          <t>2026-08-18</t>
        </is>
      </c>
      <c r="G4" s="38" t="inlineStr">
        <is>
          <t>Avís legal i condicions de reutilització d'Idescat</t>
        </is>
      </c>
      <c r="H4" s="38" t="inlineStr">
        <is>
          <t>CSV UTF-8; separador ;</t>
        </is>
      </c>
      <c r="I4" s="38" t="inlineStr">
        <is>
          <t>Municipis i comarques</t>
        </is>
      </c>
      <c r="J4" s="38" t="inlineStr">
        <is>
          <t>mpiscatalunya.csv</t>
        </is>
      </c>
      <c r="K4" s="38" t="inlineStr">
        <is>
          <t>Els codis municipals s'han d'importar com a text</t>
        </is>
      </c>
    </row>
    <row r="5" ht="15" customHeight="1" s="39">
      <c r="A5" s="38" t="inlineStr">
        <is>
          <t>idescat_surface</t>
        </is>
      </c>
      <c r="B5" s="38" t="inlineStr">
        <is>
          <t>Idescat</t>
        </is>
      </c>
      <c r="C5" s="38" t="inlineStr">
        <is>
          <t>Superfície, densitat i entitats singulars</t>
        </is>
      </c>
      <c r="D5" s="38" t="inlineStr">
        <is>
          <t>https://www.idescat.cat/pub/?id=inddt&amp;n=396&amp;lang=ca&amp;geo=mun&amp;f=ssv</t>
        </is>
      </c>
      <c r="E5" s="38" t="inlineStr">
        <is>
          <t>2025</t>
        </is>
      </c>
      <c r="F5" s="38" t="inlineStr">
        <is>
          <t>2026-08-18</t>
        </is>
      </c>
      <c r="G5" s="38" t="inlineStr">
        <is>
          <t>Avís legal i condicions de reutilització d'Idescat</t>
        </is>
      </c>
      <c r="H5" s="38" t="inlineStr">
        <is>
          <t>CSV UTF-8; separador ;</t>
        </is>
      </c>
      <c r="I5" s="38" t="inlineStr">
        <is>
          <t>Tots els municipis</t>
        </is>
      </c>
      <c r="J5" s="38" t="inlineStr">
        <is>
          <t>t396mun.csv</t>
        </is>
      </c>
      <c r="K5" s="38" t="inlineStr">
        <is>
          <t>Registrar el període o la data d'actualització de la taula</t>
        </is>
      </c>
    </row>
  </sheetData>
  <autoFilter ref="A1:K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8" customWidth="1" style="38" min="1" max="1"/>
    <col width="23" customWidth="1" style="38" min="2" max="2"/>
    <col width="35" customWidth="1" style="38" min="3" max="3"/>
    <col width="12" customWidth="1" style="38" min="4" max="5"/>
    <col width="38" customWidth="1" style="38" min="6" max="10"/>
    <col width="14" customWidth="1" style="38" min="11" max="11"/>
    <col width="38" customWidth="1" style="38" min="12" max="13"/>
  </cols>
  <sheetData>
    <row r="1" ht="15.75" customHeight="1" s="39">
      <c r="A1" s="40" t="inlineStr">
        <is>
          <t>field</t>
        </is>
      </c>
      <c r="B1" s="40" t="inlineStr">
        <is>
          <t>sheet</t>
        </is>
      </c>
      <c r="C1" s="40" t="inlineStr">
        <is>
          <t>label</t>
        </is>
      </c>
      <c r="D1" s="40" t="inlineStr">
        <is>
          <t>type</t>
        </is>
      </c>
      <c r="E1" s="40" t="inlineStr">
        <is>
          <t>unit</t>
        </is>
      </c>
      <c r="F1" s="40" t="inlineStr">
        <is>
          <t>source_id</t>
        </is>
      </c>
      <c r="G1" s="40" t="inlineStr">
        <is>
          <t>missing_treatment</t>
        </is>
      </c>
      <c r="H1" s="40" t="inlineStr">
        <is>
          <t>definition</t>
        </is>
      </c>
      <c r="I1" s="40" t="inlineStr">
        <is>
          <t>question</t>
        </is>
      </c>
      <c r="J1" s="40" t="inlineStr">
        <is>
          <t>formula</t>
        </is>
      </c>
      <c r="K1" s="40" t="inlineStr">
        <is>
          <t>scale_factor</t>
        </is>
      </c>
      <c r="L1" s="40" t="inlineStr">
        <is>
          <t>intended_use</t>
        </is>
      </c>
      <c r="M1" s="40" t="inlineStr">
        <is>
          <t>limitations</t>
        </is>
      </c>
    </row>
    <row r="2" ht="15" customHeight="1" s="39">
      <c r="A2" s="38" t="inlineStr">
        <is>
          <t>municipality_code</t>
        </is>
      </c>
      <c r="B2" s="38" t="inlineStr">
        <is>
          <t>municipal</t>
        </is>
      </c>
      <c r="C2" s="38" t="inlineStr">
        <is>
          <t>Codi de municipi</t>
        </is>
      </c>
      <c r="D2" s="38" t="inlineStr">
        <is>
          <t>text</t>
        </is>
      </c>
      <c r="F2" s="38" t="inlineStr">
        <is>
          <t>idescat_codes</t>
        </is>
      </c>
      <c r="G2" s="38" t="inlineStr">
        <is>
          <t>No substituir per zero</t>
        </is>
      </c>
      <c r="H2" s="38" t="inlineStr">
        <is>
          <t>Clau oficial de sis caràcters per a les unions</t>
        </is>
      </c>
    </row>
    <row r="3" ht="15" customHeight="1" s="39">
      <c r="A3" s="38" t="inlineStr">
        <is>
          <t>municipality_name</t>
        </is>
      </c>
      <c r="B3" s="38" t="inlineStr">
        <is>
          <t>municipal</t>
        </is>
      </c>
      <c r="C3" s="38" t="inlineStr">
        <is>
          <t>Municipi</t>
        </is>
      </c>
      <c r="D3" s="38" t="inlineStr">
        <is>
          <t>text</t>
        </is>
      </c>
      <c r="F3" s="38" t="inlineStr">
        <is>
          <t>idescat_codes</t>
        </is>
      </c>
      <c r="G3" s="38" t="inlineStr">
        <is>
          <t>No substituir</t>
        </is>
      </c>
      <c r="H3" s="38" t="inlineStr">
        <is>
          <t>Nom oficial del municipi</t>
        </is>
      </c>
    </row>
    <row r="4" ht="15" customHeight="1" s="39">
      <c r="A4" s="38" t="inlineStr">
        <is>
          <t>county_code</t>
        </is>
      </c>
      <c r="B4" s="38" t="inlineStr">
        <is>
          <t>municipal</t>
        </is>
      </c>
      <c r="C4" s="38" t="inlineStr">
        <is>
          <t>Codi de comarca</t>
        </is>
      </c>
      <c r="D4" s="38" t="inlineStr">
        <is>
          <t>text</t>
        </is>
      </c>
      <c r="F4" s="38" t="inlineStr">
        <is>
          <t>idescat_codes</t>
        </is>
      </c>
      <c r="G4" s="38" t="inlineStr">
        <is>
          <t>No substituir</t>
        </is>
      </c>
      <c r="H4" s="38" t="inlineStr">
        <is>
          <t>Clau utilitzada per filtrar el territori d'estudi</t>
        </is>
      </c>
    </row>
    <row r="5" ht="15" customHeight="1" s="39">
      <c r="A5" s="38" t="inlineStr">
        <is>
          <t>county_name</t>
        </is>
      </c>
      <c r="B5" s="38" t="inlineStr">
        <is>
          <t>municipal</t>
        </is>
      </c>
      <c r="C5" s="38" t="inlineStr">
        <is>
          <t>Comarca</t>
        </is>
      </c>
      <c r="D5" s="38" t="inlineStr">
        <is>
          <t>text</t>
        </is>
      </c>
      <c r="F5" s="38" t="inlineStr">
        <is>
          <t>idescat_codes</t>
        </is>
      </c>
      <c r="G5" s="38" t="inlineStr">
        <is>
          <t>No substituir</t>
        </is>
      </c>
      <c r="H5" s="38" t="inlineStr">
        <is>
          <t>Nom oficial de la comarca</t>
        </is>
      </c>
    </row>
    <row r="6" ht="15" customHeight="1" s="39">
      <c r="A6" s="38" t="inlineStr">
        <is>
          <t>population_total</t>
        </is>
      </c>
      <c r="B6" s="38" t="inlineStr">
        <is>
          <t>municipal</t>
        </is>
      </c>
      <c r="C6" s="38" t="inlineStr">
        <is>
          <t>Població total</t>
        </is>
      </c>
      <c r="D6" s="38" t="inlineStr">
        <is>
          <t>integer</t>
        </is>
      </c>
      <c r="E6" s="38" t="inlineStr">
        <is>
          <t>persones</t>
        </is>
      </c>
      <c r="F6" s="38" t="inlineStr">
        <is>
          <t>idescat_population_2021</t>
        </is>
      </c>
      <c r="G6" s="38" t="inlineStr">
        <is>
          <t>Preservar absent</t>
        </is>
      </c>
      <c r="H6" s="38" t="inlineStr">
        <is>
          <t>Població resident durant el període de referència</t>
        </is>
      </c>
    </row>
    <row r="7" ht="15" customHeight="1" s="39">
      <c r="A7" s="38" t="inlineStr">
        <is>
          <t>population_0_14</t>
        </is>
      </c>
      <c r="B7" s="38" t="inlineStr">
        <is>
          <t>municipal</t>
        </is>
      </c>
      <c r="C7" s="38" t="inlineStr">
        <is>
          <t>Població de 0 a 14 anys</t>
        </is>
      </c>
      <c r="D7" s="38" t="inlineStr">
        <is>
          <t>integer</t>
        </is>
      </c>
      <c r="E7" s="38" t="inlineStr">
        <is>
          <t>persones</t>
        </is>
      </c>
      <c r="F7" s="38" t="inlineStr">
        <is>
          <t>idescat_population_2021</t>
        </is>
      </c>
      <c r="G7" s="38" t="inlineStr">
        <is>
          <t>Preservar absent</t>
        </is>
      </c>
      <c r="H7" s="38" t="inlineStr">
        <is>
          <t>Població d'edats joves</t>
        </is>
      </c>
    </row>
    <row r="8" ht="15" customHeight="1" s="39">
      <c r="A8" s="38" t="inlineStr">
        <is>
          <t>population_15_64</t>
        </is>
      </c>
      <c r="B8" s="38" t="inlineStr">
        <is>
          <t>municipal</t>
        </is>
      </c>
      <c r="C8" s="38" t="inlineStr">
        <is>
          <t>Població de 15 a 64 anys</t>
        </is>
      </c>
      <c r="D8" s="38" t="inlineStr">
        <is>
          <t>integer</t>
        </is>
      </c>
      <c r="E8" s="38" t="inlineStr">
        <is>
          <t>persones</t>
        </is>
      </c>
      <c r="F8" s="38" t="inlineStr">
        <is>
          <t>idescat_population_2021</t>
        </is>
      </c>
      <c r="G8" s="38" t="inlineStr">
        <is>
          <t>Preservar absent</t>
        </is>
      </c>
      <c r="H8" s="38" t="inlineStr">
        <is>
          <t>Interval d'edat central de la demostració</t>
        </is>
      </c>
    </row>
    <row r="9" ht="15" customHeight="1" s="39">
      <c r="A9" s="38" t="inlineStr">
        <is>
          <t>population_65_plus</t>
        </is>
      </c>
      <c r="B9" s="38" t="inlineStr">
        <is>
          <t>municipal</t>
        </is>
      </c>
      <c r="C9" s="38" t="inlineStr">
        <is>
          <t>Població de 65 anys o més</t>
        </is>
      </c>
      <c r="D9" s="38" t="inlineStr">
        <is>
          <t>integer</t>
        </is>
      </c>
      <c r="E9" s="38" t="inlineStr">
        <is>
          <t>persones</t>
        </is>
      </c>
      <c r="F9" s="38" t="inlineStr">
        <is>
          <t>idescat_population_2021</t>
        </is>
      </c>
      <c r="G9" s="38" t="inlineStr">
        <is>
          <t>Preservar absent</t>
        </is>
      </c>
      <c r="H9" s="38" t="inlineStr">
        <is>
          <t>Població d'edats avançades</t>
        </is>
      </c>
    </row>
    <row r="10" ht="15" customHeight="1" s="39">
      <c r="A10" s="38" t="inlineStr">
        <is>
          <t>housing_total</t>
        </is>
      </c>
      <c r="B10" s="38" t="inlineStr">
        <is>
          <t>municipal</t>
        </is>
      </c>
      <c r="C10" s="38" t="inlineStr">
        <is>
          <t>Habitatges totals</t>
        </is>
      </c>
      <c r="D10" s="38" t="inlineStr">
        <is>
          <t>integer</t>
        </is>
      </c>
      <c r="E10" s="38" t="inlineStr">
        <is>
          <t>habitatges</t>
        </is>
      </c>
      <c r="F10" s="38" t="inlineStr">
        <is>
          <t>idescat_housing_2021</t>
        </is>
      </c>
      <c r="G10" s="38" t="inlineStr">
        <is>
          <t>Preservar absent</t>
        </is>
      </c>
      <c r="H10" s="38" t="inlineStr">
        <is>
          <t>Parc total d'habitatges</t>
        </is>
      </c>
    </row>
    <row r="11" ht="15" customHeight="1" s="39">
      <c r="A11" s="38" t="inlineStr">
        <is>
          <t>housing_main</t>
        </is>
      </c>
      <c r="B11" s="38" t="inlineStr">
        <is>
          <t>municipal</t>
        </is>
      </c>
      <c r="C11" s="38" t="inlineStr">
        <is>
          <t>Habitatges principals</t>
        </is>
      </c>
      <c r="D11" s="38" t="inlineStr">
        <is>
          <t>integer</t>
        </is>
      </c>
      <c r="E11" s="38" t="inlineStr">
        <is>
          <t>habitatges</t>
        </is>
      </c>
      <c r="F11" s="38" t="inlineStr">
        <is>
          <t>idescat_housing_2021</t>
        </is>
      </c>
      <c r="G11" s="38" t="inlineStr">
        <is>
          <t>Preservar absent</t>
        </is>
      </c>
      <c r="H11" s="38" t="inlineStr">
        <is>
          <t>Habitatges principals</t>
        </is>
      </c>
    </row>
    <row r="12" ht="15" customHeight="1" s="39">
      <c r="A12" s="38" t="inlineStr">
        <is>
          <t>housing_non_main</t>
        </is>
      </c>
      <c r="B12" s="38" t="inlineStr">
        <is>
          <t>municipal</t>
        </is>
      </c>
      <c r="C12" s="38" t="inlineStr">
        <is>
          <t>Habitatges no principals</t>
        </is>
      </c>
      <c r="D12" s="38" t="inlineStr">
        <is>
          <t>integer</t>
        </is>
      </c>
      <c r="E12" s="38" t="inlineStr">
        <is>
          <t>habitatges</t>
        </is>
      </c>
      <c r="F12" s="38" t="inlineStr">
        <is>
          <t>idescat_housing_2021</t>
        </is>
      </c>
      <c r="G12" s="38" t="inlineStr">
        <is>
          <t>Preservar absent</t>
        </is>
      </c>
      <c r="H12" s="38" t="inlineStr">
        <is>
          <t>Habitatges d'ús ocasional i buits; no equivalen a habitatges turístics</t>
        </is>
      </c>
    </row>
    <row r="13" ht="15" customHeight="1" s="39">
      <c r="A13" s="38" t="inlineStr">
        <is>
          <t>surface_km2</t>
        </is>
      </c>
      <c r="B13" s="38" t="inlineStr">
        <is>
          <t>municipal</t>
        </is>
      </c>
      <c r="C13" s="38" t="inlineStr">
        <is>
          <t>Superfície</t>
        </is>
      </c>
      <c r="D13" s="38" t="inlineStr">
        <is>
          <t>decimal</t>
        </is>
      </c>
      <c r="E13" s="38" t="inlineStr">
        <is>
          <t>km²</t>
        </is>
      </c>
      <c r="F13" s="38" t="inlineStr">
        <is>
          <t>idescat_surface</t>
        </is>
      </c>
      <c r="G13" s="38" t="inlineStr">
        <is>
          <t>Preservar absent</t>
        </is>
      </c>
      <c r="H13" s="38" t="inlineStr">
        <is>
          <t>Superfície municipal que després actuarà com a denominador</t>
        </is>
      </c>
    </row>
    <row r="14" ht="15" customHeight="1" s="39">
      <c r="A14" s="38" t="inlineStr">
        <is>
          <t>population_0_14_pct</t>
        </is>
      </c>
      <c r="B14" s="38" t="inlineStr">
        <is>
          <t>indicators_demography</t>
        </is>
      </c>
      <c r="C14" s="38" t="inlineStr">
        <is>
          <t>Pes de la població jove</t>
        </is>
      </c>
      <c r="D14" s="38" t="inlineStr">
        <is>
          <t>decimal</t>
        </is>
      </c>
      <c r="E14" s="38" t="inlineStr">
        <is>
          <t>%</t>
        </is>
      </c>
      <c r="F14" s="38" t="inlineStr">
        <is>
          <t>idescat_population_2021</t>
        </is>
      </c>
      <c r="G14" s="38" t="inlineStr">
        <is>
          <t>NA si el total no és positiu</t>
        </is>
      </c>
      <c r="H14" s="38" t="inlineStr">
        <is>
          <t>Població de 0–14 sobre població total</t>
        </is>
      </c>
      <c r="I14" s="38" t="inlineStr">
        <is>
          <t>On pesa més la població jove?</t>
        </is>
      </c>
      <c r="J14" s="38" t="inlineStr">
        <is>
          <t>population_0_14 / population_total × 100</t>
        </is>
      </c>
      <c r="K14" s="38" t="n">
        <v>100</v>
      </c>
      <c r="L14" s="38" t="inlineStr">
        <is>
          <t>Comparar estructura demogràfica</t>
        </is>
      </c>
      <c r="M14" s="38" t="inlineStr">
        <is>
          <t>No explica les causes de l'estructura</t>
        </is>
      </c>
    </row>
    <row r="15" ht="15" customHeight="1" s="39">
      <c r="A15" s="38" t="inlineStr">
        <is>
          <t>population_65_plus_pct</t>
        </is>
      </c>
      <c r="B15" s="38" t="inlineStr">
        <is>
          <t>indicators_demography</t>
        </is>
      </c>
      <c r="C15" s="38" t="inlineStr">
        <is>
          <t>Pes de la població gran</t>
        </is>
      </c>
      <c r="D15" s="38" t="inlineStr">
        <is>
          <t>decimal</t>
        </is>
      </c>
      <c r="E15" s="38" t="inlineStr">
        <is>
          <t>%</t>
        </is>
      </c>
      <c r="F15" s="38" t="inlineStr">
        <is>
          <t>idescat_population_2021</t>
        </is>
      </c>
      <c r="G15" s="38" t="inlineStr">
        <is>
          <t>NA si el total no és positiu</t>
        </is>
      </c>
      <c r="H15" s="38" t="inlineStr">
        <is>
          <t>Població de 65+ sobre població total</t>
        </is>
      </c>
      <c r="I15" s="38" t="inlineStr">
        <is>
          <t>On pesa més la població gran?</t>
        </is>
      </c>
      <c r="J15" s="38" t="inlineStr">
        <is>
          <t>population_65_plus / population_total × 100</t>
        </is>
      </c>
      <c r="K15" s="38" t="n">
        <v>100</v>
      </c>
      <c r="L15" s="38" t="inlineStr">
        <is>
          <t>Comparar envelliment relatiu</t>
        </is>
      </c>
      <c r="M15" s="38" t="inlineStr">
        <is>
          <t>No mesura necessitats individuals</t>
        </is>
      </c>
    </row>
    <row r="16" ht="15" customHeight="1" s="39">
      <c r="A16" s="38" t="inlineStr">
        <is>
          <t>ageing_index_per_100_young</t>
        </is>
      </c>
      <c r="B16" s="38" t="inlineStr">
        <is>
          <t>indicators_demography</t>
        </is>
      </c>
      <c r="C16" s="38" t="inlineStr">
        <is>
          <t>Índex d'envelliment</t>
        </is>
      </c>
      <c r="D16" s="38" t="inlineStr">
        <is>
          <t>decimal</t>
        </is>
      </c>
      <c r="E16" s="38" t="inlineStr">
        <is>
          <t>persones per 100</t>
        </is>
      </c>
      <c r="F16" s="38" t="inlineStr">
        <is>
          <t>idescat_population_2021</t>
        </is>
      </c>
      <c r="G16" s="38" t="inlineStr">
        <is>
          <t>NA si 0–14 no és positiu</t>
        </is>
      </c>
      <c r="H16" s="38" t="inlineStr">
        <is>
          <t>Relació entre població gran i jove</t>
        </is>
      </c>
      <c r="I16" s="38" t="inlineStr">
        <is>
          <t>Quina relació hi ha entre els extrems d'edat?</t>
        </is>
      </c>
      <c r="J16" s="38" t="inlineStr">
        <is>
          <t>population_65_plus / population_0_14 × 100</t>
        </is>
      </c>
      <c r="K16" s="38" t="n">
        <v>100</v>
      </c>
      <c r="L16" s="38" t="inlineStr">
        <is>
          <t>Comparar estructura d'edats</t>
        </is>
      </c>
      <c r="M16" s="38" t="inlineStr">
        <is>
          <t>És sensible a denominadors petits</t>
        </is>
      </c>
    </row>
    <row r="17" ht="15" customHeight="1" s="39">
      <c r="A17" s="38" t="inlineStr">
        <is>
          <t>population_density_hab_km2</t>
        </is>
      </c>
      <c r="B17" s="38" t="inlineStr">
        <is>
          <t>indicators_demography</t>
        </is>
      </c>
      <c r="C17" s="38" t="inlineStr">
        <is>
          <t>Densitat de població</t>
        </is>
      </c>
      <c r="D17" s="38" t="inlineStr">
        <is>
          <t>decimal</t>
        </is>
      </c>
      <c r="E17" s="38" t="inlineStr">
        <is>
          <t>habitants/km²</t>
        </is>
      </c>
      <c r="F17" s="38" t="inlineStr">
        <is>
          <t>idescat_population_2021; idescat_surface</t>
        </is>
      </c>
      <c r="G17" s="38" t="inlineStr">
        <is>
          <t>NA si la superfície no és positiva</t>
        </is>
      </c>
      <c r="H17" s="38" t="inlineStr">
        <is>
          <t>Població per superfície municipal</t>
        </is>
      </c>
      <c r="I17" s="38" t="inlineStr">
        <is>
          <t>On es concentra la població?</t>
        </is>
      </c>
      <c r="J17" s="38" t="inlineStr">
        <is>
          <t>population_total / surface_km2</t>
        </is>
      </c>
      <c r="K17" s="38" t="n">
        <v>1</v>
      </c>
      <c r="L17" s="38" t="inlineStr">
        <is>
          <t>Comparar concentració mitjana</t>
        </is>
      </c>
      <c r="M17" s="38" t="inlineStr">
        <is>
          <t>No descriu la distribució interna; superfície publicada el 2025</t>
        </is>
      </c>
    </row>
    <row r="18" ht="15" customHeight="1" s="39">
      <c r="A18" s="38" t="inlineStr">
        <is>
          <t>housing_non_main_pct</t>
        </is>
      </c>
      <c r="B18" s="38" t="inlineStr">
        <is>
          <t>indicators_housing</t>
        </is>
      </c>
      <c r="C18" s="38" t="inlineStr">
        <is>
          <t>Pes de l'habitatge no principal</t>
        </is>
      </c>
      <c r="D18" s="38" t="inlineStr">
        <is>
          <t>decimal</t>
        </is>
      </c>
      <c r="E18" s="38" t="inlineStr">
        <is>
          <t>%</t>
        </is>
      </c>
      <c r="F18" s="38" t="inlineStr">
        <is>
          <t>idescat_housing_2021</t>
        </is>
      </c>
      <c r="G18" s="38" t="inlineStr">
        <is>
          <t>NA si el total no és positiu</t>
        </is>
      </c>
      <c r="H18" s="38" t="inlineStr">
        <is>
          <t>Habitatge no principal sobre total</t>
        </is>
      </c>
      <c r="I18" s="38" t="inlineStr">
        <is>
          <t>On pesa més l'habitatge no principal?</t>
        </is>
      </c>
      <c r="J18" s="38" t="inlineStr">
        <is>
          <t>housing_non_main / housing_total × 100</t>
        </is>
      </c>
      <c r="K18" s="38" t="n">
        <v>100</v>
      </c>
      <c r="L18" s="38" t="inlineStr">
        <is>
          <t>Comparar composició residencial</t>
        </is>
      </c>
      <c r="M18" s="38" t="inlineStr">
        <is>
          <t>No identifica habitatges turístics</t>
        </is>
      </c>
    </row>
    <row r="19" ht="15" customHeight="1" s="39">
      <c r="A19" s="38" t="inlineStr">
        <is>
          <t>residents_per_housing_main</t>
        </is>
      </c>
      <c r="B19" s="38" t="inlineStr">
        <is>
          <t>indicators_housing</t>
        </is>
      </c>
      <c r="C19" s="38" t="inlineStr">
        <is>
          <t>Residents per habitatge principal</t>
        </is>
      </c>
      <c r="D19" s="38" t="inlineStr">
        <is>
          <t>decimal</t>
        </is>
      </c>
      <c r="E19" s="38" t="inlineStr">
        <is>
          <t>residents/habitatge</t>
        </is>
      </c>
      <c r="F19" s="38" t="inlineStr">
        <is>
          <t>idescat_population_2021; idescat_housing_2021</t>
        </is>
      </c>
      <c r="G19" s="38" t="inlineStr">
        <is>
          <t>NA si habitatges principals no és positiu</t>
        </is>
      </c>
      <c r="H19" s="38" t="inlineStr">
        <is>
          <t>Població sobre habitatges principals</t>
        </is>
      </c>
      <c r="I19" s="38" t="inlineStr">
        <is>
          <t>Quina relació aproximada hi ha entre residents i parc principal?</t>
        </is>
      </c>
      <c r="J19" s="38" t="inlineStr">
        <is>
          <t>population_total / housing_main</t>
        </is>
      </c>
      <c r="K19" s="38" t="n">
        <v>1</v>
      </c>
      <c r="L19" s="38" t="inlineStr">
        <is>
          <t>Contextualitzar ocupació residencial</t>
        </is>
      </c>
      <c r="M19" s="38" t="inlineStr">
        <is>
          <t>No és la grandària oficial de la llar</t>
        </is>
      </c>
    </row>
  </sheetData>
  <autoFilter ref="A1:M1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39" customWidth="1" style="38" min="2" max="2"/>
    <col width="14" customWidth="1" style="38" min="3" max="3"/>
    <col width="19" customWidth="1" style="38" min="4" max="4"/>
  </cols>
  <sheetData>
    <row r="1" ht="30.75" customHeight="1" s="39">
      <c r="A1" s="41" t="inlineStr">
        <is>
          <t>Codi</t>
        </is>
      </c>
      <c r="B1" s="40" t="inlineStr">
        <is>
          <t>Nom</t>
        </is>
      </c>
      <c r="C1" s="40" t="inlineStr">
        <is>
          <t>Codi comarca</t>
        </is>
      </c>
      <c r="D1" s="40" t="inlineStr">
        <is>
          <t>Nom comarca</t>
        </is>
      </c>
    </row>
    <row r="2" ht="15" customHeight="1" s="39">
      <c r="A2" s="42" t="inlineStr">
        <is>
          <t>250019</t>
        </is>
      </c>
      <c r="B2" s="38" t="inlineStr">
        <is>
          <t>Abella de la Conca</t>
        </is>
      </c>
      <c r="C2" s="38" t="inlineStr">
        <is>
          <t>25</t>
        </is>
      </c>
      <c r="D2" s="38" t="inlineStr">
        <is>
          <t>Pallars Jussà</t>
        </is>
      </c>
    </row>
    <row r="3" ht="15" customHeight="1" s="39">
      <c r="A3" s="42" t="inlineStr">
        <is>
          <t>080018</t>
        </is>
      </c>
      <c r="B3" s="38" t="inlineStr">
        <is>
          <t>Abrera</t>
        </is>
      </c>
      <c r="C3" s="38" t="inlineStr">
        <is>
          <t>11</t>
        </is>
      </c>
      <c r="D3" s="38" t="inlineStr">
        <is>
          <t>Baix Llobregat</t>
        </is>
      </c>
    </row>
    <row r="4" ht="15" customHeight="1" s="39">
      <c r="A4" s="42" t="inlineStr">
        <is>
          <t>250024</t>
        </is>
      </c>
      <c r="B4" s="38" t="inlineStr">
        <is>
          <t>Àger</t>
        </is>
      </c>
      <c r="C4" s="38" t="inlineStr">
        <is>
          <t>23</t>
        </is>
      </c>
      <c r="D4" s="38" t="inlineStr">
        <is>
          <t>Noguera</t>
        </is>
      </c>
    </row>
    <row r="5" ht="15" customHeight="1" s="39">
      <c r="A5" s="42" t="inlineStr">
        <is>
          <t>250030</t>
        </is>
      </c>
      <c r="B5" s="38" t="inlineStr">
        <is>
          <t>Agramunt</t>
        </is>
      </c>
      <c r="C5" s="38" t="inlineStr">
        <is>
          <t>38</t>
        </is>
      </c>
      <c r="D5" s="38" t="inlineStr">
        <is>
          <t>Urgell</t>
        </is>
      </c>
    </row>
    <row r="6" ht="15" customHeight="1" s="39">
      <c r="A6" s="42" t="inlineStr">
        <is>
          <t>080023</t>
        </is>
      </c>
      <c r="B6" s="38" t="inlineStr">
        <is>
          <t>Aguilar de Segarra</t>
        </is>
      </c>
      <c r="C6" s="38" t="inlineStr">
        <is>
          <t>07</t>
        </is>
      </c>
      <c r="D6" s="38" t="inlineStr">
        <is>
          <t>Bages</t>
        </is>
      </c>
    </row>
    <row r="7" ht="15" customHeight="1" s="39">
      <c r="A7" s="42" t="inlineStr">
        <is>
          <t>170010</t>
        </is>
      </c>
      <c r="B7" s="38" t="inlineStr">
        <is>
          <t>Agullana</t>
        </is>
      </c>
      <c r="C7" s="38" t="inlineStr">
        <is>
          <t>02</t>
        </is>
      </c>
      <c r="D7" s="38" t="inlineStr">
        <is>
          <t>Alt Empordà</t>
        </is>
      </c>
    </row>
    <row r="8" ht="15" customHeight="1" s="39">
      <c r="A8" s="42" t="inlineStr">
        <is>
          <t>080142</t>
        </is>
      </c>
      <c r="B8" s="38" t="inlineStr">
        <is>
          <t>Aiguafreda</t>
        </is>
      </c>
      <c r="C8" s="38" t="inlineStr">
        <is>
          <t>24</t>
        </is>
      </c>
      <c r="D8" s="38" t="inlineStr">
        <is>
          <t>Osona</t>
        </is>
      </c>
    </row>
    <row r="9" ht="15" customHeight="1" s="39">
      <c r="A9" s="42" t="inlineStr">
        <is>
          <t>430017</t>
        </is>
      </c>
      <c r="B9" s="38" t="inlineStr">
        <is>
          <t>Aiguamúrcia</t>
        </is>
      </c>
      <c r="C9" s="38" t="inlineStr">
        <is>
          <t>01</t>
        </is>
      </c>
      <c r="D9" s="38" t="inlineStr">
        <is>
          <t>Alt Camp</t>
        </is>
      </c>
    </row>
    <row r="10" ht="15" customHeight="1" s="39">
      <c r="A10" s="42" t="inlineStr">
        <is>
          <t>170025</t>
        </is>
      </c>
      <c r="B10" s="38" t="inlineStr">
        <is>
          <t>Aiguaviva</t>
        </is>
      </c>
      <c r="C10" s="38" t="inlineStr">
        <is>
          <t>20</t>
        </is>
      </c>
      <c r="D10" s="38" t="inlineStr">
        <is>
          <t>Gironès</t>
        </is>
      </c>
    </row>
    <row r="11" ht="15" customHeight="1" s="39">
      <c r="A11" s="42" t="inlineStr">
        <is>
          <t>250387</t>
        </is>
      </c>
      <c r="B11" s="38" t="inlineStr">
        <is>
          <t>Aitona</t>
        </is>
      </c>
      <c r="C11" s="38" t="inlineStr">
        <is>
          <t>33</t>
        </is>
      </c>
      <c r="D11" s="38" t="inlineStr">
        <is>
          <t>Segrià</t>
        </is>
      </c>
    </row>
    <row r="12" ht="15" customHeight="1" s="39">
      <c r="A12" s="42" t="inlineStr">
        <is>
          <t>250045</t>
        </is>
      </c>
      <c r="B12" s="38" t="inlineStr">
        <is>
          <t>Alamús, els</t>
        </is>
      </c>
      <c r="C12" s="38" t="inlineStr">
        <is>
          <t>33</t>
        </is>
      </c>
      <c r="D12" s="38" t="inlineStr">
        <is>
          <t>Segrià</t>
        </is>
      </c>
    </row>
    <row r="13" ht="15" customHeight="1" s="39">
      <c r="A13" s="42" t="inlineStr">
        <is>
          <t>250058</t>
        </is>
      </c>
      <c r="B13" s="38" t="inlineStr">
        <is>
          <t>Alàs i Cerc</t>
        </is>
      </c>
      <c r="C13" s="38" t="inlineStr">
        <is>
          <t>04</t>
        </is>
      </c>
      <c r="D13" s="38" t="inlineStr">
        <is>
          <t>Alt Urgell</t>
        </is>
      </c>
    </row>
    <row r="14" ht="15" customHeight="1" s="39">
      <c r="A14" s="42" t="inlineStr">
        <is>
          <t>250061</t>
        </is>
      </c>
      <c r="B14" s="38" t="inlineStr">
        <is>
          <t>Albagés, l'</t>
        </is>
      </c>
      <c r="C14" s="38" t="inlineStr">
        <is>
          <t>18</t>
        </is>
      </c>
      <c r="D14" s="38" t="inlineStr">
        <is>
          <t>Garrigues</t>
        </is>
      </c>
    </row>
    <row r="15" ht="15" customHeight="1" s="39">
      <c r="A15" s="42" t="inlineStr">
        <is>
          <t>170031</t>
        </is>
      </c>
      <c r="B15" s="38" t="inlineStr">
        <is>
          <t>Albanyà</t>
        </is>
      </c>
      <c r="C15" s="38" t="inlineStr">
        <is>
          <t>02</t>
        </is>
      </c>
      <c r="D15" s="38" t="inlineStr">
        <is>
          <t>Alt Empordà</t>
        </is>
      </c>
    </row>
    <row r="16" ht="15" customHeight="1" s="39">
      <c r="A16" s="42" t="inlineStr">
        <is>
          <t>250077</t>
        </is>
      </c>
      <c r="B16" s="38" t="inlineStr">
        <is>
          <t>Albatàrrec</t>
        </is>
      </c>
      <c r="C16" s="38" t="inlineStr">
        <is>
          <t>33</t>
        </is>
      </c>
      <c r="D16" s="38" t="inlineStr">
        <is>
          <t>Segrià</t>
        </is>
      </c>
    </row>
    <row r="17" ht="15" customHeight="1" s="39">
      <c r="A17" s="42" t="inlineStr">
        <is>
          <t>250083</t>
        </is>
      </c>
      <c r="B17" s="38" t="inlineStr">
        <is>
          <t>Albesa</t>
        </is>
      </c>
      <c r="C17" s="38" t="inlineStr">
        <is>
          <t>23</t>
        </is>
      </c>
      <c r="D17" s="38" t="inlineStr">
        <is>
          <t>Noguera</t>
        </is>
      </c>
    </row>
    <row r="18" ht="15" customHeight="1" s="39">
      <c r="A18" s="42" t="inlineStr">
        <is>
          <t>250096</t>
        </is>
      </c>
      <c r="B18" s="38" t="inlineStr">
        <is>
          <t>Albi, l'</t>
        </is>
      </c>
      <c r="C18" s="38" t="inlineStr">
        <is>
          <t>18</t>
        </is>
      </c>
      <c r="D18" s="38" t="inlineStr">
        <is>
          <t>Garrigues</t>
        </is>
      </c>
    </row>
    <row r="19" ht="15" customHeight="1" s="39">
      <c r="A19" s="42" t="inlineStr">
        <is>
          <t>430022</t>
        </is>
      </c>
      <c r="B19" s="38" t="inlineStr">
        <is>
          <t>Albinyana</t>
        </is>
      </c>
      <c r="C19" s="38" t="inlineStr">
        <is>
          <t>12</t>
        </is>
      </c>
      <c r="D19" s="38" t="inlineStr">
        <is>
          <t>Baix Penedès</t>
        </is>
      </c>
    </row>
    <row r="20" ht="15" customHeight="1" s="39">
      <c r="A20" s="42" t="inlineStr">
        <is>
          <t>430038</t>
        </is>
      </c>
      <c r="B20" s="38" t="inlineStr">
        <is>
          <t>Albiol, l'</t>
        </is>
      </c>
      <c r="C20" s="38" t="inlineStr">
        <is>
          <t>08</t>
        </is>
      </c>
      <c r="D20" s="38" t="inlineStr">
        <is>
          <t>Baix Camp</t>
        </is>
      </c>
    </row>
    <row r="21" ht="15" customHeight="1" s="39">
      <c r="A21" s="42" t="inlineStr">
        <is>
          <t>170046</t>
        </is>
      </c>
      <c r="B21" s="38" t="inlineStr">
        <is>
          <t>Albons</t>
        </is>
      </c>
      <c r="C21" s="38" t="inlineStr">
        <is>
          <t>10</t>
        </is>
      </c>
      <c r="D21" s="38" t="inlineStr">
        <is>
          <t>Baix Empordà</t>
        </is>
      </c>
    </row>
    <row r="22" ht="15" customHeight="1" s="39">
      <c r="A22" s="42" t="inlineStr">
        <is>
          <t>430043</t>
        </is>
      </c>
      <c r="B22" s="38" t="inlineStr">
        <is>
          <t>Alcanar</t>
        </is>
      </c>
      <c r="C22" s="38" t="inlineStr">
        <is>
          <t>22</t>
        </is>
      </c>
      <c r="D22" s="38" t="inlineStr">
        <is>
          <t>Montsià</t>
        </is>
      </c>
    </row>
    <row r="23" ht="15" customHeight="1" s="39">
      <c r="A23" s="42" t="inlineStr">
        <is>
          <t>250100</t>
        </is>
      </c>
      <c r="B23" s="38" t="inlineStr">
        <is>
          <t>Alcanó</t>
        </is>
      </c>
      <c r="C23" s="38" t="inlineStr">
        <is>
          <t>33</t>
        </is>
      </c>
      <c r="D23" s="38" t="inlineStr">
        <is>
          <t>Segrià</t>
        </is>
      </c>
    </row>
    <row r="24" ht="15" customHeight="1" s="39">
      <c r="A24" s="42" t="inlineStr">
        <is>
          <t>250117</t>
        </is>
      </c>
      <c r="B24" s="38" t="inlineStr">
        <is>
          <t>Alcarràs</t>
        </is>
      </c>
      <c r="C24" s="38" t="inlineStr">
        <is>
          <t>33</t>
        </is>
      </c>
      <c r="D24" s="38" t="inlineStr">
        <is>
          <t>Segrià</t>
        </is>
      </c>
    </row>
    <row r="25" ht="15" customHeight="1" s="39">
      <c r="A25" s="42" t="inlineStr">
        <is>
          <t>250122</t>
        </is>
      </c>
      <c r="B25" s="38" t="inlineStr">
        <is>
          <t>Alcoletge</t>
        </is>
      </c>
      <c r="C25" s="38" t="inlineStr">
        <is>
          <t>33</t>
        </is>
      </c>
      <c r="D25" s="38" t="inlineStr">
        <is>
          <t>Segrià</t>
        </is>
      </c>
    </row>
    <row r="26" ht="15" customHeight="1" s="39">
      <c r="A26" s="42" t="inlineStr">
        <is>
          <t>430056</t>
        </is>
      </c>
      <c r="B26" s="38" t="inlineStr">
        <is>
          <t>Alcover</t>
        </is>
      </c>
      <c r="C26" s="38" t="inlineStr">
        <is>
          <t>01</t>
        </is>
      </c>
      <c r="D26" s="38" t="inlineStr">
        <is>
          <t>Alt Camp</t>
        </is>
      </c>
    </row>
    <row r="27" ht="15" customHeight="1" s="39">
      <c r="A27" s="42" t="inlineStr">
        <is>
          <t>439044</t>
        </is>
      </c>
      <c r="B27" s="38" t="inlineStr">
        <is>
          <t>Aldea, l'</t>
        </is>
      </c>
      <c r="C27" s="38" t="inlineStr">
        <is>
          <t>09</t>
        </is>
      </c>
      <c r="D27" s="38" t="inlineStr">
        <is>
          <t>Baix Ebre</t>
        </is>
      </c>
    </row>
    <row r="28" ht="15" customHeight="1" s="39">
      <c r="A28" s="42" t="inlineStr">
        <is>
          <t>430069</t>
        </is>
      </c>
      <c r="B28" s="38" t="inlineStr">
        <is>
          <t>Aldover</t>
        </is>
      </c>
      <c r="C28" s="38" t="inlineStr">
        <is>
          <t>09</t>
        </is>
      </c>
      <c r="D28" s="38" t="inlineStr">
        <is>
          <t>Baix Ebre</t>
        </is>
      </c>
    </row>
    <row r="29" ht="15" customHeight="1" s="39">
      <c r="A29" s="42" t="inlineStr">
        <is>
          <t>430075</t>
        </is>
      </c>
      <c r="B29" s="38" t="inlineStr">
        <is>
          <t>Aleixar, l'</t>
        </is>
      </c>
      <c r="C29" s="38" t="inlineStr">
        <is>
          <t>08</t>
        </is>
      </c>
      <c r="D29" s="38" t="inlineStr">
        <is>
          <t>Baix Camp</t>
        </is>
      </c>
    </row>
    <row r="30" ht="15" customHeight="1" s="39">
      <c r="A30" s="42" t="inlineStr">
        <is>
          <t>080039</t>
        </is>
      </c>
      <c r="B30" s="38" t="inlineStr">
        <is>
          <t>Alella</t>
        </is>
      </c>
      <c r="C30" s="38" t="inlineStr">
        <is>
          <t>21</t>
        </is>
      </c>
      <c r="D30" s="38" t="inlineStr">
        <is>
          <t>Maresme</t>
        </is>
      </c>
    </row>
    <row r="31" ht="15" customHeight="1" s="39">
      <c r="A31" s="42" t="inlineStr">
        <is>
          <t>430081</t>
        </is>
      </c>
      <c r="B31" s="38" t="inlineStr">
        <is>
          <t>Alfara de Carles</t>
        </is>
      </c>
      <c r="C31" s="38" t="inlineStr">
        <is>
          <t>09</t>
        </is>
      </c>
      <c r="D31" s="38" t="inlineStr">
        <is>
          <t>Baix Ebre</t>
        </is>
      </c>
    </row>
    <row r="32" ht="15" customHeight="1" s="39">
      <c r="A32" s="42" t="inlineStr">
        <is>
          <t>250138</t>
        </is>
      </c>
      <c r="B32" s="38" t="inlineStr">
        <is>
          <t>Alfarràs</t>
        </is>
      </c>
      <c r="C32" s="38" t="inlineStr">
        <is>
          <t>33</t>
        </is>
      </c>
      <c r="D32" s="38" t="inlineStr">
        <is>
          <t>Segrià</t>
        </is>
      </c>
    </row>
    <row r="33" ht="15" customHeight="1" s="39">
      <c r="A33" s="42" t="inlineStr">
        <is>
          <t>250143</t>
        </is>
      </c>
      <c r="B33" s="38" t="inlineStr">
        <is>
          <t>Alfés</t>
        </is>
      </c>
      <c r="C33" s="38" t="inlineStr">
        <is>
          <t>33</t>
        </is>
      </c>
      <c r="D33" s="38" t="inlineStr">
        <is>
          <t>Segrià</t>
        </is>
      </c>
    </row>
    <row r="34" ht="15" customHeight="1" s="39">
      <c r="A34" s="42" t="inlineStr">
        <is>
          <t>430094</t>
        </is>
      </c>
      <c r="B34" s="38" t="inlineStr">
        <is>
          <t>Alforja</t>
        </is>
      </c>
      <c r="C34" s="38" t="inlineStr">
        <is>
          <t>08</t>
        </is>
      </c>
      <c r="D34" s="38" t="inlineStr">
        <is>
          <t>Baix Camp</t>
        </is>
      </c>
    </row>
    <row r="35" ht="15" customHeight="1" s="39">
      <c r="A35" s="42" t="inlineStr">
        <is>
          <t>250156</t>
        </is>
      </c>
      <c r="B35" s="38" t="inlineStr">
        <is>
          <t>Algerri</t>
        </is>
      </c>
      <c r="C35" s="38" t="inlineStr">
        <is>
          <t>23</t>
        </is>
      </c>
      <c r="D35" s="38" t="inlineStr">
        <is>
          <t>Noguera</t>
        </is>
      </c>
    </row>
    <row r="36" ht="15" customHeight="1" s="39">
      <c r="A36" s="42" t="inlineStr">
        <is>
          <t>250169</t>
        </is>
      </c>
      <c r="B36" s="38" t="inlineStr">
        <is>
          <t>Alguaire</t>
        </is>
      </c>
      <c r="C36" s="38" t="inlineStr">
        <is>
          <t>33</t>
        </is>
      </c>
      <c r="D36" s="38" t="inlineStr">
        <is>
          <t>Segrià</t>
        </is>
      </c>
    </row>
    <row r="37" ht="15" customHeight="1" s="39">
      <c r="A37" s="42" t="inlineStr">
        <is>
          <t>250175</t>
        </is>
      </c>
      <c r="B37" s="38" t="inlineStr">
        <is>
          <t>Alins</t>
        </is>
      </c>
      <c r="C37" s="38" t="inlineStr">
        <is>
          <t>26</t>
        </is>
      </c>
      <c r="D37" s="38" t="inlineStr">
        <is>
          <t>Pallars Sobirà</t>
        </is>
      </c>
    </row>
    <row r="38" ht="15" customHeight="1" s="39">
      <c r="A38" s="42" t="inlineStr">
        <is>
          <t>430108</t>
        </is>
      </c>
      <c r="B38" s="38" t="inlineStr">
        <is>
          <t>Alió</t>
        </is>
      </c>
      <c r="C38" s="38" t="inlineStr">
        <is>
          <t>01</t>
        </is>
      </c>
      <c r="D38" s="38" t="inlineStr">
        <is>
          <t>Alt Camp</t>
        </is>
      </c>
    </row>
    <row r="39" ht="15" customHeight="1" s="39">
      <c r="A39" s="42" t="inlineStr">
        <is>
          <t>250194</t>
        </is>
      </c>
      <c r="B39" s="38" t="inlineStr">
        <is>
          <t>Almacelles</t>
        </is>
      </c>
      <c r="C39" s="38" t="inlineStr">
        <is>
          <t>33</t>
        </is>
      </c>
      <c r="D39" s="38" t="inlineStr">
        <is>
          <t>Segrià</t>
        </is>
      </c>
    </row>
    <row r="40" ht="15" customHeight="1" s="39">
      <c r="A40" s="42" t="inlineStr">
        <is>
          <t>250208</t>
        </is>
      </c>
      <c r="B40" s="38" t="inlineStr">
        <is>
          <t>Almatret</t>
        </is>
      </c>
      <c r="C40" s="38" t="inlineStr">
        <is>
          <t>33</t>
        </is>
      </c>
      <c r="D40" s="38" t="inlineStr">
        <is>
          <t>Segrià</t>
        </is>
      </c>
    </row>
    <row r="41" ht="15" customHeight="1" s="39">
      <c r="A41" s="42" t="inlineStr">
        <is>
          <t>250215</t>
        </is>
      </c>
      <c r="B41" s="38" t="inlineStr">
        <is>
          <t>Almenar</t>
        </is>
      </c>
      <c r="C41" s="38" t="inlineStr">
        <is>
          <t>33</t>
        </is>
      </c>
      <c r="D41" s="38" t="inlineStr">
        <is>
          <t>Segrià</t>
        </is>
      </c>
    </row>
    <row r="42" ht="15" customHeight="1" s="39">
      <c r="A42" s="42" t="inlineStr">
        <is>
          <t>430115</t>
        </is>
      </c>
      <c r="B42" s="38" t="inlineStr">
        <is>
          <t>Almoster</t>
        </is>
      </c>
      <c r="C42" s="38" t="inlineStr">
        <is>
          <t>08</t>
        </is>
      </c>
      <c r="D42" s="38" t="inlineStr">
        <is>
          <t>Baix Camp</t>
        </is>
      </c>
    </row>
    <row r="43" ht="15" customHeight="1" s="39">
      <c r="A43" s="42" t="inlineStr">
        <is>
          <t>250220</t>
        </is>
      </c>
      <c r="B43" s="38" t="inlineStr">
        <is>
          <t>Alòs de Balaguer</t>
        </is>
      </c>
      <c r="C43" s="38" t="inlineStr">
        <is>
          <t>23</t>
        </is>
      </c>
      <c r="D43" s="38" t="inlineStr">
        <is>
          <t>Noguera</t>
        </is>
      </c>
    </row>
    <row r="44" ht="15" customHeight="1" s="39">
      <c r="A44" s="42" t="inlineStr">
        <is>
          <t>170062</t>
        </is>
      </c>
      <c r="B44" s="38" t="inlineStr">
        <is>
          <t>Alp</t>
        </is>
      </c>
      <c r="C44" s="38" t="inlineStr">
        <is>
          <t>15</t>
        </is>
      </c>
      <c r="D44" s="38" t="inlineStr">
        <is>
          <t>Cerdanya</t>
        </is>
      </c>
    </row>
    <row r="45" ht="15" customHeight="1" s="39">
      <c r="A45" s="42" t="inlineStr">
        <is>
          <t>080044</t>
        </is>
      </c>
      <c r="B45" s="38" t="inlineStr">
        <is>
          <t>Alpens</t>
        </is>
      </c>
      <c r="C45" s="38" t="inlineStr">
        <is>
          <t>43</t>
        </is>
      </c>
      <c r="D45" s="38" t="inlineStr">
        <is>
          <t>Lluçanès</t>
        </is>
      </c>
    </row>
    <row r="46" ht="15" customHeight="1" s="39">
      <c r="A46" s="42" t="inlineStr">
        <is>
          <t>250236</t>
        </is>
      </c>
      <c r="B46" s="38" t="inlineStr">
        <is>
          <t>Alpicat</t>
        </is>
      </c>
      <c r="C46" s="38" t="inlineStr">
        <is>
          <t>33</t>
        </is>
      </c>
      <c r="D46" s="38" t="inlineStr">
        <is>
          <t>Segrià</t>
        </is>
      </c>
    </row>
    <row r="47" ht="15" customHeight="1" s="39">
      <c r="A47" s="42" t="inlineStr">
        <is>
          <t>250241</t>
        </is>
      </c>
      <c r="B47" s="38" t="inlineStr">
        <is>
          <t>Alt Àneu</t>
        </is>
      </c>
      <c r="C47" s="38" t="inlineStr">
        <is>
          <t>26</t>
        </is>
      </c>
      <c r="D47" s="38" t="inlineStr">
        <is>
          <t>Pallars Sobirà</t>
        </is>
      </c>
    </row>
    <row r="48" ht="15" customHeight="1" s="39">
      <c r="A48" s="42" t="inlineStr">
        <is>
          <t>430120</t>
        </is>
      </c>
      <c r="B48" s="38" t="inlineStr">
        <is>
          <t>Altafulla</t>
        </is>
      </c>
      <c r="C48" s="38" t="inlineStr">
        <is>
          <t>36</t>
        </is>
      </c>
      <c r="D48" s="38" t="inlineStr">
        <is>
          <t>Tarragonès</t>
        </is>
      </c>
    </row>
    <row r="49" ht="15" customHeight="1" s="39">
      <c r="A49" s="42" t="inlineStr">
        <is>
          <t>170078</t>
        </is>
      </c>
      <c r="B49" s="38" t="inlineStr">
        <is>
          <t>Amer</t>
        </is>
      </c>
      <c r="C49" s="38" t="inlineStr">
        <is>
          <t>34</t>
        </is>
      </c>
      <c r="D49" s="38" t="inlineStr">
        <is>
          <t>Selva</t>
        </is>
      </c>
    </row>
    <row r="50" ht="15" customHeight="1" s="39">
      <c r="A50" s="42" t="inlineStr">
        <is>
          <t>430136</t>
        </is>
      </c>
      <c r="B50" s="38" t="inlineStr">
        <is>
          <t>Ametlla de Mar, l'</t>
        </is>
      </c>
      <c r="C50" s="38" t="inlineStr">
        <is>
          <t>09</t>
        </is>
      </c>
      <c r="D50" s="38" t="inlineStr">
        <is>
          <t>Baix Ebre</t>
        </is>
      </c>
    </row>
    <row r="51" ht="15" customHeight="1" s="39">
      <c r="A51" s="42" t="inlineStr">
        <is>
          <t>080057</t>
        </is>
      </c>
      <c r="B51" s="38" t="inlineStr">
        <is>
          <t>Ametlla del Vallès, l'</t>
        </is>
      </c>
      <c r="C51" s="38" t="inlineStr">
        <is>
          <t>41</t>
        </is>
      </c>
      <c r="D51" s="38" t="inlineStr">
        <is>
          <t>Vallès Oriental</t>
        </is>
      </c>
    </row>
    <row r="52" ht="15" customHeight="1" s="39">
      <c r="A52" s="42" t="inlineStr">
        <is>
          <t>439060</t>
        </is>
      </c>
      <c r="B52" s="38" t="inlineStr">
        <is>
          <t>Ampolla, l'</t>
        </is>
      </c>
      <c r="C52" s="38" t="inlineStr">
        <is>
          <t>09</t>
        </is>
      </c>
      <c r="D52" s="38" t="inlineStr">
        <is>
          <t>Baix Ebre</t>
        </is>
      </c>
    </row>
    <row r="53" ht="15" customHeight="1" s="39">
      <c r="A53" s="42" t="inlineStr">
        <is>
          <t>430141</t>
        </is>
      </c>
      <c r="B53" s="38" t="inlineStr">
        <is>
          <t>Amposta</t>
        </is>
      </c>
      <c r="C53" s="38" t="inlineStr">
        <is>
          <t>22</t>
        </is>
      </c>
      <c r="D53" s="38" t="inlineStr">
        <is>
          <t>Montsià</t>
        </is>
      </c>
    </row>
    <row r="54" ht="15" customHeight="1" s="39">
      <c r="A54" s="42" t="inlineStr">
        <is>
          <t>170084</t>
        </is>
      </c>
      <c r="B54" s="38" t="inlineStr">
        <is>
          <t>Anglès</t>
        </is>
      </c>
      <c r="C54" s="38" t="inlineStr">
        <is>
          <t>34</t>
        </is>
      </c>
      <c r="D54" s="38" t="inlineStr">
        <is>
          <t>Selva</t>
        </is>
      </c>
    </row>
    <row r="55" ht="15" customHeight="1" s="39">
      <c r="A55" s="42" t="inlineStr">
        <is>
          <t>250273</t>
        </is>
      </c>
      <c r="B55" s="38" t="inlineStr">
        <is>
          <t>Anglesola</t>
        </is>
      </c>
      <c r="C55" s="38" t="inlineStr">
        <is>
          <t>38</t>
        </is>
      </c>
      <c r="D55" s="38" t="inlineStr">
        <is>
          <t>Urgell</t>
        </is>
      </c>
    </row>
    <row r="56" ht="15" customHeight="1" s="39">
      <c r="A56" s="42" t="inlineStr">
        <is>
          <t>250292</t>
        </is>
      </c>
      <c r="B56" s="38" t="inlineStr">
        <is>
          <t>Arbeca</t>
        </is>
      </c>
      <c r="C56" s="38" t="inlineStr">
        <is>
          <t>18</t>
        </is>
      </c>
      <c r="D56" s="38" t="inlineStr">
        <is>
          <t>Garrigues</t>
        </is>
      </c>
    </row>
    <row r="57" ht="15" customHeight="1" s="39">
      <c r="A57" s="42" t="inlineStr">
        <is>
          <t>430167</t>
        </is>
      </c>
      <c r="B57" s="38" t="inlineStr">
        <is>
          <t>Arboç, l'</t>
        </is>
      </c>
      <c r="C57" s="38" t="inlineStr">
        <is>
          <t>12</t>
        </is>
      </c>
      <c r="D57" s="38" t="inlineStr">
        <is>
          <t>Baix Penedès</t>
        </is>
      </c>
    </row>
    <row r="58" ht="15" customHeight="1" s="39">
      <c r="A58" s="42" t="inlineStr">
        <is>
          <t>430154</t>
        </is>
      </c>
      <c r="B58" s="38" t="inlineStr">
        <is>
          <t>Arbolí</t>
        </is>
      </c>
      <c r="C58" s="38" t="inlineStr">
        <is>
          <t>08</t>
        </is>
      </c>
      <c r="D58" s="38" t="inlineStr">
        <is>
          <t>Baix Camp</t>
        </is>
      </c>
    </row>
    <row r="59" ht="15" customHeight="1" s="39">
      <c r="A59" s="42" t="inlineStr">
        <is>
          <t>170097</t>
        </is>
      </c>
      <c r="B59" s="38" t="inlineStr">
        <is>
          <t>Arbúcies</t>
        </is>
      </c>
      <c r="C59" s="38" t="inlineStr">
        <is>
          <t>34</t>
        </is>
      </c>
      <c r="D59" s="38" t="inlineStr">
        <is>
          <t>Selva</t>
        </is>
      </c>
    </row>
    <row r="60" ht="15" customHeight="1" s="39">
      <c r="A60" s="42" t="inlineStr">
        <is>
          <t>080060</t>
        </is>
      </c>
      <c r="B60" s="38" t="inlineStr">
        <is>
          <t>Arenys de Mar</t>
        </is>
      </c>
      <c r="C60" s="38" t="inlineStr">
        <is>
          <t>21</t>
        </is>
      </c>
      <c r="D60" s="38" t="inlineStr">
        <is>
          <t>Maresme</t>
        </is>
      </c>
    </row>
    <row r="61" ht="15" customHeight="1" s="39">
      <c r="A61" s="42" t="inlineStr">
        <is>
          <t>080076</t>
        </is>
      </c>
      <c r="B61" s="38" t="inlineStr">
        <is>
          <t>Arenys de Munt</t>
        </is>
      </c>
      <c r="C61" s="38" t="inlineStr">
        <is>
          <t>21</t>
        </is>
      </c>
      <c r="D61" s="38" t="inlineStr">
        <is>
          <t>Maresme</t>
        </is>
      </c>
    </row>
    <row r="62" ht="15" customHeight="1" s="39">
      <c r="A62" s="42" t="inlineStr">
        <is>
          <t>170101</t>
        </is>
      </c>
      <c r="B62" s="38" t="inlineStr">
        <is>
          <t>Argelaguer</t>
        </is>
      </c>
      <c r="C62" s="38" t="inlineStr">
        <is>
          <t>19</t>
        </is>
      </c>
      <c r="D62" s="38" t="inlineStr">
        <is>
          <t>Garrotxa</t>
        </is>
      </c>
    </row>
    <row r="63" ht="15" customHeight="1" s="39">
      <c r="A63" s="42" t="inlineStr">
        <is>
          <t>080082</t>
        </is>
      </c>
      <c r="B63" s="38" t="inlineStr">
        <is>
          <t>Argençola</t>
        </is>
      </c>
      <c r="C63" s="38" t="inlineStr">
        <is>
          <t>06</t>
        </is>
      </c>
      <c r="D63" s="38" t="inlineStr">
        <is>
          <t>Anoia</t>
        </is>
      </c>
    </row>
    <row r="64" ht="15" customHeight="1" s="39">
      <c r="A64" s="42" t="inlineStr">
        <is>
          <t>430173</t>
        </is>
      </c>
      <c r="B64" s="38" t="inlineStr">
        <is>
          <t>Argentera, l'</t>
        </is>
      </c>
      <c r="C64" s="38" t="inlineStr">
        <is>
          <t>08</t>
        </is>
      </c>
      <c r="D64" s="38" t="inlineStr">
        <is>
          <t>Baix Camp</t>
        </is>
      </c>
    </row>
    <row r="65" ht="15" customHeight="1" s="39">
      <c r="A65" s="42" t="inlineStr">
        <is>
          <t>080095</t>
        </is>
      </c>
      <c r="B65" s="38" t="inlineStr">
        <is>
          <t>Argentona</t>
        </is>
      </c>
      <c r="C65" s="38" t="inlineStr">
        <is>
          <t>21</t>
        </is>
      </c>
      <c r="D65" s="38" t="inlineStr">
        <is>
          <t>Maresme</t>
        </is>
      </c>
    </row>
    <row r="66" ht="15" customHeight="1" s="39">
      <c r="A66" s="42" t="inlineStr">
        <is>
          <t>170118</t>
        </is>
      </c>
      <c r="B66" s="38" t="inlineStr">
        <is>
          <t>Armentera, l'</t>
        </is>
      </c>
      <c r="C66" s="38" t="inlineStr">
        <is>
          <t>02</t>
        </is>
      </c>
      <c r="D66" s="38" t="inlineStr">
        <is>
          <t>Alt Empordà</t>
        </is>
      </c>
    </row>
    <row r="67" ht="15" customHeight="1" s="39">
      <c r="A67" s="42" t="inlineStr">
        <is>
          <t>430189</t>
        </is>
      </c>
      <c r="B67" s="38" t="inlineStr">
        <is>
          <t>Arnes</t>
        </is>
      </c>
      <c r="C67" s="38" t="inlineStr">
        <is>
          <t>37</t>
        </is>
      </c>
      <c r="D67" s="38" t="inlineStr">
        <is>
          <t>Terra Alta</t>
        </is>
      </c>
    </row>
    <row r="68" ht="15" customHeight="1" s="39">
      <c r="A68" s="42" t="inlineStr">
        <is>
          <t>250313</t>
        </is>
      </c>
      <c r="B68" s="38" t="inlineStr">
        <is>
          <t>Arres</t>
        </is>
      </c>
      <c r="C68" s="38" t="inlineStr">
        <is>
          <t>39</t>
        </is>
      </c>
      <c r="D68" s="38" t="inlineStr">
        <is>
          <t>Aran</t>
        </is>
      </c>
    </row>
    <row r="69" ht="15" customHeight="1" s="39">
      <c r="A69" s="42" t="inlineStr">
        <is>
          <t>250328</t>
        </is>
      </c>
      <c r="B69" s="38" t="inlineStr">
        <is>
          <t>Arsèguel</t>
        </is>
      </c>
      <c r="C69" s="38" t="inlineStr">
        <is>
          <t>04</t>
        </is>
      </c>
      <c r="D69" s="38" t="inlineStr">
        <is>
          <t>Alt Urgell</t>
        </is>
      </c>
    </row>
    <row r="70" ht="15" customHeight="1" s="39">
      <c r="A70" s="42" t="inlineStr">
        <is>
          <t>080109</t>
        </is>
      </c>
      <c r="B70" s="38" t="inlineStr">
        <is>
          <t>Artés</t>
        </is>
      </c>
      <c r="C70" s="38" t="inlineStr">
        <is>
          <t>07</t>
        </is>
      </c>
      <c r="D70" s="38" t="inlineStr">
        <is>
          <t>Bages</t>
        </is>
      </c>
    </row>
    <row r="71" ht="15" customHeight="1" s="39">
      <c r="A71" s="42" t="inlineStr">
        <is>
          <t>250334</t>
        </is>
      </c>
      <c r="B71" s="38" t="inlineStr">
        <is>
          <t>Artesa de Lleida</t>
        </is>
      </c>
      <c r="C71" s="38" t="inlineStr">
        <is>
          <t>33</t>
        </is>
      </c>
      <c r="D71" s="38" t="inlineStr">
        <is>
          <t>Segrià</t>
        </is>
      </c>
    </row>
    <row r="72" ht="15" customHeight="1" s="39">
      <c r="A72" s="42" t="inlineStr">
        <is>
          <t>250349</t>
        </is>
      </c>
      <c r="B72" s="38" t="inlineStr">
        <is>
          <t>Artesa de Segre</t>
        </is>
      </c>
      <c r="C72" s="38" t="inlineStr">
        <is>
          <t>23</t>
        </is>
      </c>
      <c r="D72" s="38" t="inlineStr">
        <is>
          <t>Noguera</t>
        </is>
      </c>
    </row>
    <row r="73" ht="15" customHeight="1" s="39">
      <c r="A73" s="42" t="inlineStr">
        <is>
          <t>430192</t>
        </is>
      </c>
      <c r="B73" s="38" t="inlineStr">
        <is>
          <t>Ascó</t>
        </is>
      </c>
      <c r="C73" s="38" t="inlineStr">
        <is>
          <t>30</t>
        </is>
      </c>
      <c r="D73" s="38" t="inlineStr">
        <is>
          <t>Ribera d'Ebre</t>
        </is>
      </c>
    </row>
    <row r="74" ht="15" customHeight="1" s="39">
      <c r="A74" s="42" t="inlineStr">
        <is>
          <t>250365</t>
        </is>
      </c>
      <c r="B74" s="38" t="inlineStr">
        <is>
          <t>Aspa</t>
        </is>
      </c>
      <c r="C74" s="38" t="inlineStr">
        <is>
          <t>33</t>
        </is>
      </c>
      <c r="D74" s="38" t="inlineStr">
        <is>
          <t>Segrià</t>
        </is>
      </c>
    </row>
    <row r="75" ht="15" customHeight="1" s="39">
      <c r="A75" s="42" t="inlineStr">
        <is>
          <t>250371</t>
        </is>
      </c>
      <c r="B75" s="38" t="inlineStr">
        <is>
          <t>Avellanes i Santa Linya, les</t>
        </is>
      </c>
      <c r="C75" s="38" t="inlineStr">
        <is>
          <t>23</t>
        </is>
      </c>
      <c r="D75" s="38" t="inlineStr">
        <is>
          <t>Noguera</t>
        </is>
      </c>
    </row>
    <row r="76" ht="15" customHeight="1" s="39">
      <c r="A76" s="42" t="inlineStr">
        <is>
          <t>080116</t>
        </is>
      </c>
      <c r="B76" s="38" t="inlineStr">
        <is>
          <t>Avià</t>
        </is>
      </c>
      <c r="C76" s="38" t="inlineStr">
        <is>
          <t>14</t>
        </is>
      </c>
      <c r="D76" s="38" t="inlineStr">
        <is>
          <t>Berguedà</t>
        </is>
      </c>
    </row>
    <row r="77" ht="15" customHeight="1" s="39">
      <c r="A77" s="42" t="inlineStr">
        <is>
          <t>080121</t>
        </is>
      </c>
      <c r="B77" s="38" t="inlineStr">
        <is>
          <t>Avinyó</t>
        </is>
      </c>
      <c r="C77" s="38" t="inlineStr">
        <is>
          <t>07</t>
        </is>
      </c>
      <c r="D77" s="38" t="inlineStr">
        <is>
          <t>Bages</t>
        </is>
      </c>
    </row>
    <row r="78" ht="15" customHeight="1" s="39">
      <c r="A78" s="42" t="inlineStr">
        <is>
          <t>170123</t>
        </is>
      </c>
      <c r="B78" s="38" t="inlineStr">
        <is>
          <t>Avinyonet de Puigventós</t>
        </is>
      </c>
      <c r="C78" s="38" t="inlineStr">
        <is>
          <t>02</t>
        </is>
      </c>
      <c r="D78" s="38" t="inlineStr">
        <is>
          <t>Alt Empordà</t>
        </is>
      </c>
    </row>
    <row r="79" ht="15" customHeight="1" s="39">
      <c r="A79" s="42" t="inlineStr">
        <is>
          <t>080137</t>
        </is>
      </c>
      <c r="B79" s="38" t="inlineStr">
        <is>
          <t>Avinyonet del Penedès</t>
        </is>
      </c>
      <c r="C79" s="38" t="inlineStr">
        <is>
          <t>03</t>
        </is>
      </c>
      <c r="D79" s="38" t="inlineStr">
        <is>
          <t>Alt Penedès</t>
        </is>
      </c>
    </row>
    <row r="80" ht="15" customHeight="1" s="39">
      <c r="A80" s="42" t="inlineStr">
        <is>
          <t>080155</t>
        </is>
      </c>
      <c r="B80" s="38" t="inlineStr">
        <is>
          <t>Badalona</t>
        </is>
      </c>
      <c r="C80" s="38" t="inlineStr">
        <is>
          <t>13</t>
        </is>
      </c>
      <c r="D80" s="38" t="inlineStr">
        <is>
          <t>Barcelonès</t>
        </is>
      </c>
    </row>
    <row r="81" ht="15" customHeight="1" s="39">
      <c r="A81" s="42" t="inlineStr">
        <is>
          <t>089045</t>
        </is>
      </c>
      <c r="B81" s="38" t="inlineStr">
        <is>
          <t>Badia del Vallès</t>
        </is>
      </c>
      <c r="C81" s="38" t="inlineStr">
        <is>
          <t>40</t>
        </is>
      </c>
      <c r="D81" s="38" t="inlineStr">
        <is>
          <t>Vallès Occidental</t>
        </is>
      </c>
    </row>
    <row r="82" ht="15" customHeight="1" s="39">
      <c r="A82" s="42" t="inlineStr">
        <is>
          <t>080168</t>
        </is>
      </c>
      <c r="B82" s="38" t="inlineStr">
        <is>
          <t>Bagà</t>
        </is>
      </c>
      <c r="C82" s="38" t="inlineStr">
        <is>
          <t>14</t>
        </is>
      </c>
      <c r="D82" s="38" t="inlineStr">
        <is>
          <t>Berguedà</t>
        </is>
      </c>
    </row>
    <row r="83" ht="15" customHeight="1" s="39">
      <c r="A83" s="42" t="inlineStr">
        <is>
          <t>250390</t>
        </is>
      </c>
      <c r="B83" s="38" t="inlineStr">
        <is>
          <t>Baix Pallars</t>
        </is>
      </c>
      <c r="C83" s="38" t="inlineStr">
        <is>
          <t>26</t>
        </is>
      </c>
      <c r="D83" s="38" t="inlineStr">
        <is>
          <t>Pallars Sobirà</t>
        </is>
      </c>
    </row>
    <row r="84" ht="15" customHeight="1" s="39">
      <c r="A84" s="42" t="inlineStr">
        <is>
          <t>250404</t>
        </is>
      </c>
      <c r="B84" s="38" t="inlineStr">
        <is>
          <t>Balaguer</t>
        </is>
      </c>
      <c r="C84" s="38" t="inlineStr">
        <is>
          <t>23</t>
        </is>
      </c>
      <c r="D84" s="38" t="inlineStr">
        <is>
          <t>Noguera</t>
        </is>
      </c>
    </row>
    <row r="85" ht="15" customHeight="1" s="39">
      <c r="A85" s="42" t="inlineStr">
        <is>
          <t>080174</t>
        </is>
      </c>
      <c r="B85" s="38" t="inlineStr">
        <is>
          <t>Balenyà</t>
        </is>
      </c>
      <c r="C85" s="38" t="inlineStr">
        <is>
          <t>24</t>
        </is>
      </c>
      <c r="D85" s="38" t="inlineStr">
        <is>
          <t>Osona</t>
        </is>
      </c>
    </row>
    <row r="86" ht="15" customHeight="1" s="39">
      <c r="A86" s="42" t="inlineStr">
        <is>
          <t>080180</t>
        </is>
      </c>
      <c r="B86" s="38" t="inlineStr">
        <is>
          <t>Balsareny</t>
        </is>
      </c>
      <c r="C86" s="38" t="inlineStr">
        <is>
          <t>07</t>
        </is>
      </c>
      <c r="D86" s="38" t="inlineStr">
        <is>
          <t>Bages</t>
        </is>
      </c>
    </row>
    <row r="87" ht="15" customHeight="1" s="39">
      <c r="A87" s="42" t="inlineStr">
        <is>
          <t>430206</t>
        </is>
      </c>
      <c r="B87" s="38" t="inlineStr">
        <is>
          <t>Banyeres del Penedès</t>
        </is>
      </c>
      <c r="C87" s="38" t="inlineStr">
        <is>
          <t>12</t>
        </is>
      </c>
      <c r="D87" s="38" t="inlineStr">
        <is>
          <t>Baix Penedès</t>
        </is>
      </c>
    </row>
    <row r="88" ht="15" customHeight="1" s="39">
      <c r="A88" s="42" t="inlineStr">
        <is>
          <t>170157</t>
        </is>
      </c>
      <c r="B88" s="38" t="inlineStr">
        <is>
          <t>Banyoles</t>
        </is>
      </c>
      <c r="C88" s="38" t="inlineStr">
        <is>
          <t>28</t>
        </is>
      </c>
      <c r="D88" s="38" t="inlineStr">
        <is>
          <t>Pla de l'Estany</t>
        </is>
      </c>
    </row>
    <row r="89" ht="15" customHeight="1" s="39">
      <c r="A89" s="42" t="inlineStr">
        <is>
          <t>250411</t>
        </is>
      </c>
      <c r="B89" s="38" t="inlineStr">
        <is>
          <t>Barbens</t>
        </is>
      </c>
      <c r="C89" s="38" t="inlineStr">
        <is>
          <t>27</t>
        </is>
      </c>
      <c r="D89" s="38" t="inlineStr">
        <is>
          <t>Pla d'Urgell</t>
        </is>
      </c>
    </row>
    <row r="90" ht="15" customHeight="1" s="39">
      <c r="A90" s="42" t="inlineStr">
        <is>
          <t>430213</t>
        </is>
      </c>
      <c r="B90" s="38" t="inlineStr">
        <is>
          <t>Barberà de la Conca</t>
        </is>
      </c>
      <c r="C90" s="38" t="inlineStr">
        <is>
          <t>16</t>
        </is>
      </c>
      <c r="D90" s="38" t="inlineStr">
        <is>
          <t>Conca de Barberà</t>
        </is>
      </c>
    </row>
    <row r="91" ht="15" customHeight="1" s="39">
      <c r="A91" s="42" t="inlineStr">
        <is>
          <t>082520</t>
        </is>
      </c>
      <c r="B91" s="38" t="inlineStr">
        <is>
          <t>Barberà del Vallès</t>
        </is>
      </c>
      <c r="C91" s="38" t="inlineStr">
        <is>
          <t>40</t>
        </is>
      </c>
      <c r="D91" s="38" t="inlineStr">
        <is>
          <t>Vallès Occidental</t>
        </is>
      </c>
    </row>
    <row r="92" ht="15" customHeight="1" s="39">
      <c r="A92" s="42" t="inlineStr">
        <is>
          <t>080193</t>
        </is>
      </c>
      <c r="B92" s="38" t="inlineStr">
        <is>
          <t>Barcelona</t>
        </is>
      </c>
      <c r="C92" s="38" t="inlineStr">
        <is>
          <t>13</t>
        </is>
      </c>
      <c r="D92" s="38" t="inlineStr">
        <is>
          <t>Barcelonès</t>
        </is>
      </c>
    </row>
    <row r="93" ht="15" customHeight="1" s="39">
      <c r="A93" s="42" t="inlineStr">
        <is>
          <t>250426</t>
        </is>
      </c>
      <c r="B93" s="38" t="inlineStr">
        <is>
          <t>Baronia de Rialb, la</t>
        </is>
      </c>
      <c r="C93" s="38" t="inlineStr">
        <is>
          <t>23</t>
        </is>
      </c>
      <c r="D93" s="38" t="inlineStr">
        <is>
          <t>Noguera</t>
        </is>
      </c>
    </row>
    <row r="94" ht="15" customHeight="1" s="39">
      <c r="A94" s="42" t="inlineStr">
        <is>
          <t>170160</t>
        </is>
      </c>
      <c r="B94" s="38" t="inlineStr">
        <is>
          <t>Bàscara</t>
        </is>
      </c>
      <c r="C94" s="38" t="inlineStr">
        <is>
          <t>02</t>
        </is>
      </c>
      <c r="D94" s="38" t="inlineStr">
        <is>
          <t>Alt Empordà</t>
        </is>
      </c>
    </row>
    <row r="95" ht="15" customHeight="1" s="39">
      <c r="A95" s="42" t="inlineStr">
        <is>
          <t>250447</t>
        </is>
      </c>
      <c r="B95" s="38" t="inlineStr">
        <is>
          <t>Bassella</t>
        </is>
      </c>
      <c r="C95" s="38" t="inlineStr">
        <is>
          <t>04</t>
        </is>
      </c>
      <c r="D95" s="38" t="inlineStr">
        <is>
          <t>Alt Urgell</t>
        </is>
      </c>
    </row>
    <row r="96" ht="15" customHeight="1" s="39">
      <c r="A96" s="42" t="inlineStr">
        <is>
          <t>430228</t>
        </is>
      </c>
      <c r="B96" s="38" t="inlineStr">
        <is>
          <t>Batea</t>
        </is>
      </c>
      <c r="C96" s="38" t="inlineStr">
        <is>
          <t>37</t>
        </is>
      </c>
      <c r="D96" s="38" t="inlineStr">
        <is>
          <t>Terra Alta</t>
        </is>
      </c>
    </row>
    <row r="97" ht="15" customHeight="1" s="39">
      <c r="A97" s="42" t="inlineStr">
        <is>
          <t>250450</t>
        </is>
      </c>
      <c r="B97" s="38" t="inlineStr">
        <is>
          <t>Bausen</t>
        </is>
      </c>
      <c r="C97" s="38" t="inlineStr">
        <is>
          <t>39</t>
        </is>
      </c>
      <c r="D97" s="38" t="inlineStr">
        <is>
          <t>Aran</t>
        </is>
      </c>
    </row>
    <row r="98" ht="15" customHeight="1" s="39">
      <c r="A98" s="42" t="inlineStr">
        <is>
          <t>080207</t>
        </is>
      </c>
      <c r="B98" s="38" t="inlineStr">
        <is>
          <t>Begues</t>
        </is>
      </c>
      <c r="C98" s="38" t="inlineStr">
        <is>
          <t>11</t>
        </is>
      </c>
      <c r="D98" s="38" t="inlineStr">
        <is>
          <t>Baix Llobregat</t>
        </is>
      </c>
    </row>
    <row r="99" ht="15" customHeight="1" s="39">
      <c r="A99" s="42" t="inlineStr">
        <is>
          <t>170139</t>
        </is>
      </c>
      <c r="B99" s="38" t="inlineStr">
        <is>
          <t>Begur</t>
        </is>
      </c>
      <c r="C99" s="38" t="inlineStr">
        <is>
          <t>10</t>
        </is>
      </c>
      <c r="D99" s="38" t="inlineStr">
        <is>
          <t>Baix Empordà</t>
        </is>
      </c>
    </row>
    <row r="100" ht="15" customHeight="1" s="39">
      <c r="A100" s="42" t="inlineStr">
        <is>
          <t>250463</t>
        </is>
      </c>
      <c r="B100" s="38" t="inlineStr">
        <is>
          <t>Belianes</t>
        </is>
      </c>
      <c r="C100" s="38" t="inlineStr">
        <is>
          <t>38</t>
        </is>
      </c>
      <c r="D100" s="38" t="inlineStr">
        <is>
          <t>Urgell</t>
        </is>
      </c>
    </row>
    <row r="101" ht="15" customHeight="1" s="39">
      <c r="A101" s="42" t="inlineStr">
        <is>
          <t>250485</t>
        </is>
      </c>
      <c r="B101" s="38" t="inlineStr">
        <is>
          <t>Bell-lloc d'Urgell</t>
        </is>
      </c>
      <c r="C101" s="38" t="inlineStr">
        <is>
          <t>27</t>
        </is>
      </c>
      <c r="D101" s="38" t="inlineStr">
        <is>
          <t>Pla d'Urgell</t>
        </is>
      </c>
    </row>
    <row r="102" ht="15" customHeight="1" s="39">
      <c r="A102" s="42" t="inlineStr">
        <is>
          <t>251706</t>
        </is>
      </c>
      <c r="B102" s="38" t="inlineStr">
        <is>
          <t>Bellaguarda</t>
        </is>
      </c>
      <c r="C102" s="38" t="inlineStr">
        <is>
          <t>18</t>
        </is>
      </c>
      <c r="D102" s="38" t="inlineStr">
        <is>
          <t>Garrigues</t>
        </is>
      </c>
    </row>
    <row r="103" ht="15" customHeight="1" s="39">
      <c r="A103" s="42" t="inlineStr">
        <is>
          <t>170182</t>
        </is>
      </c>
      <c r="B103" s="38" t="inlineStr">
        <is>
          <t>Bellcaire d'Empordà</t>
        </is>
      </c>
      <c r="C103" s="38" t="inlineStr">
        <is>
          <t>10</t>
        </is>
      </c>
      <c r="D103" s="38" t="inlineStr">
        <is>
          <t>Baix Empordà</t>
        </is>
      </c>
    </row>
    <row r="104" ht="15" customHeight="1" s="39">
      <c r="A104" s="42" t="inlineStr">
        <is>
          <t>250479</t>
        </is>
      </c>
      <c r="B104" s="38" t="inlineStr">
        <is>
          <t>Bellcaire d'Urgell</t>
        </is>
      </c>
      <c r="C104" s="38" t="inlineStr">
        <is>
          <t>23</t>
        </is>
      </c>
      <c r="D104" s="38" t="inlineStr">
        <is>
          <t>Noguera</t>
        </is>
      </c>
    </row>
    <row r="105" ht="15" customHeight="1" s="39">
      <c r="A105" s="42" t="inlineStr">
        <is>
          <t>250498</t>
        </is>
      </c>
      <c r="B105" s="38" t="inlineStr">
        <is>
          <t>Bellmunt d'Urgell</t>
        </is>
      </c>
      <c r="C105" s="38" t="inlineStr">
        <is>
          <t>23</t>
        </is>
      </c>
      <c r="D105" s="38" t="inlineStr">
        <is>
          <t>Noguera</t>
        </is>
      </c>
    </row>
    <row r="106" ht="15" customHeight="1" s="39">
      <c r="A106" s="42" t="inlineStr">
        <is>
          <t>430234</t>
        </is>
      </c>
      <c r="B106" s="38" t="inlineStr">
        <is>
          <t>Bellmunt del Priorat</t>
        </is>
      </c>
      <c r="C106" s="38" t="inlineStr">
        <is>
          <t>29</t>
        </is>
      </c>
      <c r="D106" s="38" t="inlineStr">
        <is>
          <t>Priorat</t>
        </is>
      </c>
    </row>
    <row r="107" ht="15" customHeight="1" s="39">
      <c r="A107" s="42" t="inlineStr">
        <is>
          <t>080214</t>
        </is>
      </c>
      <c r="B107" s="38" t="inlineStr">
        <is>
          <t>Bellprat</t>
        </is>
      </c>
      <c r="C107" s="38" t="inlineStr">
        <is>
          <t>06</t>
        </is>
      </c>
      <c r="D107" s="38" t="inlineStr">
        <is>
          <t>Anoia</t>
        </is>
      </c>
    </row>
    <row r="108" ht="15" customHeight="1" s="39">
      <c r="A108" s="42" t="inlineStr">
        <is>
          <t>250501</t>
        </is>
      </c>
      <c r="B108" s="38" t="inlineStr">
        <is>
          <t>Bellpuig</t>
        </is>
      </c>
      <c r="C108" s="38" t="inlineStr">
        <is>
          <t>38</t>
        </is>
      </c>
      <c r="D108" s="38" t="inlineStr">
        <is>
          <t>Urgell</t>
        </is>
      </c>
    </row>
    <row r="109" ht="15" customHeight="1" s="39">
      <c r="A109" s="42" t="inlineStr">
        <is>
          <t>430249</t>
        </is>
      </c>
      <c r="B109" s="38" t="inlineStr">
        <is>
          <t>Bellvei</t>
        </is>
      </c>
      <c r="C109" s="38" t="inlineStr">
        <is>
          <t>12</t>
        </is>
      </c>
      <c r="D109" s="38" t="inlineStr">
        <is>
          <t>Baix Penedès</t>
        </is>
      </c>
    </row>
    <row r="110" ht="15" customHeight="1" s="39">
      <c r="A110" s="42" t="inlineStr">
        <is>
          <t>250518</t>
        </is>
      </c>
      <c r="B110" s="38" t="inlineStr">
        <is>
          <t>Bellver de Cerdanya</t>
        </is>
      </c>
      <c r="C110" s="38" t="inlineStr">
        <is>
          <t>15</t>
        </is>
      </c>
      <c r="D110" s="38" t="inlineStr">
        <is>
          <t>Cerdanya</t>
        </is>
      </c>
    </row>
    <row r="111" ht="15" customHeight="1" s="39">
      <c r="A111" s="42" t="inlineStr">
        <is>
          <t>250523</t>
        </is>
      </c>
      <c r="B111" s="38" t="inlineStr">
        <is>
          <t>Bellvís</t>
        </is>
      </c>
      <c r="C111" s="38" t="inlineStr">
        <is>
          <t>27</t>
        </is>
      </c>
      <c r="D111" s="38" t="inlineStr">
        <is>
          <t>Pla d'Urgell</t>
        </is>
      </c>
    </row>
    <row r="112" ht="15" customHeight="1" s="39">
      <c r="A112" s="42" t="inlineStr">
        <is>
          <t>250539</t>
        </is>
      </c>
      <c r="B112" s="38" t="inlineStr">
        <is>
          <t>Benavent de Segrià</t>
        </is>
      </c>
      <c r="C112" s="38" t="inlineStr">
        <is>
          <t>33</t>
        </is>
      </c>
      <c r="D112" s="38" t="inlineStr">
        <is>
          <t>Segrià</t>
        </is>
      </c>
    </row>
    <row r="113" ht="15" customHeight="1" s="39">
      <c r="A113" s="42" t="inlineStr">
        <is>
          <t>430252</t>
        </is>
      </c>
      <c r="B113" s="38" t="inlineStr">
        <is>
          <t>Benifallet</t>
        </is>
      </c>
      <c r="C113" s="38" t="inlineStr">
        <is>
          <t>09</t>
        </is>
      </c>
      <c r="D113" s="38" t="inlineStr">
        <is>
          <t>Baix Ebre</t>
        </is>
      </c>
    </row>
    <row r="114" ht="15" customHeight="1" s="39">
      <c r="A114" s="42" t="inlineStr">
        <is>
          <t>430265</t>
        </is>
      </c>
      <c r="B114" s="38" t="inlineStr">
        <is>
          <t>Benissanet</t>
        </is>
      </c>
      <c r="C114" s="38" t="inlineStr">
        <is>
          <t>30</t>
        </is>
      </c>
      <c r="D114" s="38" t="inlineStr">
        <is>
          <t>Ribera d'Ebre</t>
        </is>
      </c>
    </row>
    <row r="115" ht="15" customHeight="1" s="39">
      <c r="A115" s="42" t="inlineStr">
        <is>
          <t>080229</t>
        </is>
      </c>
      <c r="B115" s="38" t="inlineStr">
        <is>
          <t>Berga</t>
        </is>
      </c>
      <c r="C115" s="38" t="inlineStr">
        <is>
          <t>14</t>
        </is>
      </c>
      <c r="D115" s="38" t="inlineStr">
        <is>
          <t>Berguedà</t>
        </is>
      </c>
    </row>
    <row r="116" ht="15" customHeight="1" s="39">
      <c r="A116" s="42" t="inlineStr">
        <is>
          <t>170195</t>
        </is>
      </c>
      <c r="B116" s="38" t="inlineStr">
        <is>
          <t>Besalú</t>
        </is>
      </c>
      <c r="C116" s="38" t="inlineStr">
        <is>
          <t>19</t>
        </is>
      </c>
      <c r="D116" s="38" t="inlineStr">
        <is>
          <t>Garrotxa</t>
        </is>
      </c>
    </row>
    <row r="117" ht="15" customHeight="1" s="39">
      <c r="A117" s="42" t="inlineStr">
        <is>
          <t>170209</t>
        </is>
      </c>
      <c r="B117" s="38" t="inlineStr">
        <is>
          <t>Bescanó</t>
        </is>
      </c>
      <c r="C117" s="38" t="inlineStr">
        <is>
          <t>20</t>
        </is>
      </c>
      <c r="D117" s="38" t="inlineStr">
        <is>
          <t>Gironès</t>
        </is>
      </c>
    </row>
    <row r="118" ht="15" customHeight="1" s="39">
      <c r="A118" s="42" t="inlineStr">
        <is>
          <t>170216</t>
        </is>
      </c>
      <c r="B118" s="38" t="inlineStr">
        <is>
          <t>Beuda</t>
        </is>
      </c>
      <c r="C118" s="38" t="inlineStr">
        <is>
          <t>19</t>
        </is>
      </c>
      <c r="D118" s="38" t="inlineStr">
        <is>
          <t>Garrotxa</t>
        </is>
      </c>
    </row>
    <row r="119" ht="15" customHeight="1" s="39">
      <c r="A119" s="42" t="inlineStr">
        <is>
          <t>080235</t>
        </is>
      </c>
      <c r="B119" s="38" t="inlineStr">
        <is>
          <t>Bigues i Riells del Fai</t>
        </is>
      </c>
      <c r="C119" s="38" t="inlineStr">
        <is>
          <t>41</t>
        </is>
      </c>
      <c r="D119" s="38" t="inlineStr">
        <is>
          <t>Vallès Oriental</t>
        </is>
      </c>
    </row>
    <row r="120" ht="15" customHeight="1" s="39">
      <c r="A120" s="42" t="inlineStr">
        <is>
          <t>250557</t>
        </is>
      </c>
      <c r="B120" s="38" t="inlineStr">
        <is>
          <t>Biosca</t>
        </is>
      </c>
      <c r="C120" s="38" t="inlineStr">
        <is>
          <t>35</t>
        </is>
      </c>
      <c r="D120" s="38" t="inlineStr">
        <is>
          <t>Solsonès</t>
        </is>
      </c>
    </row>
    <row r="121" ht="15" customHeight="1" s="39">
      <c r="A121" s="42" t="inlineStr">
        <is>
          <t>170221</t>
        </is>
      </c>
      <c r="B121" s="38" t="inlineStr">
        <is>
          <t>Bisbal d'Empordà, la</t>
        </is>
      </c>
      <c r="C121" s="38" t="inlineStr">
        <is>
          <t>10</t>
        </is>
      </c>
      <c r="D121" s="38" t="inlineStr">
        <is>
          <t>Baix Empordà</t>
        </is>
      </c>
    </row>
    <row r="122" ht="15" customHeight="1" s="39">
      <c r="A122" s="42" t="inlineStr">
        <is>
          <t>430271</t>
        </is>
      </c>
      <c r="B122" s="38" t="inlineStr">
        <is>
          <t>Bisbal de Montsant, la</t>
        </is>
      </c>
      <c r="C122" s="38" t="inlineStr">
        <is>
          <t>29</t>
        </is>
      </c>
      <c r="D122" s="38" t="inlineStr">
        <is>
          <t>Priorat</t>
        </is>
      </c>
    </row>
    <row r="123" ht="15" customHeight="1" s="39">
      <c r="A123" s="42" t="inlineStr">
        <is>
          <t>430287</t>
        </is>
      </c>
      <c r="B123" s="38" t="inlineStr">
        <is>
          <t>Bisbal del Penedès, la</t>
        </is>
      </c>
      <c r="C123" s="38" t="inlineStr">
        <is>
          <t>12</t>
        </is>
      </c>
      <c r="D123" s="38" t="inlineStr">
        <is>
          <t>Baix Penedès</t>
        </is>
      </c>
    </row>
    <row r="124" ht="15" customHeight="1" s="39">
      <c r="A124" s="42" t="inlineStr">
        <is>
          <t>172348</t>
        </is>
      </c>
      <c r="B124" s="38" t="inlineStr">
        <is>
          <t>Biure</t>
        </is>
      </c>
      <c r="C124" s="38" t="inlineStr">
        <is>
          <t>02</t>
        </is>
      </c>
      <c r="D124" s="38" t="inlineStr">
        <is>
          <t>Alt Empordà</t>
        </is>
      </c>
    </row>
    <row r="125" ht="15" customHeight="1" s="39">
      <c r="A125" s="42" t="inlineStr">
        <is>
          <t>430290</t>
        </is>
      </c>
      <c r="B125" s="38" t="inlineStr">
        <is>
          <t>Blancafort</t>
        </is>
      </c>
      <c r="C125" s="38" t="inlineStr">
        <is>
          <t>16</t>
        </is>
      </c>
      <c r="D125" s="38" t="inlineStr">
        <is>
          <t>Conca de Barberà</t>
        </is>
      </c>
    </row>
    <row r="126" ht="15" customHeight="1" s="39">
      <c r="A126" s="42" t="inlineStr">
        <is>
          <t>170237</t>
        </is>
      </c>
      <c r="B126" s="38" t="inlineStr">
        <is>
          <t>Blanes</t>
        </is>
      </c>
      <c r="C126" s="38" t="inlineStr">
        <is>
          <t>34</t>
        </is>
      </c>
      <c r="D126" s="38" t="inlineStr">
        <is>
          <t>Selva</t>
        </is>
      </c>
    </row>
    <row r="127" ht="15" customHeight="1" s="39">
      <c r="A127" s="42" t="inlineStr">
        <is>
          <t>170293</t>
        </is>
      </c>
      <c r="B127" s="38" t="inlineStr">
        <is>
          <t>Boadella i les Escaules</t>
        </is>
      </c>
      <c r="C127" s="38" t="inlineStr">
        <is>
          <t>02</t>
        </is>
      </c>
      <c r="D127" s="38" t="inlineStr">
        <is>
          <t>Alt Empordà</t>
        </is>
      </c>
    </row>
    <row r="128" ht="15" customHeight="1" s="39">
      <c r="A128" s="42" t="inlineStr">
        <is>
          <t>170242</t>
        </is>
      </c>
      <c r="B128" s="38" t="inlineStr">
        <is>
          <t>Bolvir</t>
        </is>
      </c>
      <c r="C128" s="38" t="inlineStr">
        <is>
          <t>15</t>
        </is>
      </c>
      <c r="D128" s="38" t="inlineStr">
        <is>
          <t>Cerdanya</t>
        </is>
      </c>
    </row>
    <row r="129" ht="15" customHeight="1" s="39">
      <c r="A129" s="42" t="inlineStr">
        <is>
          <t>430304</t>
        </is>
      </c>
      <c r="B129" s="38" t="inlineStr">
        <is>
          <t>Bonastre</t>
        </is>
      </c>
      <c r="C129" s="38" t="inlineStr">
        <is>
          <t>12</t>
        </is>
      </c>
      <c r="D129" s="38" t="inlineStr">
        <is>
          <t>Baix Penedès</t>
        </is>
      </c>
    </row>
    <row r="130" ht="15" customHeight="1" s="39">
      <c r="A130" s="42" t="inlineStr">
        <is>
          <t>250576</t>
        </is>
      </c>
      <c r="B130" s="38" t="inlineStr">
        <is>
          <t>Bòrdes, Es</t>
        </is>
      </c>
      <c r="C130" s="38" t="inlineStr">
        <is>
          <t>39</t>
        </is>
      </c>
      <c r="D130" s="38" t="inlineStr">
        <is>
          <t>Aran</t>
        </is>
      </c>
    </row>
    <row r="131" ht="15" customHeight="1" s="39">
      <c r="A131" s="42" t="inlineStr">
        <is>
          <t>170255</t>
        </is>
      </c>
      <c r="B131" s="38" t="inlineStr">
        <is>
          <t>Bordils</t>
        </is>
      </c>
      <c r="C131" s="38" t="inlineStr">
        <is>
          <t>20</t>
        </is>
      </c>
      <c r="D131" s="38" t="inlineStr">
        <is>
          <t>Gironès</t>
        </is>
      </c>
    </row>
    <row r="132" ht="15" customHeight="1" s="39">
      <c r="A132" s="42" t="inlineStr">
        <is>
          <t>250582</t>
        </is>
      </c>
      <c r="B132" s="38" t="inlineStr">
        <is>
          <t>Borges Blanques, les</t>
        </is>
      </c>
      <c r="C132" s="38" t="inlineStr">
        <is>
          <t>18</t>
        </is>
      </c>
      <c r="D132" s="38" t="inlineStr">
        <is>
          <t>Garrigues</t>
        </is>
      </c>
    </row>
    <row r="133" ht="15" customHeight="1" s="39">
      <c r="A133" s="42" t="inlineStr">
        <is>
          <t>430311</t>
        </is>
      </c>
      <c r="B133" s="38" t="inlineStr">
        <is>
          <t>Borges del Camp, les</t>
        </is>
      </c>
      <c r="C133" s="38" t="inlineStr">
        <is>
          <t>08</t>
        </is>
      </c>
      <c r="D133" s="38" t="inlineStr">
        <is>
          <t>Baix Camp</t>
        </is>
      </c>
    </row>
    <row r="134" ht="15" customHeight="1" s="39">
      <c r="A134" s="42" t="inlineStr">
        <is>
          <t>170268</t>
        </is>
      </c>
      <c r="B134" s="38" t="inlineStr">
        <is>
          <t>Borrassà</t>
        </is>
      </c>
      <c r="C134" s="38" t="inlineStr">
        <is>
          <t>02</t>
        </is>
      </c>
      <c r="D134" s="38" t="inlineStr">
        <is>
          <t>Alt Empordà</t>
        </is>
      </c>
    </row>
    <row r="135" ht="15" customHeight="1" s="39">
      <c r="A135" s="42" t="inlineStr">
        <is>
          <t>080240</t>
        </is>
      </c>
      <c r="B135" s="38" t="inlineStr">
        <is>
          <t>Borredà</t>
        </is>
      </c>
      <c r="C135" s="38" t="inlineStr">
        <is>
          <t>14</t>
        </is>
      </c>
      <c r="D135" s="38" t="inlineStr">
        <is>
          <t>Berguedà</t>
        </is>
      </c>
    </row>
    <row r="136" ht="15" customHeight="1" s="39">
      <c r="A136" s="42" t="inlineStr">
        <is>
          <t>250595</t>
        </is>
      </c>
      <c r="B136" s="38" t="inlineStr">
        <is>
          <t>Bossòst</t>
        </is>
      </c>
      <c r="C136" s="38" t="inlineStr">
        <is>
          <t>39</t>
        </is>
      </c>
      <c r="D136" s="38" t="inlineStr">
        <is>
          <t>Aran</t>
        </is>
      </c>
    </row>
    <row r="137" ht="15" customHeight="1" s="39">
      <c r="A137" s="42" t="inlineStr">
        <is>
          <t>430326</t>
        </is>
      </c>
      <c r="B137" s="38" t="inlineStr">
        <is>
          <t>Bot</t>
        </is>
      </c>
      <c r="C137" s="38" t="inlineStr">
        <is>
          <t>37</t>
        </is>
      </c>
      <c r="D137" s="38" t="inlineStr">
        <is>
          <t>Terra Alta</t>
        </is>
      </c>
    </row>
    <row r="138" ht="15" customHeight="1" s="39">
      <c r="A138" s="42" t="inlineStr">
        <is>
          <t>430332</t>
        </is>
      </c>
      <c r="B138" s="38" t="inlineStr">
        <is>
          <t>Botarell</t>
        </is>
      </c>
      <c r="C138" s="38" t="inlineStr">
        <is>
          <t>08</t>
        </is>
      </c>
      <c r="D138" s="38" t="inlineStr">
        <is>
          <t>Baix Camp</t>
        </is>
      </c>
    </row>
    <row r="139" ht="15" customHeight="1" s="39">
      <c r="A139" s="42" t="inlineStr">
        <is>
          <t>250560</t>
        </is>
      </c>
      <c r="B139" s="38" t="inlineStr">
        <is>
          <t>Bovera</t>
        </is>
      </c>
      <c r="C139" s="38" t="inlineStr">
        <is>
          <t>18</t>
        </is>
      </c>
      <c r="D139" s="38" t="inlineStr">
        <is>
          <t>Garrigues</t>
        </is>
      </c>
    </row>
    <row r="140" ht="15" customHeight="1" s="39">
      <c r="A140" s="42" t="inlineStr">
        <is>
          <t>430347</t>
        </is>
      </c>
      <c r="B140" s="38" t="inlineStr">
        <is>
          <t>Bràfim</t>
        </is>
      </c>
      <c r="C140" s="38" t="inlineStr">
        <is>
          <t>01</t>
        </is>
      </c>
      <c r="D140" s="38" t="inlineStr">
        <is>
          <t>Alt Camp</t>
        </is>
      </c>
    </row>
    <row r="141" ht="15" customHeight="1" s="39">
      <c r="A141" s="42" t="inlineStr">
        <is>
          <t>170274</t>
        </is>
      </c>
      <c r="B141" s="38" t="inlineStr">
        <is>
          <t>Breda</t>
        </is>
      </c>
      <c r="C141" s="38" t="inlineStr">
        <is>
          <t>34</t>
        </is>
      </c>
      <c r="D141" s="38" t="inlineStr">
        <is>
          <t>Selva</t>
        </is>
      </c>
    </row>
    <row r="142" ht="15" customHeight="1" s="39">
      <c r="A142" s="42" t="inlineStr">
        <is>
          <t>080253</t>
        </is>
      </c>
      <c r="B142" s="38" t="inlineStr">
        <is>
          <t>Bruc, el</t>
        </is>
      </c>
      <c r="C142" s="38" t="inlineStr">
        <is>
          <t>06</t>
        </is>
      </c>
      <c r="D142" s="38" t="inlineStr">
        <is>
          <t>Anoia</t>
        </is>
      </c>
    </row>
    <row r="143" ht="15" customHeight="1" s="39">
      <c r="A143" s="42" t="inlineStr">
        <is>
          <t>080266</t>
        </is>
      </c>
      <c r="B143" s="38" t="inlineStr">
        <is>
          <t>Brull, el</t>
        </is>
      </c>
      <c r="C143" s="38" t="inlineStr">
        <is>
          <t>24</t>
        </is>
      </c>
      <c r="D143" s="38" t="inlineStr">
        <is>
          <t>Osona</t>
        </is>
      </c>
    </row>
    <row r="144" ht="15" customHeight="1" s="39">
      <c r="A144" s="42" t="inlineStr">
        <is>
          <t>170280</t>
        </is>
      </c>
      <c r="B144" s="38" t="inlineStr">
        <is>
          <t>Brunyola i Sant Martí Sapresa</t>
        </is>
      </c>
      <c r="C144" s="38" t="inlineStr">
        <is>
          <t>34</t>
        </is>
      </c>
      <c r="D144" s="38" t="inlineStr">
        <is>
          <t>Selva</t>
        </is>
      </c>
    </row>
    <row r="145" ht="15" customHeight="1" s="39">
      <c r="A145" s="42" t="inlineStr">
        <is>
          <t>430350</t>
        </is>
      </c>
      <c r="B145" s="38" t="inlineStr">
        <is>
          <t>Cabacés</t>
        </is>
      </c>
      <c r="C145" s="38" t="inlineStr">
        <is>
          <t>29</t>
        </is>
      </c>
      <c r="D145" s="38" t="inlineStr">
        <is>
          <t>Priorat</t>
        </is>
      </c>
    </row>
    <row r="146" ht="15" customHeight="1" s="39">
      <c r="A146" s="42" t="inlineStr">
        <is>
          <t>250609</t>
        </is>
      </c>
      <c r="B146" s="38" t="inlineStr">
        <is>
          <t>Cabanabona</t>
        </is>
      </c>
      <c r="C146" s="38" t="inlineStr">
        <is>
          <t>23</t>
        </is>
      </c>
      <c r="D146" s="38" t="inlineStr">
        <is>
          <t>Noguera</t>
        </is>
      </c>
    </row>
    <row r="147" ht="15" customHeight="1" s="39">
      <c r="A147" s="42" t="inlineStr">
        <is>
          <t>170314</t>
        </is>
      </c>
      <c r="B147" s="38" t="inlineStr">
        <is>
          <t>Cabanelles</t>
        </is>
      </c>
      <c r="C147" s="38" t="inlineStr">
        <is>
          <t>02</t>
        </is>
      </c>
      <c r="D147" s="38" t="inlineStr">
        <is>
          <t>Alt Empordà</t>
        </is>
      </c>
    </row>
    <row r="148" ht="15" customHeight="1" s="39">
      <c r="A148" s="42" t="inlineStr">
        <is>
          <t>170307</t>
        </is>
      </c>
      <c r="B148" s="38" t="inlineStr">
        <is>
          <t>Cabanes</t>
        </is>
      </c>
      <c r="C148" s="38" t="inlineStr">
        <is>
          <t>02</t>
        </is>
      </c>
      <c r="D148" s="38" t="inlineStr">
        <is>
          <t>Alt Empordà</t>
        </is>
      </c>
    </row>
    <row r="149" ht="15" customHeight="1" s="39">
      <c r="A149" s="42" t="inlineStr">
        <is>
          <t>080272</t>
        </is>
      </c>
      <c r="B149" s="38" t="inlineStr">
        <is>
          <t>Cabanyes, les</t>
        </is>
      </c>
      <c r="C149" s="38" t="inlineStr">
        <is>
          <t>03</t>
        </is>
      </c>
      <c r="D149" s="38" t="inlineStr">
        <is>
          <t>Alt Penedès</t>
        </is>
      </c>
    </row>
    <row r="150" ht="15" customHeight="1" s="39">
      <c r="A150" s="42" t="inlineStr">
        <is>
          <t>250616</t>
        </is>
      </c>
      <c r="B150" s="38" t="inlineStr">
        <is>
          <t>Cabó</t>
        </is>
      </c>
      <c r="C150" s="38" t="inlineStr">
        <is>
          <t>04</t>
        </is>
      </c>
      <c r="D150" s="38" t="inlineStr">
        <is>
          <t>Alt Urgell</t>
        </is>
      </c>
    </row>
    <row r="151" ht="15" customHeight="1" s="39">
      <c r="A151" s="42" t="inlineStr">
        <is>
          <t>430363</t>
        </is>
      </c>
      <c r="B151" s="38" t="inlineStr">
        <is>
          <t>Cabra del Camp</t>
        </is>
      </c>
      <c r="C151" s="38" t="inlineStr">
        <is>
          <t>01</t>
        </is>
      </c>
      <c r="D151" s="38" t="inlineStr">
        <is>
          <t>Alt Camp</t>
        </is>
      </c>
    </row>
    <row r="152" ht="15" customHeight="1" s="39">
      <c r="A152" s="42" t="inlineStr">
        <is>
          <t>080288</t>
        </is>
      </c>
      <c r="B152" s="38" t="inlineStr">
        <is>
          <t>Cabrera d'Anoia</t>
        </is>
      </c>
      <c r="C152" s="38" t="inlineStr">
        <is>
          <t>06</t>
        </is>
      </c>
      <c r="D152" s="38" t="inlineStr">
        <is>
          <t>Anoia</t>
        </is>
      </c>
    </row>
    <row r="153" ht="15" customHeight="1" s="39">
      <c r="A153" s="42" t="inlineStr">
        <is>
          <t>080291</t>
        </is>
      </c>
      <c r="B153" s="38" t="inlineStr">
        <is>
          <t>Cabrera de Mar</t>
        </is>
      </c>
      <c r="C153" s="38" t="inlineStr">
        <is>
          <t>21</t>
        </is>
      </c>
      <c r="D153" s="38" t="inlineStr">
        <is>
          <t>Maresme</t>
        </is>
      </c>
    </row>
    <row r="154" ht="15" customHeight="1" s="39">
      <c r="A154" s="42" t="inlineStr">
        <is>
          <t>080305</t>
        </is>
      </c>
      <c r="B154" s="38" t="inlineStr">
        <is>
          <t>Cabrils</t>
        </is>
      </c>
      <c r="C154" s="38" t="inlineStr">
        <is>
          <t>21</t>
        </is>
      </c>
      <c r="D154" s="38" t="inlineStr">
        <is>
          <t>Maresme</t>
        </is>
      </c>
    </row>
    <row r="155" ht="15" customHeight="1" s="39">
      <c r="A155" s="42" t="inlineStr">
        <is>
          <t>170329</t>
        </is>
      </c>
      <c r="B155" s="38" t="inlineStr">
        <is>
          <t>Cadaqués</t>
        </is>
      </c>
      <c r="C155" s="38" t="inlineStr">
        <is>
          <t>02</t>
        </is>
      </c>
      <c r="D155" s="38" t="inlineStr">
        <is>
          <t>Alt Empordà</t>
        </is>
      </c>
    </row>
    <row r="156" ht="15" customHeight="1" s="39">
      <c r="A156" s="42" t="inlineStr">
        <is>
          <t>080312</t>
        </is>
      </c>
      <c r="B156" s="38" t="inlineStr">
        <is>
          <t>Calaf</t>
        </is>
      </c>
      <c r="C156" s="38" t="inlineStr">
        <is>
          <t>06</t>
        </is>
      </c>
      <c r="D156" s="38" t="inlineStr">
        <is>
          <t>Anoia</t>
        </is>
      </c>
    </row>
    <row r="157" ht="15" customHeight="1" s="39">
      <c r="A157" s="42" t="inlineStr">
        <is>
          <t>430379</t>
        </is>
      </c>
      <c r="B157" s="38" t="inlineStr">
        <is>
          <t>Calafell</t>
        </is>
      </c>
      <c r="C157" s="38" t="inlineStr">
        <is>
          <t>12</t>
        </is>
      </c>
      <c r="D157" s="38" t="inlineStr">
        <is>
          <t>Baix Penedès</t>
        </is>
      </c>
    </row>
    <row r="158" ht="15" customHeight="1" s="39">
      <c r="A158" s="42" t="inlineStr">
        <is>
          <t>080348</t>
        </is>
      </c>
      <c r="B158" s="38" t="inlineStr">
        <is>
          <t>Calders</t>
        </is>
      </c>
      <c r="C158" s="38" t="inlineStr">
        <is>
          <t>42</t>
        </is>
      </c>
      <c r="D158" s="38" t="inlineStr">
        <is>
          <t>Moianès</t>
        </is>
      </c>
    </row>
    <row r="159" ht="15" customHeight="1" s="39">
      <c r="A159" s="42" t="inlineStr">
        <is>
          <t>080327</t>
        </is>
      </c>
      <c r="B159" s="38" t="inlineStr">
        <is>
          <t>Caldes d'Estrac</t>
        </is>
      </c>
      <c r="C159" s="38" t="inlineStr">
        <is>
          <t>21</t>
        </is>
      </c>
      <c r="D159" s="38" t="inlineStr">
        <is>
          <t>Maresme</t>
        </is>
      </c>
    </row>
    <row r="160" ht="15" customHeight="1" s="39">
      <c r="A160" s="42" t="inlineStr">
        <is>
          <t>170335</t>
        </is>
      </c>
      <c r="B160" s="38" t="inlineStr">
        <is>
          <t>Caldes de Malavella</t>
        </is>
      </c>
      <c r="C160" s="38" t="inlineStr">
        <is>
          <t>34</t>
        </is>
      </c>
      <c r="D160" s="38" t="inlineStr">
        <is>
          <t>Selva</t>
        </is>
      </c>
    </row>
    <row r="161" ht="15" customHeight="1" s="39">
      <c r="A161" s="42" t="inlineStr">
        <is>
          <t>080333</t>
        </is>
      </c>
      <c r="B161" s="38" t="inlineStr">
        <is>
          <t>Caldes de Montbui</t>
        </is>
      </c>
      <c r="C161" s="38" t="inlineStr">
        <is>
          <t>41</t>
        </is>
      </c>
      <c r="D161" s="38" t="inlineStr">
        <is>
          <t>Vallès Oriental</t>
        </is>
      </c>
    </row>
    <row r="162" ht="15" customHeight="1" s="39">
      <c r="A162" s="42" t="inlineStr">
        <is>
          <t>080351</t>
        </is>
      </c>
      <c r="B162" s="38" t="inlineStr">
        <is>
          <t>Calella</t>
        </is>
      </c>
      <c r="C162" s="38" t="inlineStr">
        <is>
          <t>21</t>
        </is>
      </c>
      <c r="D162" s="38" t="inlineStr">
        <is>
          <t>Maresme</t>
        </is>
      </c>
    </row>
    <row r="163" ht="15" customHeight="1" s="39">
      <c r="A163" s="42" t="inlineStr">
        <is>
          <t>080370</t>
        </is>
      </c>
      <c r="B163" s="38" t="inlineStr">
        <is>
          <t>Calldetenes</t>
        </is>
      </c>
      <c r="C163" s="38" t="inlineStr">
        <is>
          <t>24</t>
        </is>
      </c>
      <c r="D163" s="38" t="inlineStr">
        <is>
          <t>Osona</t>
        </is>
      </c>
    </row>
    <row r="164" ht="15" customHeight="1" s="39">
      <c r="A164" s="42" t="inlineStr">
        <is>
          <t>080386</t>
        </is>
      </c>
      <c r="B164" s="38" t="inlineStr">
        <is>
          <t>Callús</t>
        </is>
      </c>
      <c r="C164" s="38" t="inlineStr">
        <is>
          <t>07</t>
        </is>
      </c>
      <c r="D164" s="38" t="inlineStr">
        <is>
          <t>Bages</t>
        </is>
      </c>
    </row>
    <row r="165" ht="15" customHeight="1" s="39">
      <c r="A165" s="42" t="inlineStr">
        <is>
          <t>080364</t>
        </is>
      </c>
      <c r="B165" s="38" t="inlineStr">
        <is>
          <t>Calonge de Segarra</t>
        </is>
      </c>
      <c r="C165" s="38" t="inlineStr">
        <is>
          <t>06</t>
        </is>
      </c>
      <c r="D165" s="38" t="inlineStr">
        <is>
          <t>Anoia</t>
        </is>
      </c>
    </row>
    <row r="166" ht="15" customHeight="1" s="39">
      <c r="A166" s="42" t="inlineStr">
        <is>
          <t>170340</t>
        </is>
      </c>
      <c r="B166" s="38" t="inlineStr">
        <is>
          <t>Calonge i Sant Antoni</t>
        </is>
      </c>
      <c r="C166" s="38" t="inlineStr">
        <is>
          <t>10</t>
        </is>
      </c>
      <c r="D166" s="38" t="inlineStr">
        <is>
          <t>Baix Empordà</t>
        </is>
      </c>
    </row>
    <row r="167" ht="15" customHeight="1" s="39">
      <c r="A167" s="42" t="inlineStr">
        <is>
          <t>250621</t>
        </is>
      </c>
      <c r="B167" s="38" t="inlineStr">
        <is>
          <t>Camarasa</t>
        </is>
      </c>
      <c r="C167" s="38" t="inlineStr">
        <is>
          <t>23</t>
        </is>
      </c>
      <c r="D167" s="38" t="inlineStr">
        <is>
          <t>Noguera</t>
        </is>
      </c>
    </row>
    <row r="168" ht="15" customHeight="1" s="39">
      <c r="A168" s="42" t="inlineStr">
        <is>
          <t>439039</t>
        </is>
      </c>
      <c r="B168" s="38" t="inlineStr">
        <is>
          <t>Camarles</t>
        </is>
      </c>
      <c r="C168" s="38" t="inlineStr">
        <is>
          <t>09</t>
        </is>
      </c>
      <c r="D168" s="38" t="inlineStr">
        <is>
          <t>Baix Ebre</t>
        </is>
      </c>
    </row>
    <row r="169" ht="15" customHeight="1" s="39">
      <c r="A169" s="42" t="inlineStr">
        <is>
          <t>430385</t>
        </is>
      </c>
      <c r="B169" s="38" t="inlineStr">
        <is>
          <t>Cambrils</t>
        </is>
      </c>
      <c r="C169" s="38" t="inlineStr">
        <is>
          <t>08</t>
        </is>
      </c>
      <c r="D169" s="38" t="inlineStr">
        <is>
          <t>Baix Camp</t>
        </is>
      </c>
    </row>
    <row r="170" ht="15" customHeight="1" s="39">
      <c r="A170" s="42" t="inlineStr">
        <is>
          <t>170353</t>
        </is>
      </c>
      <c r="B170" s="38" t="inlineStr">
        <is>
          <t>Camós</t>
        </is>
      </c>
      <c r="C170" s="38" t="inlineStr">
        <is>
          <t>28</t>
        </is>
      </c>
      <c r="D170" s="38" t="inlineStr">
        <is>
          <t>Pla de l'Estany</t>
        </is>
      </c>
    </row>
    <row r="171" ht="15" customHeight="1" s="39">
      <c r="A171" s="42" t="inlineStr">
        <is>
          <t>170366</t>
        </is>
      </c>
      <c r="B171" s="38" t="inlineStr">
        <is>
          <t>Campdevànol</t>
        </is>
      </c>
      <c r="C171" s="38" t="inlineStr">
        <is>
          <t>31</t>
        </is>
      </c>
      <c r="D171" s="38" t="inlineStr">
        <is>
          <t>Ripollès</t>
        </is>
      </c>
    </row>
    <row r="172" ht="15" customHeight="1" s="39">
      <c r="A172" s="42" t="inlineStr">
        <is>
          <t>170372</t>
        </is>
      </c>
      <c r="B172" s="38" t="inlineStr">
        <is>
          <t>Campelles</t>
        </is>
      </c>
      <c r="C172" s="38" t="inlineStr">
        <is>
          <t>31</t>
        </is>
      </c>
      <c r="D172" s="38" t="inlineStr">
        <is>
          <t>Ripollès</t>
        </is>
      </c>
    </row>
    <row r="173" ht="15" customHeight="1" s="39">
      <c r="A173" s="42" t="inlineStr">
        <is>
          <t>080399</t>
        </is>
      </c>
      <c r="B173" s="38" t="inlineStr">
        <is>
          <t>Campins</t>
        </is>
      </c>
      <c r="C173" s="38" t="inlineStr">
        <is>
          <t>41</t>
        </is>
      </c>
      <c r="D173" s="38" t="inlineStr">
        <is>
          <t>Vallès Oriental</t>
        </is>
      </c>
    </row>
    <row r="174" ht="15" customHeight="1" s="39">
      <c r="A174" s="42" t="inlineStr">
        <is>
          <t>170388</t>
        </is>
      </c>
      <c r="B174" s="38" t="inlineStr">
        <is>
          <t>Campllong</t>
        </is>
      </c>
      <c r="C174" s="38" t="inlineStr">
        <is>
          <t>20</t>
        </is>
      </c>
      <c r="D174" s="38" t="inlineStr">
        <is>
          <t>Gironès</t>
        </is>
      </c>
    </row>
    <row r="175" ht="15" customHeight="1" s="39">
      <c r="A175" s="42" t="inlineStr">
        <is>
          <t>170391</t>
        </is>
      </c>
      <c r="B175" s="38" t="inlineStr">
        <is>
          <t>Camprodon</t>
        </is>
      </c>
      <c r="C175" s="38" t="inlineStr">
        <is>
          <t>31</t>
        </is>
      </c>
      <c r="D175" s="38" t="inlineStr">
        <is>
          <t>Ripollès</t>
        </is>
      </c>
    </row>
    <row r="176" ht="15" customHeight="1" s="39">
      <c r="A176" s="42" t="inlineStr">
        <is>
          <t>250637</t>
        </is>
      </c>
      <c r="B176" s="38" t="inlineStr">
        <is>
          <t>Canejan</t>
        </is>
      </c>
      <c r="C176" s="38" t="inlineStr">
        <is>
          <t>39</t>
        </is>
      </c>
      <c r="D176" s="38" t="inlineStr">
        <is>
          <t>Aran</t>
        </is>
      </c>
    </row>
    <row r="177" ht="15" customHeight="1" s="39">
      <c r="A177" s="42" t="inlineStr">
        <is>
          <t>170405</t>
        </is>
      </c>
      <c r="B177" s="38" t="inlineStr">
        <is>
          <t>Canet d'Adri</t>
        </is>
      </c>
      <c r="C177" s="38" t="inlineStr">
        <is>
          <t>20</t>
        </is>
      </c>
      <c r="D177" s="38" t="inlineStr">
        <is>
          <t>Gironès</t>
        </is>
      </c>
    </row>
    <row r="178" ht="15" customHeight="1" s="39">
      <c r="A178" s="42" t="inlineStr">
        <is>
          <t>080403</t>
        </is>
      </c>
      <c r="B178" s="38" t="inlineStr">
        <is>
          <t>Canet de Mar</t>
        </is>
      </c>
      <c r="C178" s="38" t="inlineStr">
        <is>
          <t>21</t>
        </is>
      </c>
      <c r="D178" s="38" t="inlineStr">
        <is>
          <t>Maresme</t>
        </is>
      </c>
    </row>
    <row r="179" ht="15" customHeight="1" s="39">
      <c r="A179" s="42" t="inlineStr">
        <is>
          <t>439076</t>
        </is>
      </c>
      <c r="B179" s="38" t="inlineStr">
        <is>
          <t>Canonja, la</t>
        </is>
      </c>
      <c r="C179" s="38" t="inlineStr">
        <is>
          <t>36</t>
        </is>
      </c>
      <c r="D179" s="38" t="inlineStr">
        <is>
          <t>Tarragonès</t>
        </is>
      </c>
    </row>
    <row r="180" ht="15" customHeight="1" s="39">
      <c r="A180" s="42" t="inlineStr">
        <is>
          <t>080410</t>
        </is>
      </c>
      <c r="B180" s="38" t="inlineStr">
        <is>
          <t>Canovelles</t>
        </is>
      </c>
      <c r="C180" s="38" t="inlineStr">
        <is>
          <t>41</t>
        </is>
      </c>
      <c r="D180" s="38" t="inlineStr">
        <is>
          <t>Vallès Oriental</t>
        </is>
      </c>
    </row>
    <row r="181" ht="15" customHeight="1" s="39">
      <c r="A181" s="42" t="inlineStr">
        <is>
          <t>080425</t>
        </is>
      </c>
      <c r="B181" s="38" t="inlineStr">
        <is>
          <t>Cànoves i Samalús</t>
        </is>
      </c>
      <c r="C181" s="38" t="inlineStr">
        <is>
          <t>41</t>
        </is>
      </c>
      <c r="D181" s="38" t="inlineStr">
        <is>
          <t>Vallès Oriental</t>
        </is>
      </c>
    </row>
    <row r="182" ht="15" customHeight="1" s="39">
      <c r="A182" s="42" t="inlineStr">
        <is>
          <t>170412</t>
        </is>
      </c>
      <c r="B182" s="38" t="inlineStr">
        <is>
          <t>Cantallops</t>
        </is>
      </c>
      <c r="C182" s="38" t="inlineStr">
        <is>
          <t>02</t>
        </is>
      </c>
      <c r="D182" s="38" t="inlineStr">
        <is>
          <t>Alt Empordà</t>
        </is>
      </c>
    </row>
    <row r="183" ht="15" customHeight="1" s="39">
      <c r="A183" s="42" t="inlineStr">
        <is>
          <t>080431</t>
        </is>
      </c>
      <c r="B183" s="38" t="inlineStr">
        <is>
          <t>Canyelles</t>
        </is>
      </c>
      <c r="C183" s="38" t="inlineStr">
        <is>
          <t>17</t>
        </is>
      </c>
      <c r="D183" s="38" t="inlineStr">
        <is>
          <t>Garraf</t>
        </is>
      </c>
    </row>
    <row r="184" ht="15" customHeight="1" s="39">
      <c r="A184" s="42" t="inlineStr">
        <is>
          <t>430398</t>
        </is>
      </c>
      <c r="B184" s="38" t="inlineStr">
        <is>
          <t>Capafonts</t>
        </is>
      </c>
      <c r="C184" s="38" t="inlineStr">
        <is>
          <t>08</t>
        </is>
      </c>
      <c r="D184" s="38" t="inlineStr">
        <is>
          <t>Baix Camp</t>
        </is>
      </c>
    </row>
    <row r="185" ht="15" customHeight="1" s="39">
      <c r="A185" s="42" t="inlineStr">
        <is>
          <t>430402</t>
        </is>
      </c>
      <c r="B185" s="38" t="inlineStr">
        <is>
          <t>Capçanes</t>
        </is>
      </c>
      <c r="C185" s="38" t="inlineStr">
        <is>
          <t>29</t>
        </is>
      </c>
      <c r="D185" s="38" t="inlineStr">
        <is>
          <t>Priorat</t>
        </is>
      </c>
    </row>
    <row r="186" ht="15" customHeight="1" s="39">
      <c r="A186" s="42" t="inlineStr">
        <is>
          <t>080446</t>
        </is>
      </c>
      <c r="B186" s="38" t="inlineStr">
        <is>
          <t>Capellades</t>
        </is>
      </c>
      <c r="C186" s="38" t="inlineStr">
        <is>
          <t>06</t>
        </is>
      </c>
      <c r="D186" s="38" t="inlineStr">
        <is>
          <t>Anoia</t>
        </is>
      </c>
    </row>
    <row r="187" ht="15" customHeight="1" s="39">
      <c r="A187" s="42" t="inlineStr">
        <is>
          <t>170427</t>
        </is>
      </c>
      <c r="B187" s="38" t="inlineStr">
        <is>
          <t>Capmany</t>
        </is>
      </c>
      <c r="C187" s="38" t="inlineStr">
        <is>
          <t>02</t>
        </is>
      </c>
      <c r="D187" s="38" t="inlineStr">
        <is>
          <t>Alt Empordà</t>
        </is>
      </c>
    </row>
    <row r="188" ht="15" customHeight="1" s="39">
      <c r="A188" s="42" t="inlineStr">
        <is>
          <t>080459</t>
        </is>
      </c>
      <c r="B188" s="38" t="inlineStr">
        <is>
          <t>Capolat</t>
        </is>
      </c>
      <c r="C188" s="38" t="inlineStr">
        <is>
          <t>14</t>
        </is>
      </c>
      <c r="D188" s="38" t="inlineStr">
        <is>
          <t>Berguedà</t>
        </is>
      </c>
    </row>
    <row r="189" ht="15" customHeight="1" s="39">
      <c r="A189" s="42" t="inlineStr">
        <is>
          <t>080462</t>
        </is>
      </c>
      <c r="B189" s="38" t="inlineStr">
        <is>
          <t>Cardedeu</t>
        </is>
      </c>
      <c r="C189" s="38" t="inlineStr">
        <is>
          <t>41</t>
        </is>
      </c>
      <c r="D189" s="38" t="inlineStr">
        <is>
          <t>Vallès Oriental</t>
        </is>
      </c>
    </row>
    <row r="190" ht="15" customHeight="1" s="39">
      <c r="A190" s="42" t="inlineStr">
        <is>
          <t>080478</t>
        </is>
      </c>
      <c r="B190" s="38" t="inlineStr">
        <is>
          <t>Cardona</t>
        </is>
      </c>
      <c r="C190" s="38" t="inlineStr">
        <is>
          <t>07</t>
        </is>
      </c>
      <c r="D190" s="38" t="inlineStr">
        <is>
          <t>Bages</t>
        </is>
      </c>
    </row>
    <row r="191" ht="15" customHeight="1" s="39">
      <c r="A191" s="42" t="inlineStr">
        <is>
          <t>080484</t>
        </is>
      </c>
      <c r="B191" s="38" t="inlineStr">
        <is>
          <t>Carme</t>
        </is>
      </c>
      <c r="C191" s="38" t="inlineStr">
        <is>
          <t>06</t>
        </is>
      </c>
      <c r="D191" s="38" t="inlineStr">
        <is>
          <t>Anoia</t>
        </is>
      </c>
    </row>
    <row r="192" ht="15" customHeight="1" s="39">
      <c r="A192" s="42" t="inlineStr">
        <is>
          <t>430419</t>
        </is>
      </c>
      <c r="B192" s="38" t="inlineStr">
        <is>
          <t>Caseres</t>
        </is>
      </c>
      <c r="C192" s="38" t="inlineStr">
        <is>
          <t>37</t>
        </is>
      </c>
      <c r="D192" s="38" t="inlineStr">
        <is>
          <t>Terra Alta</t>
        </is>
      </c>
    </row>
    <row r="193" ht="15" customHeight="1" s="39">
      <c r="A193" s="42" t="inlineStr">
        <is>
          <t>170448</t>
        </is>
      </c>
      <c r="B193" s="38" t="inlineStr">
        <is>
          <t>Cassà de la Selva</t>
        </is>
      </c>
      <c r="C193" s="38" t="inlineStr">
        <is>
          <t>20</t>
        </is>
      </c>
      <c r="D193" s="38" t="inlineStr">
        <is>
          <t>Gironès</t>
        </is>
      </c>
    </row>
    <row r="194" ht="15" customHeight="1" s="39">
      <c r="A194" s="42" t="inlineStr">
        <is>
          <t>080497</t>
        </is>
      </c>
      <c r="B194" s="38" t="inlineStr">
        <is>
          <t>Casserres</t>
        </is>
      </c>
      <c r="C194" s="38" t="inlineStr">
        <is>
          <t>14</t>
        </is>
      </c>
      <c r="D194" s="38" t="inlineStr">
        <is>
          <t>Berguedà</t>
        </is>
      </c>
    </row>
    <row r="195" ht="15" customHeight="1" s="39">
      <c r="A195" s="42" t="inlineStr">
        <is>
          <t>170486</t>
        </is>
      </c>
      <c r="B195" s="38" t="inlineStr">
        <is>
          <t>Castell d'Aro, Platja d'Aro i s'Agaró</t>
        </is>
      </c>
      <c r="C195" s="38" t="inlineStr">
        <is>
          <t>10</t>
        </is>
      </c>
      <c r="D195" s="38" t="inlineStr">
        <is>
          <t>Baix Empordà</t>
        </is>
      </c>
    </row>
    <row r="196" ht="15" customHeight="1" s="39">
      <c r="A196" s="42" t="inlineStr">
        <is>
          <t>080575</t>
        </is>
      </c>
      <c r="B196" s="38" t="inlineStr">
        <is>
          <t>Castell de l'Areny</t>
        </is>
      </c>
      <c r="C196" s="38" t="inlineStr">
        <is>
          <t>14</t>
        </is>
      </c>
      <c r="D196" s="38" t="inlineStr">
        <is>
          <t>Berguedà</t>
        </is>
      </c>
    </row>
    <row r="197" ht="15" customHeight="1" s="39">
      <c r="A197" s="42" t="inlineStr">
        <is>
          <t>259046</t>
        </is>
      </c>
      <c r="B197" s="38" t="inlineStr">
        <is>
          <t>Castell de Mur</t>
        </is>
      </c>
      <c r="C197" s="38" t="inlineStr">
        <is>
          <t>25</t>
        </is>
      </c>
      <c r="D197" s="38" t="inlineStr">
        <is>
          <t>Pallars Jussà</t>
        </is>
      </c>
    </row>
    <row r="198" ht="15" customHeight="1" s="39">
      <c r="A198" s="42" t="inlineStr">
        <is>
          <t>250642</t>
        </is>
      </c>
      <c r="B198" s="38" t="inlineStr">
        <is>
          <t>Castellar de la Ribera</t>
        </is>
      </c>
      <c r="C198" s="38" t="inlineStr">
        <is>
          <t>35</t>
        </is>
      </c>
      <c r="D198" s="38" t="inlineStr">
        <is>
          <t>Solsonès</t>
        </is>
      </c>
    </row>
    <row r="199" ht="15" customHeight="1" s="39">
      <c r="A199" s="42" t="inlineStr">
        <is>
          <t>080522</t>
        </is>
      </c>
      <c r="B199" s="38" t="inlineStr">
        <is>
          <t>Castellar de n'Hug</t>
        </is>
      </c>
      <c r="C199" s="38" t="inlineStr">
        <is>
          <t>14</t>
        </is>
      </c>
      <c r="D199" s="38" t="inlineStr">
        <is>
          <t>Berguedà</t>
        </is>
      </c>
    </row>
    <row r="200" ht="15" customHeight="1" s="39">
      <c r="A200" s="42" t="inlineStr">
        <is>
          <t>080500</t>
        </is>
      </c>
      <c r="B200" s="38" t="inlineStr">
        <is>
          <t>Castellar del Riu</t>
        </is>
      </c>
      <c r="C200" s="38" t="inlineStr">
        <is>
          <t>14</t>
        </is>
      </c>
      <c r="D200" s="38" t="inlineStr">
        <is>
          <t>Berguedà</t>
        </is>
      </c>
    </row>
    <row r="201" ht="15" customHeight="1" s="39">
      <c r="A201" s="42" t="inlineStr">
        <is>
          <t>080517</t>
        </is>
      </c>
      <c r="B201" s="38" t="inlineStr">
        <is>
          <t>Castellar del Vallès</t>
        </is>
      </c>
      <c r="C201" s="38" t="inlineStr">
        <is>
          <t>40</t>
        </is>
      </c>
      <c r="D201" s="38" t="inlineStr">
        <is>
          <t>Vallès Occidental</t>
        </is>
      </c>
    </row>
    <row r="202" ht="15" customHeight="1" s="39">
      <c r="A202" s="42" t="inlineStr">
        <is>
          <t>080538</t>
        </is>
      </c>
      <c r="B202" s="38" t="inlineStr">
        <is>
          <t>Castellbell i el Vilar</t>
        </is>
      </c>
      <c r="C202" s="38" t="inlineStr">
        <is>
          <t>07</t>
        </is>
      </c>
      <c r="D202" s="38" t="inlineStr">
        <is>
          <t>Bages</t>
        </is>
      </c>
    </row>
    <row r="203" ht="15" customHeight="1" s="39">
      <c r="A203" s="42" t="inlineStr">
        <is>
          <t>080543</t>
        </is>
      </c>
      <c r="B203" s="38" t="inlineStr">
        <is>
          <t>Castellbisbal</t>
        </is>
      </c>
      <c r="C203" s="38" t="inlineStr">
        <is>
          <t>40</t>
        </is>
      </c>
      <c r="D203" s="38" t="inlineStr">
        <is>
          <t>Vallès Occidental</t>
        </is>
      </c>
    </row>
    <row r="204" ht="15" customHeight="1" s="39">
      <c r="A204" s="42" t="inlineStr">
        <is>
          <t>080556</t>
        </is>
      </c>
      <c r="B204" s="38" t="inlineStr">
        <is>
          <t>Castellcir</t>
        </is>
      </c>
      <c r="C204" s="38" t="inlineStr">
        <is>
          <t>42</t>
        </is>
      </c>
      <c r="D204" s="38" t="inlineStr">
        <is>
          <t>Moianès</t>
        </is>
      </c>
    </row>
    <row r="205" ht="15" customHeight="1" s="39">
      <c r="A205" s="42" t="inlineStr">
        <is>
          <t>250674</t>
        </is>
      </c>
      <c r="B205" s="38" t="inlineStr">
        <is>
          <t>Castelldans</t>
        </is>
      </c>
      <c r="C205" s="38" t="inlineStr">
        <is>
          <t>18</t>
        </is>
      </c>
      <c r="D205" s="38" t="inlineStr">
        <is>
          <t>Garrigues</t>
        </is>
      </c>
    </row>
    <row r="206" ht="15" customHeight="1" s="39">
      <c r="A206" s="42" t="inlineStr">
        <is>
          <t>080569</t>
        </is>
      </c>
      <c r="B206" s="38" t="inlineStr">
        <is>
          <t>Castelldefels</t>
        </is>
      </c>
      <c r="C206" s="38" t="inlineStr">
        <is>
          <t>11</t>
        </is>
      </c>
      <c r="D206" s="38" t="inlineStr">
        <is>
          <t>Baix Llobregat</t>
        </is>
      </c>
    </row>
    <row r="207" ht="15" customHeight="1" s="39">
      <c r="A207" s="42" t="inlineStr">
        <is>
          <t>080581</t>
        </is>
      </c>
      <c r="B207" s="38" t="inlineStr">
        <is>
          <t>Castellet i la Gornal</t>
        </is>
      </c>
      <c r="C207" s="38" t="inlineStr">
        <is>
          <t>03</t>
        </is>
      </c>
      <c r="D207" s="38" t="inlineStr">
        <is>
          <t>Alt Penedès</t>
        </is>
      </c>
    </row>
    <row r="208" ht="15" customHeight="1" s="39">
      <c r="A208" s="42" t="inlineStr">
        <is>
          <t>170464</t>
        </is>
      </c>
      <c r="B208" s="38" t="inlineStr">
        <is>
          <t>Castellfollit de la Roca</t>
        </is>
      </c>
      <c r="C208" s="38" t="inlineStr">
        <is>
          <t>19</t>
        </is>
      </c>
      <c r="D208" s="38" t="inlineStr">
        <is>
          <t>Garrotxa</t>
        </is>
      </c>
    </row>
    <row r="209" ht="15" customHeight="1" s="39">
      <c r="A209" s="42" t="inlineStr">
        <is>
          <t>080608</t>
        </is>
      </c>
      <c r="B209" s="38" t="inlineStr">
        <is>
          <t>Castellfollit de Riubregós</t>
        </is>
      </c>
      <c r="C209" s="38" t="inlineStr">
        <is>
          <t>06</t>
        </is>
      </c>
      <c r="D209" s="38" t="inlineStr">
        <is>
          <t>Anoia</t>
        </is>
      </c>
    </row>
    <row r="210" ht="15" customHeight="1" s="39">
      <c r="A210" s="42" t="inlineStr">
        <is>
          <t>080594</t>
        </is>
      </c>
      <c r="B210" s="38" t="inlineStr">
        <is>
          <t>Castellfollit del Boix</t>
        </is>
      </c>
      <c r="C210" s="38" t="inlineStr">
        <is>
          <t>07</t>
        </is>
      </c>
      <c r="D210" s="38" t="inlineStr">
        <is>
          <t>Bages</t>
        </is>
      </c>
    </row>
    <row r="211" ht="15" customHeight="1" s="39">
      <c r="A211" s="42" t="inlineStr">
        <is>
          <t>080615</t>
        </is>
      </c>
      <c r="B211" s="38" t="inlineStr">
        <is>
          <t>Castellgalí</t>
        </is>
      </c>
      <c r="C211" s="38" t="inlineStr">
        <is>
          <t>07</t>
        </is>
      </c>
      <c r="D211" s="38" t="inlineStr">
        <is>
          <t>Bages</t>
        </is>
      </c>
    </row>
    <row r="212" ht="15" customHeight="1" s="39">
      <c r="A212" s="42" t="inlineStr">
        <is>
          <t>080620</t>
        </is>
      </c>
      <c r="B212" s="38" t="inlineStr">
        <is>
          <t>Castellnou de Bages</t>
        </is>
      </c>
      <c r="C212" s="38" t="inlineStr">
        <is>
          <t>07</t>
        </is>
      </c>
      <c r="D212" s="38" t="inlineStr">
        <is>
          <t>Bages</t>
        </is>
      </c>
    </row>
    <row r="213" ht="15" customHeight="1" s="39">
      <c r="A213" s="42" t="inlineStr">
        <is>
          <t>250680</t>
        </is>
      </c>
      <c r="B213" s="38" t="inlineStr">
        <is>
          <t>Castellnou de Seana</t>
        </is>
      </c>
      <c r="C213" s="38" t="inlineStr">
        <is>
          <t>27</t>
        </is>
      </c>
      <c r="D213" s="38" t="inlineStr">
        <is>
          <t>Pla d'Urgell</t>
        </is>
      </c>
    </row>
    <row r="214" ht="15" customHeight="1" s="39">
      <c r="A214" s="42" t="inlineStr">
        <is>
          <t>170470</t>
        </is>
      </c>
      <c r="B214" s="38" t="inlineStr">
        <is>
          <t>Castelló d'Empúries</t>
        </is>
      </c>
      <c r="C214" s="38" t="inlineStr">
        <is>
          <t>02</t>
        </is>
      </c>
      <c r="D214" s="38" t="inlineStr">
        <is>
          <t>Alt Empordà</t>
        </is>
      </c>
    </row>
    <row r="215" ht="15" customHeight="1" s="39">
      <c r="A215" s="42" t="inlineStr">
        <is>
          <t>250693</t>
        </is>
      </c>
      <c r="B215" s="38" t="inlineStr">
        <is>
          <t>Castelló de Farfanya</t>
        </is>
      </c>
      <c r="C215" s="38" t="inlineStr">
        <is>
          <t>23</t>
        </is>
      </c>
      <c r="D215" s="38" t="inlineStr">
        <is>
          <t>Noguera</t>
        </is>
      </c>
    </row>
    <row r="216" ht="15" customHeight="1" s="39">
      <c r="A216" s="42" t="inlineStr">
        <is>
          <t>080636</t>
        </is>
      </c>
      <c r="B216" s="38" t="inlineStr">
        <is>
          <t>Castellolí</t>
        </is>
      </c>
      <c r="C216" s="38" t="inlineStr">
        <is>
          <t>06</t>
        </is>
      </c>
      <c r="D216" s="38" t="inlineStr">
        <is>
          <t>Anoia</t>
        </is>
      </c>
    </row>
    <row r="217" ht="15" customHeight="1" s="39">
      <c r="A217" s="42" t="inlineStr">
        <is>
          <t>250707</t>
        </is>
      </c>
      <c r="B217" s="38" t="inlineStr">
        <is>
          <t>Castellserà</t>
        </is>
      </c>
      <c r="C217" s="38" t="inlineStr">
        <is>
          <t>38</t>
        </is>
      </c>
      <c r="D217" s="38" t="inlineStr">
        <is>
          <t>Urgell</t>
        </is>
      </c>
    </row>
    <row r="218" ht="15" customHeight="1" s="39">
      <c r="A218" s="42" t="inlineStr">
        <is>
          <t>080641</t>
        </is>
      </c>
      <c r="B218" s="38" t="inlineStr">
        <is>
          <t>Castellterçol</t>
        </is>
      </c>
      <c r="C218" s="38" t="inlineStr">
        <is>
          <t>42</t>
        </is>
      </c>
      <c r="D218" s="38" t="inlineStr">
        <is>
          <t>Moianès</t>
        </is>
      </c>
    </row>
    <row r="219" ht="15" customHeight="1" s="39">
      <c r="A219" s="42" t="inlineStr">
        <is>
          <t>430424</t>
        </is>
      </c>
      <c r="B219" s="38" t="inlineStr">
        <is>
          <t>Castellvell del Camp</t>
        </is>
      </c>
      <c r="C219" s="38" t="inlineStr">
        <is>
          <t>08</t>
        </is>
      </c>
      <c r="D219" s="38" t="inlineStr">
        <is>
          <t>Baix Camp</t>
        </is>
      </c>
    </row>
    <row r="220" ht="15" customHeight="1" s="39">
      <c r="A220" s="42" t="inlineStr">
        <is>
          <t>080654</t>
        </is>
      </c>
      <c r="B220" s="38" t="inlineStr">
        <is>
          <t>Castellví de la Marca</t>
        </is>
      </c>
      <c r="C220" s="38" t="inlineStr">
        <is>
          <t>03</t>
        </is>
      </c>
      <c r="D220" s="38" t="inlineStr">
        <is>
          <t>Alt Penedès</t>
        </is>
      </c>
    </row>
    <row r="221" ht="15" customHeight="1" s="39">
      <c r="A221" s="42" t="inlineStr">
        <is>
          <t>080667</t>
        </is>
      </c>
      <c r="B221" s="38" t="inlineStr">
        <is>
          <t>Castellví de Rosanes</t>
        </is>
      </c>
      <c r="C221" s="38" t="inlineStr">
        <is>
          <t>11</t>
        </is>
      </c>
      <c r="D221" s="38" t="inlineStr">
        <is>
          <t>Baix Llobregat</t>
        </is>
      </c>
    </row>
    <row r="222" ht="15" customHeight="1" s="39">
      <c r="A222" s="42" t="inlineStr">
        <is>
          <t>430430</t>
        </is>
      </c>
      <c r="B222" s="38" t="inlineStr">
        <is>
          <t>Catllar, el</t>
        </is>
      </c>
      <c r="C222" s="38" t="inlineStr">
        <is>
          <t>36</t>
        </is>
      </c>
      <c r="D222" s="38" t="inlineStr">
        <is>
          <t>Tarragonès</t>
        </is>
      </c>
    </row>
    <row r="223" ht="15" customHeight="1" s="39">
      <c r="A223" s="42" t="inlineStr">
        <is>
          <t>250714</t>
        </is>
      </c>
      <c r="B223" s="38" t="inlineStr">
        <is>
          <t>Cava</t>
        </is>
      </c>
      <c r="C223" s="38" t="inlineStr">
        <is>
          <t>04</t>
        </is>
      </c>
      <c r="D223" s="38" t="inlineStr">
        <is>
          <t>Alt Urgell</t>
        </is>
      </c>
    </row>
    <row r="224" ht="15" customHeight="1" s="39">
      <c r="A224" s="42" t="inlineStr">
        <is>
          <t>171899</t>
        </is>
      </c>
      <c r="B224" s="38" t="inlineStr">
        <is>
          <t>Cellera de Ter, la</t>
        </is>
      </c>
      <c r="C224" s="38" t="inlineStr">
        <is>
          <t>34</t>
        </is>
      </c>
      <c r="D224" s="38" t="inlineStr">
        <is>
          <t>Selva</t>
        </is>
      </c>
    </row>
    <row r="225" ht="15" customHeight="1" s="39">
      <c r="A225" s="42" t="inlineStr">
        <is>
          <t>170499</t>
        </is>
      </c>
      <c r="B225" s="38" t="inlineStr">
        <is>
          <t>Celrà</t>
        </is>
      </c>
      <c r="C225" s="38" t="inlineStr">
        <is>
          <t>20</t>
        </is>
      </c>
      <c r="D225" s="38" t="inlineStr">
        <is>
          <t>Gironès</t>
        </is>
      </c>
    </row>
    <row r="226" ht="15" customHeight="1" s="39">
      <c r="A226" s="42" t="inlineStr">
        <is>
          <t>080673</t>
        </is>
      </c>
      <c r="B226" s="38" t="inlineStr">
        <is>
          <t>Centelles</t>
        </is>
      </c>
      <c r="C226" s="38" t="inlineStr">
        <is>
          <t>24</t>
        </is>
      </c>
      <c r="D226" s="38" t="inlineStr">
        <is>
          <t>Osona</t>
        </is>
      </c>
    </row>
    <row r="227" ht="15" customHeight="1" s="39">
      <c r="A227" s="42" t="inlineStr">
        <is>
          <t>082687</t>
        </is>
      </c>
      <c r="B227" s="38" t="inlineStr">
        <is>
          <t>Cercs</t>
        </is>
      </c>
      <c r="C227" s="38" t="inlineStr">
        <is>
          <t>14</t>
        </is>
      </c>
      <c r="D227" s="38" t="inlineStr">
        <is>
          <t>Berguedà</t>
        </is>
      </c>
    </row>
    <row r="228" ht="15" customHeight="1" s="39">
      <c r="A228" s="42" t="inlineStr">
        <is>
          <t>082665</t>
        </is>
      </c>
      <c r="B228" s="38" t="inlineStr">
        <is>
          <t>Cerdanyola del Vallès</t>
        </is>
      </c>
      <c r="C228" s="38" t="inlineStr">
        <is>
          <t>40</t>
        </is>
      </c>
      <c r="D228" s="38" t="inlineStr">
        <is>
          <t>Vallès Occidental</t>
        </is>
      </c>
    </row>
    <row r="229" ht="15" customHeight="1" s="39">
      <c r="A229" s="42" t="inlineStr">
        <is>
          <t>080689</t>
        </is>
      </c>
      <c r="B229" s="38" t="inlineStr">
        <is>
          <t>Cervelló</t>
        </is>
      </c>
      <c r="C229" s="38" t="inlineStr">
        <is>
          <t>11</t>
        </is>
      </c>
      <c r="D229" s="38" t="inlineStr">
        <is>
          <t>Baix Llobregat</t>
        </is>
      </c>
    </row>
    <row r="230" ht="15" customHeight="1" s="39">
      <c r="A230" s="42" t="inlineStr">
        <is>
          <t>250729</t>
        </is>
      </c>
      <c r="B230" s="38" t="inlineStr">
        <is>
          <t>Cervera</t>
        </is>
      </c>
      <c r="C230" s="38" t="inlineStr">
        <is>
          <t>32</t>
        </is>
      </c>
      <c r="D230" s="38" t="inlineStr">
        <is>
          <t>Segarra</t>
        </is>
      </c>
    </row>
    <row r="231" ht="15" customHeight="1" s="39">
      <c r="A231" s="42" t="inlineStr">
        <is>
          <t>250735</t>
        </is>
      </c>
      <c r="B231" s="38" t="inlineStr">
        <is>
          <t>Cervià de les Garrigues</t>
        </is>
      </c>
      <c r="C231" s="38" t="inlineStr">
        <is>
          <t>18</t>
        </is>
      </c>
      <c r="D231" s="38" t="inlineStr">
        <is>
          <t>Garrigues</t>
        </is>
      </c>
    </row>
    <row r="232" ht="15" customHeight="1" s="39">
      <c r="A232" s="42" t="inlineStr">
        <is>
          <t>170502</t>
        </is>
      </c>
      <c r="B232" s="38" t="inlineStr">
        <is>
          <t>Cervià de Ter</t>
        </is>
      </c>
      <c r="C232" s="38" t="inlineStr">
        <is>
          <t>20</t>
        </is>
      </c>
      <c r="D232" s="38" t="inlineStr">
        <is>
          <t>Gironès</t>
        </is>
      </c>
    </row>
    <row r="233" ht="15" customHeight="1" s="39">
      <c r="A233" s="42" t="inlineStr">
        <is>
          <t>170519</t>
        </is>
      </c>
      <c r="B233" s="38" t="inlineStr">
        <is>
          <t>Cistella</t>
        </is>
      </c>
      <c r="C233" s="38" t="inlineStr">
        <is>
          <t>02</t>
        </is>
      </c>
      <c r="D233" s="38" t="inlineStr">
        <is>
          <t>Alt Empordà</t>
        </is>
      </c>
    </row>
    <row r="234" ht="15" customHeight="1" s="39">
      <c r="A234" s="42" t="inlineStr">
        <is>
          <t>250740</t>
        </is>
      </c>
      <c r="B234" s="38" t="inlineStr">
        <is>
          <t>Ciutadilla</t>
        </is>
      </c>
      <c r="C234" s="38" t="inlineStr">
        <is>
          <t>38</t>
        </is>
      </c>
      <c r="D234" s="38" t="inlineStr">
        <is>
          <t>Urgell</t>
        </is>
      </c>
    </row>
    <row r="235" ht="15" customHeight="1" s="39">
      <c r="A235" s="42" t="inlineStr">
        <is>
          <t>250753</t>
        </is>
      </c>
      <c r="B235" s="38" t="inlineStr">
        <is>
          <t>Clariana de Cardener</t>
        </is>
      </c>
      <c r="C235" s="38" t="inlineStr">
        <is>
          <t>35</t>
        </is>
      </c>
      <c r="D235" s="38" t="inlineStr">
        <is>
          <t>Solsonès</t>
        </is>
      </c>
    </row>
    <row r="236" ht="15" customHeight="1" s="39">
      <c r="A236" s="42" t="inlineStr">
        <is>
          <t>250766</t>
        </is>
      </c>
      <c r="B236" s="38" t="inlineStr">
        <is>
          <t>Cogul, el</t>
        </is>
      </c>
      <c r="C236" s="38" t="inlineStr">
        <is>
          <t>18</t>
        </is>
      </c>
      <c r="D236" s="38" t="inlineStr">
        <is>
          <t>Garrigues</t>
        </is>
      </c>
    </row>
    <row r="237" ht="15" customHeight="1" s="39">
      <c r="A237" s="42" t="inlineStr">
        <is>
          <t>170545</t>
        </is>
      </c>
      <c r="B237" s="38" t="inlineStr">
        <is>
          <t>Colera</t>
        </is>
      </c>
      <c r="C237" s="38" t="inlineStr">
        <is>
          <t>02</t>
        </is>
      </c>
      <c r="D237" s="38" t="inlineStr">
        <is>
          <t>Alt Empordà</t>
        </is>
      </c>
    </row>
    <row r="238" ht="15" customHeight="1" s="39">
      <c r="A238" s="42" t="inlineStr">
        <is>
          <t>250772</t>
        </is>
      </c>
      <c r="B238" s="38" t="inlineStr">
        <is>
          <t>Coll de Nargó</t>
        </is>
      </c>
      <c r="C238" s="38" t="inlineStr">
        <is>
          <t>04</t>
        </is>
      </c>
      <c r="D238" s="38" t="inlineStr">
        <is>
          <t>Alt Urgell</t>
        </is>
      </c>
    </row>
    <row r="239" ht="15" customHeight="1" s="39">
      <c r="A239" s="42" t="inlineStr">
        <is>
          <t>080692</t>
        </is>
      </c>
      <c r="B239" s="38" t="inlineStr">
        <is>
          <t>Collbató</t>
        </is>
      </c>
      <c r="C239" s="38" t="inlineStr">
        <is>
          <t>11</t>
        </is>
      </c>
      <c r="D239" s="38" t="inlineStr">
        <is>
          <t>Baix Llobregat</t>
        </is>
      </c>
    </row>
    <row r="240" ht="15" customHeight="1" s="39">
      <c r="A240" s="42" t="inlineStr">
        <is>
          <t>430458</t>
        </is>
      </c>
      <c r="B240" s="38" t="inlineStr">
        <is>
          <t>Colldejou</t>
        </is>
      </c>
      <c r="C240" s="38" t="inlineStr">
        <is>
          <t>08</t>
        </is>
      </c>
      <c r="D240" s="38" t="inlineStr">
        <is>
          <t>Baix Camp</t>
        </is>
      </c>
    </row>
    <row r="241" ht="15" customHeight="1" s="39">
      <c r="A241" s="42" t="inlineStr">
        <is>
          <t>080706</t>
        </is>
      </c>
      <c r="B241" s="38" t="inlineStr">
        <is>
          <t>Collsuspina</t>
        </is>
      </c>
      <c r="C241" s="38" t="inlineStr">
        <is>
          <t>42</t>
        </is>
      </c>
      <c r="D241" s="38" t="inlineStr">
        <is>
          <t>Moianès</t>
        </is>
      </c>
    </row>
    <row r="242" ht="15" customHeight="1" s="39">
      <c r="A242" s="42" t="inlineStr">
        <is>
          <t>170558</t>
        </is>
      </c>
      <c r="B242" s="38" t="inlineStr">
        <is>
          <t>Colomers</t>
        </is>
      </c>
      <c r="C242" s="38" t="inlineStr">
        <is>
          <t>10</t>
        </is>
      </c>
      <c r="D242" s="38" t="inlineStr">
        <is>
          <t>Baix Empordà</t>
        </is>
      </c>
    </row>
    <row r="243" ht="15" customHeight="1" s="39">
      <c r="A243" s="42" t="inlineStr">
        <is>
          <t>251636</t>
        </is>
      </c>
      <c r="B243" s="38" t="inlineStr">
        <is>
          <t>Coma i la Pedra, la</t>
        </is>
      </c>
      <c r="C243" s="38" t="inlineStr">
        <is>
          <t>35</t>
        </is>
      </c>
      <c r="D243" s="38" t="inlineStr">
        <is>
          <t>Solsonès</t>
        </is>
      </c>
    </row>
    <row r="244" ht="15" customHeight="1" s="39">
      <c r="A244" s="42" t="inlineStr">
        <is>
          <t>251615</t>
        </is>
      </c>
      <c r="B244" s="38" t="inlineStr">
        <is>
          <t>Conca de Dalt</t>
        </is>
      </c>
      <c r="C244" s="38" t="inlineStr">
        <is>
          <t>25</t>
        </is>
      </c>
      <c r="D244" s="38" t="inlineStr">
        <is>
          <t>Pallars Jussà</t>
        </is>
      </c>
    </row>
    <row r="245" ht="15" customHeight="1" s="39">
      <c r="A245" s="42" t="inlineStr">
        <is>
          <t>430461</t>
        </is>
      </c>
      <c r="B245" s="38" t="inlineStr">
        <is>
          <t>Conesa</t>
        </is>
      </c>
      <c r="C245" s="38" t="inlineStr">
        <is>
          <t>16</t>
        </is>
      </c>
      <c r="D245" s="38" t="inlineStr">
        <is>
          <t>Conca de Barberà</t>
        </is>
      </c>
    </row>
    <row r="246" ht="15" customHeight="1" s="39">
      <c r="A246" s="42" t="inlineStr">
        <is>
          <t>430477</t>
        </is>
      </c>
      <c r="B246" s="38" t="inlineStr">
        <is>
          <t>Constantí</t>
        </is>
      </c>
      <c r="C246" s="38" t="inlineStr">
        <is>
          <t>36</t>
        </is>
      </c>
      <c r="D246" s="38" t="inlineStr">
        <is>
          <t>Tarragonès</t>
        </is>
      </c>
    </row>
    <row r="247" ht="15" customHeight="1" s="39">
      <c r="A247" s="42" t="inlineStr">
        <is>
          <t>080713</t>
        </is>
      </c>
      <c r="B247" s="38" t="inlineStr">
        <is>
          <t>Copons</t>
        </is>
      </c>
      <c r="C247" s="38" t="inlineStr">
        <is>
          <t>06</t>
        </is>
      </c>
      <c r="D247" s="38" t="inlineStr">
        <is>
          <t>Anoia</t>
        </is>
      </c>
    </row>
    <row r="248" ht="15" customHeight="1" s="39">
      <c r="A248" s="42" t="inlineStr">
        <is>
          <t>430483</t>
        </is>
      </c>
      <c r="B248" s="38" t="inlineStr">
        <is>
          <t>Corbera d'Ebre</t>
        </is>
      </c>
      <c r="C248" s="38" t="inlineStr">
        <is>
          <t>37</t>
        </is>
      </c>
      <c r="D248" s="38" t="inlineStr">
        <is>
          <t>Terra Alta</t>
        </is>
      </c>
    </row>
    <row r="249" ht="15" customHeight="1" s="39">
      <c r="A249" s="42" t="inlineStr">
        <is>
          <t>080728</t>
        </is>
      </c>
      <c r="B249" s="38" t="inlineStr">
        <is>
          <t>Corbera de Llobregat</t>
        </is>
      </c>
      <c r="C249" s="38" t="inlineStr">
        <is>
          <t>11</t>
        </is>
      </c>
      <c r="D249" s="38" t="inlineStr">
        <is>
          <t>Baix Llobregat</t>
        </is>
      </c>
    </row>
    <row r="250" ht="15" customHeight="1" s="39">
      <c r="A250" s="42" t="inlineStr">
        <is>
          <t>250788</t>
        </is>
      </c>
      <c r="B250" s="38" t="inlineStr">
        <is>
          <t>Corbins</t>
        </is>
      </c>
      <c r="C250" s="38" t="inlineStr">
        <is>
          <t>33</t>
        </is>
      </c>
      <c r="D250" s="38" t="inlineStr">
        <is>
          <t>Segrià</t>
        </is>
      </c>
    </row>
    <row r="251" ht="15" customHeight="1" s="39">
      <c r="A251" s="42" t="inlineStr">
        <is>
          <t>170577</t>
        </is>
      </c>
      <c r="B251" s="38" t="inlineStr">
        <is>
          <t>Corçà</t>
        </is>
      </c>
      <c r="C251" s="38" t="inlineStr">
        <is>
          <t>10</t>
        </is>
      </c>
      <c r="D251" s="38" t="inlineStr">
        <is>
          <t>Baix Empordà</t>
        </is>
      </c>
    </row>
    <row r="252" ht="15" customHeight="1" s="39">
      <c r="A252" s="42" t="inlineStr">
        <is>
          <t>080734</t>
        </is>
      </c>
      <c r="B252" s="38" t="inlineStr">
        <is>
          <t>Cornellà de Llobregat</t>
        </is>
      </c>
      <c r="C252" s="38" t="inlineStr">
        <is>
          <t>11</t>
        </is>
      </c>
      <c r="D252" s="38" t="inlineStr">
        <is>
          <t>Baix Llobregat</t>
        </is>
      </c>
    </row>
    <row r="253" ht="15" customHeight="1" s="39">
      <c r="A253" s="42" t="inlineStr">
        <is>
          <t>170561</t>
        </is>
      </c>
      <c r="B253" s="38" t="inlineStr">
        <is>
          <t>Cornellà del Terri</t>
        </is>
      </c>
      <c r="C253" s="38" t="inlineStr">
        <is>
          <t>28</t>
        </is>
      </c>
      <c r="D253" s="38" t="inlineStr">
        <is>
          <t>Pla de l'Estany</t>
        </is>
      </c>
    </row>
    <row r="254" ht="15" customHeight="1" s="39">
      <c r="A254" s="42" t="inlineStr">
        <is>
          <t>430496</t>
        </is>
      </c>
      <c r="B254" s="38" t="inlineStr">
        <is>
          <t>Cornudella de Montsant</t>
        </is>
      </c>
      <c r="C254" s="38" t="inlineStr">
        <is>
          <t>29</t>
        </is>
      </c>
      <c r="D254" s="38" t="inlineStr">
        <is>
          <t>Priorat</t>
        </is>
      </c>
    </row>
    <row r="255" ht="15" customHeight="1" s="39">
      <c r="A255" s="42" t="inlineStr">
        <is>
          <t>430509</t>
        </is>
      </c>
      <c r="B255" s="38" t="inlineStr">
        <is>
          <t>Creixell</t>
        </is>
      </c>
      <c r="C255" s="38" t="inlineStr">
        <is>
          <t>36</t>
        </is>
      </c>
      <c r="D255" s="38" t="inlineStr">
        <is>
          <t>Tarragonès</t>
        </is>
      </c>
    </row>
    <row r="256" ht="15" customHeight="1" s="39">
      <c r="A256" s="42" t="inlineStr">
        <is>
          <t>170583</t>
        </is>
      </c>
      <c r="B256" s="38" t="inlineStr">
        <is>
          <t>Crespià</t>
        </is>
      </c>
      <c r="C256" s="38" t="inlineStr">
        <is>
          <t>28</t>
        </is>
      </c>
      <c r="D256" s="38" t="inlineStr">
        <is>
          <t>Pla de l'Estany</t>
        </is>
      </c>
    </row>
    <row r="257" ht="15" customHeight="1" s="39">
      <c r="A257" s="42" t="inlineStr">
        <is>
          <t>179011</t>
        </is>
      </c>
      <c r="B257" s="38" t="inlineStr">
        <is>
          <t>Cruïlles, Monells i Sant Sadurní de l'Heura</t>
        </is>
      </c>
      <c r="C257" s="38" t="inlineStr">
        <is>
          <t>10</t>
        </is>
      </c>
      <c r="D257" s="38" t="inlineStr">
        <is>
          <t>Baix Empordà</t>
        </is>
      </c>
    </row>
    <row r="258" ht="15" customHeight="1" s="39">
      <c r="A258" s="42" t="inlineStr">
        <is>
          <t>080749</t>
        </is>
      </c>
      <c r="B258" s="38" t="inlineStr">
        <is>
          <t>Cubelles</t>
        </is>
      </c>
      <c r="C258" s="38" t="inlineStr">
        <is>
          <t>17</t>
        </is>
      </c>
      <c r="D258" s="38" t="inlineStr">
        <is>
          <t>Garraf</t>
        </is>
      </c>
    </row>
    <row r="259" ht="15" customHeight="1" s="39">
      <c r="A259" s="42" t="inlineStr">
        <is>
          <t>250791</t>
        </is>
      </c>
      <c r="B259" s="38" t="inlineStr">
        <is>
          <t>Cubells</t>
        </is>
      </c>
      <c r="C259" s="38" t="inlineStr">
        <is>
          <t>23</t>
        </is>
      </c>
      <c r="D259" s="38" t="inlineStr">
        <is>
          <t>Noguera</t>
        </is>
      </c>
    </row>
    <row r="260" ht="15" customHeight="1" s="39">
      <c r="A260" s="42" t="inlineStr">
        <is>
          <t>430516</t>
        </is>
      </c>
      <c r="B260" s="38" t="inlineStr">
        <is>
          <t>Cunit</t>
        </is>
      </c>
      <c r="C260" s="38" t="inlineStr">
        <is>
          <t>12</t>
        </is>
      </c>
      <c r="D260" s="38" t="inlineStr">
        <is>
          <t>Baix Penedès</t>
        </is>
      </c>
    </row>
    <row r="261" ht="15" customHeight="1" s="39">
      <c r="A261" s="42" t="inlineStr">
        <is>
          <t>170600</t>
        </is>
      </c>
      <c r="B261" s="38" t="inlineStr">
        <is>
          <t>Darnius</t>
        </is>
      </c>
      <c r="C261" s="38" t="inlineStr">
        <is>
          <t>02</t>
        </is>
      </c>
      <c r="D261" s="38" t="inlineStr">
        <is>
          <t>Alt Empordà</t>
        </is>
      </c>
    </row>
    <row r="262" ht="15" customHeight="1" s="39">
      <c r="A262" s="42" t="inlineStr">
        <is>
          <t>170617</t>
        </is>
      </c>
      <c r="B262" s="38" t="inlineStr">
        <is>
          <t>Das</t>
        </is>
      </c>
      <c r="C262" s="38" t="inlineStr">
        <is>
          <t>15</t>
        </is>
      </c>
      <c r="D262" s="38" t="inlineStr">
        <is>
          <t>Cerdanya</t>
        </is>
      </c>
    </row>
    <row r="263" ht="15" customHeight="1" s="39">
      <c r="A263" s="42" t="inlineStr">
        <is>
          <t>439018</t>
        </is>
      </c>
      <c r="B263" s="38" t="inlineStr">
        <is>
          <t>Deltebre</t>
        </is>
      </c>
      <c r="C263" s="38" t="inlineStr">
        <is>
          <t>09</t>
        </is>
      </c>
      <c r="D263" s="38" t="inlineStr">
        <is>
          <t>Baix Ebre</t>
        </is>
      </c>
    </row>
    <row r="264" ht="15" customHeight="1" s="39">
      <c r="A264" s="42" t="inlineStr">
        <is>
          <t>080752</t>
        </is>
      </c>
      <c r="B264" s="38" t="inlineStr">
        <is>
          <t>Dosrius</t>
        </is>
      </c>
      <c r="C264" s="38" t="inlineStr">
        <is>
          <t>21</t>
        </is>
      </c>
      <c r="D264" s="38" t="inlineStr">
        <is>
          <t>Maresme</t>
        </is>
      </c>
    </row>
    <row r="265" ht="15" customHeight="1" s="39">
      <c r="A265" s="42" t="inlineStr">
        <is>
          <t>430537</t>
        </is>
      </c>
      <c r="B265" s="38" t="inlineStr">
        <is>
          <t>Duesaigües</t>
        </is>
      </c>
      <c r="C265" s="38" t="inlineStr">
        <is>
          <t>08</t>
        </is>
      </c>
      <c r="D265" s="38" t="inlineStr">
        <is>
          <t>Baix Camp</t>
        </is>
      </c>
    </row>
    <row r="266" ht="15" customHeight="1" s="39">
      <c r="A266" s="42" t="inlineStr">
        <is>
          <t>170622</t>
        </is>
      </c>
      <c r="B266" s="38" t="inlineStr">
        <is>
          <t>Escala, l'</t>
        </is>
      </c>
      <c r="C266" s="38" t="inlineStr">
        <is>
          <t>02</t>
        </is>
      </c>
      <c r="D266" s="38" t="inlineStr">
        <is>
          <t>Alt Empordà</t>
        </is>
      </c>
    </row>
    <row r="267" ht="15" customHeight="1" s="39">
      <c r="A267" s="42" t="inlineStr">
        <is>
          <t>080765</t>
        </is>
      </c>
      <c r="B267" s="38" t="inlineStr">
        <is>
          <t>Esparreguera</t>
        </is>
      </c>
      <c r="C267" s="38" t="inlineStr">
        <is>
          <t>11</t>
        </is>
      </c>
      <c r="D267" s="38" t="inlineStr">
        <is>
          <t>Baix Llobregat</t>
        </is>
      </c>
    </row>
    <row r="268" ht="15" customHeight="1" s="39">
      <c r="A268" s="42" t="inlineStr">
        <is>
          <t>170638</t>
        </is>
      </c>
      <c r="B268" s="38" t="inlineStr">
        <is>
          <t>Espinelves</t>
        </is>
      </c>
      <c r="C268" s="38" t="inlineStr">
        <is>
          <t>24</t>
        </is>
      </c>
      <c r="D268" s="38" t="inlineStr">
        <is>
          <t>Osona</t>
        </is>
      </c>
    </row>
    <row r="269" ht="15" customHeight="1" s="39">
      <c r="A269" s="42" t="inlineStr">
        <is>
          <t>250812</t>
        </is>
      </c>
      <c r="B269" s="38" t="inlineStr">
        <is>
          <t>Espluga Calba, l'</t>
        </is>
      </c>
      <c r="C269" s="38" t="inlineStr">
        <is>
          <t>18</t>
        </is>
      </c>
      <c r="D269" s="38" t="inlineStr">
        <is>
          <t>Garrigues</t>
        </is>
      </c>
    </row>
    <row r="270" ht="15" customHeight="1" s="39">
      <c r="A270" s="42" t="inlineStr">
        <is>
          <t>430542</t>
        </is>
      </c>
      <c r="B270" s="38" t="inlineStr">
        <is>
          <t>Espluga de Francolí, l'</t>
        </is>
      </c>
      <c r="C270" s="38" t="inlineStr">
        <is>
          <t>16</t>
        </is>
      </c>
      <c r="D270" s="38" t="inlineStr">
        <is>
          <t>Conca de Barberà</t>
        </is>
      </c>
    </row>
    <row r="271" ht="15" customHeight="1" s="39">
      <c r="A271" s="42" t="inlineStr">
        <is>
          <t>080771</t>
        </is>
      </c>
      <c r="B271" s="38" t="inlineStr">
        <is>
          <t>Esplugues de Llobregat</t>
        </is>
      </c>
      <c r="C271" s="38" t="inlineStr">
        <is>
          <t>11</t>
        </is>
      </c>
      <c r="D271" s="38" t="inlineStr">
        <is>
          <t>Baix Llobregat</t>
        </is>
      </c>
    </row>
    <row r="272" ht="15" customHeight="1" s="39">
      <c r="A272" s="42" t="inlineStr">
        <is>
          <t>170643</t>
        </is>
      </c>
      <c r="B272" s="38" t="inlineStr">
        <is>
          <t>Espolla</t>
        </is>
      </c>
      <c r="C272" s="38" t="inlineStr">
        <is>
          <t>02</t>
        </is>
      </c>
      <c r="D272" s="38" t="inlineStr">
        <is>
          <t>Alt Empordà</t>
        </is>
      </c>
    </row>
    <row r="273" ht="15" customHeight="1" s="39">
      <c r="A273" s="42" t="inlineStr">
        <is>
          <t>170656</t>
        </is>
      </c>
      <c r="B273" s="38" t="inlineStr">
        <is>
          <t>Esponellà</t>
        </is>
      </c>
      <c r="C273" s="38" t="inlineStr">
        <is>
          <t>28</t>
        </is>
      </c>
      <c r="D273" s="38" t="inlineStr">
        <is>
          <t>Pla de l'Estany</t>
        </is>
      </c>
    </row>
    <row r="274" ht="15" customHeight="1" s="39">
      <c r="A274" s="42" t="inlineStr">
        <is>
          <t>250827</t>
        </is>
      </c>
      <c r="B274" s="38" t="inlineStr">
        <is>
          <t>Espot</t>
        </is>
      </c>
      <c r="C274" s="38" t="inlineStr">
        <is>
          <t>26</t>
        </is>
      </c>
      <c r="D274" s="38" t="inlineStr">
        <is>
          <t>Pallars Sobirà</t>
        </is>
      </c>
    </row>
    <row r="275" ht="15" customHeight="1" s="39">
      <c r="A275" s="42" t="inlineStr">
        <is>
          <t>080787</t>
        </is>
      </c>
      <c r="B275" s="38" t="inlineStr">
        <is>
          <t>Espunyola, l'</t>
        </is>
      </c>
      <c r="C275" s="38" t="inlineStr">
        <is>
          <t>14</t>
        </is>
      </c>
      <c r="D275" s="38" t="inlineStr">
        <is>
          <t>Berguedà</t>
        </is>
      </c>
    </row>
    <row r="276" ht="15" customHeight="1" s="39">
      <c r="A276" s="42" t="inlineStr">
        <is>
          <t>082541</t>
        </is>
      </c>
      <c r="B276" s="38" t="inlineStr">
        <is>
          <t>Esquirol, l'</t>
        </is>
      </c>
      <c r="C276" s="38" t="inlineStr">
        <is>
          <t>24</t>
        </is>
      </c>
      <c r="D276" s="38" t="inlineStr">
        <is>
          <t>Osona</t>
        </is>
      </c>
    </row>
    <row r="277" ht="15" customHeight="1" s="39">
      <c r="A277" s="42" t="inlineStr">
        <is>
          <t>250886</t>
        </is>
      </c>
      <c r="B277" s="38" t="inlineStr">
        <is>
          <t>Estamariu</t>
        </is>
      </c>
      <c r="C277" s="38" t="inlineStr">
        <is>
          <t>04</t>
        </is>
      </c>
      <c r="D277" s="38" t="inlineStr">
        <is>
          <t>Alt Urgell</t>
        </is>
      </c>
    </row>
    <row r="278" ht="15" customHeight="1" s="39">
      <c r="A278" s="42" t="inlineStr">
        <is>
          <t>080790</t>
        </is>
      </c>
      <c r="B278" s="38" t="inlineStr">
        <is>
          <t>Estany, l'</t>
        </is>
      </c>
      <c r="C278" s="38" t="inlineStr">
        <is>
          <t>42</t>
        </is>
      </c>
      <c r="D278" s="38" t="inlineStr">
        <is>
          <t>Moianès</t>
        </is>
      </c>
    </row>
    <row r="279" ht="15" customHeight="1" s="39">
      <c r="A279" s="42" t="inlineStr">
        <is>
          <t>250851</t>
        </is>
      </c>
      <c r="B279" s="38" t="inlineStr">
        <is>
          <t>Estaràs</t>
        </is>
      </c>
      <c r="C279" s="38" t="inlineStr">
        <is>
          <t>32</t>
        </is>
      </c>
      <c r="D279" s="38" t="inlineStr">
        <is>
          <t>Segarra</t>
        </is>
      </c>
    </row>
    <row r="280" ht="15" customHeight="1" s="39">
      <c r="A280" s="42" t="inlineStr">
        <is>
          <t>250864</t>
        </is>
      </c>
      <c r="B280" s="38" t="inlineStr">
        <is>
          <t>Esterri d'Àneu</t>
        </is>
      </c>
      <c r="C280" s="38" t="inlineStr">
        <is>
          <t>26</t>
        </is>
      </c>
      <c r="D280" s="38" t="inlineStr">
        <is>
          <t>Pallars Sobirà</t>
        </is>
      </c>
    </row>
    <row r="281" ht="15" customHeight="1" s="39">
      <c r="A281" s="42" t="inlineStr">
        <is>
          <t>250870</t>
        </is>
      </c>
      <c r="B281" s="38" t="inlineStr">
        <is>
          <t>Esterri de Cardós</t>
        </is>
      </c>
      <c r="C281" s="38" t="inlineStr">
        <is>
          <t>26</t>
        </is>
      </c>
      <c r="D281" s="38" t="inlineStr">
        <is>
          <t>Pallars Sobirà</t>
        </is>
      </c>
    </row>
    <row r="282" ht="15" customHeight="1" s="39">
      <c r="A282" s="42" t="inlineStr">
        <is>
          <t>430555</t>
        </is>
      </c>
      <c r="B282" s="38" t="inlineStr">
        <is>
          <t>Falset</t>
        </is>
      </c>
      <c r="C282" s="38" t="inlineStr">
        <is>
          <t>29</t>
        </is>
      </c>
      <c r="D282" s="38" t="inlineStr">
        <is>
          <t>Priorat</t>
        </is>
      </c>
    </row>
    <row r="283" ht="15" customHeight="1" s="39">
      <c r="A283" s="42" t="inlineStr">
        <is>
          <t>170059</t>
        </is>
      </c>
      <c r="B283" s="38" t="inlineStr">
        <is>
          <t>Far d'Empordà, el</t>
        </is>
      </c>
      <c r="C283" s="38" t="inlineStr">
        <is>
          <t>02</t>
        </is>
      </c>
      <c r="D283" s="38" t="inlineStr">
        <is>
          <t>Alt Empordà</t>
        </is>
      </c>
    </row>
    <row r="284" ht="15" customHeight="1" s="39">
      <c r="A284" s="42" t="inlineStr">
        <is>
          <t>250899</t>
        </is>
      </c>
      <c r="B284" s="38" t="inlineStr">
        <is>
          <t>Farrera</t>
        </is>
      </c>
      <c r="C284" s="38" t="inlineStr">
        <is>
          <t>26</t>
        </is>
      </c>
      <c r="D284" s="38" t="inlineStr">
        <is>
          <t>Pallars Sobirà</t>
        </is>
      </c>
    </row>
    <row r="285" ht="15" customHeight="1" s="39">
      <c r="A285" s="42" t="inlineStr">
        <is>
          <t>430568</t>
        </is>
      </c>
      <c r="B285" s="38" t="inlineStr">
        <is>
          <t>Fatarella, la</t>
        </is>
      </c>
      <c r="C285" s="38" t="inlineStr">
        <is>
          <t>37</t>
        </is>
      </c>
      <c r="D285" s="38" t="inlineStr">
        <is>
          <t>Terra Alta</t>
        </is>
      </c>
    </row>
    <row r="286" ht="15" customHeight="1" s="39">
      <c r="A286" s="42" t="inlineStr">
        <is>
          <t>430574</t>
        </is>
      </c>
      <c r="B286" s="38" t="inlineStr">
        <is>
          <t>Febró, la</t>
        </is>
      </c>
      <c r="C286" s="38" t="inlineStr">
        <is>
          <t>08</t>
        </is>
      </c>
      <c r="D286" s="38" t="inlineStr">
        <is>
          <t>Baix Camp</t>
        </is>
      </c>
    </row>
    <row r="287" ht="15" customHeight="1" s="39">
      <c r="A287" s="42" t="inlineStr">
        <is>
          <t>081347</t>
        </is>
      </c>
      <c r="B287" s="38" t="inlineStr">
        <is>
          <t>Figaró-Montmany</t>
        </is>
      </c>
      <c r="C287" s="38" t="inlineStr">
        <is>
          <t>41</t>
        </is>
      </c>
      <c r="D287" s="38" t="inlineStr">
        <is>
          <t>Vallès Oriental</t>
        </is>
      </c>
    </row>
    <row r="288" ht="15" customHeight="1" s="39">
      <c r="A288" s="42" t="inlineStr">
        <is>
          <t>080804</t>
        </is>
      </c>
      <c r="B288" s="38" t="inlineStr">
        <is>
          <t>Fígols</t>
        </is>
      </c>
      <c r="C288" s="38" t="inlineStr">
        <is>
          <t>14</t>
        </is>
      </c>
      <c r="D288" s="38" t="inlineStr">
        <is>
          <t>Berguedà</t>
        </is>
      </c>
    </row>
    <row r="289" ht="15" customHeight="1" s="39">
      <c r="A289" s="42" t="inlineStr">
        <is>
          <t>259084</t>
        </is>
      </c>
      <c r="B289" s="38" t="inlineStr">
        <is>
          <t>Fígols i Alinyà</t>
        </is>
      </c>
      <c r="C289" s="38" t="inlineStr">
        <is>
          <t>04</t>
        </is>
      </c>
      <c r="D289" s="38" t="inlineStr">
        <is>
          <t>Alt Urgell</t>
        </is>
      </c>
    </row>
    <row r="290" ht="15" customHeight="1" s="39">
      <c r="A290" s="42" t="inlineStr">
        <is>
          <t>430580</t>
        </is>
      </c>
      <c r="B290" s="38" t="inlineStr">
        <is>
          <t>Figuera, la</t>
        </is>
      </c>
      <c r="C290" s="38" t="inlineStr">
        <is>
          <t>29</t>
        </is>
      </c>
      <c r="D290" s="38" t="inlineStr">
        <is>
          <t>Priorat</t>
        </is>
      </c>
    </row>
    <row r="291" ht="15" customHeight="1" s="39">
      <c r="A291" s="42" t="inlineStr">
        <is>
          <t>170669</t>
        </is>
      </c>
      <c r="B291" s="38" t="inlineStr">
        <is>
          <t>Figueres</t>
        </is>
      </c>
      <c r="C291" s="38" t="inlineStr">
        <is>
          <t>02</t>
        </is>
      </c>
      <c r="D291" s="38" t="inlineStr">
        <is>
          <t>Alt Empordà</t>
        </is>
      </c>
    </row>
    <row r="292" ht="15" customHeight="1" s="39">
      <c r="A292" s="42" t="inlineStr">
        <is>
          <t>430593</t>
        </is>
      </c>
      <c r="B292" s="38" t="inlineStr">
        <is>
          <t>Figuerola del Camp</t>
        </is>
      </c>
      <c r="C292" s="38" t="inlineStr">
        <is>
          <t>01</t>
        </is>
      </c>
      <c r="D292" s="38" t="inlineStr">
        <is>
          <t>Alt Camp</t>
        </is>
      </c>
    </row>
    <row r="293" ht="15" customHeight="1" s="39">
      <c r="A293" s="42" t="inlineStr">
        <is>
          <t>170675</t>
        </is>
      </c>
      <c r="B293" s="38" t="inlineStr">
        <is>
          <t>Flaçà</t>
        </is>
      </c>
      <c r="C293" s="38" t="inlineStr">
        <is>
          <t>20</t>
        </is>
      </c>
      <c r="D293" s="38" t="inlineStr">
        <is>
          <t>Gironès</t>
        </is>
      </c>
    </row>
    <row r="294" ht="15" customHeight="1" s="39">
      <c r="A294" s="42" t="inlineStr">
        <is>
          <t>430607</t>
        </is>
      </c>
      <c r="B294" s="38" t="inlineStr">
        <is>
          <t>Flix</t>
        </is>
      </c>
      <c r="C294" s="38" t="inlineStr">
        <is>
          <t>30</t>
        </is>
      </c>
      <c r="D294" s="38" t="inlineStr">
        <is>
          <t>Ribera d'Ebre</t>
        </is>
      </c>
    </row>
    <row r="295" ht="15" customHeight="1" s="39">
      <c r="A295" s="42" t="inlineStr">
        <is>
          <t>250925</t>
        </is>
      </c>
      <c r="B295" s="38" t="inlineStr">
        <is>
          <t>Floresta, la</t>
        </is>
      </c>
      <c r="C295" s="38" t="inlineStr">
        <is>
          <t>18</t>
        </is>
      </c>
      <c r="D295" s="38" t="inlineStr">
        <is>
          <t>Garrigues</t>
        </is>
      </c>
    </row>
    <row r="296" ht="15" customHeight="1" s="39">
      <c r="A296" s="42" t="inlineStr">
        <is>
          <t>080826</t>
        </is>
      </c>
      <c r="B296" s="38" t="inlineStr">
        <is>
          <t>Fogars de la Selva</t>
        </is>
      </c>
      <c r="C296" s="38" t="inlineStr">
        <is>
          <t>34</t>
        </is>
      </c>
      <c r="D296" s="38" t="inlineStr">
        <is>
          <t>Selva</t>
        </is>
      </c>
    </row>
    <row r="297" ht="15" customHeight="1" s="39">
      <c r="A297" s="42" t="inlineStr">
        <is>
          <t>080811</t>
        </is>
      </c>
      <c r="B297" s="38" t="inlineStr">
        <is>
          <t>Fogars de Montclús</t>
        </is>
      </c>
      <c r="C297" s="38" t="inlineStr">
        <is>
          <t>41</t>
        </is>
      </c>
      <c r="D297" s="38" t="inlineStr">
        <is>
          <t>Vallès Oriental</t>
        </is>
      </c>
    </row>
    <row r="298" ht="15" customHeight="1" s="39">
      <c r="A298" s="42" t="inlineStr">
        <is>
          <t>170681</t>
        </is>
      </c>
      <c r="B298" s="38" t="inlineStr">
        <is>
          <t>Foixà</t>
        </is>
      </c>
      <c r="C298" s="38" t="inlineStr">
        <is>
          <t>10</t>
        </is>
      </c>
      <c r="D298" s="38" t="inlineStr">
        <is>
          <t>Baix Empordà</t>
        </is>
      </c>
    </row>
    <row r="299" ht="15" customHeight="1" s="39">
      <c r="A299" s="42" t="inlineStr">
        <is>
          <t>080832</t>
        </is>
      </c>
      <c r="B299" s="38" t="inlineStr">
        <is>
          <t>Folgueroles</t>
        </is>
      </c>
      <c r="C299" s="38" t="inlineStr">
        <is>
          <t>24</t>
        </is>
      </c>
      <c r="D299" s="38" t="inlineStr">
        <is>
          <t>Osona</t>
        </is>
      </c>
    </row>
    <row r="300" ht="15" customHeight="1" s="39">
      <c r="A300" s="42" t="inlineStr">
        <is>
          <t>250931</t>
        </is>
      </c>
      <c r="B300" s="38" t="inlineStr">
        <is>
          <t>Fondarella</t>
        </is>
      </c>
      <c r="C300" s="38" t="inlineStr">
        <is>
          <t>27</t>
        </is>
      </c>
      <c r="D300" s="38" t="inlineStr">
        <is>
          <t>Pla d'Urgell</t>
        </is>
      </c>
    </row>
    <row r="301" ht="15" customHeight="1" s="39">
      <c r="A301" s="42" t="inlineStr">
        <is>
          <t>080847</t>
        </is>
      </c>
      <c r="B301" s="38" t="inlineStr">
        <is>
          <t>Fonollosa</t>
        </is>
      </c>
      <c r="C301" s="38" t="inlineStr">
        <is>
          <t>07</t>
        </is>
      </c>
      <c r="D301" s="38" t="inlineStr">
        <is>
          <t>Bages</t>
        </is>
      </c>
    </row>
    <row r="302" ht="15" customHeight="1" s="39">
      <c r="A302" s="42" t="inlineStr">
        <is>
          <t>080850</t>
        </is>
      </c>
      <c r="B302" s="38" t="inlineStr">
        <is>
          <t>Font-rubí</t>
        </is>
      </c>
      <c r="C302" s="38" t="inlineStr">
        <is>
          <t>03</t>
        </is>
      </c>
      <c r="D302" s="38" t="inlineStr">
        <is>
          <t>Alt Penedès</t>
        </is>
      </c>
    </row>
    <row r="303" ht="15" customHeight="1" s="39">
      <c r="A303" s="42" t="inlineStr">
        <is>
          <t>170694</t>
        </is>
      </c>
      <c r="B303" s="38" t="inlineStr">
        <is>
          <t>Fontanals de Cerdanya</t>
        </is>
      </c>
      <c r="C303" s="38" t="inlineStr">
        <is>
          <t>15</t>
        </is>
      </c>
      <c r="D303" s="38" t="inlineStr">
        <is>
          <t>Cerdanya</t>
        </is>
      </c>
    </row>
    <row r="304" ht="15" customHeight="1" s="39">
      <c r="A304" s="42" t="inlineStr">
        <is>
          <t>170708</t>
        </is>
      </c>
      <c r="B304" s="38" t="inlineStr">
        <is>
          <t>Fontanilles</t>
        </is>
      </c>
      <c r="C304" s="38" t="inlineStr">
        <is>
          <t>10</t>
        </is>
      </c>
      <c r="D304" s="38" t="inlineStr">
        <is>
          <t>Baix Empordà</t>
        </is>
      </c>
    </row>
    <row r="305" ht="15" customHeight="1" s="39">
      <c r="A305" s="42" t="inlineStr">
        <is>
          <t>170715</t>
        </is>
      </c>
      <c r="B305" s="38" t="inlineStr">
        <is>
          <t>Fontcoberta</t>
        </is>
      </c>
      <c r="C305" s="38" t="inlineStr">
        <is>
          <t>28</t>
        </is>
      </c>
      <c r="D305" s="38" t="inlineStr">
        <is>
          <t>Pla de l'Estany</t>
        </is>
      </c>
    </row>
    <row r="306" ht="15" customHeight="1" s="39">
      <c r="A306" s="42" t="inlineStr">
        <is>
          <t>250946</t>
        </is>
      </c>
      <c r="B306" s="38" t="inlineStr">
        <is>
          <t>Foradada</t>
        </is>
      </c>
      <c r="C306" s="38" t="inlineStr">
        <is>
          <t>23</t>
        </is>
      </c>
      <c r="D306" s="38" t="inlineStr">
        <is>
          <t>Noguera</t>
        </is>
      </c>
    </row>
    <row r="307" ht="15" customHeight="1" s="39">
      <c r="A307" s="42" t="inlineStr">
        <is>
          <t>179026</t>
        </is>
      </c>
      <c r="B307" s="38" t="inlineStr">
        <is>
          <t>Forallac</t>
        </is>
      </c>
      <c r="C307" s="38" t="inlineStr">
        <is>
          <t>10</t>
        </is>
      </c>
      <c r="D307" s="38" t="inlineStr">
        <is>
          <t>Baix Empordà</t>
        </is>
      </c>
    </row>
    <row r="308" ht="15" customHeight="1" s="39">
      <c r="A308" s="42" t="inlineStr">
        <is>
          <t>430614</t>
        </is>
      </c>
      <c r="B308" s="38" t="inlineStr">
        <is>
          <t>Forès</t>
        </is>
      </c>
      <c r="C308" s="38" t="inlineStr">
        <is>
          <t>16</t>
        </is>
      </c>
      <c r="D308" s="38" t="inlineStr">
        <is>
          <t>Conca de Barberà</t>
        </is>
      </c>
    </row>
    <row r="309" ht="15" customHeight="1" s="39">
      <c r="A309" s="42" t="inlineStr">
        <is>
          <t>170736</t>
        </is>
      </c>
      <c r="B309" s="38" t="inlineStr">
        <is>
          <t>Fornells de la Selva</t>
        </is>
      </c>
      <c r="C309" s="38" t="inlineStr">
        <is>
          <t>20</t>
        </is>
      </c>
      <c r="D309" s="38" t="inlineStr">
        <is>
          <t>Gironès</t>
        </is>
      </c>
    </row>
    <row r="310" ht="15" customHeight="1" s="39">
      <c r="A310" s="42" t="inlineStr">
        <is>
          <t>170741</t>
        </is>
      </c>
      <c r="B310" s="38" t="inlineStr">
        <is>
          <t>Fortià</t>
        </is>
      </c>
      <c r="C310" s="38" t="inlineStr">
        <is>
          <t>02</t>
        </is>
      </c>
      <c r="D310" s="38" t="inlineStr">
        <is>
          <t>Alt Empordà</t>
        </is>
      </c>
    </row>
    <row r="311" ht="15" customHeight="1" s="39">
      <c r="A311" s="42" t="inlineStr">
        <is>
          <t>080863</t>
        </is>
      </c>
      <c r="B311" s="38" t="inlineStr">
        <is>
          <t>Franqueses del Vallès, les</t>
        </is>
      </c>
      <c r="C311" s="38" t="inlineStr">
        <is>
          <t>41</t>
        </is>
      </c>
      <c r="D311" s="38" t="inlineStr">
        <is>
          <t>Vallès Oriental</t>
        </is>
      </c>
    </row>
    <row r="312" ht="15" customHeight="1" s="39">
      <c r="A312" s="42" t="inlineStr">
        <is>
          <t>430629</t>
        </is>
      </c>
      <c r="B312" s="38" t="inlineStr">
        <is>
          <t>Freginals</t>
        </is>
      </c>
      <c r="C312" s="38" t="inlineStr">
        <is>
          <t>22</t>
        </is>
      </c>
      <c r="D312" s="38" t="inlineStr">
        <is>
          <t>Montsià</t>
        </is>
      </c>
    </row>
    <row r="313" ht="15" customHeight="1" s="39">
      <c r="A313" s="42" t="inlineStr">
        <is>
          <t>250962</t>
        </is>
      </c>
      <c r="B313" s="38" t="inlineStr">
        <is>
          <t>Fuliola, la</t>
        </is>
      </c>
      <c r="C313" s="38" t="inlineStr">
        <is>
          <t>38</t>
        </is>
      </c>
      <c r="D313" s="38" t="inlineStr">
        <is>
          <t>Urgell</t>
        </is>
      </c>
    </row>
    <row r="314" ht="15" customHeight="1" s="39">
      <c r="A314" s="42" t="inlineStr">
        <is>
          <t>250978</t>
        </is>
      </c>
      <c r="B314" s="38" t="inlineStr">
        <is>
          <t>Fulleda</t>
        </is>
      </c>
      <c r="C314" s="38" t="inlineStr">
        <is>
          <t>18</t>
        </is>
      </c>
      <c r="D314" s="38" t="inlineStr">
        <is>
          <t>Garrigues</t>
        </is>
      </c>
    </row>
    <row r="315" ht="15" customHeight="1" s="39">
      <c r="A315" s="42" t="inlineStr">
        <is>
          <t>080902</t>
        </is>
      </c>
      <c r="B315" s="38" t="inlineStr">
        <is>
          <t>Gaià</t>
        </is>
      </c>
      <c r="C315" s="38" t="inlineStr">
        <is>
          <t>07</t>
        </is>
      </c>
      <c r="D315" s="38" t="inlineStr">
        <is>
          <t>Bages</t>
        </is>
      </c>
    </row>
    <row r="316" ht="15" customHeight="1" s="39">
      <c r="A316" s="42" t="inlineStr">
        <is>
          <t>430635</t>
        </is>
      </c>
      <c r="B316" s="38" t="inlineStr">
        <is>
          <t>Galera, la</t>
        </is>
      </c>
      <c r="C316" s="38" t="inlineStr">
        <is>
          <t>22</t>
        </is>
      </c>
      <c r="D316" s="38" t="inlineStr">
        <is>
          <t>Montsià</t>
        </is>
      </c>
    </row>
    <row r="317" ht="15" customHeight="1" s="39">
      <c r="A317" s="42" t="inlineStr">
        <is>
          <t>080879</t>
        </is>
      </c>
      <c r="B317" s="38" t="inlineStr">
        <is>
          <t>Gallifa</t>
        </is>
      </c>
      <c r="C317" s="38" t="inlineStr">
        <is>
          <t>40</t>
        </is>
      </c>
      <c r="D317" s="38" t="inlineStr">
        <is>
          <t>Vallès Occidental</t>
        </is>
      </c>
    </row>
    <row r="318" ht="15" customHeight="1" s="39">
      <c r="A318" s="42" t="inlineStr">
        <is>
          <t>430640</t>
        </is>
      </c>
      <c r="B318" s="38" t="inlineStr">
        <is>
          <t>Gandesa</t>
        </is>
      </c>
      <c r="C318" s="38" t="inlineStr">
        <is>
          <t>37</t>
        </is>
      </c>
      <c r="D318" s="38" t="inlineStr">
        <is>
          <t>Terra Alta</t>
        </is>
      </c>
    </row>
    <row r="319" ht="15" customHeight="1" s="39">
      <c r="A319" s="42" t="inlineStr">
        <is>
          <t>430653</t>
        </is>
      </c>
      <c r="B319" s="38" t="inlineStr">
        <is>
          <t>Garcia</t>
        </is>
      </c>
      <c r="C319" s="38" t="inlineStr">
        <is>
          <t>30</t>
        </is>
      </c>
      <c r="D319" s="38" t="inlineStr">
        <is>
          <t>Ribera d'Ebre</t>
        </is>
      </c>
    </row>
    <row r="320" ht="15" customHeight="1" s="39">
      <c r="A320" s="42" t="inlineStr">
        <is>
          <t>430666</t>
        </is>
      </c>
      <c r="B320" s="38" t="inlineStr">
        <is>
          <t>Garidells, els</t>
        </is>
      </c>
      <c r="C320" s="38" t="inlineStr">
        <is>
          <t>01</t>
        </is>
      </c>
      <c r="D320" s="38" t="inlineStr">
        <is>
          <t>Alt Camp</t>
        </is>
      </c>
    </row>
    <row r="321" ht="15" customHeight="1" s="39">
      <c r="A321" s="42" t="inlineStr">
        <is>
          <t>080885</t>
        </is>
      </c>
      <c r="B321" s="38" t="inlineStr">
        <is>
          <t>Garriga, la</t>
        </is>
      </c>
      <c r="C321" s="38" t="inlineStr">
        <is>
          <t>41</t>
        </is>
      </c>
      <c r="D321" s="38" t="inlineStr">
        <is>
          <t>Vallès Oriental</t>
        </is>
      </c>
    </row>
    <row r="322" ht="15" customHeight="1" s="39">
      <c r="A322" s="42" t="inlineStr">
        <is>
          <t>170754</t>
        </is>
      </c>
      <c r="B322" s="38" t="inlineStr">
        <is>
          <t>Garrigàs</t>
        </is>
      </c>
      <c r="C322" s="38" t="inlineStr">
        <is>
          <t>02</t>
        </is>
      </c>
      <c r="D322" s="38" t="inlineStr">
        <is>
          <t>Alt Empordà</t>
        </is>
      </c>
    </row>
    <row r="323" ht="15" customHeight="1" s="39">
      <c r="A323" s="42" t="inlineStr">
        <is>
          <t>170767</t>
        </is>
      </c>
      <c r="B323" s="38" t="inlineStr">
        <is>
          <t>Garrigoles</t>
        </is>
      </c>
      <c r="C323" s="38" t="inlineStr">
        <is>
          <t>10</t>
        </is>
      </c>
      <c r="D323" s="38" t="inlineStr">
        <is>
          <t>Baix Empordà</t>
        </is>
      </c>
    </row>
    <row r="324" ht="15" customHeight="1" s="39">
      <c r="A324" s="42" t="inlineStr">
        <is>
          <t>170773</t>
        </is>
      </c>
      <c r="B324" s="38" t="inlineStr">
        <is>
          <t>Garriguella</t>
        </is>
      </c>
      <c r="C324" s="38" t="inlineStr">
        <is>
          <t>02</t>
        </is>
      </c>
      <c r="D324" s="38" t="inlineStr">
        <is>
          <t>Alt Empordà</t>
        </is>
      </c>
    </row>
    <row r="325" ht="15" customHeight="1" s="39">
      <c r="A325" s="42" t="inlineStr">
        <is>
          <t>080898</t>
        </is>
      </c>
      <c r="B325" s="38" t="inlineStr">
        <is>
          <t>Gavà</t>
        </is>
      </c>
      <c r="C325" s="38" t="inlineStr">
        <is>
          <t>11</t>
        </is>
      </c>
      <c r="D325" s="38" t="inlineStr">
        <is>
          <t>Baix Llobregat</t>
        </is>
      </c>
    </row>
    <row r="326" ht="15" customHeight="1" s="39">
      <c r="A326" s="42" t="inlineStr">
        <is>
          <t>250984</t>
        </is>
      </c>
      <c r="B326" s="38" t="inlineStr">
        <is>
          <t>Gavet de la Conca</t>
        </is>
      </c>
      <c r="C326" s="38" t="inlineStr">
        <is>
          <t>25</t>
        </is>
      </c>
      <c r="D326" s="38" t="inlineStr">
        <is>
          <t>Pallars Jussà</t>
        </is>
      </c>
    </row>
    <row r="327" ht="15" customHeight="1" s="39">
      <c r="A327" s="42" t="inlineStr">
        <is>
          <t>080919</t>
        </is>
      </c>
      <c r="B327" s="38" t="inlineStr">
        <is>
          <t>Gelida</t>
        </is>
      </c>
      <c r="C327" s="38" t="inlineStr">
        <is>
          <t>03</t>
        </is>
      </c>
      <c r="D327" s="38" t="inlineStr">
        <is>
          <t>Alt Penedès</t>
        </is>
      </c>
    </row>
    <row r="328" ht="15" customHeight="1" s="39">
      <c r="A328" s="42" t="inlineStr">
        <is>
          <t>170789</t>
        </is>
      </c>
      <c r="B328" s="38" t="inlineStr">
        <is>
          <t>Ger</t>
        </is>
      </c>
      <c r="C328" s="38" t="inlineStr">
        <is>
          <t>15</t>
        </is>
      </c>
      <c r="D328" s="38" t="inlineStr">
        <is>
          <t>Cerdanya</t>
        </is>
      </c>
    </row>
    <row r="329" ht="15" customHeight="1" s="39">
      <c r="A329" s="42" t="inlineStr">
        <is>
          <t>259123</t>
        </is>
      </c>
      <c r="B329" s="38" t="inlineStr">
        <is>
          <t>Gimenells i el Pla de la Font</t>
        </is>
      </c>
      <c r="C329" s="38" t="inlineStr">
        <is>
          <t>33</t>
        </is>
      </c>
      <c r="D329" s="38" t="inlineStr">
        <is>
          <t>Segrià</t>
        </is>
      </c>
    </row>
    <row r="330" ht="15" customHeight="1" s="39">
      <c r="A330" s="42" t="inlineStr">
        <is>
          <t>430672</t>
        </is>
      </c>
      <c r="B330" s="38" t="inlineStr">
        <is>
          <t>Ginestar</t>
        </is>
      </c>
      <c r="C330" s="38" t="inlineStr">
        <is>
          <t>30</t>
        </is>
      </c>
      <c r="D330" s="38" t="inlineStr">
        <is>
          <t>Ribera d'Ebre</t>
        </is>
      </c>
    </row>
    <row r="331" ht="15" customHeight="1" s="39">
      <c r="A331" s="42" t="inlineStr">
        <is>
          <t>170792</t>
        </is>
      </c>
      <c r="B331" s="38" t="inlineStr">
        <is>
          <t>Girona</t>
        </is>
      </c>
      <c r="C331" s="38" t="inlineStr">
        <is>
          <t>20</t>
        </is>
      </c>
      <c r="D331" s="38" t="inlineStr">
        <is>
          <t>Gironès</t>
        </is>
      </c>
    </row>
    <row r="332" ht="15" customHeight="1" s="39">
      <c r="A332" s="42" t="inlineStr">
        <is>
          <t>080924</t>
        </is>
      </c>
      <c r="B332" s="38" t="inlineStr">
        <is>
          <t>Gironella</t>
        </is>
      </c>
      <c r="C332" s="38" t="inlineStr">
        <is>
          <t>14</t>
        </is>
      </c>
      <c r="D332" s="38" t="inlineStr">
        <is>
          <t>Berguedà</t>
        </is>
      </c>
    </row>
    <row r="333" ht="15" customHeight="1" s="39">
      <c r="A333" s="42" t="inlineStr">
        <is>
          <t>080930</t>
        </is>
      </c>
      <c r="B333" s="38" t="inlineStr">
        <is>
          <t>Gisclareny</t>
        </is>
      </c>
      <c r="C333" s="38" t="inlineStr">
        <is>
          <t>14</t>
        </is>
      </c>
      <c r="D333" s="38" t="inlineStr">
        <is>
          <t>Berguedà</t>
        </is>
      </c>
    </row>
    <row r="334" ht="15" customHeight="1" s="39">
      <c r="A334" s="42" t="inlineStr">
        <is>
          <t>430688</t>
        </is>
      </c>
      <c r="B334" s="38" t="inlineStr">
        <is>
          <t>Godall</t>
        </is>
      </c>
      <c r="C334" s="38" t="inlineStr">
        <is>
          <t>22</t>
        </is>
      </c>
      <c r="D334" s="38" t="inlineStr">
        <is>
          <t>Montsià</t>
        </is>
      </c>
    </row>
    <row r="335" ht="15" customHeight="1" s="39">
      <c r="A335" s="42" t="inlineStr">
        <is>
          <t>250997</t>
        </is>
      </c>
      <c r="B335" s="38" t="inlineStr">
        <is>
          <t>Golmés</t>
        </is>
      </c>
      <c r="C335" s="38" t="inlineStr">
        <is>
          <t>27</t>
        </is>
      </c>
      <c r="D335" s="38" t="inlineStr">
        <is>
          <t>Pla d'Urgell</t>
        </is>
      </c>
    </row>
    <row r="336" ht="15" customHeight="1" s="39">
      <c r="A336" s="42" t="inlineStr">
        <is>
          <t>170806</t>
        </is>
      </c>
      <c r="B336" s="38" t="inlineStr">
        <is>
          <t>Gombrèn</t>
        </is>
      </c>
      <c r="C336" s="38" t="inlineStr">
        <is>
          <t>31</t>
        </is>
      </c>
      <c r="D336" s="38" t="inlineStr">
        <is>
          <t>Ripollès</t>
        </is>
      </c>
    </row>
    <row r="337" ht="15" customHeight="1" s="39">
      <c r="A337" s="42" t="inlineStr">
        <is>
          <t>251001</t>
        </is>
      </c>
      <c r="B337" s="38" t="inlineStr">
        <is>
          <t>Gósol</t>
        </is>
      </c>
      <c r="C337" s="38" t="inlineStr">
        <is>
          <t>14</t>
        </is>
      </c>
      <c r="D337" s="38" t="inlineStr">
        <is>
          <t>Berguedà</t>
        </is>
      </c>
    </row>
    <row r="338" ht="15" customHeight="1" s="39">
      <c r="A338" s="42" t="inlineStr">
        <is>
          <t>080945</t>
        </is>
      </c>
      <c r="B338" s="38" t="inlineStr">
        <is>
          <t>Granada, la</t>
        </is>
      </c>
      <c r="C338" s="38" t="inlineStr">
        <is>
          <t>03</t>
        </is>
      </c>
      <c r="D338" s="38" t="inlineStr">
        <is>
          <t>Alt Penedès</t>
        </is>
      </c>
    </row>
    <row r="339" ht="15" customHeight="1" s="39">
      <c r="A339" s="42" t="inlineStr">
        <is>
          <t>251018</t>
        </is>
      </c>
      <c r="B339" s="38" t="inlineStr">
        <is>
          <t>Granadella, la</t>
        </is>
      </c>
      <c r="C339" s="38" t="inlineStr">
        <is>
          <t>18</t>
        </is>
      </c>
      <c r="D339" s="38" t="inlineStr">
        <is>
          <t>Garrigues</t>
        </is>
      </c>
    </row>
    <row r="340" ht="15" customHeight="1" s="39">
      <c r="A340" s="42" t="inlineStr">
        <is>
          <t>080958</t>
        </is>
      </c>
      <c r="B340" s="38" t="inlineStr">
        <is>
          <t>Granera</t>
        </is>
      </c>
      <c r="C340" s="38" t="inlineStr">
        <is>
          <t>42</t>
        </is>
      </c>
      <c r="D340" s="38" t="inlineStr">
        <is>
          <t>Moianès</t>
        </is>
      </c>
    </row>
    <row r="341" ht="15" customHeight="1" s="39">
      <c r="A341" s="42" t="inlineStr">
        <is>
          <t>251023</t>
        </is>
      </c>
      <c r="B341" s="38" t="inlineStr">
        <is>
          <t>Granja d'Escarp, la</t>
        </is>
      </c>
      <c r="C341" s="38" t="inlineStr">
        <is>
          <t>33</t>
        </is>
      </c>
      <c r="D341" s="38" t="inlineStr">
        <is>
          <t>Segrià</t>
        </is>
      </c>
    </row>
    <row r="342" ht="15" customHeight="1" s="39">
      <c r="A342" s="42" t="inlineStr">
        <is>
          <t>080961</t>
        </is>
      </c>
      <c r="B342" s="38" t="inlineStr">
        <is>
          <t>Granollers</t>
        </is>
      </c>
      <c r="C342" s="38" t="inlineStr">
        <is>
          <t>41</t>
        </is>
      </c>
      <c r="D342" s="38" t="inlineStr">
        <is>
          <t>Vallès Oriental</t>
        </is>
      </c>
    </row>
    <row r="343" ht="15" customHeight="1" s="39">
      <c r="A343" s="42" t="inlineStr">
        <is>
          <t>251039</t>
        </is>
      </c>
      <c r="B343" s="38" t="inlineStr">
        <is>
          <t>Granyanella</t>
        </is>
      </c>
      <c r="C343" s="38" t="inlineStr">
        <is>
          <t>32</t>
        </is>
      </c>
      <c r="D343" s="38" t="inlineStr">
        <is>
          <t>Segarra</t>
        </is>
      </c>
    </row>
    <row r="344" ht="15" customHeight="1" s="39">
      <c r="A344" s="42" t="inlineStr">
        <is>
          <t>251057</t>
        </is>
      </c>
      <c r="B344" s="38" t="inlineStr">
        <is>
          <t>Granyena de les Garrigues</t>
        </is>
      </c>
      <c r="C344" s="38" t="inlineStr">
        <is>
          <t>18</t>
        </is>
      </c>
      <c r="D344" s="38" t="inlineStr">
        <is>
          <t>Garrigues</t>
        </is>
      </c>
    </row>
    <row r="345" ht="15" customHeight="1" s="39">
      <c r="A345" s="42" t="inlineStr">
        <is>
          <t>251044</t>
        </is>
      </c>
      <c r="B345" s="38" t="inlineStr">
        <is>
          <t>Granyena de Segarra</t>
        </is>
      </c>
      <c r="C345" s="38" t="inlineStr">
        <is>
          <t>32</t>
        </is>
      </c>
      <c r="D345" s="38" t="inlineStr">
        <is>
          <t>Segarra</t>
        </is>
      </c>
    </row>
    <row r="346" ht="15" customHeight="1" s="39">
      <c r="A346" s="42" t="inlineStr">
        <is>
          <t>430691</t>
        </is>
      </c>
      <c r="B346" s="38" t="inlineStr">
        <is>
          <t>Gratallops</t>
        </is>
      </c>
      <c r="C346" s="38" t="inlineStr">
        <is>
          <t>29</t>
        </is>
      </c>
      <c r="D346" s="38" t="inlineStr">
        <is>
          <t>Priorat</t>
        </is>
      </c>
    </row>
    <row r="347" ht="15" customHeight="1" s="39">
      <c r="A347" s="42" t="inlineStr">
        <is>
          <t>080977</t>
        </is>
      </c>
      <c r="B347" s="38" t="inlineStr">
        <is>
          <t>Gualba</t>
        </is>
      </c>
      <c r="C347" s="38" t="inlineStr">
        <is>
          <t>41</t>
        </is>
      </c>
      <c r="D347" s="38" t="inlineStr">
        <is>
          <t>Vallès Oriental</t>
        </is>
      </c>
    </row>
    <row r="348" ht="15" customHeight="1" s="39">
      <c r="A348" s="42" t="inlineStr">
        <is>
          <t>170813</t>
        </is>
      </c>
      <c r="B348" s="38" t="inlineStr">
        <is>
          <t>Gualta</t>
        </is>
      </c>
      <c r="C348" s="38" t="inlineStr">
        <is>
          <t>10</t>
        </is>
      </c>
      <c r="D348" s="38" t="inlineStr">
        <is>
          <t>Baix Empordà</t>
        </is>
      </c>
    </row>
    <row r="349" ht="15" customHeight="1" s="39">
      <c r="A349" s="42" t="inlineStr">
        <is>
          <t>080996</t>
        </is>
      </c>
      <c r="B349" s="38" t="inlineStr">
        <is>
          <t>Guardiola de Berguedà</t>
        </is>
      </c>
      <c r="C349" s="38" t="inlineStr">
        <is>
          <t>14</t>
        </is>
      </c>
      <c r="D349" s="38" t="inlineStr">
        <is>
          <t>Berguedà</t>
        </is>
      </c>
    </row>
    <row r="350" ht="15" customHeight="1" s="39">
      <c r="A350" s="42" t="inlineStr">
        <is>
          <t>430705</t>
        </is>
      </c>
      <c r="B350" s="38" t="inlineStr">
        <is>
          <t>Guiamets, els</t>
        </is>
      </c>
      <c r="C350" s="38" t="inlineStr">
        <is>
          <t>29</t>
        </is>
      </c>
      <c r="D350" s="38" t="inlineStr">
        <is>
          <t>Priorat</t>
        </is>
      </c>
    </row>
    <row r="351" ht="15" customHeight="1" s="39">
      <c r="A351" s="42" t="inlineStr">
        <is>
          <t>170828</t>
        </is>
      </c>
      <c r="B351" s="38" t="inlineStr">
        <is>
          <t>Guils de Cerdanya</t>
        </is>
      </c>
      <c r="C351" s="38" t="inlineStr">
        <is>
          <t>15</t>
        </is>
      </c>
      <c r="D351" s="38" t="inlineStr">
        <is>
          <t>Cerdanya</t>
        </is>
      </c>
    </row>
    <row r="352" ht="15" customHeight="1" s="39">
      <c r="A352" s="42" t="inlineStr">
        <is>
          <t>251095</t>
        </is>
      </c>
      <c r="B352" s="38" t="inlineStr">
        <is>
          <t>Guimerà</t>
        </is>
      </c>
      <c r="C352" s="38" t="inlineStr">
        <is>
          <t>38</t>
        </is>
      </c>
      <c r="D352" s="38" t="inlineStr">
        <is>
          <t>Urgell</t>
        </is>
      </c>
    </row>
    <row r="353" ht="15" customHeight="1" s="39">
      <c r="A353" s="42" t="inlineStr">
        <is>
          <t>259031</t>
        </is>
      </c>
      <c r="B353" s="38" t="inlineStr">
        <is>
          <t>Guingueta d'Àneu, la</t>
        </is>
      </c>
      <c r="C353" s="38" t="inlineStr">
        <is>
          <t>26</t>
        </is>
      </c>
      <c r="D353" s="38" t="inlineStr">
        <is>
          <t>Pallars Sobirà</t>
        </is>
      </c>
    </row>
    <row r="354" ht="15" customHeight="1" s="39">
      <c r="A354" s="42" t="inlineStr">
        <is>
          <t>251109</t>
        </is>
      </c>
      <c r="B354" s="38" t="inlineStr">
        <is>
          <t>Guissona</t>
        </is>
      </c>
      <c r="C354" s="38" t="inlineStr">
        <is>
          <t>32</t>
        </is>
      </c>
      <c r="D354" s="38" t="inlineStr">
        <is>
          <t>Segarra</t>
        </is>
      </c>
    </row>
    <row r="355" ht="15" customHeight="1" s="39">
      <c r="A355" s="42" t="inlineStr">
        <is>
          <t>251116</t>
        </is>
      </c>
      <c r="B355" s="38" t="inlineStr">
        <is>
          <t>Guixers</t>
        </is>
      </c>
      <c r="C355" s="38" t="inlineStr">
        <is>
          <t>35</t>
        </is>
      </c>
      <c r="D355" s="38" t="inlineStr">
        <is>
          <t>Solsonès</t>
        </is>
      </c>
    </row>
    <row r="356" ht="15" customHeight="1" s="39">
      <c r="A356" s="42" t="inlineStr">
        <is>
          <t>081000</t>
        </is>
      </c>
      <c r="B356" s="38" t="inlineStr">
        <is>
          <t>Gurb</t>
        </is>
      </c>
      <c r="C356" s="38" t="inlineStr">
        <is>
          <t>24</t>
        </is>
      </c>
      <c r="D356" s="38" t="inlineStr">
        <is>
          <t>Osona</t>
        </is>
      </c>
    </row>
    <row r="357" ht="15" customHeight="1" s="39">
      <c r="A357" s="42" t="inlineStr">
        <is>
          <t>430712</t>
        </is>
      </c>
      <c r="B357" s="38" t="inlineStr">
        <is>
          <t>Horta de Sant Joan</t>
        </is>
      </c>
      <c r="C357" s="38" t="inlineStr">
        <is>
          <t>37</t>
        </is>
      </c>
      <c r="D357" s="38" t="inlineStr">
        <is>
          <t>Terra Alta</t>
        </is>
      </c>
    </row>
    <row r="358" ht="15" customHeight="1" s="39">
      <c r="A358" s="42" t="inlineStr">
        <is>
          <t>081017</t>
        </is>
      </c>
      <c r="B358" s="38" t="inlineStr">
        <is>
          <t>Hospitalet de Llobregat, l'</t>
        </is>
      </c>
      <c r="C358" s="38" t="inlineStr">
        <is>
          <t>13</t>
        </is>
      </c>
      <c r="D358" s="38" t="inlineStr">
        <is>
          <t>Barcelonès</t>
        </is>
      </c>
    </row>
    <row r="359" ht="15" customHeight="1" s="39">
      <c r="A359" s="42" t="inlineStr">
        <is>
          <t>081629</t>
        </is>
      </c>
      <c r="B359" s="38" t="inlineStr">
        <is>
          <t>Hostalets de Pierola, els</t>
        </is>
      </c>
      <c r="C359" s="38" t="inlineStr">
        <is>
          <t>06</t>
        </is>
      </c>
      <c r="D359" s="38" t="inlineStr">
        <is>
          <t>Anoia</t>
        </is>
      </c>
    </row>
    <row r="360" ht="15" customHeight="1" s="39">
      <c r="A360" s="42" t="inlineStr">
        <is>
          <t>170834</t>
        </is>
      </c>
      <c r="B360" s="38" t="inlineStr">
        <is>
          <t>Hostalric</t>
        </is>
      </c>
      <c r="C360" s="38" t="inlineStr">
        <is>
          <t>34</t>
        </is>
      </c>
      <c r="D360" s="38" t="inlineStr">
        <is>
          <t>Selva</t>
        </is>
      </c>
    </row>
    <row r="361" ht="15" customHeight="1" s="39">
      <c r="A361" s="42" t="inlineStr">
        <is>
          <t>081022</t>
        </is>
      </c>
      <c r="B361" s="38" t="inlineStr">
        <is>
          <t>Igualada</t>
        </is>
      </c>
      <c r="C361" s="38" t="inlineStr">
        <is>
          <t>06</t>
        </is>
      </c>
      <c r="D361" s="38" t="inlineStr">
        <is>
          <t>Anoia</t>
        </is>
      </c>
    </row>
    <row r="362" ht="15" customHeight="1" s="39">
      <c r="A362" s="42" t="inlineStr">
        <is>
          <t>251155</t>
        </is>
      </c>
      <c r="B362" s="38" t="inlineStr">
        <is>
          <t>Isona i Conca Dellà</t>
        </is>
      </c>
      <c r="C362" s="38" t="inlineStr">
        <is>
          <t>25</t>
        </is>
      </c>
      <c r="D362" s="38" t="inlineStr">
        <is>
          <t>Pallars Jussà</t>
        </is>
      </c>
    </row>
    <row r="363" ht="15" customHeight="1" s="39">
      <c r="A363" s="42" t="inlineStr">
        <is>
          <t>170849</t>
        </is>
      </c>
      <c r="B363" s="38" t="inlineStr">
        <is>
          <t>Isòvol</t>
        </is>
      </c>
      <c r="C363" s="38" t="inlineStr">
        <is>
          <t>15</t>
        </is>
      </c>
      <c r="D363" s="38" t="inlineStr">
        <is>
          <t>Cerdanya</t>
        </is>
      </c>
    </row>
    <row r="364" ht="15" customHeight="1" s="39">
      <c r="A364" s="42" t="inlineStr">
        <is>
          <t>251137</t>
        </is>
      </c>
      <c r="B364" s="38" t="inlineStr">
        <is>
          <t>Ivars d'Urgell</t>
        </is>
      </c>
      <c r="C364" s="38" t="inlineStr">
        <is>
          <t>27</t>
        </is>
      </c>
      <c r="D364" s="38" t="inlineStr">
        <is>
          <t>Pla d'Urgell</t>
        </is>
      </c>
    </row>
    <row r="365" ht="15" customHeight="1" s="39">
      <c r="A365" s="42" t="inlineStr">
        <is>
          <t>251121</t>
        </is>
      </c>
      <c r="B365" s="38" t="inlineStr">
        <is>
          <t>Ivars de Noguera</t>
        </is>
      </c>
      <c r="C365" s="38" t="inlineStr">
        <is>
          <t>23</t>
        </is>
      </c>
      <c r="D365" s="38" t="inlineStr">
        <is>
          <t>Noguera</t>
        </is>
      </c>
    </row>
    <row r="366" ht="15" customHeight="1" s="39">
      <c r="A366" s="42" t="inlineStr">
        <is>
          <t>251142</t>
        </is>
      </c>
      <c r="B366" s="38" t="inlineStr">
        <is>
          <t>Ivorra</t>
        </is>
      </c>
      <c r="C366" s="38" t="inlineStr">
        <is>
          <t>32</t>
        </is>
      </c>
      <c r="D366" s="38" t="inlineStr">
        <is>
          <t>Segarra</t>
        </is>
      </c>
    </row>
    <row r="367" ht="15" customHeight="1" s="39">
      <c r="A367" s="42" t="inlineStr">
        <is>
          <t>170852</t>
        </is>
      </c>
      <c r="B367" s="38" t="inlineStr">
        <is>
          <t>Jafre</t>
        </is>
      </c>
      <c r="C367" s="38" t="inlineStr">
        <is>
          <t>10</t>
        </is>
      </c>
      <c r="D367" s="38" t="inlineStr">
        <is>
          <t>Baix Empordà</t>
        </is>
      </c>
    </row>
    <row r="368" ht="15" customHeight="1" s="39">
      <c r="A368" s="42" t="inlineStr">
        <is>
          <t>170865</t>
        </is>
      </c>
      <c r="B368" s="38" t="inlineStr">
        <is>
          <t>Jonquera, la</t>
        </is>
      </c>
      <c r="C368" s="38" t="inlineStr">
        <is>
          <t>02</t>
        </is>
      </c>
      <c r="D368" s="38" t="inlineStr">
        <is>
          <t>Alt Empordà</t>
        </is>
      </c>
    </row>
    <row r="369" ht="15" customHeight="1" s="39">
      <c r="A369" s="42" t="inlineStr">
        <is>
          <t>081038</t>
        </is>
      </c>
      <c r="B369" s="38" t="inlineStr">
        <is>
          <t>Jorba</t>
        </is>
      </c>
      <c r="C369" s="38" t="inlineStr">
        <is>
          <t>06</t>
        </is>
      </c>
      <c r="D369" s="38" t="inlineStr">
        <is>
          <t>Anoia</t>
        </is>
      </c>
    </row>
    <row r="370" ht="15" customHeight="1" s="39">
      <c r="A370" s="42" t="inlineStr">
        <is>
          <t>259101</t>
        </is>
      </c>
      <c r="B370" s="38" t="inlineStr">
        <is>
          <t>Josa i Tuixén</t>
        </is>
      </c>
      <c r="C370" s="38" t="inlineStr">
        <is>
          <t>04</t>
        </is>
      </c>
      <c r="D370" s="38" t="inlineStr">
        <is>
          <t>Alt Urgell</t>
        </is>
      </c>
    </row>
    <row r="371" ht="15" customHeight="1" s="39">
      <c r="A371" s="42" t="inlineStr">
        <is>
          <t>170871</t>
        </is>
      </c>
      <c r="B371" s="38" t="inlineStr">
        <is>
          <t>Juià</t>
        </is>
      </c>
      <c r="C371" s="38" t="inlineStr">
        <is>
          <t>20</t>
        </is>
      </c>
      <c r="D371" s="38" t="inlineStr">
        <is>
          <t>Gironès</t>
        </is>
      </c>
    </row>
    <row r="372" ht="15" customHeight="1" s="39">
      <c r="A372" s="42" t="inlineStr">
        <is>
          <t>251180</t>
        </is>
      </c>
      <c r="B372" s="38" t="inlineStr">
        <is>
          <t>Juncosa</t>
        </is>
      </c>
      <c r="C372" s="38" t="inlineStr">
        <is>
          <t>18</t>
        </is>
      </c>
      <c r="D372" s="38" t="inlineStr">
        <is>
          <t>Garrigues</t>
        </is>
      </c>
    </row>
    <row r="373" ht="15" customHeight="1" s="39">
      <c r="A373" s="42" t="inlineStr">
        <is>
          <t>251193</t>
        </is>
      </c>
      <c r="B373" s="38" t="inlineStr">
        <is>
          <t>Juneda</t>
        </is>
      </c>
      <c r="C373" s="38" t="inlineStr">
        <is>
          <t>18</t>
        </is>
      </c>
      <c r="D373" s="38" t="inlineStr">
        <is>
          <t>Garrigues</t>
        </is>
      </c>
    </row>
    <row r="374" ht="15" customHeight="1" s="39">
      <c r="A374" s="42" t="inlineStr">
        <is>
          <t>251214</t>
        </is>
      </c>
      <c r="B374" s="38" t="inlineStr">
        <is>
          <t>Les</t>
        </is>
      </c>
      <c r="C374" s="38" t="inlineStr">
        <is>
          <t>39</t>
        </is>
      </c>
      <c r="D374" s="38" t="inlineStr">
        <is>
          <t>Aran</t>
        </is>
      </c>
    </row>
    <row r="375" ht="15" customHeight="1" s="39">
      <c r="A375" s="42" t="inlineStr">
        <is>
          <t>251229</t>
        </is>
      </c>
      <c r="B375" s="38" t="inlineStr">
        <is>
          <t>Linyola</t>
        </is>
      </c>
      <c r="C375" s="38" t="inlineStr">
        <is>
          <t>27</t>
        </is>
      </c>
      <c r="D375" s="38" t="inlineStr">
        <is>
          <t>Pla d'Urgell</t>
        </is>
      </c>
    </row>
    <row r="376" ht="15" customHeight="1" s="39">
      <c r="A376" s="42" t="inlineStr">
        <is>
          <t>081043</t>
        </is>
      </c>
      <c r="B376" s="38" t="inlineStr">
        <is>
          <t>Llacuna, la</t>
        </is>
      </c>
      <c r="C376" s="38" t="inlineStr">
        <is>
          <t>06</t>
        </is>
      </c>
      <c r="D376" s="38" t="inlineStr">
        <is>
          <t>Anoia</t>
        </is>
      </c>
    </row>
    <row r="377" ht="15" customHeight="1" s="39">
      <c r="A377" s="42" t="inlineStr">
        <is>
          <t>170887</t>
        </is>
      </c>
      <c r="B377" s="38" t="inlineStr">
        <is>
          <t>Lladó</t>
        </is>
      </c>
      <c r="C377" s="38" t="inlineStr">
        <is>
          <t>02</t>
        </is>
      </c>
      <c r="D377" s="38" t="inlineStr">
        <is>
          <t>Alt Empordà</t>
        </is>
      </c>
    </row>
    <row r="378" ht="15" customHeight="1" s="39">
      <c r="A378" s="42" t="inlineStr">
        <is>
          <t>251235</t>
        </is>
      </c>
      <c r="B378" s="38" t="inlineStr">
        <is>
          <t>Lladorre</t>
        </is>
      </c>
      <c r="C378" s="38" t="inlineStr">
        <is>
          <t>26</t>
        </is>
      </c>
      <c r="D378" s="38" t="inlineStr">
        <is>
          <t>Pallars Sobirà</t>
        </is>
      </c>
    </row>
    <row r="379" ht="15" customHeight="1" s="39">
      <c r="A379" s="42" t="inlineStr">
        <is>
          <t>251240</t>
        </is>
      </c>
      <c r="B379" s="38" t="inlineStr">
        <is>
          <t>Lladurs</t>
        </is>
      </c>
      <c r="C379" s="38" t="inlineStr">
        <is>
          <t>35</t>
        </is>
      </c>
      <c r="D379" s="38" t="inlineStr">
        <is>
          <t>Solsonès</t>
        </is>
      </c>
    </row>
    <row r="380" ht="15" customHeight="1" s="39">
      <c r="A380" s="42" t="inlineStr">
        <is>
          <t>081056</t>
        </is>
      </c>
      <c r="B380" s="38" t="inlineStr">
        <is>
          <t>Llagosta, la</t>
        </is>
      </c>
      <c r="C380" s="38" t="inlineStr">
        <is>
          <t>41</t>
        </is>
      </c>
      <c r="D380" s="38" t="inlineStr">
        <is>
          <t>Vallès Oriental</t>
        </is>
      </c>
    </row>
    <row r="381" ht="15" customHeight="1" s="39">
      <c r="A381" s="42" t="inlineStr">
        <is>
          <t>170890</t>
        </is>
      </c>
      <c r="B381" s="38" t="inlineStr">
        <is>
          <t>Llagostera</t>
        </is>
      </c>
      <c r="C381" s="38" t="inlineStr">
        <is>
          <t>20</t>
        </is>
      </c>
      <c r="D381" s="38" t="inlineStr">
        <is>
          <t>Gironès</t>
        </is>
      </c>
    </row>
    <row r="382" ht="15" customHeight="1" s="39">
      <c r="A382" s="42" t="inlineStr">
        <is>
          <t>170904</t>
        </is>
      </c>
      <c r="B382" s="38" t="inlineStr">
        <is>
          <t>Llambilles</t>
        </is>
      </c>
      <c r="C382" s="38" t="inlineStr">
        <is>
          <t>20</t>
        </is>
      </c>
      <c r="D382" s="38" t="inlineStr">
        <is>
          <t>Gironès</t>
        </is>
      </c>
    </row>
    <row r="383" ht="15" customHeight="1" s="39">
      <c r="A383" s="42" t="inlineStr">
        <is>
          <t>170911</t>
        </is>
      </c>
      <c r="B383" s="38" t="inlineStr">
        <is>
          <t>Llanars</t>
        </is>
      </c>
      <c r="C383" s="38" t="inlineStr">
        <is>
          <t>31</t>
        </is>
      </c>
      <c r="D383" s="38" t="inlineStr">
        <is>
          <t>Ripollès</t>
        </is>
      </c>
    </row>
    <row r="384" ht="15" customHeight="1" s="39">
      <c r="A384" s="42" t="inlineStr">
        <is>
          <t>170926</t>
        </is>
      </c>
      <c r="B384" s="38" t="inlineStr">
        <is>
          <t>Llançà</t>
        </is>
      </c>
      <c r="C384" s="38" t="inlineStr">
        <is>
          <t>02</t>
        </is>
      </c>
      <c r="D384" s="38" t="inlineStr">
        <is>
          <t>Alt Empordà</t>
        </is>
      </c>
    </row>
    <row r="385" ht="15" customHeight="1" s="39">
      <c r="A385" s="42" t="inlineStr">
        <is>
          <t>251253</t>
        </is>
      </c>
      <c r="B385" s="38" t="inlineStr">
        <is>
          <t>Llardecans</t>
        </is>
      </c>
      <c r="C385" s="38" t="inlineStr">
        <is>
          <t>33</t>
        </is>
      </c>
      <c r="D385" s="38" t="inlineStr">
        <is>
          <t>Segrià</t>
        </is>
      </c>
    </row>
    <row r="386" ht="15" customHeight="1" s="39">
      <c r="A386" s="42" t="inlineStr">
        <is>
          <t>251266</t>
        </is>
      </c>
      <c r="B386" s="38" t="inlineStr">
        <is>
          <t>Llavorsí</t>
        </is>
      </c>
      <c r="C386" s="38" t="inlineStr">
        <is>
          <t>26</t>
        </is>
      </c>
      <c r="D386" s="38" t="inlineStr">
        <is>
          <t>Pallars Sobirà</t>
        </is>
      </c>
    </row>
    <row r="387" ht="15" customHeight="1" s="39">
      <c r="A387" s="42" t="inlineStr">
        <is>
          <t>251207</t>
        </is>
      </c>
      <c r="B387" s="38" t="inlineStr">
        <is>
          <t>Lleida</t>
        </is>
      </c>
      <c r="C387" s="38" t="inlineStr">
        <is>
          <t>33</t>
        </is>
      </c>
      <c r="D387" s="38" t="inlineStr">
        <is>
          <t>Segrià</t>
        </is>
      </c>
    </row>
    <row r="388" ht="15" customHeight="1" s="39">
      <c r="A388" s="42" t="inlineStr">
        <is>
          <t>170932</t>
        </is>
      </c>
      <c r="B388" s="38" t="inlineStr">
        <is>
          <t>Llers</t>
        </is>
      </c>
      <c r="C388" s="38" t="inlineStr">
        <is>
          <t>02</t>
        </is>
      </c>
      <c r="D388" s="38" t="inlineStr">
        <is>
          <t>Alt Empordà</t>
        </is>
      </c>
    </row>
    <row r="389" ht="15" customHeight="1" s="39">
      <c r="A389" s="42" t="inlineStr">
        <is>
          <t>251272</t>
        </is>
      </c>
      <c r="B389" s="38" t="inlineStr">
        <is>
          <t>Lles de Cerdanya</t>
        </is>
      </c>
      <c r="C389" s="38" t="inlineStr">
        <is>
          <t>15</t>
        </is>
      </c>
      <c r="D389" s="38" t="inlineStr">
        <is>
          <t>Cerdanya</t>
        </is>
      </c>
    </row>
    <row r="390" ht="15" customHeight="1" s="39">
      <c r="A390" s="42" t="inlineStr">
        <is>
          <t>081075</t>
        </is>
      </c>
      <c r="B390" s="38" t="inlineStr">
        <is>
          <t>Lliçà d'Amunt</t>
        </is>
      </c>
      <c r="C390" s="38" t="inlineStr">
        <is>
          <t>41</t>
        </is>
      </c>
      <c r="D390" s="38" t="inlineStr">
        <is>
          <t>Vallès Oriental</t>
        </is>
      </c>
    </row>
    <row r="391" ht="15" customHeight="1" s="39">
      <c r="A391" s="42" t="inlineStr">
        <is>
          <t>081081</t>
        </is>
      </c>
      <c r="B391" s="38" t="inlineStr">
        <is>
          <t>Lliçà de Vall</t>
        </is>
      </c>
      <c r="C391" s="38" t="inlineStr">
        <is>
          <t>41</t>
        </is>
      </c>
      <c r="D391" s="38" t="inlineStr">
        <is>
          <t>Vallès Oriental</t>
        </is>
      </c>
    </row>
    <row r="392" ht="15" customHeight="1" s="39">
      <c r="A392" s="42" t="inlineStr">
        <is>
          <t>251288</t>
        </is>
      </c>
      <c r="B392" s="38" t="inlineStr">
        <is>
          <t>Llimiana</t>
        </is>
      </c>
      <c r="C392" s="38" t="inlineStr">
        <is>
          <t>25</t>
        </is>
      </c>
      <c r="D392" s="38" t="inlineStr">
        <is>
          <t>Pallars Jussà</t>
        </is>
      </c>
    </row>
    <row r="393" ht="15" customHeight="1" s="39">
      <c r="A393" s="42" t="inlineStr">
        <is>
          <t>081069</t>
        </is>
      </c>
      <c r="B393" s="38" t="inlineStr">
        <is>
          <t>Llinars del Vallès</t>
        </is>
      </c>
      <c r="C393" s="38" t="inlineStr">
        <is>
          <t>41</t>
        </is>
      </c>
      <c r="D393" s="38" t="inlineStr">
        <is>
          <t>Vallès Oriental</t>
        </is>
      </c>
    </row>
    <row r="394" ht="15" customHeight="1" s="39">
      <c r="A394" s="42" t="inlineStr">
        <is>
          <t>170947</t>
        </is>
      </c>
      <c r="B394" s="38" t="inlineStr">
        <is>
          <t>Llívia</t>
        </is>
      </c>
      <c r="C394" s="38" t="inlineStr">
        <is>
          <t>15</t>
        </is>
      </c>
      <c r="D394" s="38" t="inlineStr">
        <is>
          <t>Cerdanya</t>
        </is>
      </c>
    </row>
    <row r="395" ht="15" customHeight="1" s="39">
      <c r="A395" s="42" t="inlineStr">
        <is>
          <t>430727</t>
        </is>
      </c>
      <c r="B395" s="38" t="inlineStr">
        <is>
          <t>Lloar, el</t>
        </is>
      </c>
      <c r="C395" s="38" t="inlineStr">
        <is>
          <t>29</t>
        </is>
      </c>
      <c r="D395" s="38" t="inlineStr">
        <is>
          <t>Priorat</t>
        </is>
      </c>
    </row>
    <row r="396" ht="15" customHeight="1" s="39">
      <c r="A396" s="42" t="inlineStr">
        <is>
          <t>251291</t>
        </is>
      </c>
      <c r="B396" s="38" t="inlineStr">
        <is>
          <t>Llobera</t>
        </is>
      </c>
      <c r="C396" s="38" t="inlineStr">
        <is>
          <t>35</t>
        </is>
      </c>
      <c r="D396" s="38" t="inlineStr">
        <is>
          <t>Solsonès</t>
        </is>
      </c>
    </row>
    <row r="397" ht="15" customHeight="1" s="39">
      <c r="A397" s="42" t="inlineStr">
        <is>
          <t>430733</t>
        </is>
      </c>
      <c r="B397" s="38" t="inlineStr">
        <is>
          <t>Llorac</t>
        </is>
      </c>
      <c r="C397" s="38" t="inlineStr">
        <is>
          <t>16</t>
        </is>
      </c>
      <c r="D397" s="38" t="inlineStr">
        <is>
          <t>Conca de Barberà</t>
        </is>
      </c>
    </row>
    <row r="398" ht="15" customHeight="1" s="39">
      <c r="A398" s="42" t="inlineStr">
        <is>
          <t>430748</t>
        </is>
      </c>
      <c r="B398" s="38" t="inlineStr">
        <is>
          <t>Llorenç del Penedès</t>
        </is>
      </c>
      <c r="C398" s="38" t="inlineStr">
        <is>
          <t>12</t>
        </is>
      </c>
      <c r="D398" s="38" t="inlineStr">
        <is>
          <t>Baix Penedès</t>
        </is>
      </c>
    </row>
    <row r="399" ht="15" customHeight="1" s="39">
      <c r="A399" s="42" t="inlineStr">
        <is>
          <t>170950</t>
        </is>
      </c>
      <c r="B399" s="38" t="inlineStr">
        <is>
          <t>Lloret de Mar</t>
        </is>
      </c>
      <c r="C399" s="38" t="inlineStr">
        <is>
          <t>34</t>
        </is>
      </c>
      <c r="D399" s="38" t="inlineStr">
        <is>
          <t>Selva</t>
        </is>
      </c>
    </row>
    <row r="400" ht="15" customHeight="1" s="39">
      <c r="A400" s="42" t="inlineStr">
        <is>
          <t>170963</t>
        </is>
      </c>
      <c r="B400" s="38" t="inlineStr">
        <is>
          <t>Llosses, les</t>
        </is>
      </c>
      <c r="C400" s="38" t="inlineStr">
        <is>
          <t>31</t>
        </is>
      </c>
      <c r="D400" s="38" t="inlineStr">
        <is>
          <t>Ripollès</t>
        </is>
      </c>
    </row>
    <row r="401" ht="15" customHeight="1" s="39">
      <c r="A401" s="42" t="inlineStr">
        <is>
          <t>081094</t>
        </is>
      </c>
      <c r="B401" s="38" t="inlineStr">
        <is>
          <t>Lluçà</t>
        </is>
      </c>
      <c r="C401" s="38" t="inlineStr">
        <is>
          <t>43</t>
        </is>
      </c>
      <c r="D401" s="38" t="inlineStr">
        <is>
          <t>Lluçanès</t>
        </is>
      </c>
    </row>
    <row r="402" ht="15" customHeight="1" s="39">
      <c r="A402" s="42" t="inlineStr">
        <is>
          <t>171024</t>
        </is>
      </c>
      <c r="B402" s="38" t="inlineStr">
        <is>
          <t>Maçanet de Cabrenys</t>
        </is>
      </c>
      <c r="C402" s="38" t="inlineStr">
        <is>
          <t>02</t>
        </is>
      </c>
      <c r="D402" s="38" t="inlineStr">
        <is>
          <t>Alt Empordà</t>
        </is>
      </c>
    </row>
    <row r="403" ht="15" customHeight="1" s="39">
      <c r="A403" s="42" t="inlineStr">
        <is>
          <t>171030</t>
        </is>
      </c>
      <c r="B403" s="38" t="inlineStr">
        <is>
          <t>Maçanet de la Selva</t>
        </is>
      </c>
      <c r="C403" s="38" t="inlineStr">
        <is>
          <t>34</t>
        </is>
      </c>
      <c r="D403" s="38" t="inlineStr">
        <is>
          <t>Selva</t>
        </is>
      </c>
    </row>
    <row r="404" ht="15" customHeight="1" s="39">
      <c r="A404" s="42" t="inlineStr">
        <is>
          <t>170979</t>
        </is>
      </c>
      <c r="B404" s="38" t="inlineStr">
        <is>
          <t>Madremanya</t>
        </is>
      </c>
      <c r="C404" s="38" t="inlineStr">
        <is>
          <t>20</t>
        </is>
      </c>
      <c r="D404" s="38" t="inlineStr">
        <is>
          <t>Gironès</t>
        </is>
      </c>
    </row>
    <row r="405" ht="15" customHeight="1" s="39">
      <c r="A405" s="42" t="inlineStr">
        <is>
          <t>170985</t>
        </is>
      </c>
      <c r="B405" s="38" t="inlineStr">
        <is>
          <t>Maià de Montcal</t>
        </is>
      </c>
      <c r="C405" s="38" t="inlineStr">
        <is>
          <t>19</t>
        </is>
      </c>
      <c r="D405" s="38" t="inlineStr">
        <is>
          <t>Garrotxa</t>
        </is>
      </c>
    </row>
    <row r="406" ht="15" customHeight="1" s="39">
      <c r="A406" s="42" t="inlineStr">
        <is>
          <t>251333</t>
        </is>
      </c>
      <c r="B406" s="38" t="inlineStr">
        <is>
          <t>Maials</t>
        </is>
      </c>
      <c r="C406" s="38" t="inlineStr">
        <is>
          <t>33</t>
        </is>
      </c>
      <c r="D406" s="38" t="inlineStr">
        <is>
          <t>Segrià</t>
        </is>
      </c>
    </row>
    <row r="407" ht="15" customHeight="1" s="39">
      <c r="A407" s="42" t="inlineStr">
        <is>
          <t>251305</t>
        </is>
      </c>
      <c r="B407" s="38" t="inlineStr">
        <is>
          <t>Maldà</t>
        </is>
      </c>
      <c r="C407" s="38" t="inlineStr">
        <is>
          <t>38</t>
        </is>
      </c>
      <c r="D407" s="38" t="inlineStr">
        <is>
          <t>Urgell</t>
        </is>
      </c>
    </row>
    <row r="408" ht="15" customHeight="1" s="39">
      <c r="A408" s="42" t="inlineStr">
        <is>
          <t>081108</t>
        </is>
      </c>
      <c r="B408" s="38" t="inlineStr">
        <is>
          <t>Malgrat de Mar</t>
        </is>
      </c>
      <c r="C408" s="38" t="inlineStr">
        <is>
          <t>21</t>
        </is>
      </c>
      <c r="D408" s="38" t="inlineStr">
        <is>
          <t>Maresme</t>
        </is>
      </c>
    </row>
    <row r="409" ht="15" customHeight="1" s="39">
      <c r="A409" s="42" t="inlineStr">
        <is>
          <t>081115</t>
        </is>
      </c>
      <c r="B409" s="38" t="inlineStr">
        <is>
          <t>Malla</t>
        </is>
      </c>
      <c r="C409" s="38" t="inlineStr">
        <is>
          <t>24</t>
        </is>
      </c>
      <c r="D409" s="38" t="inlineStr">
        <is>
          <t>Osona</t>
        </is>
      </c>
    </row>
    <row r="410" ht="15" customHeight="1" s="39">
      <c r="A410" s="42" t="inlineStr">
        <is>
          <t>081120</t>
        </is>
      </c>
      <c r="B410" s="38" t="inlineStr">
        <is>
          <t>Manlleu</t>
        </is>
      </c>
      <c r="C410" s="38" t="inlineStr">
        <is>
          <t>24</t>
        </is>
      </c>
      <c r="D410" s="38" t="inlineStr">
        <is>
          <t>Osona</t>
        </is>
      </c>
    </row>
    <row r="411" ht="15" customHeight="1" s="39">
      <c r="A411" s="42" t="inlineStr">
        <is>
          <t>081136</t>
        </is>
      </c>
      <c r="B411" s="38" t="inlineStr">
        <is>
          <t>Manresa</t>
        </is>
      </c>
      <c r="C411" s="38" t="inlineStr">
        <is>
          <t>07</t>
        </is>
      </c>
      <c r="D411" s="38" t="inlineStr">
        <is>
          <t>Bages</t>
        </is>
      </c>
    </row>
    <row r="412" ht="15" customHeight="1" s="39">
      <c r="A412" s="42" t="inlineStr">
        <is>
          <t>430764</t>
        </is>
      </c>
      <c r="B412" s="38" t="inlineStr">
        <is>
          <t>Marçà</t>
        </is>
      </c>
      <c r="C412" s="38" t="inlineStr">
        <is>
          <t>29</t>
        </is>
      </c>
      <c r="D412" s="38" t="inlineStr">
        <is>
          <t>Priorat</t>
        </is>
      </c>
    </row>
    <row r="413" ht="15" customHeight="1" s="39">
      <c r="A413" s="42" t="inlineStr">
        <is>
          <t>430751</t>
        </is>
      </c>
      <c r="B413" s="38" t="inlineStr">
        <is>
          <t>Margalef</t>
        </is>
      </c>
      <c r="C413" s="38" t="inlineStr">
        <is>
          <t>29</t>
        </is>
      </c>
      <c r="D413" s="38" t="inlineStr">
        <is>
          <t>Priorat</t>
        </is>
      </c>
    </row>
    <row r="414" ht="15" customHeight="1" s="39">
      <c r="A414" s="42" t="inlineStr">
        <is>
          <t>082423</t>
        </is>
      </c>
      <c r="B414" s="38" t="inlineStr">
        <is>
          <t>Marganell</t>
        </is>
      </c>
      <c r="C414" s="38" t="inlineStr">
        <is>
          <t>07</t>
        </is>
      </c>
      <c r="D414" s="38" t="inlineStr">
        <is>
          <t>Bages</t>
        </is>
      </c>
    </row>
    <row r="415" ht="15" customHeight="1" s="39">
      <c r="A415" s="42" t="inlineStr">
        <is>
          <t>081141</t>
        </is>
      </c>
      <c r="B415" s="38" t="inlineStr">
        <is>
          <t>Martorell</t>
        </is>
      </c>
      <c r="C415" s="38" t="inlineStr">
        <is>
          <t>11</t>
        </is>
      </c>
      <c r="D415" s="38" t="inlineStr">
        <is>
          <t>Baix Llobregat</t>
        </is>
      </c>
    </row>
    <row r="416" ht="15" customHeight="1" s="39">
      <c r="A416" s="42" t="inlineStr">
        <is>
          <t>081154</t>
        </is>
      </c>
      <c r="B416" s="38" t="inlineStr">
        <is>
          <t>Martorelles</t>
        </is>
      </c>
      <c r="C416" s="38" t="inlineStr">
        <is>
          <t>41</t>
        </is>
      </c>
      <c r="D416" s="38" t="inlineStr">
        <is>
          <t>Vallès Oriental</t>
        </is>
      </c>
    </row>
    <row r="417" ht="15" customHeight="1" s="39">
      <c r="A417" s="42" t="inlineStr">
        <is>
          <t>430770</t>
        </is>
      </c>
      <c r="B417" s="38" t="inlineStr">
        <is>
          <t>Mas de Barberans</t>
        </is>
      </c>
      <c r="C417" s="38" t="inlineStr">
        <is>
          <t>22</t>
        </is>
      </c>
      <c r="D417" s="38" t="inlineStr">
        <is>
          <t>Montsià</t>
        </is>
      </c>
    </row>
    <row r="418" ht="15" customHeight="1" s="39">
      <c r="A418" s="42" t="inlineStr">
        <is>
          <t>171002</t>
        </is>
      </c>
      <c r="B418" s="38" t="inlineStr">
        <is>
          <t>Masarac i Vilarnadal</t>
        </is>
      </c>
      <c r="C418" s="38" t="inlineStr">
        <is>
          <t>02</t>
        </is>
      </c>
      <c r="D418" s="38" t="inlineStr">
        <is>
          <t>Alt Empordà</t>
        </is>
      </c>
    </row>
    <row r="419" ht="15" customHeight="1" s="39">
      <c r="A419" s="42" t="inlineStr">
        <is>
          <t>430786</t>
        </is>
      </c>
      <c r="B419" s="38" t="inlineStr">
        <is>
          <t>Masdenverge</t>
        </is>
      </c>
      <c r="C419" s="38" t="inlineStr">
        <is>
          <t>22</t>
        </is>
      </c>
      <c r="D419" s="38" t="inlineStr">
        <is>
          <t>Montsià</t>
        </is>
      </c>
    </row>
    <row r="420" ht="15" customHeight="1" s="39">
      <c r="A420" s="42" t="inlineStr">
        <is>
          <t>081167</t>
        </is>
      </c>
      <c r="B420" s="38" t="inlineStr">
        <is>
          <t>Masies de Roda, les</t>
        </is>
      </c>
      <c r="C420" s="38" t="inlineStr">
        <is>
          <t>24</t>
        </is>
      </c>
      <c r="D420" s="38" t="inlineStr">
        <is>
          <t>Osona</t>
        </is>
      </c>
    </row>
    <row r="421" ht="15" customHeight="1" s="39">
      <c r="A421" s="42" t="inlineStr">
        <is>
          <t>081173</t>
        </is>
      </c>
      <c r="B421" s="38" t="inlineStr">
        <is>
          <t>Masies de Voltregà, les</t>
        </is>
      </c>
      <c r="C421" s="38" t="inlineStr">
        <is>
          <t>24</t>
        </is>
      </c>
      <c r="D421" s="38" t="inlineStr">
        <is>
          <t>Osona</t>
        </is>
      </c>
    </row>
    <row r="422" ht="15" customHeight="1" s="39">
      <c r="A422" s="42" t="inlineStr">
        <is>
          <t>430799</t>
        </is>
      </c>
      <c r="B422" s="38" t="inlineStr">
        <is>
          <t>Masllorenç</t>
        </is>
      </c>
      <c r="C422" s="38" t="inlineStr">
        <is>
          <t>12</t>
        </is>
      </c>
      <c r="D422" s="38" t="inlineStr">
        <is>
          <t>Baix Penedès</t>
        </is>
      </c>
    </row>
    <row r="423" ht="15" customHeight="1" s="39">
      <c r="A423" s="42" t="inlineStr">
        <is>
          <t>081189</t>
        </is>
      </c>
      <c r="B423" s="38" t="inlineStr">
        <is>
          <t>Masnou, el</t>
        </is>
      </c>
      <c r="C423" s="38" t="inlineStr">
        <is>
          <t>21</t>
        </is>
      </c>
      <c r="D423" s="38" t="inlineStr">
        <is>
          <t>Maresme</t>
        </is>
      </c>
    </row>
    <row r="424" ht="15" customHeight="1" s="39">
      <c r="A424" s="42" t="inlineStr">
        <is>
          <t>430803</t>
        </is>
      </c>
      <c r="B424" s="38" t="inlineStr">
        <is>
          <t>Masó, la</t>
        </is>
      </c>
      <c r="C424" s="38" t="inlineStr">
        <is>
          <t>01</t>
        </is>
      </c>
      <c r="D424" s="38" t="inlineStr">
        <is>
          <t>Alt Camp</t>
        </is>
      </c>
    </row>
    <row r="425" ht="15" customHeight="1" s="39">
      <c r="A425" s="42" t="inlineStr">
        <is>
          <t>430810</t>
        </is>
      </c>
      <c r="B425" s="38" t="inlineStr">
        <is>
          <t>Maspujols</t>
        </is>
      </c>
      <c r="C425" s="38" t="inlineStr">
        <is>
          <t>08</t>
        </is>
      </c>
      <c r="D425" s="38" t="inlineStr">
        <is>
          <t>Baix Camp</t>
        </is>
      </c>
    </row>
    <row r="426" ht="15" customHeight="1" s="39">
      <c r="A426" s="42" t="inlineStr">
        <is>
          <t>081192</t>
        </is>
      </c>
      <c r="B426" s="38" t="inlineStr">
        <is>
          <t>Masquefa</t>
        </is>
      </c>
      <c r="C426" s="38" t="inlineStr">
        <is>
          <t>06</t>
        </is>
      </c>
      <c r="D426" s="38" t="inlineStr">
        <is>
          <t>Anoia</t>
        </is>
      </c>
    </row>
    <row r="427" ht="15" customHeight="1" s="39">
      <c r="A427" s="42" t="inlineStr">
        <is>
          <t>430825</t>
        </is>
      </c>
      <c r="B427" s="38" t="inlineStr">
        <is>
          <t>Masroig, el</t>
        </is>
      </c>
      <c r="C427" s="38" t="inlineStr">
        <is>
          <t>29</t>
        </is>
      </c>
      <c r="D427" s="38" t="inlineStr">
        <is>
          <t>Priorat</t>
        </is>
      </c>
    </row>
    <row r="428" ht="15" customHeight="1" s="39">
      <c r="A428" s="42" t="inlineStr">
        <is>
          <t>251312</t>
        </is>
      </c>
      <c r="B428" s="38" t="inlineStr">
        <is>
          <t>Massalcoreig</t>
        </is>
      </c>
      <c r="C428" s="38" t="inlineStr">
        <is>
          <t>33</t>
        </is>
      </c>
      <c r="D428" s="38" t="inlineStr">
        <is>
          <t>Segrià</t>
        </is>
      </c>
    </row>
    <row r="429" ht="15" customHeight="1" s="39">
      <c r="A429" s="42" t="inlineStr">
        <is>
          <t>171019</t>
        </is>
      </c>
      <c r="B429" s="38" t="inlineStr">
        <is>
          <t>Massanes</t>
        </is>
      </c>
      <c r="C429" s="38" t="inlineStr">
        <is>
          <t>34</t>
        </is>
      </c>
      <c r="D429" s="38" t="inlineStr">
        <is>
          <t>Selva</t>
        </is>
      </c>
    </row>
    <row r="430" ht="15" customHeight="1" s="39">
      <c r="A430" s="42" t="inlineStr">
        <is>
          <t>251327</t>
        </is>
      </c>
      <c r="B430" s="38" t="inlineStr">
        <is>
          <t>Massoteres</t>
        </is>
      </c>
      <c r="C430" s="38" t="inlineStr">
        <is>
          <t>32</t>
        </is>
      </c>
      <c r="D430" s="38" t="inlineStr">
        <is>
          <t>Segarra</t>
        </is>
      </c>
    </row>
    <row r="431" ht="15" customHeight="1" s="39">
      <c r="A431" s="42" t="inlineStr">
        <is>
          <t>081206</t>
        </is>
      </c>
      <c r="B431" s="38" t="inlineStr">
        <is>
          <t>Matadepera</t>
        </is>
      </c>
      <c r="C431" s="38" t="inlineStr">
        <is>
          <t>40</t>
        </is>
      </c>
      <c r="D431" s="38" t="inlineStr">
        <is>
          <t>Vallès Occidental</t>
        </is>
      </c>
    </row>
    <row r="432" ht="15" customHeight="1" s="39">
      <c r="A432" s="42" t="inlineStr">
        <is>
          <t>081213</t>
        </is>
      </c>
      <c r="B432" s="38" t="inlineStr">
        <is>
          <t>Mataró</t>
        </is>
      </c>
      <c r="C432" s="38" t="inlineStr">
        <is>
          <t>21</t>
        </is>
      </c>
      <c r="D432" s="38" t="inlineStr">
        <is>
          <t>Maresme</t>
        </is>
      </c>
    </row>
    <row r="433" ht="15" customHeight="1" s="39">
      <c r="A433" s="42" t="inlineStr">
        <is>
          <t>081228</t>
        </is>
      </c>
      <c r="B433" s="38" t="inlineStr">
        <is>
          <t>Mediona</t>
        </is>
      </c>
      <c r="C433" s="38" t="inlineStr">
        <is>
          <t>03</t>
        </is>
      </c>
      <c r="D433" s="38" t="inlineStr">
        <is>
          <t>Alt Penedès</t>
        </is>
      </c>
    </row>
    <row r="434" ht="15" customHeight="1" s="39">
      <c r="A434" s="42" t="inlineStr">
        <is>
          <t>251348</t>
        </is>
      </c>
      <c r="B434" s="38" t="inlineStr">
        <is>
          <t>Menàrguens</t>
        </is>
      </c>
      <c r="C434" s="38" t="inlineStr">
        <is>
          <t>23</t>
        </is>
      </c>
      <c r="D434" s="38" t="inlineStr">
        <is>
          <t>Noguera</t>
        </is>
      </c>
    </row>
    <row r="435" ht="15" customHeight="1" s="39">
      <c r="A435" s="42" t="inlineStr">
        <is>
          <t>170998</t>
        </is>
      </c>
      <c r="B435" s="38" t="inlineStr">
        <is>
          <t>Meranges</t>
        </is>
      </c>
      <c r="C435" s="38" t="inlineStr">
        <is>
          <t>15</t>
        </is>
      </c>
      <c r="D435" s="38" t="inlineStr">
        <is>
          <t>Cerdanya</t>
        </is>
      </c>
    </row>
    <row r="436" ht="15" customHeight="1" s="39">
      <c r="A436" s="42" t="inlineStr">
        <is>
          <t>171058</t>
        </is>
      </c>
      <c r="B436" s="38" t="inlineStr">
        <is>
          <t>Mieres</t>
        </is>
      </c>
      <c r="C436" s="38" t="inlineStr">
        <is>
          <t>19</t>
        </is>
      </c>
      <c r="D436" s="38" t="inlineStr">
        <is>
          <t>Garrotxa</t>
        </is>
      </c>
    </row>
    <row r="437" ht="15" customHeight="1" s="39">
      <c r="A437" s="42" t="inlineStr">
        <is>
          <t>430831</t>
        </is>
      </c>
      <c r="B437" s="38" t="inlineStr">
        <is>
          <t>Milà, el</t>
        </is>
      </c>
      <c r="C437" s="38" t="inlineStr">
        <is>
          <t>01</t>
        </is>
      </c>
      <c r="D437" s="38" t="inlineStr">
        <is>
          <t>Alt Camp</t>
        </is>
      </c>
    </row>
    <row r="438" ht="15" customHeight="1" s="39">
      <c r="A438" s="42" t="inlineStr">
        <is>
          <t>251351</t>
        </is>
      </c>
      <c r="B438" s="38" t="inlineStr">
        <is>
          <t>Miralcamp</t>
        </is>
      </c>
      <c r="C438" s="38" t="inlineStr">
        <is>
          <t>27</t>
        </is>
      </c>
      <c r="D438" s="38" t="inlineStr">
        <is>
          <t>Pla d'Urgell</t>
        </is>
      </c>
    </row>
    <row r="439" ht="15" customHeight="1" s="39">
      <c r="A439" s="42" t="inlineStr">
        <is>
          <t>430846</t>
        </is>
      </c>
      <c r="B439" s="38" t="inlineStr">
        <is>
          <t>Miravet</t>
        </is>
      </c>
      <c r="C439" s="38" t="inlineStr">
        <is>
          <t>30</t>
        </is>
      </c>
      <c r="D439" s="38" t="inlineStr">
        <is>
          <t>Ribera d'Ebre</t>
        </is>
      </c>
    </row>
    <row r="440" ht="15" customHeight="1" s="39">
      <c r="A440" s="42" t="inlineStr">
        <is>
          <t>081385</t>
        </is>
      </c>
      <c r="B440" s="38" t="inlineStr">
        <is>
          <t>Moià</t>
        </is>
      </c>
      <c r="C440" s="38" t="inlineStr">
        <is>
          <t>42</t>
        </is>
      </c>
      <c r="D440" s="38" t="inlineStr">
        <is>
          <t>Moianès</t>
        </is>
      </c>
    </row>
    <row r="441" ht="15" customHeight="1" s="39">
      <c r="A441" s="42" t="inlineStr">
        <is>
          <t>430859</t>
        </is>
      </c>
      <c r="B441" s="38" t="inlineStr">
        <is>
          <t>Molar, el</t>
        </is>
      </c>
      <c r="C441" s="38" t="inlineStr">
        <is>
          <t>29</t>
        </is>
      </c>
      <c r="D441" s="38" t="inlineStr">
        <is>
          <t>Priorat</t>
        </is>
      </c>
    </row>
    <row r="442" ht="15" customHeight="1" s="39">
      <c r="A442" s="42" t="inlineStr">
        <is>
          <t>081234</t>
        </is>
      </c>
      <c r="B442" s="38" t="inlineStr">
        <is>
          <t>Molins de Rei</t>
        </is>
      </c>
      <c r="C442" s="38" t="inlineStr">
        <is>
          <t>11</t>
        </is>
      </c>
      <c r="D442" s="38" t="inlineStr">
        <is>
          <t>Baix Llobregat</t>
        </is>
      </c>
    </row>
    <row r="443" ht="15" customHeight="1" s="39">
      <c r="A443" s="42" t="inlineStr">
        <is>
          <t>251370</t>
        </is>
      </c>
      <c r="B443" s="38" t="inlineStr">
        <is>
          <t>Mollerussa</t>
        </is>
      </c>
      <c r="C443" s="38" t="inlineStr">
        <is>
          <t>27</t>
        </is>
      </c>
      <c r="D443" s="38" t="inlineStr">
        <is>
          <t>Pla d'Urgell</t>
        </is>
      </c>
    </row>
    <row r="444" ht="15" customHeight="1" s="39">
      <c r="A444" s="42" t="inlineStr">
        <is>
          <t>171061</t>
        </is>
      </c>
      <c r="B444" s="38" t="inlineStr">
        <is>
          <t>Mollet de Peralada</t>
        </is>
      </c>
      <c r="C444" s="38" t="inlineStr">
        <is>
          <t>02</t>
        </is>
      </c>
      <c r="D444" s="38" t="inlineStr">
        <is>
          <t>Alt Empordà</t>
        </is>
      </c>
    </row>
    <row r="445" ht="15" customHeight="1" s="39">
      <c r="A445" s="42" t="inlineStr">
        <is>
          <t>081249</t>
        </is>
      </c>
      <c r="B445" s="38" t="inlineStr">
        <is>
          <t>Mollet del Vallès</t>
        </is>
      </c>
      <c r="C445" s="38" t="inlineStr">
        <is>
          <t>41</t>
        </is>
      </c>
      <c r="D445" s="38" t="inlineStr">
        <is>
          <t>Vallès Oriental</t>
        </is>
      </c>
    </row>
    <row r="446" ht="15" customHeight="1" s="39">
      <c r="A446" s="42" t="inlineStr">
        <is>
          <t>171077</t>
        </is>
      </c>
      <c r="B446" s="38" t="inlineStr">
        <is>
          <t>Molló</t>
        </is>
      </c>
      <c r="C446" s="38" t="inlineStr">
        <is>
          <t>31</t>
        </is>
      </c>
      <c r="D446" s="38" t="inlineStr">
        <is>
          <t>Ripollès</t>
        </is>
      </c>
    </row>
    <row r="447" ht="15" customHeight="1" s="39">
      <c r="A447" s="42" t="inlineStr">
        <is>
          <t>251364</t>
        </is>
      </c>
      <c r="B447" s="38" t="inlineStr">
        <is>
          <t>Molsosa, la</t>
        </is>
      </c>
      <c r="C447" s="38" t="inlineStr">
        <is>
          <t>35</t>
        </is>
      </c>
      <c r="D447" s="38" t="inlineStr">
        <is>
          <t>Solsonès</t>
        </is>
      </c>
    </row>
    <row r="448" ht="15" customHeight="1" s="39">
      <c r="A448" s="42" t="inlineStr">
        <is>
          <t>081287</t>
        </is>
      </c>
      <c r="B448" s="38" t="inlineStr">
        <is>
          <t>Monistrol de Calders</t>
        </is>
      </c>
      <c r="C448" s="38" t="inlineStr">
        <is>
          <t>42</t>
        </is>
      </c>
      <c r="D448" s="38" t="inlineStr">
        <is>
          <t>Moianès</t>
        </is>
      </c>
    </row>
    <row r="449" ht="15" customHeight="1" s="39">
      <c r="A449" s="42" t="inlineStr">
        <is>
          <t>081271</t>
        </is>
      </c>
      <c r="B449" s="38" t="inlineStr">
        <is>
          <t>Monistrol de Montserrat</t>
        </is>
      </c>
      <c r="C449" s="38" t="inlineStr">
        <is>
          <t>07</t>
        </is>
      </c>
      <c r="D449" s="38" t="inlineStr">
        <is>
          <t>Bages</t>
        </is>
      </c>
    </row>
    <row r="450" ht="15" customHeight="1" s="39">
      <c r="A450" s="42" t="inlineStr">
        <is>
          <t>430918</t>
        </is>
      </c>
      <c r="B450" s="38" t="inlineStr">
        <is>
          <t>Mont-ral</t>
        </is>
      </c>
      <c r="C450" s="38" t="inlineStr">
        <is>
          <t>01</t>
        </is>
      </c>
      <c r="D450" s="38" t="inlineStr">
        <is>
          <t>Alt Camp</t>
        </is>
      </c>
    </row>
    <row r="451" ht="15" customHeight="1" s="39">
      <c r="A451" s="42" t="inlineStr">
        <is>
          <t>171100</t>
        </is>
      </c>
      <c r="B451" s="38" t="inlineStr">
        <is>
          <t>Mont-ras</t>
        </is>
      </c>
      <c r="C451" s="38" t="inlineStr">
        <is>
          <t>10</t>
        </is>
      </c>
      <c r="D451" s="38" t="inlineStr">
        <is>
          <t>Baix Empordà</t>
        </is>
      </c>
    </row>
    <row r="452" ht="15" customHeight="1" s="39">
      <c r="A452" s="42" t="inlineStr">
        <is>
          <t>430923</t>
        </is>
      </c>
      <c r="B452" s="38" t="inlineStr">
        <is>
          <t>Mont-roig del Camp</t>
        </is>
      </c>
      <c r="C452" s="38" t="inlineStr">
        <is>
          <t>08</t>
        </is>
      </c>
      <c r="D452" s="38" t="inlineStr">
        <is>
          <t>Baix Camp</t>
        </is>
      </c>
    </row>
    <row r="453" ht="15" customHeight="1" s="39">
      <c r="A453" s="42" t="inlineStr">
        <is>
          <t>171096</t>
        </is>
      </c>
      <c r="B453" s="38" t="inlineStr">
        <is>
          <t>Montagut i Oix</t>
        </is>
      </c>
      <c r="C453" s="38" t="inlineStr">
        <is>
          <t>19</t>
        </is>
      </c>
      <c r="D453" s="38" t="inlineStr">
        <is>
          <t>Garrotxa</t>
        </is>
      </c>
    </row>
    <row r="454" ht="15" customHeight="1" s="39">
      <c r="A454" s="42" t="inlineStr">
        <is>
          <t>430862</t>
        </is>
      </c>
      <c r="B454" s="38" t="inlineStr">
        <is>
          <t>Montblanc</t>
        </is>
      </c>
      <c r="C454" s="38" t="inlineStr">
        <is>
          <t>16</t>
        </is>
      </c>
      <c r="D454" s="38" t="inlineStr">
        <is>
          <t>Conca de Barberà</t>
        </is>
      </c>
    </row>
    <row r="455" ht="15" customHeight="1" s="39">
      <c r="A455" s="42" t="inlineStr">
        <is>
          <t>430884</t>
        </is>
      </c>
      <c r="B455" s="38" t="inlineStr">
        <is>
          <t>Montbrió del Camp</t>
        </is>
      </c>
      <c r="C455" s="38" t="inlineStr">
        <is>
          <t>08</t>
        </is>
      </c>
      <c r="D455" s="38" t="inlineStr">
        <is>
          <t>Baix Camp</t>
        </is>
      </c>
    </row>
    <row r="456" ht="15" customHeight="1" s="39">
      <c r="A456" s="42" t="inlineStr">
        <is>
          <t>081252</t>
        </is>
      </c>
      <c r="B456" s="38" t="inlineStr">
        <is>
          <t>Montcada i Reixac</t>
        </is>
      </c>
      <c r="C456" s="38" t="inlineStr">
        <is>
          <t>40</t>
        </is>
      </c>
      <c r="D456" s="38" t="inlineStr">
        <is>
          <t>Vallès Occidental</t>
        </is>
      </c>
    </row>
    <row r="457" ht="15" customHeight="1" s="39">
      <c r="A457" s="42" t="inlineStr">
        <is>
          <t>081304</t>
        </is>
      </c>
      <c r="B457" s="38" t="inlineStr">
        <is>
          <t>Montclar</t>
        </is>
      </c>
      <c r="C457" s="38" t="inlineStr">
        <is>
          <t>14</t>
        </is>
      </c>
      <c r="D457" s="38" t="inlineStr">
        <is>
          <t>Berguedà</t>
        </is>
      </c>
    </row>
    <row r="458" ht="15" customHeight="1" s="39">
      <c r="A458" s="42" t="inlineStr">
        <is>
          <t>251399</t>
        </is>
      </c>
      <c r="B458" s="38" t="inlineStr">
        <is>
          <t>Montellà i Martinet</t>
        </is>
      </c>
      <c r="C458" s="38" t="inlineStr">
        <is>
          <t>15</t>
        </is>
      </c>
      <c r="D458" s="38" t="inlineStr">
        <is>
          <t>Cerdanya</t>
        </is>
      </c>
    </row>
    <row r="459" ht="15" customHeight="1" s="39">
      <c r="A459" s="42" t="inlineStr">
        <is>
          <t>081311</t>
        </is>
      </c>
      <c r="B459" s="38" t="inlineStr">
        <is>
          <t>Montesquiu</t>
        </is>
      </c>
      <c r="C459" s="38" t="inlineStr">
        <is>
          <t>24</t>
        </is>
      </c>
      <c r="D459" s="38" t="inlineStr">
        <is>
          <t>Osona</t>
        </is>
      </c>
    </row>
    <row r="460" ht="15" customHeight="1" s="39">
      <c r="A460" s="42" t="inlineStr">
        <is>
          <t>251403</t>
        </is>
      </c>
      <c r="B460" s="38" t="inlineStr">
        <is>
          <t>Montferrer i Castellbò</t>
        </is>
      </c>
      <c r="C460" s="38" t="inlineStr">
        <is>
          <t>04</t>
        </is>
      </c>
      <c r="D460" s="38" t="inlineStr">
        <is>
          <t>Alt Urgell</t>
        </is>
      </c>
    </row>
    <row r="461" ht="15" customHeight="1" s="39">
      <c r="A461" s="42" t="inlineStr">
        <is>
          <t>430897</t>
        </is>
      </c>
      <c r="B461" s="38" t="inlineStr">
        <is>
          <t>Montferri</t>
        </is>
      </c>
      <c r="C461" s="38" t="inlineStr">
        <is>
          <t>01</t>
        </is>
      </c>
      <c r="D461" s="38" t="inlineStr">
        <is>
          <t>Alt Camp</t>
        </is>
      </c>
    </row>
    <row r="462" ht="15" customHeight="1" s="39">
      <c r="A462" s="42" t="inlineStr">
        <is>
          <t>251386</t>
        </is>
      </c>
      <c r="B462" s="38" t="inlineStr">
        <is>
          <t>Montgai</t>
        </is>
      </c>
      <c r="C462" s="38" t="inlineStr">
        <is>
          <t>23</t>
        </is>
      </c>
      <c r="D462" s="38" t="inlineStr">
        <is>
          <t>Noguera</t>
        </is>
      </c>
    </row>
    <row r="463" ht="15" customHeight="1" s="39">
      <c r="A463" s="42" t="inlineStr">
        <is>
          <t>081265</t>
        </is>
      </c>
      <c r="B463" s="38" t="inlineStr">
        <is>
          <t>Montgat</t>
        </is>
      </c>
      <c r="C463" s="38" t="inlineStr">
        <is>
          <t>21</t>
        </is>
      </c>
      <c r="D463" s="38" t="inlineStr">
        <is>
          <t>Maresme</t>
        </is>
      </c>
    </row>
    <row r="464" ht="15" customHeight="1" s="39">
      <c r="A464" s="42" t="inlineStr">
        <is>
          <t>081326</t>
        </is>
      </c>
      <c r="B464" s="38" t="inlineStr">
        <is>
          <t>Montmajor</t>
        </is>
      </c>
      <c r="C464" s="38" t="inlineStr">
        <is>
          <t>14</t>
        </is>
      </c>
      <c r="D464" s="38" t="inlineStr">
        <is>
          <t>Berguedà</t>
        </is>
      </c>
    </row>
    <row r="465" ht="15" customHeight="1" s="39">
      <c r="A465" s="42" t="inlineStr">
        <is>
          <t>081332</t>
        </is>
      </c>
      <c r="B465" s="38" t="inlineStr">
        <is>
          <t>Montmaneu</t>
        </is>
      </c>
      <c r="C465" s="38" t="inlineStr">
        <is>
          <t>06</t>
        </is>
      </c>
      <c r="D465" s="38" t="inlineStr">
        <is>
          <t>Anoia</t>
        </is>
      </c>
    </row>
    <row r="466" ht="15" customHeight="1" s="39">
      <c r="A466" s="42" t="inlineStr">
        <is>
          <t>430901</t>
        </is>
      </c>
      <c r="B466" s="38" t="inlineStr">
        <is>
          <t>Montmell, el</t>
        </is>
      </c>
      <c r="C466" s="38" t="inlineStr">
        <is>
          <t>12</t>
        </is>
      </c>
      <c r="D466" s="38" t="inlineStr">
        <is>
          <t>Baix Penedès</t>
        </is>
      </c>
    </row>
    <row r="467" ht="15" customHeight="1" s="39">
      <c r="A467" s="42" t="inlineStr">
        <is>
          <t>081350</t>
        </is>
      </c>
      <c r="B467" s="38" t="inlineStr">
        <is>
          <t>Montmeló</t>
        </is>
      </c>
      <c r="C467" s="38" t="inlineStr">
        <is>
          <t>41</t>
        </is>
      </c>
      <c r="D467" s="38" t="inlineStr">
        <is>
          <t>Vallès Oriental</t>
        </is>
      </c>
    </row>
    <row r="468" ht="15" customHeight="1" s="39">
      <c r="A468" s="42" t="inlineStr">
        <is>
          <t>251425</t>
        </is>
      </c>
      <c r="B468" s="38" t="inlineStr">
        <is>
          <t>Montoliu de Lleida</t>
        </is>
      </c>
      <c r="C468" s="38" t="inlineStr">
        <is>
          <t>33</t>
        </is>
      </c>
      <c r="D468" s="38" t="inlineStr">
        <is>
          <t>Segrià</t>
        </is>
      </c>
    </row>
    <row r="469" ht="15" customHeight="1" s="39">
      <c r="A469" s="42" t="inlineStr">
        <is>
          <t>251410</t>
        </is>
      </c>
      <c r="B469" s="38" t="inlineStr">
        <is>
          <t>Montoliu de Segarra</t>
        </is>
      </c>
      <c r="C469" s="38" t="inlineStr">
        <is>
          <t>32</t>
        </is>
      </c>
      <c r="D469" s="38" t="inlineStr">
        <is>
          <t>Segarra</t>
        </is>
      </c>
    </row>
    <row r="470" ht="15" customHeight="1" s="39">
      <c r="A470" s="42" t="inlineStr">
        <is>
          <t>251431</t>
        </is>
      </c>
      <c r="B470" s="38" t="inlineStr">
        <is>
          <t>Montornès de Segarra</t>
        </is>
      </c>
      <c r="C470" s="38" t="inlineStr">
        <is>
          <t>32</t>
        </is>
      </c>
      <c r="D470" s="38" t="inlineStr">
        <is>
          <t>Segarra</t>
        </is>
      </c>
    </row>
    <row r="471" ht="15" customHeight="1" s="39">
      <c r="A471" s="42" t="inlineStr">
        <is>
          <t>081363</t>
        </is>
      </c>
      <c r="B471" s="38" t="inlineStr">
        <is>
          <t>Montornès del Vallès</t>
        </is>
      </c>
      <c r="C471" s="38" t="inlineStr">
        <is>
          <t>41</t>
        </is>
      </c>
      <c r="D471" s="38" t="inlineStr">
        <is>
          <t>Vallès Oriental</t>
        </is>
      </c>
    </row>
    <row r="472" ht="15" customHeight="1" s="39">
      <c r="A472" s="42" t="inlineStr">
        <is>
          <t>081379</t>
        </is>
      </c>
      <c r="B472" s="38" t="inlineStr">
        <is>
          <t>Montseny</t>
        </is>
      </c>
      <c r="C472" s="38" t="inlineStr">
        <is>
          <t>41</t>
        </is>
      </c>
      <c r="D472" s="38" t="inlineStr">
        <is>
          <t>Vallès Oriental</t>
        </is>
      </c>
    </row>
    <row r="473" ht="15" customHeight="1" s="39">
      <c r="A473" s="42" t="inlineStr">
        <is>
          <t>430939</t>
        </is>
      </c>
      <c r="B473" s="38" t="inlineStr">
        <is>
          <t>Móra d'Ebre</t>
        </is>
      </c>
      <c r="C473" s="38" t="inlineStr">
        <is>
          <t>30</t>
        </is>
      </c>
      <c r="D473" s="38" t="inlineStr">
        <is>
          <t>Ribera d'Ebre</t>
        </is>
      </c>
    </row>
    <row r="474" ht="15" customHeight="1" s="39">
      <c r="A474" s="42" t="inlineStr">
        <is>
          <t>430944</t>
        </is>
      </c>
      <c r="B474" s="38" t="inlineStr">
        <is>
          <t>Móra la Nova</t>
        </is>
      </c>
      <c r="C474" s="38" t="inlineStr">
        <is>
          <t>30</t>
        </is>
      </c>
      <c r="D474" s="38" t="inlineStr">
        <is>
          <t>Ribera d'Ebre</t>
        </is>
      </c>
    </row>
    <row r="475" ht="15" customHeight="1" s="39">
      <c r="A475" s="42" t="inlineStr">
        <is>
          <t>430957</t>
        </is>
      </c>
      <c r="B475" s="38" t="inlineStr">
        <is>
          <t>Morell, el</t>
        </is>
      </c>
      <c r="C475" s="38" t="inlineStr">
        <is>
          <t>36</t>
        </is>
      </c>
      <c r="D475" s="38" t="inlineStr">
        <is>
          <t>Tarragonès</t>
        </is>
      </c>
    </row>
    <row r="476" ht="15" customHeight="1" s="39">
      <c r="A476" s="42" t="inlineStr">
        <is>
          <t>430960</t>
        </is>
      </c>
      <c r="B476" s="38" t="inlineStr">
        <is>
          <t>Morera de Montsant, la</t>
        </is>
      </c>
      <c r="C476" s="38" t="inlineStr">
        <is>
          <t>29</t>
        </is>
      </c>
      <c r="D476" s="38" t="inlineStr">
        <is>
          <t>Priorat</t>
        </is>
      </c>
    </row>
    <row r="477" ht="15" customHeight="1" s="39">
      <c r="A477" s="42" t="inlineStr">
        <is>
          <t>081290</t>
        </is>
      </c>
      <c r="B477" s="38" t="inlineStr">
        <is>
          <t>Muntanyola</t>
        </is>
      </c>
      <c r="C477" s="38" t="inlineStr">
        <is>
          <t>24</t>
        </is>
      </c>
      <c r="D477" s="38" t="inlineStr">
        <is>
          <t>Osona</t>
        </is>
      </c>
    </row>
    <row r="478" ht="15" customHeight="1" s="39">
      <c r="A478" s="42" t="inlineStr">
        <is>
          <t>081398</t>
        </is>
      </c>
      <c r="B478" s="38" t="inlineStr">
        <is>
          <t>Mura</t>
        </is>
      </c>
      <c r="C478" s="38" t="inlineStr">
        <is>
          <t>07</t>
        </is>
      </c>
      <c r="D478" s="38" t="inlineStr">
        <is>
          <t>Bages</t>
        </is>
      </c>
    </row>
    <row r="479" ht="15" customHeight="1" s="39">
      <c r="A479" s="42" t="inlineStr">
        <is>
          <t>251459</t>
        </is>
      </c>
      <c r="B479" s="38" t="inlineStr">
        <is>
          <t>Nalec</t>
        </is>
      </c>
      <c r="C479" s="38" t="inlineStr">
        <is>
          <t>38</t>
        </is>
      </c>
      <c r="D479" s="38" t="inlineStr">
        <is>
          <t>Urgell</t>
        </is>
      </c>
    </row>
    <row r="480" ht="15" customHeight="1" s="39">
      <c r="A480" s="42" t="inlineStr">
        <is>
          <t>250254</t>
        </is>
      </c>
      <c r="B480" s="38" t="inlineStr">
        <is>
          <t>Naut Aran</t>
        </is>
      </c>
      <c r="C480" s="38" t="inlineStr">
        <is>
          <t>39</t>
        </is>
      </c>
      <c r="D480" s="38" t="inlineStr">
        <is>
          <t>Aran</t>
        </is>
      </c>
    </row>
    <row r="481" ht="15" customHeight="1" s="39">
      <c r="A481" s="42" t="inlineStr">
        <is>
          <t>081402</t>
        </is>
      </c>
      <c r="B481" s="38" t="inlineStr">
        <is>
          <t>Navarcles</t>
        </is>
      </c>
      <c r="C481" s="38" t="inlineStr">
        <is>
          <t>07</t>
        </is>
      </c>
      <c r="D481" s="38" t="inlineStr">
        <is>
          <t>Bages</t>
        </is>
      </c>
    </row>
    <row r="482" ht="15" customHeight="1" s="39">
      <c r="A482" s="42" t="inlineStr">
        <is>
          <t>081419</t>
        </is>
      </c>
      <c r="B482" s="38" t="inlineStr">
        <is>
          <t>Navàs</t>
        </is>
      </c>
      <c r="C482" s="38" t="inlineStr">
        <is>
          <t>07</t>
        </is>
      </c>
      <c r="D482" s="38" t="inlineStr">
        <is>
          <t>Bages</t>
        </is>
      </c>
    </row>
    <row r="483" ht="15" customHeight="1" s="39">
      <c r="A483" s="42" t="inlineStr">
        <is>
          <t>171117</t>
        </is>
      </c>
      <c r="B483" s="38" t="inlineStr">
        <is>
          <t>Navata</t>
        </is>
      </c>
      <c r="C483" s="38" t="inlineStr">
        <is>
          <t>02</t>
        </is>
      </c>
      <c r="D483" s="38" t="inlineStr">
        <is>
          <t>Alt Empordà</t>
        </is>
      </c>
    </row>
    <row r="484" ht="15" customHeight="1" s="39">
      <c r="A484" s="42" t="inlineStr">
        <is>
          <t>251462</t>
        </is>
      </c>
      <c r="B484" s="38" t="inlineStr">
        <is>
          <t>Navès</t>
        </is>
      </c>
      <c r="C484" s="38" t="inlineStr">
        <is>
          <t>35</t>
        </is>
      </c>
      <c r="D484" s="38" t="inlineStr">
        <is>
          <t>Solsonès</t>
        </is>
      </c>
    </row>
    <row r="485" ht="15" customHeight="1" s="39">
      <c r="A485" s="42" t="inlineStr">
        <is>
          <t>081424</t>
        </is>
      </c>
      <c r="B485" s="38" t="inlineStr">
        <is>
          <t>Nou de Berguedà, la</t>
        </is>
      </c>
      <c r="C485" s="38" t="inlineStr">
        <is>
          <t>14</t>
        </is>
      </c>
      <c r="D485" s="38" t="inlineStr">
        <is>
          <t>Berguedà</t>
        </is>
      </c>
    </row>
    <row r="486" ht="15" customHeight="1" s="39">
      <c r="A486" s="42" t="inlineStr">
        <is>
          <t>430976</t>
        </is>
      </c>
      <c r="B486" s="38" t="inlineStr">
        <is>
          <t>Nou de Gaià, la</t>
        </is>
      </c>
      <c r="C486" s="38" t="inlineStr">
        <is>
          <t>36</t>
        </is>
      </c>
      <c r="D486" s="38" t="inlineStr">
        <is>
          <t>Tarragonès</t>
        </is>
      </c>
    </row>
    <row r="487" ht="15" customHeight="1" s="39">
      <c r="A487" s="42" t="inlineStr">
        <is>
          <t>430982</t>
        </is>
      </c>
      <c r="B487" s="38" t="inlineStr">
        <is>
          <t>Nulles</t>
        </is>
      </c>
      <c r="C487" s="38" t="inlineStr">
        <is>
          <t>01</t>
        </is>
      </c>
      <c r="D487" s="38" t="inlineStr">
        <is>
          <t>Alt Camp</t>
        </is>
      </c>
    </row>
    <row r="488" ht="15" customHeight="1" s="39">
      <c r="A488" s="42" t="inlineStr">
        <is>
          <t>251484</t>
        </is>
      </c>
      <c r="B488" s="38" t="inlineStr">
        <is>
          <t>Odèn</t>
        </is>
      </c>
      <c r="C488" s="38" t="inlineStr">
        <is>
          <t>35</t>
        </is>
      </c>
      <c r="D488" s="38" t="inlineStr">
        <is>
          <t>Solsonès</t>
        </is>
      </c>
    </row>
    <row r="489" ht="15" customHeight="1" s="39">
      <c r="A489" s="42" t="inlineStr">
        <is>
          <t>081430</t>
        </is>
      </c>
      <c r="B489" s="38" t="inlineStr">
        <is>
          <t>Òdena</t>
        </is>
      </c>
      <c r="C489" s="38" t="inlineStr">
        <is>
          <t>06</t>
        </is>
      </c>
      <c r="D489" s="38" t="inlineStr">
        <is>
          <t>Anoia</t>
        </is>
      </c>
    </row>
    <row r="490" ht="15" customHeight="1" s="39">
      <c r="A490" s="42" t="inlineStr">
        <is>
          <t>171122</t>
        </is>
      </c>
      <c r="B490" s="38" t="inlineStr">
        <is>
          <t>Ogassa</t>
        </is>
      </c>
      <c r="C490" s="38" t="inlineStr">
        <is>
          <t>31</t>
        </is>
      </c>
      <c r="D490" s="38" t="inlineStr">
        <is>
          <t>Ripollès</t>
        </is>
      </c>
    </row>
    <row r="491" ht="15" customHeight="1" s="39">
      <c r="A491" s="42" t="inlineStr">
        <is>
          <t>081458</t>
        </is>
      </c>
      <c r="B491" s="38" t="inlineStr">
        <is>
          <t>Olèrdola</t>
        </is>
      </c>
      <c r="C491" s="38" t="inlineStr">
        <is>
          <t>03</t>
        </is>
      </c>
      <c r="D491" s="38" t="inlineStr">
        <is>
          <t>Alt Penedès</t>
        </is>
      </c>
    </row>
    <row r="492" ht="15" customHeight="1" s="39">
      <c r="A492" s="42" t="inlineStr">
        <is>
          <t>081461</t>
        </is>
      </c>
      <c r="B492" s="38" t="inlineStr">
        <is>
          <t>Olesa de Bonesvalls</t>
        </is>
      </c>
      <c r="C492" s="38" t="inlineStr">
        <is>
          <t>03</t>
        </is>
      </c>
      <c r="D492" s="38" t="inlineStr">
        <is>
          <t>Alt Penedès</t>
        </is>
      </c>
    </row>
    <row r="493" ht="15" customHeight="1" s="39">
      <c r="A493" s="42" t="inlineStr">
        <is>
          <t>081477</t>
        </is>
      </c>
      <c r="B493" s="38" t="inlineStr">
        <is>
          <t>Olesa de Montserrat</t>
        </is>
      </c>
      <c r="C493" s="38" t="inlineStr">
        <is>
          <t>11</t>
        </is>
      </c>
      <c r="D493" s="38" t="inlineStr">
        <is>
          <t>Baix Llobregat</t>
        </is>
      </c>
    </row>
    <row r="494" ht="15" customHeight="1" s="39">
      <c r="A494" s="42" t="inlineStr">
        <is>
          <t>251497</t>
        </is>
      </c>
      <c r="B494" s="38" t="inlineStr">
        <is>
          <t>Oliana</t>
        </is>
      </c>
      <c r="C494" s="38" t="inlineStr">
        <is>
          <t>04</t>
        </is>
      </c>
      <c r="D494" s="38" t="inlineStr">
        <is>
          <t>Alt Urgell</t>
        </is>
      </c>
    </row>
    <row r="495" ht="15" customHeight="1" s="39">
      <c r="A495" s="42" t="inlineStr">
        <is>
          <t>251500</t>
        </is>
      </c>
      <c r="B495" s="38" t="inlineStr">
        <is>
          <t>Oliola</t>
        </is>
      </c>
      <c r="C495" s="38" t="inlineStr">
        <is>
          <t>23</t>
        </is>
      </c>
      <c r="D495" s="38" t="inlineStr">
        <is>
          <t>Noguera</t>
        </is>
      </c>
    </row>
    <row r="496" ht="15" customHeight="1" s="39">
      <c r="A496" s="42" t="inlineStr">
        <is>
          <t>251517</t>
        </is>
      </c>
      <c r="B496" s="38" t="inlineStr">
        <is>
          <t>Olius</t>
        </is>
      </c>
      <c r="C496" s="38" t="inlineStr">
        <is>
          <t>35</t>
        </is>
      </c>
      <c r="D496" s="38" t="inlineStr">
        <is>
          <t>Solsonès</t>
        </is>
      </c>
    </row>
    <row r="497" ht="15" customHeight="1" s="39">
      <c r="A497" s="42" t="inlineStr">
        <is>
          <t>081483</t>
        </is>
      </c>
      <c r="B497" s="38" t="inlineStr">
        <is>
          <t>Olivella</t>
        </is>
      </c>
      <c r="C497" s="38" t="inlineStr">
        <is>
          <t>17</t>
        </is>
      </c>
      <c r="D497" s="38" t="inlineStr">
        <is>
          <t>Garraf</t>
        </is>
      </c>
    </row>
    <row r="498" ht="15" customHeight="1" s="39">
      <c r="A498" s="42" t="inlineStr">
        <is>
          <t>081496</t>
        </is>
      </c>
      <c r="B498" s="38" t="inlineStr">
        <is>
          <t>Olost</t>
        </is>
      </c>
      <c r="C498" s="38" t="inlineStr">
        <is>
          <t>43</t>
        </is>
      </c>
      <c r="D498" s="38" t="inlineStr">
        <is>
          <t>Lluçanès</t>
        </is>
      </c>
    </row>
    <row r="499" ht="15" customHeight="1" s="39">
      <c r="A499" s="42" t="inlineStr">
        <is>
          <t>171143</t>
        </is>
      </c>
      <c r="B499" s="38" t="inlineStr">
        <is>
          <t>Olot</t>
        </is>
      </c>
      <c r="C499" s="38" t="inlineStr">
        <is>
          <t>19</t>
        </is>
      </c>
      <c r="D499" s="38" t="inlineStr">
        <is>
          <t>Garrotxa</t>
        </is>
      </c>
    </row>
    <row r="500" ht="15" customHeight="1" s="39">
      <c r="A500" s="42" t="inlineStr">
        <is>
          <t>251522</t>
        </is>
      </c>
      <c r="B500" s="38" t="inlineStr">
        <is>
          <t>Oluges, les</t>
        </is>
      </c>
      <c r="C500" s="38" t="inlineStr">
        <is>
          <t>32</t>
        </is>
      </c>
      <c r="D500" s="38" t="inlineStr">
        <is>
          <t>Segarra</t>
        </is>
      </c>
    </row>
    <row r="501" ht="15" customHeight="1" s="39">
      <c r="A501" s="42" t="inlineStr">
        <is>
          <t>081445</t>
        </is>
      </c>
      <c r="B501" s="38" t="inlineStr">
        <is>
          <t>Olvan</t>
        </is>
      </c>
      <c r="C501" s="38" t="inlineStr">
        <is>
          <t>14</t>
        </is>
      </c>
      <c r="D501" s="38" t="inlineStr">
        <is>
          <t>Berguedà</t>
        </is>
      </c>
    </row>
    <row r="502" ht="15" customHeight="1" s="39">
      <c r="A502" s="42" t="inlineStr">
        <is>
          <t>251538</t>
        </is>
      </c>
      <c r="B502" s="38" t="inlineStr">
        <is>
          <t>Omellons, els</t>
        </is>
      </c>
      <c r="C502" s="38" t="inlineStr">
        <is>
          <t>18</t>
        </is>
      </c>
      <c r="D502" s="38" t="inlineStr">
        <is>
          <t>Garrigues</t>
        </is>
      </c>
    </row>
    <row r="503" ht="15" customHeight="1" s="39">
      <c r="A503" s="42" t="inlineStr">
        <is>
          <t>251543</t>
        </is>
      </c>
      <c r="B503" s="38" t="inlineStr">
        <is>
          <t>Omells de na Gaia, els</t>
        </is>
      </c>
      <c r="C503" s="38" t="inlineStr">
        <is>
          <t>38</t>
        </is>
      </c>
      <c r="D503" s="38" t="inlineStr">
        <is>
          <t>Urgell</t>
        </is>
      </c>
    </row>
    <row r="504" ht="15" customHeight="1" s="39">
      <c r="A504" s="42" t="inlineStr">
        <is>
          <t>171156</t>
        </is>
      </c>
      <c r="B504" s="38" t="inlineStr">
        <is>
          <t>Ordis</t>
        </is>
      </c>
      <c r="C504" s="38" t="inlineStr">
        <is>
          <t>02</t>
        </is>
      </c>
      <c r="D504" s="38" t="inlineStr">
        <is>
          <t>Alt Empordà</t>
        </is>
      </c>
    </row>
    <row r="505" ht="15" customHeight="1" s="39">
      <c r="A505" s="42" t="inlineStr">
        <is>
          <t>251556</t>
        </is>
      </c>
      <c r="B505" s="38" t="inlineStr">
        <is>
          <t>Organyà</t>
        </is>
      </c>
      <c r="C505" s="38" t="inlineStr">
        <is>
          <t>04</t>
        </is>
      </c>
      <c r="D505" s="38" t="inlineStr">
        <is>
          <t>Alt Urgell</t>
        </is>
      </c>
    </row>
    <row r="506" ht="15" customHeight="1" s="39">
      <c r="A506" s="42" t="inlineStr">
        <is>
          <t>081509</t>
        </is>
      </c>
      <c r="B506" s="38" t="inlineStr">
        <is>
          <t>Orís</t>
        </is>
      </c>
      <c r="C506" s="38" t="inlineStr">
        <is>
          <t>24</t>
        </is>
      </c>
      <c r="D506" s="38" t="inlineStr">
        <is>
          <t>Osona</t>
        </is>
      </c>
    </row>
    <row r="507" ht="15" customHeight="1" s="39">
      <c r="A507" s="42" t="inlineStr">
        <is>
          <t>081516</t>
        </is>
      </c>
      <c r="B507" s="38" t="inlineStr">
        <is>
          <t>Oristà</t>
        </is>
      </c>
      <c r="C507" s="38" t="inlineStr">
        <is>
          <t>43</t>
        </is>
      </c>
      <c r="D507" s="38" t="inlineStr">
        <is>
          <t>Lluçanès</t>
        </is>
      </c>
    </row>
    <row r="508" ht="15" customHeight="1" s="39">
      <c r="A508" s="42" t="inlineStr">
        <is>
          <t>081521</t>
        </is>
      </c>
      <c r="B508" s="38" t="inlineStr">
        <is>
          <t>Orpí</t>
        </is>
      </c>
      <c r="C508" s="38" t="inlineStr">
        <is>
          <t>06</t>
        </is>
      </c>
      <c r="D508" s="38" t="inlineStr">
        <is>
          <t>Anoia</t>
        </is>
      </c>
    </row>
    <row r="509" ht="15" customHeight="1" s="39">
      <c r="A509" s="42" t="inlineStr">
        <is>
          <t>081537</t>
        </is>
      </c>
      <c r="B509" s="38" t="inlineStr">
        <is>
          <t>Òrrius</t>
        </is>
      </c>
      <c r="C509" s="38" t="inlineStr">
        <is>
          <t>21</t>
        </is>
      </c>
      <c r="D509" s="38" t="inlineStr">
        <is>
          <t>Maresme</t>
        </is>
      </c>
    </row>
    <row r="510" ht="15" customHeight="1" s="39">
      <c r="A510" s="42" t="inlineStr">
        <is>
          <t>251569</t>
        </is>
      </c>
      <c r="B510" s="38" t="inlineStr">
        <is>
          <t>Os de Balaguer</t>
        </is>
      </c>
      <c r="C510" s="38" t="inlineStr">
        <is>
          <t>23</t>
        </is>
      </c>
      <c r="D510" s="38" t="inlineStr">
        <is>
          <t>Noguera</t>
        </is>
      </c>
    </row>
    <row r="511" ht="15" customHeight="1" s="39">
      <c r="A511" s="42" t="inlineStr">
        <is>
          <t>171169</t>
        </is>
      </c>
      <c r="B511" s="38" t="inlineStr">
        <is>
          <t>Osor</t>
        </is>
      </c>
      <c r="C511" s="38" t="inlineStr">
        <is>
          <t>34</t>
        </is>
      </c>
      <c r="D511" s="38" t="inlineStr">
        <is>
          <t>Selva</t>
        </is>
      </c>
    </row>
    <row r="512" ht="15" customHeight="1" s="39">
      <c r="A512" s="42" t="inlineStr">
        <is>
          <t>251575</t>
        </is>
      </c>
      <c r="B512" s="38" t="inlineStr">
        <is>
          <t>Ossó de Sió</t>
        </is>
      </c>
      <c r="C512" s="38" t="inlineStr">
        <is>
          <t>38</t>
        </is>
      </c>
      <c r="D512" s="38" t="inlineStr">
        <is>
          <t>Urgell</t>
        </is>
      </c>
    </row>
    <row r="513" ht="15" customHeight="1" s="39">
      <c r="A513" s="42" t="inlineStr">
        <is>
          <t>081542</t>
        </is>
      </c>
      <c r="B513" s="38" t="inlineStr">
        <is>
          <t>Pacs del Penedès</t>
        </is>
      </c>
      <c r="C513" s="38" t="inlineStr">
        <is>
          <t>03</t>
        </is>
      </c>
      <c r="D513" s="38" t="inlineStr">
        <is>
          <t>Alt Penedès</t>
        </is>
      </c>
    </row>
    <row r="514" ht="15" customHeight="1" s="39">
      <c r="A514" s="42" t="inlineStr">
        <is>
          <t>081555</t>
        </is>
      </c>
      <c r="B514" s="38" t="inlineStr">
        <is>
          <t>Palafolls</t>
        </is>
      </c>
      <c r="C514" s="38" t="inlineStr">
        <is>
          <t>21</t>
        </is>
      </c>
      <c r="D514" s="38" t="inlineStr">
        <is>
          <t>Maresme</t>
        </is>
      </c>
    </row>
    <row r="515" ht="15" customHeight="1" s="39">
      <c r="A515" s="42" t="inlineStr">
        <is>
          <t>171175</t>
        </is>
      </c>
      <c r="B515" s="38" t="inlineStr">
        <is>
          <t>Palafrugell</t>
        </is>
      </c>
      <c r="C515" s="38" t="inlineStr">
        <is>
          <t>10</t>
        </is>
      </c>
      <c r="D515" s="38" t="inlineStr">
        <is>
          <t>Baix Empordà</t>
        </is>
      </c>
    </row>
    <row r="516" ht="15" customHeight="1" s="39">
      <c r="A516" s="42" t="inlineStr">
        <is>
          <t>171181</t>
        </is>
      </c>
      <c r="B516" s="38" t="inlineStr">
        <is>
          <t>Palamós</t>
        </is>
      </c>
      <c r="C516" s="38" t="inlineStr">
        <is>
          <t>10</t>
        </is>
      </c>
      <c r="D516" s="38" t="inlineStr">
        <is>
          <t>Baix Empordà</t>
        </is>
      </c>
    </row>
    <row r="517" ht="15" customHeight="1" s="39">
      <c r="A517" s="42" t="inlineStr">
        <is>
          <t>251581</t>
        </is>
      </c>
      <c r="B517" s="38" t="inlineStr">
        <is>
          <t>Palau d'Anglesola, el</t>
        </is>
      </c>
      <c r="C517" s="38" t="inlineStr">
        <is>
          <t>27</t>
        </is>
      </c>
      <c r="D517" s="38" t="inlineStr">
        <is>
          <t>Pla d'Urgell</t>
        </is>
      </c>
    </row>
    <row r="518" ht="15" customHeight="1" s="39">
      <c r="A518" s="42" t="inlineStr">
        <is>
          <t>171194</t>
        </is>
      </c>
      <c r="B518" s="38" t="inlineStr">
        <is>
          <t>Palau de Santa Eulàlia</t>
        </is>
      </c>
      <c r="C518" s="38" t="inlineStr">
        <is>
          <t>02</t>
        </is>
      </c>
      <c r="D518" s="38" t="inlineStr">
        <is>
          <t>Alt Empordà</t>
        </is>
      </c>
    </row>
    <row r="519" ht="15" customHeight="1" s="39">
      <c r="A519" s="42" t="inlineStr">
        <is>
          <t>171215</t>
        </is>
      </c>
      <c r="B519" s="38" t="inlineStr">
        <is>
          <t>Palau-sator</t>
        </is>
      </c>
      <c r="C519" s="38" t="inlineStr">
        <is>
          <t>10</t>
        </is>
      </c>
      <c r="D519" s="38" t="inlineStr">
        <is>
          <t>Baix Empordà</t>
        </is>
      </c>
    </row>
    <row r="520" ht="15" customHeight="1" s="39">
      <c r="A520" s="42" t="inlineStr">
        <is>
          <t>171208</t>
        </is>
      </c>
      <c r="B520" s="38" t="inlineStr">
        <is>
          <t>Palau-saverdera</t>
        </is>
      </c>
      <c r="C520" s="38" t="inlineStr">
        <is>
          <t>02</t>
        </is>
      </c>
      <c r="D520" s="38" t="inlineStr">
        <is>
          <t>Alt Empordà</t>
        </is>
      </c>
    </row>
    <row r="521" ht="15" customHeight="1" s="39">
      <c r="A521" s="42" t="inlineStr">
        <is>
          <t>081568</t>
        </is>
      </c>
      <c r="B521" s="38" t="inlineStr">
        <is>
          <t>Palau-solità i Plegamans</t>
        </is>
      </c>
      <c r="C521" s="38" t="inlineStr">
        <is>
          <t>40</t>
        </is>
      </c>
      <c r="D521" s="38" t="inlineStr">
        <is>
          <t>Vallès Occidental</t>
        </is>
      </c>
    </row>
    <row r="522" ht="15" customHeight="1" s="39">
      <c r="A522" s="42" t="inlineStr">
        <is>
          <t>431009</t>
        </is>
      </c>
      <c r="B522" s="38" t="inlineStr">
        <is>
          <t>Pallaresos, els</t>
        </is>
      </c>
      <c r="C522" s="38" t="inlineStr">
        <is>
          <t>36</t>
        </is>
      </c>
      <c r="D522" s="38" t="inlineStr">
        <is>
          <t>Tarragonès</t>
        </is>
      </c>
    </row>
    <row r="523" ht="15" customHeight="1" s="39">
      <c r="A523" s="42" t="inlineStr">
        <is>
          <t>081574</t>
        </is>
      </c>
      <c r="B523" s="38" t="inlineStr">
        <is>
          <t>Pallejà</t>
        </is>
      </c>
      <c r="C523" s="38" t="inlineStr">
        <is>
          <t>11</t>
        </is>
      </c>
      <c r="D523" s="38" t="inlineStr">
        <is>
          <t>Baix Llobregat</t>
        </is>
      </c>
    </row>
    <row r="524" ht="15" customHeight="1" s="39">
      <c r="A524" s="42" t="inlineStr">
        <is>
          <t>430995</t>
        </is>
      </c>
      <c r="B524" s="38" t="inlineStr">
        <is>
          <t>Palma d'Ebre, la</t>
        </is>
      </c>
      <c r="C524" s="38" t="inlineStr">
        <is>
          <t>30</t>
        </is>
      </c>
      <c r="D524" s="38" t="inlineStr">
        <is>
          <t>Ribera d'Ebre</t>
        </is>
      </c>
    </row>
    <row r="525" ht="15" customHeight="1" s="39">
      <c r="A525" s="42" t="inlineStr">
        <is>
          <t>089058</t>
        </is>
      </c>
      <c r="B525" s="38" t="inlineStr">
        <is>
          <t>Palma de Cervelló, la</t>
        </is>
      </c>
      <c r="C525" s="38" t="inlineStr">
        <is>
          <t>11</t>
        </is>
      </c>
      <c r="D525" s="38" t="inlineStr">
        <is>
          <t>Baix Llobregat</t>
        </is>
      </c>
    </row>
    <row r="526" ht="15" customHeight="1" s="39">
      <c r="A526" s="42" t="inlineStr">
        <is>
          <t>171236</t>
        </is>
      </c>
      <c r="B526" s="38" t="inlineStr">
        <is>
          <t>Palol de Revardit</t>
        </is>
      </c>
      <c r="C526" s="38" t="inlineStr">
        <is>
          <t>28</t>
        </is>
      </c>
      <c r="D526" s="38" t="inlineStr">
        <is>
          <t>Pla de l'Estany</t>
        </is>
      </c>
    </row>
    <row r="527" ht="15" customHeight="1" s="39">
      <c r="A527" s="42" t="inlineStr">
        <is>
          <t>171241</t>
        </is>
      </c>
      <c r="B527" s="38" t="inlineStr">
        <is>
          <t>Pals</t>
        </is>
      </c>
      <c r="C527" s="38" t="inlineStr">
        <is>
          <t>10</t>
        </is>
      </c>
      <c r="D527" s="38" t="inlineStr">
        <is>
          <t>Baix Empordà</t>
        </is>
      </c>
    </row>
    <row r="528" ht="15" customHeight="1" s="39">
      <c r="A528" s="42" t="inlineStr">
        <is>
          <t>081580</t>
        </is>
      </c>
      <c r="B528" s="38" t="inlineStr">
        <is>
          <t>Papiol, el</t>
        </is>
      </c>
      <c r="C528" s="38" t="inlineStr">
        <is>
          <t>11</t>
        </is>
      </c>
      <c r="D528" s="38" t="inlineStr">
        <is>
          <t>Baix Llobregat</t>
        </is>
      </c>
    </row>
    <row r="529" ht="15" customHeight="1" s="39">
      <c r="A529" s="42" t="inlineStr">
        <is>
          <t>171254</t>
        </is>
      </c>
      <c r="B529" s="38" t="inlineStr">
        <is>
          <t>Pardines</t>
        </is>
      </c>
      <c r="C529" s="38" t="inlineStr">
        <is>
          <t>31</t>
        </is>
      </c>
      <c r="D529" s="38" t="inlineStr">
        <is>
          <t>Ripollès</t>
        </is>
      </c>
    </row>
    <row r="530" ht="15" customHeight="1" s="39">
      <c r="A530" s="42" t="inlineStr">
        <is>
          <t>081593</t>
        </is>
      </c>
      <c r="B530" s="38" t="inlineStr">
        <is>
          <t>Parets del Vallès</t>
        </is>
      </c>
      <c r="C530" s="38" t="inlineStr">
        <is>
          <t>41</t>
        </is>
      </c>
      <c r="D530" s="38" t="inlineStr">
        <is>
          <t>Vallès Oriental</t>
        </is>
      </c>
    </row>
    <row r="531" ht="15" customHeight="1" s="39">
      <c r="A531" s="42" t="inlineStr">
        <is>
          <t>171267</t>
        </is>
      </c>
      <c r="B531" s="38" t="inlineStr">
        <is>
          <t>Parlavà</t>
        </is>
      </c>
      <c r="C531" s="38" t="inlineStr">
        <is>
          <t>10</t>
        </is>
      </c>
      <c r="D531" s="38" t="inlineStr">
        <is>
          <t>Baix Empordà</t>
        </is>
      </c>
    </row>
    <row r="532" ht="15" customHeight="1" s="39">
      <c r="A532" s="42" t="inlineStr">
        <is>
          <t>431016</t>
        </is>
      </c>
      <c r="B532" s="38" t="inlineStr">
        <is>
          <t>Passanant i Belltall</t>
        </is>
      </c>
      <c r="C532" s="38" t="inlineStr">
        <is>
          <t>16</t>
        </is>
      </c>
      <c r="D532" s="38" t="inlineStr">
        <is>
          <t>Conca de Barberà</t>
        </is>
      </c>
    </row>
    <row r="533" ht="15" customHeight="1" s="39">
      <c r="A533" s="42" t="inlineStr">
        <is>
          <t>171289</t>
        </is>
      </c>
      <c r="B533" s="38" t="inlineStr">
        <is>
          <t>Pau</t>
        </is>
      </c>
      <c r="C533" s="38" t="inlineStr">
        <is>
          <t>02</t>
        </is>
      </c>
      <c r="D533" s="38" t="inlineStr">
        <is>
          <t>Alt Empordà</t>
        </is>
      </c>
    </row>
    <row r="534" ht="15" customHeight="1" s="39">
      <c r="A534" s="42" t="inlineStr">
        <is>
          <t>431021</t>
        </is>
      </c>
      <c r="B534" s="38" t="inlineStr">
        <is>
          <t>Paüls</t>
        </is>
      </c>
      <c r="C534" s="38" t="inlineStr">
        <is>
          <t>09</t>
        </is>
      </c>
      <c r="D534" s="38" t="inlineStr">
        <is>
          <t>Baix Ebre</t>
        </is>
      </c>
    </row>
    <row r="535" ht="15" customHeight="1" s="39">
      <c r="A535" s="42" t="inlineStr">
        <is>
          <t>171292</t>
        </is>
      </c>
      <c r="B535" s="38" t="inlineStr">
        <is>
          <t>Pedret i Marzà</t>
        </is>
      </c>
      <c r="C535" s="38" t="inlineStr">
        <is>
          <t>02</t>
        </is>
      </c>
      <c r="D535" s="38" t="inlineStr">
        <is>
          <t>Alt Empordà</t>
        </is>
      </c>
    </row>
    <row r="536" ht="15" customHeight="1" s="39">
      <c r="A536" s="42" t="inlineStr">
        <is>
          <t>251641</t>
        </is>
      </c>
      <c r="B536" s="38" t="inlineStr">
        <is>
          <t>Penelles</t>
        </is>
      </c>
      <c r="C536" s="38" t="inlineStr">
        <is>
          <t>23</t>
        </is>
      </c>
      <c r="D536" s="38" t="inlineStr">
        <is>
          <t>Noguera</t>
        </is>
      </c>
    </row>
    <row r="537" ht="15" customHeight="1" s="39">
      <c r="A537" s="42" t="inlineStr">
        <is>
          <t>171306</t>
        </is>
      </c>
      <c r="B537" s="38" t="inlineStr">
        <is>
          <t>Pera, la</t>
        </is>
      </c>
      <c r="C537" s="38" t="inlineStr">
        <is>
          <t>10</t>
        </is>
      </c>
      <c r="D537" s="38" t="inlineStr">
        <is>
          <t>Baix Empordà</t>
        </is>
      </c>
    </row>
    <row r="538" ht="15" customHeight="1" s="39">
      <c r="A538" s="42" t="inlineStr">
        <is>
          <t>081607</t>
        </is>
      </c>
      <c r="B538" s="38" t="inlineStr">
        <is>
          <t>Perafita</t>
        </is>
      </c>
      <c r="C538" s="38" t="inlineStr">
        <is>
          <t>43</t>
        </is>
      </c>
      <c r="D538" s="38" t="inlineStr">
        <is>
          <t>Lluçanès</t>
        </is>
      </c>
    </row>
    <row r="539" ht="15" customHeight="1" s="39">
      <c r="A539" s="42" t="inlineStr">
        <is>
          <t>431037</t>
        </is>
      </c>
      <c r="B539" s="38" t="inlineStr">
        <is>
          <t>Perafort</t>
        </is>
      </c>
      <c r="C539" s="38" t="inlineStr">
        <is>
          <t>36</t>
        </is>
      </c>
      <c r="D539" s="38" t="inlineStr">
        <is>
          <t>Tarragonès</t>
        </is>
      </c>
    </row>
    <row r="540" ht="15" customHeight="1" s="39">
      <c r="A540" s="42" t="inlineStr">
        <is>
          <t>171328</t>
        </is>
      </c>
      <c r="B540" s="38" t="inlineStr">
        <is>
          <t>Peralada</t>
        </is>
      </c>
      <c r="C540" s="38" t="inlineStr">
        <is>
          <t>02</t>
        </is>
      </c>
      <c r="D540" s="38" t="inlineStr">
        <is>
          <t>Alt Empordà</t>
        </is>
      </c>
    </row>
    <row r="541" ht="15" customHeight="1" s="39">
      <c r="A541" s="42" t="inlineStr">
        <is>
          <t>251654</t>
        </is>
      </c>
      <c r="B541" s="38" t="inlineStr">
        <is>
          <t>Peramola</t>
        </is>
      </c>
      <c r="C541" s="38" t="inlineStr">
        <is>
          <t>04</t>
        </is>
      </c>
      <c r="D541" s="38" t="inlineStr">
        <is>
          <t>Alt Urgell</t>
        </is>
      </c>
    </row>
    <row r="542" ht="15" customHeight="1" s="39">
      <c r="A542" s="42" t="inlineStr">
        <is>
          <t>431042</t>
        </is>
      </c>
      <c r="B542" s="38" t="inlineStr">
        <is>
          <t>Perelló, el</t>
        </is>
      </c>
      <c r="C542" s="38" t="inlineStr">
        <is>
          <t>09</t>
        </is>
      </c>
      <c r="D542" s="38" t="inlineStr">
        <is>
          <t>Baix Ebre</t>
        </is>
      </c>
    </row>
    <row r="543" ht="15" customHeight="1" s="39">
      <c r="A543" s="42" t="inlineStr">
        <is>
          <t>081614</t>
        </is>
      </c>
      <c r="B543" s="38" t="inlineStr">
        <is>
          <t>Piera</t>
        </is>
      </c>
      <c r="C543" s="38" t="inlineStr">
        <is>
          <t>06</t>
        </is>
      </c>
      <c r="D543" s="38" t="inlineStr">
        <is>
          <t>Anoia</t>
        </is>
      </c>
    </row>
    <row r="544" ht="15" customHeight="1" s="39">
      <c r="A544" s="42" t="inlineStr">
        <is>
          <t>431055</t>
        </is>
      </c>
      <c r="B544" s="38" t="inlineStr">
        <is>
          <t>Piles, les</t>
        </is>
      </c>
      <c r="C544" s="38" t="inlineStr">
        <is>
          <t>16</t>
        </is>
      </c>
      <c r="D544" s="38" t="inlineStr">
        <is>
          <t>Conca de Barberà</t>
        </is>
      </c>
    </row>
    <row r="545" ht="15" customHeight="1" s="39">
      <c r="A545" s="42" t="inlineStr">
        <is>
          <t>081635</t>
        </is>
      </c>
      <c r="B545" s="38" t="inlineStr">
        <is>
          <t>Pineda de Mar</t>
        </is>
      </c>
      <c r="C545" s="38" t="inlineStr">
        <is>
          <t>21</t>
        </is>
      </c>
      <c r="D545" s="38" t="inlineStr">
        <is>
          <t>Maresme</t>
        </is>
      </c>
    </row>
    <row r="546" ht="15" customHeight="1" s="39">
      <c r="A546" s="42" t="inlineStr">
        <is>
          <t>431068</t>
        </is>
      </c>
      <c r="B546" s="38" t="inlineStr">
        <is>
          <t>Pinell de Brai, el</t>
        </is>
      </c>
      <c r="C546" s="38" t="inlineStr">
        <is>
          <t>37</t>
        </is>
      </c>
      <c r="D546" s="38" t="inlineStr">
        <is>
          <t>Terra Alta</t>
        </is>
      </c>
    </row>
    <row r="547" ht="15" customHeight="1" s="39">
      <c r="A547" s="42" t="inlineStr">
        <is>
          <t>251667</t>
        </is>
      </c>
      <c r="B547" s="38" t="inlineStr">
        <is>
          <t>Pinell de Solsonès</t>
        </is>
      </c>
      <c r="C547" s="38" t="inlineStr">
        <is>
          <t>35</t>
        </is>
      </c>
      <c r="D547" s="38" t="inlineStr">
        <is>
          <t>Solsonès</t>
        </is>
      </c>
    </row>
    <row r="548" ht="15" customHeight="1" s="39">
      <c r="A548" s="42" t="inlineStr">
        <is>
          <t>251673</t>
        </is>
      </c>
      <c r="B548" s="38" t="inlineStr">
        <is>
          <t>Pinós</t>
        </is>
      </c>
      <c r="C548" s="38" t="inlineStr">
        <is>
          <t>35</t>
        </is>
      </c>
      <c r="D548" s="38" t="inlineStr">
        <is>
          <t>Solsonès</t>
        </is>
      </c>
    </row>
    <row r="549" ht="15" customHeight="1" s="39">
      <c r="A549" s="42" t="inlineStr">
        <is>
          <t>431074</t>
        </is>
      </c>
      <c r="B549" s="38" t="inlineStr">
        <is>
          <t>Pira</t>
        </is>
      </c>
      <c r="C549" s="38" t="inlineStr">
        <is>
          <t>16</t>
        </is>
      </c>
      <c r="D549" s="38" t="inlineStr">
        <is>
          <t>Conca de Barberà</t>
        </is>
      </c>
    </row>
    <row r="550" ht="15" customHeight="1" s="39">
      <c r="A550" s="42" t="inlineStr">
        <is>
          <t>431080</t>
        </is>
      </c>
      <c r="B550" s="38" t="inlineStr">
        <is>
          <t>Pla de Santa Maria, el</t>
        </is>
      </c>
      <c r="C550" s="38" t="inlineStr">
        <is>
          <t>01</t>
        </is>
      </c>
      <c r="D550" s="38" t="inlineStr">
        <is>
          <t>Alt Camp</t>
        </is>
      </c>
    </row>
    <row r="551" ht="15" customHeight="1" s="39">
      <c r="A551" s="42" t="inlineStr">
        <is>
          <t>081640</t>
        </is>
      </c>
      <c r="B551" s="38" t="inlineStr">
        <is>
          <t>Pla del Penedès, el</t>
        </is>
      </c>
      <c r="C551" s="38" t="inlineStr">
        <is>
          <t>03</t>
        </is>
      </c>
      <c r="D551" s="38" t="inlineStr">
        <is>
          <t>Alt Penedès</t>
        </is>
      </c>
    </row>
    <row r="552" ht="15" customHeight="1" s="39">
      <c r="A552" s="42" t="inlineStr">
        <is>
          <t>171334</t>
        </is>
      </c>
      <c r="B552" s="38" t="inlineStr">
        <is>
          <t>Planes d'Hostoles, les</t>
        </is>
      </c>
      <c r="C552" s="38" t="inlineStr">
        <is>
          <t>19</t>
        </is>
      </c>
      <c r="D552" s="38" t="inlineStr">
        <is>
          <t>Garrotxa</t>
        </is>
      </c>
    </row>
    <row r="553" ht="15" customHeight="1" s="39">
      <c r="A553" s="42" t="inlineStr">
        <is>
          <t>171349</t>
        </is>
      </c>
      <c r="B553" s="38" t="inlineStr">
        <is>
          <t>Planoles</t>
        </is>
      </c>
      <c r="C553" s="38" t="inlineStr">
        <is>
          <t>31</t>
        </is>
      </c>
      <c r="D553" s="38" t="inlineStr">
        <is>
          <t>Ripollès</t>
        </is>
      </c>
    </row>
    <row r="554" ht="15" customHeight="1" s="39">
      <c r="A554" s="42" t="inlineStr">
        <is>
          <t>259118</t>
        </is>
      </c>
      <c r="B554" s="38" t="inlineStr">
        <is>
          <t>Plans de Sió, els</t>
        </is>
      </c>
      <c r="C554" s="38" t="inlineStr">
        <is>
          <t>32</t>
        </is>
      </c>
      <c r="D554" s="38" t="inlineStr">
        <is>
          <t>Segarra</t>
        </is>
      </c>
    </row>
    <row r="555" ht="15" customHeight="1" s="39">
      <c r="A555" s="42" t="inlineStr">
        <is>
          <t>251689</t>
        </is>
      </c>
      <c r="B555" s="38" t="inlineStr">
        <is>
          <t>Poal, el</t>
        </is>
      </c>
      <c r="C555" s="38" t="inlineStr">
        <is>
          <t>27</t>
        </is>
      </c>
      <c r="D555" s="38" t="inlineStr">
        <is>
          <t>Pla d'Urgell</t>
        </is>
      </c>
    </row>
    <row r="556" ht="15" customHeight="1" s="39">
      <c r="A556" s="42" t="inlineStr">
        <is>
          <t>251692</t>
        </is>
      </c>
      <c r="B556" s="38" t="inlineStr">
        <is>
          <t>Pobla de Cérvoles, la</t>
        </is>
      </c>
      <c r="C556" s="38" t="inlineStr">
        <is>
          <t>18</t>
        </is>
      </c>
      <c r="D556" s="38" t="inlineStr">
        <is>
          <t>Garrigues</t>
        </is>
      </c>
    </row>
    <row r="557" ht="15" customHeight="1" s="39">
      <c r="A557" s="42" t="inlineStr">
        <is>
          <t>081653</t>
        </is>
      </c>
      <c r="B557" s="38" t="inlineStr">
        <is>
          <t>Pobla de Claramunt, la</t>
        </is>
      </c>
      <c r="C557" s="38" t="inlineStr">
        <is>
          <t>06</t>
        </is>
      </c>
      <c r="D557" s="38" t="inlineStr">
        <is>
          <t>Anoia</t>
        </is>
      </c>
    </row>
    <row r="558" ht="15" customHeight="1" s="39">
      <c r="A558" s="42" t="inlineStr">
        <is>
          <t>081666</t>
        </is>
      </c>
      <c r="B558" s="38" t="inlineStr">
        <is>
          <t>Pobla de Lillet, la</t>
        </is>
      </c>
      <c r="C558" s="38" t="inlineStr">
        <is>
          <t>14</t>
        </is>
      </c>
      <c r="D558" s="38" t="inlineStr">
        <is>
          <t>Berguedà</t>
        </is>
      </c>
    </row>
    <row r="559" ht="15" customHeight="1" s="39">
      <c r="A559" s="42" t="inlineStr">
        <is>
          <t>431093</t>
        </is>
      </c>
      <c r="B559" s="38" t="inlineStr">
        <is>
          <t>Pobla de Mafumet, la</t>
        </is>
      </c>
      <c r="C559" s="38" t="inlineStr">
        <is>
          <t>36</t>
        </is>
      </c>
      <c r="D559" s="38" t="inlineStr">
        <is>
          <t>Tarragonès</t>
        </is>
      </c>
    </row>
    <row r="560" ht="15" customHeight="1" s="39">
      <c r="A560" s="42" t="inlineStr">
        <is>
          <t>431107</t>
        </is>
      </c>
      <c r="B560" s="38" t="inlineStr">
        <is>
          <t>Pobla de Massaluca, la</t>
        </is>
      </c>
      <c r="C560" s="38" t="inlineStr">
        <is>
          <t>37</t>
        </is>
      </c>
      <c r="D560" s="38" t="inlineStr">
        <is>
          <t>Terra Alta</t>
        </is>
      </c>
    </row>
    <row r="561" ht="15" customHeight="1" s="39">
      <c r="A561" s="42" t="inlineStr">
        <is>
          <t>431114</t>
        </is>
      </c>
      <c r="B561" s="38" t="inlineStr">
        <is>
          <t>Pobla de Montornès, la</t>
        </is>
      </c>
      <c r="C561" s="38" t="inlineStr">
        <is>
          <t>36</t>
        </is>
      </c>
      <c r="D561" s="38" t="inlineStr">
        <is>
          <t>Tarragonès</t>
        </is>
      </c>
    </row>
    <row r="562" ht="15" customHeight="1" s="39">
      <c r="A562" s="42" t="inlineStr">
        <is>
          <t>251713</t>
        </is>
      </c>
      <c r="B562" s="38" t="inlineStr">
        <is>
          <t>Pobla de Segur, la</t>
        </is>
      </c>
      <c r="C562" s="38" t="inlineStr">
        <is>
          <t>25</t>
        </is>
      </c>
      <c r="D562" s="38" t="inlineStr">
        <is>
          <t>Pallars Jussà</t>
        </is>
      </c>
    </row>
    <row r="563" ht="15" customHeight="1" s="39">
      <c r="A563" s="42" t="inlineStr">
        <is>
          <t>431129</t>
        </is>
      </c>
      <c r="B563" s="38" t="inlineStr">
        <is>
          <t>Poboleda</t>
        </is>
      </c>
      <c r="C563" s="38" t="inlineStr">
        <is>
          <t>29</t>
        </is>
      </c>
      <c r="D563" s="38" t="inlineStr">
        <is>
          <t>Priorat</t>
        </is>
      </c>
    </row>
    <row r="564" ht="15" customHeight="1" s="39">
      <c r="A564" s="42" t="inlineStr">
        <is>
          <t>081672</t>
        </is>
      </c>
      <c r="B564" s="38" t="inlineStr">
        <is>
          <t>Polinyà</t>
        </is>
      </c>
      <c r="C564" s="38" t="inlineStr">
        <is>
          <t>40</t>
        </is>
      </c>
      <c r="D564" s="38" t="inlineStr">
        <is>
          <t>Vallès Occidental</t>
        </is>
      </c>
    </row>
    <row r="565" ht="15" customHeight="1" s="39">
      <c r="A565" s="42" t="inlineStr">
        <is>
          <t>431135</t>
        </is>
      </c>
      <c r="B565" s="38" t="inlineStr">
        <is>
          <t>Pont d'Armentera, el</t>
        </is>
      </c>
      <c r="C565" s="38" t="inlineStr">
        <is>
          <t>01</t>
        </is>
      </c>
      <c r="D565" s="38" t="inlineStr">
        <is>
          <t>Alt Camp</t>
        </is>
      </c>
    </row>
    <row r="566" ht="15" customHeight="1" s="39">
      <c r="A566" s="42" t="inlineStr">
        <is>
          <t>250306</t>
        </is>
      </c>
      <c r="B566" s="38" t="inlineStr">
        <is>
          <t>Pont de Bar, el</t>
        </is>
      </c>
      <c r="C566" s="38" t="inlineStr">
        <is>
          <t>04</t>
        </is>
      </c>
      <c r="D566" s="38" t="inlineStr">
        <is>
          <t>Alt Urgell</t>
        </is>
      </c>
    </row>
    <row r="567" ht="15" customHeight="1" s="39">
      <c r="A567" s="42" t="inlineStr">
        <is>
          <t>171352</t>
        </is>
      </c>
      <c r="B567" s="38" t="inlineStr">
        <is>
          <t>Pont de Molins</t>
        </is>
      </c>
      <c r="C567" s="38" t="inlineStr">
        <is>
          <t>02</t>
        </is>
      </c>
      <c r="D567" s="38" t="inlineStr">
        <is>
          <t>Alt Empordà</t>
        </is>
      </c>
    </row>
    <row r="568" ht="15" customHeight="1" s="39">
      <c r="A568" s="42" t="inlineStr">
        <is>
          <t>251734</t>
        </is>
      </c>
      <c r="B568" s="38" t="inlineStr">
        <is>
          <t>Pont de Suert, el</t>
        </is>
      </c>
      <c r="C568" s="38" t="inlineStr">
        <is>
          <t>05</t>
        </is>
      </c>
      <c r="D568" s="38" t="inlineStr">
        <is>
          <t>Alta Ribagorça</t>
        </is>
      </c>
    </row>
    <row r="569" ht="15" customHeight="1" s="39">
      <c r="A569" s="42" t="inlineStr">
        <is>
          <t>081825</t>
        </is>
      </c>
      <c r="B569" s="38" t="inlineStr">
        <is>
          <t>Pont de Vilomara i Rocafort, el</t>
        </is>
      </c>
      <c r="C569" s="38" t="inlineStr">
        <is>
          <t>07</t>
        </is>
      </c>
      <c r="D569" s="38" t="inlineStr">
        <is>
          <t>Bages</t>
        </is>
      </c>
    </row>
    <row r="570" ht="15" customHeight="1" s="39">
      <c r="A570" s="42" t="inlineStr">
        <is>
          <t>431418</t>
        </is>
      </c>
      <c r="B570" s="38" t="inlineStr">
        <is>
          <t>Pontils</t>
        </is>
      </c>
      <c r="C570" s="38" t="inlineStr">
        <is>
          <t>16</t>
        </is>
      </c>
      <c r="D570" s="38" t="inlineStr">
        <is>
          <t>Conca de Barberà</t>
        </is>
      </c>
    </row>
    <row r="571" ht="15" customHeight="1" s="39">
      <c r="A571" s="42" t="inlineStr">
        <is>
          <t>081688</t>
        </is>
      </c>
      <c r="B571" s="38" t="inlineStr">
        <is>
          <t>Pontons</t>
        </is>
      </c>
      <c r="C571" s="38" t="inlineStr">
        <is>
          <t>03</t>
        </is>
      </c>
      <c r="D571" s="38" t="inlineStr">
        <is>
          <t>Alt Penedès</t>
        </is>
      </c>
    </row>
    <row r="572" ht="15" customHeight="1" s="39">
      <c r="A572" s="42" t="inlineStr">
        <is>
          <t>171365</t>
        </is>
      </c>
      <c r="B572" s="38" t="inlineStr">
        <is>
          <t>Pontós</t>
        </is>
      </c>
      <c r="C572" s="38" t="inlineStr">
        <is>
          <t>02</t>
        </is>
      </c>
      <c r="D572" s="38" t="inlineStr">
        <is>
          <t>Alt Empordà</t>
        </is>
      </c>
    </row>
    <row r="573" ht="15" customHeight="1" s="39">
      <c r="A573" s="42" t="inlineStr">
        <is>
          <t>251728</t>
        </is>
      </c>
      <c r="B573" s="38" t="inlineStr">
        <is>
          <t>Ponts</t>
        </is>
      </c>
      <c r="C573" s="38" t="inlineStr">
        <is>
          <t>23</t>
        </is>
      </c>
      <c r="D573" s="38" t="inlineStr">
        <is>
          <t>Noguera</t>
        </is>
      </c>
    </row>
    <row r="574" ht="15" customHeight="1" s="39">
      <c r="A574" s="42" t="inlineStr">
        <is>
          <t>171371</t>
        </is>
      </c>
      <c r="B574" s="38" t="inlineStr">
        <is>
          <t>Porqueres</t>
        </is>
      </c>
      <c r="C574" s="38" t="inlineStr">
        <is>
          <t>28</t>
        </is>
      </c>
      <c r="D574" s="38" t="inlineStr">
        <is>
          <t>Pla de l'Estany</t>
        </is>
      </c>
    </row>
    <row r="575" ht="15" customHeight="1" s="39">
      <c r="A575" s="42" t="inlineStr">
        <is>
          <t>431140</t>
        </is>
      </c>
      <c r="B575" s="38" t="inlineStr">
        <is>
          <t>Porrera</t>
        </is>
      </c>
      <c r="C575" s="38" t="inlineStr">
        <is>
          <t>29</t>
        </is>
      </c>
      <c r="D575" s="38" t="inlineStr">
        <is>
          <t>Priorat</t>
        </is>
      </c>
    </row>
    <row r="576" ht="15" customHeight="1" s="39">
      <c r="A576" s="42" t="inlineStr">
        <is>
          <t>171404</t>
        </is>
      </c>
      <c r="B576" s="38" t="inlineStr">
        <is>
          <t>Port de la Selva, el</t>
        </is>
      </c>
      <c r="C576" s="38" t="inlineStr">
        <is>
          <t>02</t>
        </is>
      </c>
      <c r="D576" s="38" t="inlineStr">
        <is>
          <t>Alt Empordà</t>
        </is>
      </c>
    </row>
    <row r="577" ht="15" customHeight="1" s="39">
      <c r="A577" s="42" t="inlineStr">
        <is>
          <t>171387</t>
        </is>
      </c>
      <c r="B577" s="38" t="inlineStr">
        <is>
          <t>Portbou</t>
        </is>
      </c>
      <c r="C577" s="38" t="inlineStr">
        <is>
          <t>02</t>
        </is>
      </c>
      <c r="D577" s="38" t="inlineStr">
        <is>
          <t>Alt Empordà</t>
        </is>
      </c>
    </row>
    <row r="578" ht="15" customHeight="1" s="39">
      <c r="A578" s="42" t="inlineStr">
        <is>
          <t>251749</t>
        </is>
      </c>
      <c r="B578" s="38" t="inlineStr">
        <is>
          <t>Portella, la</t>
        </is>
      </c>
      <c r="C578" s="38" t="inlineStr">
        <is>
          <t>33</t>
        </is>
      </c>
      <c r="D578" s="38" t="inlineStr">
        <is>
          <t>Segrià</t>
        </is>
      </c>
    </row>
    <row r="579" ht="15" customHeight="1" s="39">
      <c r="A579" s="42" t="inlineStr">
        <is>
          <t>431153</t>
        </is>
      </c>
      <c r="B579" s="38" t="inlineStr">
        <is>
          <t>Pradell de la Teixeta</t>
        </is>
      </c>
      <c r="C579" s="38" t="inlineStr">
        <is>
          <t>29</t>
        </is>
      </c>
      <c r="D579" s="38" t="inlineStr">
        <is>
          <t>Priorat</t>
        </is>
      </c>
    </row>
    <row r="580" ht="15" customHeight="1" s="39">
      <c r="A580" s="42" t="inlineStr">
        <is>
          <t>431166</t>
        </is>
      </c>
      <c r="B580" s="38" t="inlineStr">
        <is>
          <t>Prades</t>
        </is>
      </c>
      <c r="C580" s="38" t="inlineStr">
        <is>
          <t>08</t>
        </is>
      </c>
      <c r="D580" s="38" t="inlineStr">
        <is>
          <t>Baix Camp</t>
        </is>
      </c>
    </row>
    <row r="581" ht="15" customHeight="1" s="39">
      <c r="A581" s="42" t="inlineStr">
        <is>
          <t>431172</t>
        </is>
      </c>
      <c r="B581" s="38" t="inlineStr">
        <is>
          <t>Prat de Comte</t>
        </is>
      </c>
      <c r="C581" s="38" t="inlineStr">
        <is>
          <t>37</t>
        </is>
      </c>
      <c r="D581" s="38" t="inlineStr">
        <is>
          <t>Terra Alta</t>
        </is>
      </c>
    </row>
    <row r="582" ht="15" customHeight="1" s="39">
      <c r="A582" s="42" t="inlineStr">
        <is>
          <t>081691</t>
        </is>
      </c>
      <c r="B582" s="38" t="inlineStr">
        <is>
          <t>Prat de Llobregat, el</t>
        </is>
      </c>
      <c r="C582" s="38" t="inlineStr">
        <is>
          <t>11</t>
        </is>
      </c>
      <c r="D582" s="38" t="inlineStr">
        <is>
          <t>Baix Llobregat</t>
        </is>
      </c>
    </row>
    <row r="583" ht="15" customHeight="1" s="39">
      <c r="A583" s="42" t="inlineStr">
        <is>
          <t>431188</t>
        </is>
      </c>
      <c r="B583" s="38" t="inlineStr">
        <is>
          <t>Pratdip</t>
        </is>
      </c>
      <c r="C583" s="38" t="inlineStr">
        <is>
          <t>08</t>
        </is>
      </c>
      <c r="D583" s="38" t="inlineStr">
        <is>
          <t>Baix Camp</t>
        </is>
      </c>
    </row>
    <row r="584" ht="15" customHeight="1" s="39">
      <c r="A584" s="42" t="inlineStr">
        <is>
          <t>081712</t>
        </is>
      </c>
      <c r="B584" s="38" t="inlineStr">
        <is>
          <t>Prats de Lluçanès</t>
        </is>
      </c>
      <c r="C584" s="38" t="inlineStr">
        <is>
          <t>43</t>
        </is>
      </c>
      <c r="D584" s="38" t="inlineStr">
        <is>
          <t>Lluçanès</t>
        </is>
      </c>
    </row>
    <row r="585" ht="15" customHeight="1" s="39">
      <c r="A585" s="42" t="inlineStr">
        <is>
          <t>081705</t>
        </is>
      </c>
      <c r="B585" s="38" t="inlineStr">
        <is>
          <t>Prats de Rei, els</t>
        </is>
      </c>
      <c r="C585" s="38" t="inlineStr">
        <is>
          <t>06</t>
        </is>
      </c>
      <c r="D585" s="38" t="inlineStr">
        <is>
          <t>Anoia</t>
        </is>
      </c>
    </row>
    <row r="586" ht="15" customHeight="1" s="39">
      <c r="A586" s="42" t="inlineStr">
        <is>
          <t>251752</t>
        </is>
      </c>
      <c r="B586" s="38" t="inlineStr">
        <is>
          <t>Prats i Sansor</t>
        </is>
      </c>
      <c r="C586" s="38" t="inlineStr">
        <is>
          <t>15</t>
        </is>
      </c>
      <c r="D586" s="38" t="inlineStr">
        <is>
          <t>Cerdanya</t>
        </is>
      </c>
    </row>
    <row r="587" ht="15" customHeight="1" s="39">
      <c r="A587" s="42" t="inlineStr">
        <is>
          <t>251765</t>
        </is>
      </c>
      <c r="B587" s="38" t="inlineStr">
        <is>
          <t>Preixana</t>
        </is>
      </c>
      <c r="C587" s="38" t="inlineStr">
        <is>
          <t>38</t>
        </is>
      </c>
      <c r="D587" s="38" t="inlineStr">
        <is>
          <t>Urgell</t>
        </is>
      </c>
    </row>
    <row r="588" ht="15" customHeight="1" s="39">
      <c r="A588" s="42" t="inlineStr">
        <is>
          <t>251771</t>
        </is>
      </c>
      <c r="B588" s="38" t="inlineStr">
        <is>
          <t>Preixens</t>
        </is>
      </c>
      <c r="C588" s="38" t="inlineStr">
        <is>
          <t>23</t>
        </is>
      </c>
      <c r="D588" s="38" t="inlineStr">
        <is>
          <t>Noguera</t>
        </is>
      </c>
    </row>
    <row r="589" ht="15" customHeight="1" s="39">
      <c r="A589" s="42" t="inlineStr">
        <is>
          <t>082303</t>
        </is>
      </c>
      <c r="B589" s="38" t="inlineStr">
        <is>
          <t>Premià de Dalt</t>
        </is>
      </c>
      <c r="C589" s="38" t="inlineStr">
        <is>
          <t>21</t>
        </is>
      </c>
      <c r="D589" s="38" t="inlineStr">
        <is>
          <t>Maresme</t>
        </is>
      </c>
    </row>
    <row r="590" ht="15" customHeight="1" s="39">
      <c r="A590" s="42" t="inlineStr">
        <is>
          <t>081727</t>
        </is>
      </c>
      <c r="B590" s="38" t="inlineStr">
        <is>
          <t>Premià de Mar</t>
        </is>
      </c>
      <c r="C590" s="38" t="inlineStr">
        <is>
          <t>21</t>
        </is>
      </c>
      <c r="D590" s="38" t="inlineStr">
        <is>
          <t>Maresme</t>
        </is>
      </c>
    </row>
    <row r="591" ht="15" customHeight="1" s="39">
      <c r="A591" s="42" t="inlineStr">
        <is>
          <t>171390</t>
        </is>
      </c>
      <c r="B591" s="38" t="inlineStr">
        <is>
          <t>Preses, les</t>
        </is>
      </c>
      <c r="C591" s="38" t="inlineStr">
        <is>
          <t>19</t>
        </is>
      </c>
      <c r="D591" s="38" t="inlineStr">
        <is>
          <t>Garrotxa</t>
        </is>
      </c>
    </row>
    <row r="592" ht="15" customHeight="1" s="39">
      <c r="A592" s="42" t="inlineStr">
        <is>
          <t>251790</t>
        </is>
      </c>
      <c r="B592" s="38" t="inlineStr">
        <is>
          <t>Prullans</t>
        </is>
      </c>
      <c r="C592" s="38" t="inlineStr">
        <is>
          <t>15</t>
        </is>
      </c>
      <c r="D592" s="38" t="inlineStr">
        <is>
          <t>Cerdanya</t>
        </is>
      </c>
    </row>
    <row r="593" ht="15" customHeight="1" s="39">
      <c r="A593" s="42" t="inlineStr">
        <is>
          <t>081751</t>
        </is>
      </c>
      <c r="B593" s="38" t="inlineStr">
        <is>
          <t>Puig-reig</t>
        </is>
      </c>
      <c r="C593" s="38" t="inlineStr">
        <is>
          <t>14</t>
        </is>
      </c>
      <c r="D593" s="38" t="inlineStr">
        <is>
          <t>Berguedà</t>
        </is>
      </c>
    </row>
    <row r="594" ht="15" customHeight="1" s="39">
      <c r="A594" s="42" t="inlineStr">
        <is>
          <t>171411</t>
        </is>
      </c>
      <c r="B594" s="38" t="inlineStr">
        <is>
          <t>Puigcerdà</t>
        </is>
      </c>
      <c r="C594" s="38" t="inlineStr">
        <is>
          <t>15</t>
        </is>
      </c>
      <c r="D594" s="38" t="inlineStr">
        <is>
          <t>Cerdanya</t>
        </is>
      </c>
    </row>
    <row r="595" ht="15" customHeight="1" s="39">
      <c r="A595" s="42" t="inlineStr">
        <is>
          <t>081748</t>
        </is>
      </c>
      <c r="B595" s="38" t="inlineStr">
        <is>
          <t>Puigdàlber</t>
        </is>
      </c>
      <c r="C595" s="38" t="inlineStr">
        <is>
          <t>03</t>
        </is>
      </c>
      <c r="D595" s="38" t="inlineStr">
        <is>
          <t>Alt Penedès</t>
        </is>
      </c>
    </row>
    <row r="596" ht="15" customHeight="1" s="39">
      <c r="A596" s="42" t="inlineStr">
        <is>
          <t>251804</t>
        </is>
      </c>
      <c r="B596" s="38" t="inlineStr">
        <is>
          <t>Puiggròs</t>
        </is>
      </c>
      <c r="C596" s="38" t="inlineStr">
        <is>
          <t>18</t>
        </is>
      </c>
      <c r="D596" s="38" t="inlineStr">
        <is>
          <t>Garrigues</t>
        </is>
      </c>
    </row>
    <row r="597" ht="15" customHeight="1" s="39">
      <c r="A597" s="42" t="inlineStr">
        <is>
          <t>431191</t>
        </is>
      </c>
      <c r="B597" s="38" t="inlineStr">
        <is>
          <t>Puigpelat</t>
        </is>
      </c>
      <c r="C597" s="38" t="inlineStr">
        <is>
          <t>01</t>
        </is>
      </c>
      <c r="D597" s="38" t="inlineStr">
        <is>
          <t>Alt Camp</t>
        </is>
      </c>
    </row>
    <row r="598" ht="15" customHeight="1" s="39">
      <c r="A598" s="42" t="inlineStr">
        <is>
          <t>251811</t>
        </is>
      </c>
      <c r="B598" s="38" t="inlineStr">
        <is>
          <t>Puigverd d'Agramunt</t>
        </is>
      </c>
      <c r="C598" s="38" t="inlineStr">
        <is>
          <t>38</t>
        </is>
      </c>
      <c r="D598" s="38" t="inlineStr">
        <is>
          <t>Urgell</t>
        </is>
      </c>
    </row>
    <row r="599" ht="15" customHeight="1" s="39">
      <c r="A599" s="42" t="inlineStr">
        <is>
          <t>251826</t>
        </is>
      </c>
      <c r="B599" s="38" t="inlineStr">
        <is>
          <t>Puigverd de Lleida</t>
        </is>
      </c>
      <c r="C599" s="38" t="inlineStr">
        <is>
          <t>33</t>
        </is>
      </c>
      <c r="D599" s="38" t="inlineStr">
        <is>
          <t>Segrià</t>
        </is>
      </c>
    </row>
    <row r="600" ht="15" customHeight="1" s="39">
      <c r="A600" s="42" t="inlineStr">
        <is>
          <t>081764</t>
        </is>
      </c>
      <c r="B600" s="38" t="inlineStr">
        <is>
          <t>Pujalt</t>
        </is>
      </c>
      <c r="C600" s="38" t="inlineStr">
        <is>
          <t>06</t>
        </is>
      </c>
      <c r="D600" s="38" t="inlineStr">
        <is>
          <t>Anoia</t>
        </is>
      </c>
    </row>
    <row r="601" ht="15" customHeight="1" s="39">
      <c r="A601" s="42" t="inlineStr">
        <is>
          <t>081770</t>
        </is>
      </c>
      <c r="B601" s="38" t="inlineStr">
        <is>
          <t>Quar, la</t>
        </is>
      </c>
      <c r="C601" s="38" t="inlineStr">
        <is>
          <t>14</t>
        </is>
      </c>
      <c r="D601" s="38" t="inlineStr">
        <is>
          <t>Berguedà</t>
        </is>
      </c>
    </row>
    <row r="602" ht="15" customHeight="1" s="39">
      <c r="A602" s="42" t="inlineStr">
        <is>
          <t>171426</t>
        </is>
      </c>
      <c r="B602" s="38" t="inlineStr">
        <is>
          <t>Quart</t>
        </is>
      </c>
      <c r="C602" s="38" t="inlineStr">
        <is>
          <t>20</t>
        </is>
      </c>
      <c r="D602" s="38" t="inlineStr">
        <is>
          <t>Gironès</t>
        </is>
      </c>
    </row>
    <row r="603" ht="15" customHeight="1" s="39">
      <c r="A603" s="42" t="inlineStr">
        <is>
          <t>170433</t>
        </is>
      </c>
      <c r="B603" s="38" t="inlineStr">
        <is>
          <t>Queralbs</t>
        </is>
      </c>
      <c r="C603" s="38" t="inlineStr">
        <is>
          <t>31</t>
        </is>
      </c>
      <c r="D603" s="38" t="inlineStr">
        <is>
          <t>Ripollès</t>
        </is>
      </c>
    </row>
    <row r="604" ht="15" customHeight="1" s="39">
      <c r="A604" s="42" t="inlineStr">
        <is>
          <t>431205</t>
        </is>
      </c>
      <c r="B604" s="38" t="inlineStr">
        <is>
          <t>Querol</t>
        </is>
      </c>
      <c r="C604" s="38" t="inlineStr">
        <is>
          <t>01</t>
        </is>
      </c>
      <c r="D604" s="38" t="inlineStr">
        <is>
          <t>Alt Camp</t>
        </is>
      </c>
    </row>
    <row r="605" ht="15" customHeight="1" s="39">
      <c r="A605" s="42" t="inlineStr">
        <is>
          <t>171432</t>
        </is>
      </c>
      <c r="B605" s="38" t="inlineStr">
        <is>
          <t>Rabós</t>
        </is>
      </c>
      <c r="C605" s="38" t="inlineStr">
        <is>
          <t>02</t>
        </is>
      </c>
      <c r="D605" s="38" t="inlineStr">
        <is>
          <t>Alt Empordà</t>
        </is>
      </c>
    </row>
    <row r="606" ht="15" customHeight="1" s="39">
      <c r="A606" s="42" t="inlineStr">
        <is>
          <t>081786</t>
        </is>
      </c>
      <c r="B606" s="38" t="inlineStr">
        <is>
          <t>Rajadell</t>
        </is>
      </c>
      <c r="C606" s="38" t="inlineStr">
        <is>
          <t>07</t>
        </is>
      </c>
      <c r="D606" s="38" t="inlineStr">
        <is>
          <t>Bages</t>
        </is>
      </c>
    </row>
    <row r="607" ht="15" customHeight="1" s="39">
      <c r="A607" s="42" t="inlineStr">
        <is>
          <t>431362</t>
        </is>
      </c>
      <c r="B607" s="38" t="inlineStr">
        <is>
          <t>Ràpita, la</t>
        </is>
      </c>
      <c r="C607" s="38" t="inlineStr">
        <is>
          <t>22</t>
        </is>
      </c>
      <c r="D607" s="38" t="inlineStr">
        <is>
          <t>Montsià</t>
        </is>
      </c>
    </row>
    <row r="608" ht="15" customHeight="1" s="39">
      <c r="A608" s="42" t="inlineStr">
        <is>
          <t>431212</t>
        </is>
      </c>
      <c r="B608" s="38" t="inlineStr">
        <is>
          <t>Rasquera</t>
        </is>
      </c>
      <c r="C608" s="38" t="inlineStr">
        <is>
          <t>30</t>
        </is>
      </c>
      <c r="D608" s="38" t="inlineStr">
        <is>
          <t>Ribera d'Ebre</t>
        </is>
      </c>
    </row>
    <row r="609" ht="15" customHeight="1" s="39">
      <c r="A609" s="42" t="inlineStr">
        <is>
          <t>171447</t>
        </is>
      </c>
      <c r="B609" s="38" t="inlineStr">
        <is>
          <t>Regencós</t>
        </is>
      </c>
      <c r="C609" s="38" t="inlineStr">
        <is>
          <t>10</t>
        </is>
      </c>
      <c r="D609" s="38" t="inlineStr">
        <is>
          <t>Baix Empordà</t>
        </is>
      </c>
    </row>
    <row r="610" ht="15" customHeight="1" s="39">
      <c r="A610" s="42" t="inlineStr">
        <is>
          <t>081799</t>
        </is>
      </c>
      <c r="B610" s="38" t="inlineStr">
        <is>
          <t>Rellinars</t>
        </is>
      </c>
      <c r="C610" s="38" t="inlineStr">
        <is>
          <t>40</t>
        </is>
      </c>
      <c r="D610" s="38" t="inlineStr">
        <is>
          <t>Vallès Occidental</t>
        </is>
      </c>
    </row>
    <row r="611" ht="15" customHeight="1" s="39">
      <c r="A611" s="42" t="inlineStr">
        <is>
          <t>431227</t>
        </is>
      </c>
      <c r="B611" s="38" t="inlineStr">
        <is>
          <t>Renau</t>
        </is>
      </c>
      <c r="C611" s="38" t="inlineStr">
        <is>
          <t>36</t>
        </is>
      </c>
      <c r="D611" s="38" t="inlineStr">
        <is>
          <t>Tarragonès</t>
        </is>
      </c>
    </row>
    <row r="612" ht="15" customHeight="1" s="39">
      <c r="A612" s="42" t="inlineStr">
        <is>
          <t>431233</t>
        </is>
      </c>
      <c r="B612" s="38" t="inlineStr">
        <is>
          <t>Reus</t>
        </is>
      </c>
      <c r="C612" s="38" t="inlineStr">
        <is>
          <t>08</t>
        </is>
      </c>
      <c r="D612" s="38" t="inlineStr">
        <is>
          <t>Baix Camp</t>
        </is>
      </c>
    </row>
    <row r="613" ht="15" customHeight="1" s="39">
      <c r="A613" s="42" t="inlineStr">
        <is>
          <t>251832</t>
        </is>
      </c>
      <c r="B613" s="38" t="inlineStr">
        <is>
          <t>Rialp</t>
        </is>
      </c>
      <c r="C613" s="38" t="inlineStr">
        <is>
          <t>26</t>
        </is>
      </c>
      <c r="D613" s="38" t="inlineStr">
        <is>
          <t>Pallars Sobirà</t>
        </is>
      </c>
    </row>
    <row r="614" ht="15" customHeight="1" s="39">
      <c r="A614" s="42" t="inlineStr">
        <is>
          <t>431248</t>
        </is>
      </c>
      <c r="B614" s="38" t="inlineStr">
        <is>
          <t>Riba, la</t>
        </is>
      </c>
      <c r="C614" s="38" t="inlineStr">
        <is>
          <t>01</t>
        </is>
      </c>
      <c r="D614" s="38" t="inlineStr">
        <is>
          <t>Alt Camp</t>
        </is>
      </c>
    </row>
    <row r="615" ht="15" customHeight="1" s="39">
      <c r="A615" s="42" t="inlineStr">
        <is>
          <t>431251</t>
        </is>
      </c>
      <c r="B615" s="38" t="inlineStr">
        <is>
          <t>Riba-roja d'Ebre</t>
        </is>
      </c>
      <c r="C615" s="38" t="inlineStr">
        <is>
          <t>30</t>
        </is>
      </c>
      <c r="D615" s="38" t="inlineStr">
        <is>
          <t>Ribera d'Ebre</t>
        </is>
      </c>
    </row>
    <row r="616" ht="15" customHeight="1" s="39">
      <c r="A616" s="42" t="inlineStr">
        <is>
          <t>259059</t>
        </is>
      </c>
      <c r="B616" s="38" t="inlineStr">
        <is>
          <t>Ribera d'Ondara</t>
        </is>
      </c>
      <c r="C616" s="38" t="inlineStr">
        <is>
          <t>32</t>
        </is>
      </c>
      <c r="D616" s="38" t="inlineStr">
        <is>
          <t>Segarra</t>
        </is>
      </c>
    </row>
    <row r="617" ht="15" customHeight="1" s="39">
      <c r="A617" s="42" t="inlineStr">
        <is>
          <t>251850</t>
        </is>
      </c>
      <c r="B617" s="38" t="inlineStr">
        <is>
          <t>Ribera d'Urgellet</t>
        </is>
      </c>
      <c r="C617" s="38" t="inlineStr">
        <is>
          <t>04</t>
        </is>
      </c>
      <c r="D617" s="38" t="inlineStr">
        <is>
          <t>Alt Urgell</t>
        </is>
      </c>
    </row>
    <row r="618" ht="15" customHeight="1" s="39">
      <c r="A618" s="42" t="inlineStr">
        <is>
          <t>171450</t>
        </is>
      </c>
      <c r="B618" s="38" t="inlineStr">
        <is>
          <t>Ribes de Freser</t>
        </is>
      </c>
      <c r="C618" s="38" t="inlineStr">
        <is>
          <t>31</t>
        </is>
      </c>
      <c r="D618" s="38" t="inlineStr">
        <is>
          <t>Ripollès</t>
        </is>
      </c>
    </row>
    <row r="619" ht="15" customHeight="1" s="39">
      <c r="A619" s="42" t="inlineStr">
        <is>
          <t>171463</t>
        </is>
      </c>
      <c r="B619" s="38" t="inlineStr">
        <is>
          <t>Riells i Viabrea</t>
        </is>
      </c>
      <c r="C619" s="38" t="inlineStr">
        <is>
          <t>34</t>
        </is>
      </c>
      <c r="D619" s="38" t="inlineStr">
        <is>
          <t>Selva</t>
        </is>
      </c>
    </row>
    <row r="620" ht="15" customHeight="1" s="39">
      <c r="A620" s="42" t="inlineStr">
        <is>
          <t>431264</t>
        </is>
      </c>
      <c r="B620" s="38" t="inlineStr">
        <is>
          <t>Riera de Gaià, la</t>
        </is>
      </c>
      <c r="C620" s="38" t="inlineStr">
        <is>
          <t>36</t>
        </is>
      </c>
      <c r="D620" s="38" t="inlineStr">
        <is>
          <t>Tarragonès</t>
        </is>
      </c>
    </row>
    <row r="621" ht="15" customHeight="1" s="39">
      <c r="A621" s="42" t="inlineStr">
        <is>
          <t>251863</t>
        </is>
      </c>
      <c r="B621" s="38" t="inlineStr">
        <is>
          <t>Riner</t>
        </is>
      </c>
      <c r="C621" s="38" t="inlineStr">
        <is>
          <t>35</t>
        </is>
      </c>
      <c r="D621" s="38" t="inlineStr">
        <is>
          <t>Solsonès</t>
        </is>
      </c>
    </row>
    <row r="622" ht="15" customHeight="1" s="39">
      <c r="A622" s="42" t="inlineStr">
        <is>
          <t>171479</t>
        </is>
      </c>
      <c r="B622" s="38" t="inlineStr">
        <is>
          <t>Ripoll</t>
        </is>
      </c>
      <c r="C622" s="38" t="inlineStr">
        <is>
          <t>31</t>
        </is>
      </c>
      <c r="D622" s="38" t="inlineStr">
        <is>
          <t>Ripollès</t>
        </is>
      </c>
    </row>
    <row r="623" ht="15" customHeight="1" s="39">
      <c r="A623" s="42" t="inlineStr">
        <is>
          <t>081803</t>
        </is>
      </c>
      <c r="B623" s="38" t="inlineStr">
        <is>
          <t>Ripollet</t>
        </is>
      </c>
      <c r="C623" s="38" t="inlineStr">
        <is>
          <t>40</t>
        </is>
      </c>
      <c r="D623" s="38" t="inlineStr">
        <is>
          <t>Vallès Occidental</t>
        </is>
      </c>
    </row>
    <row r="624" ht="15" customHeight="1" s="39">
      <c r="A624" s="42" t="inlineStr">
        <is>
          <t>259139</t>
        </is>
      </c>
      <c r="B624" s="38" t="inlineStr">
        <is>
          <t>Riu de Cerdanya</t>
        </is>
      </c>
      <c r="C624" s="38" t="inlineStr">
        <is>
          <t>15</t>
        </is>
      </c>
      <c r="D624" s="38" t="inlineStr">
        <is>
          <t>Cerdanya</t>
        </is>
      </c>
    </row>
    <row r="625" ht="15" customHeight="1" s="39">
      <c r="A625" s="42" t="inlineStr">
        <is>
          <t>171485</t>
        </is>
      </c>
      <c r="B625" s="38" t="inlineStr">
        <is>
          <t>Riudarenes</t>
        </is>
      </c>
      <c r="C625" s="38" t="inlineStr">
        <is>
          <t>34</t>
        </is>
      </c>
      <c r="D625" s="38" t="inlineStr">
        <is>
          <t>Selva</t>
        </is>
      </c>
    </row>
    <row r="626" ht="15" customHeight="1" s="39">
      <c r="A626" s="42" t="inlineStr">
        <is>
          <t>171498</t>
        </is>
      </c>
      <c r="B626" s="38" t="inlineStr">
        <is>
          <t>Riudaura</t>
        </is>
      </c>
      <c r="C626" s="38" t="inlineStr">
        <is>
          <t>19</t>
        </is>
      </c>
      <c r="D626" s="38" t="inlineStr">
        <is>
          <t>Garrotxa</t>
        </is>
      </c>
    </row>
    <row r="627" ht="15" customHeight="1" s="39">
      <c r="A627" s="42" t="inlineStr">
        <is>
          <t>431270</t>
        </is>
      </c>
      <c r="B627" s="38" t="inlineStr">
        <is>
          <t>Riudecanyes</t>
        </is>
      </c>
      <c r="C627" s="38" t="inlineStr">
        <is>
          <t>08</t>
        </is>
      </c>
      <c r="D627" s="38" t="inlineStr">
        <is>
          <t>Baix Camp</t>
        </is>
      </c>
    </row>
    <row r="628" ht="15" customHeight="1" s="39">
      <c r="A628" s="42" t="inlineStr">
        <is>
          <t>431286</t>
        </is>
      </c>
      <c r="B628" s="38" t="inlineStr">
        <is>
          <t>Riudecols</t>
        </is>
      </c>
      <c r="C628" s="38" t="inlineStr">
        <is>
          <t>08</t>
        </is>
      </c>
      <c r="D628" s="38" t="inlineStr">
        <is>
          <t>Baix Camp</t>
        </is>
      </c>
    </row>
    <row r="629" ht="15" customHeight="1" s="39">
      <c r="A629" s="42" t="inlineStr">
        <is>
          <t>171501</t>
        </is>
      </c>
      <c r="B629" s="38" t="inlineStr">
        <is>
          <t>Riudellots de la Selva</t>
        </is>
      </c>
      <c r="C629" s="38" t="inlineStr">
        <is>
          <t>34</t>
        </is>
      </c>
      <c r="D629" s="38" t="inlineStr">
        <is>
          <t>Selva</t>
        </is>
      </c>
    </row>
    <row r="630" ht="15" customHeight="1" s="39">
      <c r="A630" s="42" t="inlineStr">
        <is>
          <t>431299</t>
        </is>
      </c>
      <c r="B630" s="38" t="inlineStr">
        <is>
          <t>Riudoms</t>
        </is>
      </c>
      <c r="C630" s="38" t="inlineStr">
        <is>
          <t>08</t>
        </is>
      </c>
      <c r="D630" s="38" t="inlineStr">
        <is>
          <t>Baix Camp</t>
        </is>
      </c>
    </row>
    <row r="631" ht="15" customHeight="1" s="39">
      <c r="A631" s="42" t="inlineStr">
        <is>
          <t>171518</t>
        </is>
      </c>
      <c r="B631" s="38" t="inlineStr">
        <is>
          <t>Riumors</t>
        </is>
      </c>
      <c r="C631" s="38" t="inlineStr">
        <is>
          <t>02</t>
        </is>
      </c>
      <c r="D631" s="38" t="inlineStr">
        <is>
          <t>Alt Empordà</t>
        </is>
      </c>
    </row>
    <row r="632" ht="15" customHeight="1" s="39">
      <c r="A632" s="42" t="inlineStr">
        <is>
          <t>081810</t>
        </is>
      </c>
      <c r="B632" s="38" t="inlineStr">
        <is>
          <t>Roca del Vallès, la</t>
        </is>
      </c>
      <c r="C632" s="38" t="inlineStr">
        <is>
          <t>41</t>
        </is>
      </c>
      <c r="D632" s="38" t="inlineStr">
        <is>
          <t>Vallès Oriental</t>
        </is>
      </c>
    </row>
    <row r="633" ht="15" customHeight="1" s="39">
      <c r="A633" s="42" t="inlineStr">
        <is>
          <t>431303</t>
        </is>
      </c>
      <c r="B633" s="38" t="inlineStr">
        <is>
          <t>Rocafort de Queralt</t>
        </is>
      </c>
      <c r="C633" s="38" t="inlineStr">
        <is>
          <t>16</t>
        </is>
      </c>
      <c r="D633" s="38" t="inlineStr">
        <is>
          <t>Conca de Barberà</t>
        </is>
      </c>
    </row>
    <row r="634" ht="15" customHeight="1" s="39">
      <c r="A634" s="42" t="inlineStr">
        <is>
          <t>431310</t>
        </is>
      </c>
      <c r="B634" s="38" t="inlineStr">
        <is>
          <t>Roda de Berà</t>
        </is>
      </c>
      <c r="C634" s="38" t="inlineStr">
        <is>
          <t>36</t>
        </is>
      </c>
      <c r="D634" s="38" t="inlineStr">
        <is>
          <t>Tarragonès</t>
        </is>
      </c>
    </row>
    <row r="635" ht="15" customHeight="1" s="39">
      <c r="A635" s="42" t="inlineStr">
        <is>
          <t>081831</t>
        </is>
      </c>
      <c r="B635" s="38" t="inlineStr">
        <is>
          <t>Roda de Ter</t>
        </is>
      </c>
      <c r="C635" s="38" t="inlineStr">
        <is>
          <t>24</t>
        </is>
      </c>
      <c r="D635" s="38" t="inlineStr">
        <is>
          <t>Osona</t>
        </is>
      </c>
    </row>
    <row r="636" ht="15" customHeight="1" s="39">
      <c r="A636" s="42" t="inlineStr">
        <is>
          <t>431325</t>
        </is>
      </c>
      <c r="B636" s="38" t="inlineStr">
        <is>
          <t>Rodonyà</t>
        </is>
      </c>
      <c r="C636" s="38" t="inlineStr">
        <is>
          <t>01</t>
        </is>
      </c>
      <c r="D636" s="38" t="inlineStr">
        <is>
          <t>Alt Camp</t>
        </is>
      </c>
    </row>
    <row r="637" ht="15" customHeight="1" s="39">
      <c r="A637" s="42" t="inlineStr">
        <is>
          <t>431331</t>
        </is>
      </c>
      <c r="B637" s="38" t="inlineStr">
        <is>
          <t>Roquetes</t>
        </is>
      </c>
      <c r="C637" s="38" t="inlineStr">
        <is>
          <t>09</t>
        </is>
      </c>
      <c r="D637" s="38" t="inlineStr">
        <is>
          <t>Baix Ebre</t>
        </is>
      </c>
    </row>
    <row r="638" ht="15" customHeight="1" s="39">
      <c r="A638" s="42" t="inlineStr">
        <is>
          <t>171523</t>
        </is>
      </c>
      <c r="B638" s="38" t="inlineStr">
        <is>
          <t>Roses</t>
        </is>
      </c>
      <c r="C638" s="38" t="inlineStr">
        <is>
          <t>02</t>
        </is>
      </c>
      <c r="D638" s="38" t="inlineStr">
        <is>
          <t>Alt Empordà</t>
        </is>
      </c>
    </row>
    <row r="639" ht="15" customHeight="1" s="39">
      <c r="A639" s="42" t="inlineStr">
        <is>
          <t>251898</t>
        </is>
      </c>
      <c r="B639" s="38" t="inlineStr">
        <is>
          <t>Rosselló</t>
        </is>
      </c>
      <c r="C639" s="38" t="inlineStr">
        <is>
          <t>33</t>
        </is>
      </c>
      <c r="D639" s="38" t="inlineStr">
        <is>
          <t>Segrià</t>
        </is>
      </c>
    </row>
    <row r="640" ht="15" customHeight="1" s="39">
      <c r="A640" s="42" t="inlineStr">
        <is>
          <t>431346</t>
        </is>
      </c>
      <c r="B640" s="38" t="inlineStr">
        <is>
          <t>Rourell, el</t>
        </is>
      </c>
      <c r="C640" s="38" t="inlineStr">
        <is>
          <t>01</t>
        </is>
      </c>
      <c r="D640" s="38" t="inlineStr">
        <is>
          <t>Alt Camp</t>
        </is>
      </c>
    </row>
    <row r="641" ht="15" customHeight="1" s="39">
      <c r="A641" s="42" t="inlineStr">
        <is>
          <t>081846</t>
        </is>
      </c>
      <c r="B641" s="38" t="inlineStr">
        <is>
          <t>Rubí</t>
        </is>
      </c>
      <c r="C641" s="38" t="inlineStr">
        <is>
          <t>40</t>
        </is>
      </c>
      <c r="D641" s="38" t="inlineStr">
        <is>
          <t>Vallès Occidental</t>
        </is>
      </c>
    </row>
    <row r="642" ht="15" customHeight="1" s="39">
      <c r="A642" s="42" t="inlineStr">
        <is>
          <t>081859</t>
        </is>
      </c>
      <c r="B642" s="38" t="inlineStr">
        <is>
          <t>Rubió</t>
        </is>
      </c>
      <c r="C642" s="38" t="inlineStr">
        <is>
          <t>06</t>
        </is>
      </c>
      <c r="D642" s="38" t="inlineStr">
        <is>
          <t>Anoia</t>
        </is>
      </c>
    </row>
    <row r="643" ht="15" customHeight="1" s="39">
      <c r="A643" s="42" t="inlineStr">
        <is>
          <t>171539</t>
        </is>
      </c>
      <c r="B643" s="38" t="inlineStr">
        <is>
          <t>Rupià</t>
        </is>
      </c>
      <c r="C643" s="38" t="inlineStr">
        <is>
          <t>10</t>
        </is>
      </c>
      <c r="D643" s="38" t="inlineStr">
        <is>
          <t>Baix Empordà</t>
        </is>
      </c>
    </row>
    <row r="644" ht="15" customHeight="1" s="39">
      <c r="A644" s="42" t="inlineStr">
        <is>
          <t>089019</t>
        </is>
      </c>
      <c r="B644" s="38" t="inlineStr">
        <is>
          <t>Rupit i Pruit</t>
        </is>
      </c>
      <c r="C644" s="38" t="inlineStr">
        <is>
          <t>24</t>
        </is>
      </c>
      <c r="D644" s="38" t="inlineStr">
        <is>
          <t>Osona</t>
        </is>
      </c>
    </row>
    <row r="645" ht="15" customHeight="1" s="39">
      <c r="A645" s="42" t="inlineStr">
        <is>
          <t>081878</t>
        </is>
      </c>
      <c r="B645" s="38" t="inlineStr">
        <is>
          <t>Sabadell</t>
        </is>
      </c>
      <c r="C645" s="38" t="inlineStr">
        <is>
          <t>40</t>
        </is>
      </c>
      <c r="D645" s="38" t="inlineStr">
        <is>
          <t>Vallès Occidental</t>
        </is>
      </c>
    </row>
    <row r="646" ht="15" customHeight="1" s="39">
      <c r="A646" s="42" t="inlineStr">
        <is>
          <t>081884</t>
        </is>
      </c>
      <c r="B646" s="38" t="inlineStr">
        <is>
          <t>Sagàs</t>
        </is>
      </c>
      <c r="C646" s="38" t="inlineStr">
        <is>
          <t>14</t>
        </is>
      </c>
      <c r="D646" s="38" t="inlineStr">
        <is>
          <t>Berguedà</t>
        </is>
      </c>
    </row>
    <row r="647" ht="15" customHeight="1" s="39">
      <c r="A647" s="42" t="inlineStr">
        <is>
          <t>251902</t>
        </is>
      </c>
      <c r="B647" s="38" t="inlineStr">
        <is>
          <t>Salàs de Pallars</t>
        </is>
      </c>
      <c r="C647" s="38" t="inlineStr">
        <is>
          <t>25</t>
        </is>
      </c>
      <c r="D647" s="38" t="inlineStr">
        <is>
          <t>Pallars Jussà</t>
        </is>
      </c>
    </row>
    <row r="648" ht="15" customHeight="1" s="39">
      <c r="A648" s="42" t="inlineStr">
        <is>
          <t>081901</t>
        </is>
      </c>
      <c r="B648" s="38" t="inlineStr">
        <is>
          <t>Saldes</t>
        </is>
      </c>
      <c r="C648" s="38" t="inlineStr">
        <is>
          <t>14</t>
        </is>
      </c>
      <c r="D648" s="38" t="inlineStr">
        <is>
          <t>Berguedà</t>
        </is>
      </c>
    </row>
    <row r="649" ht="15" customHeight="1" s="39">
      <c r="A649" s="42" t="inlineStr">
        <is>
          <t>171544</t>
        </is>
      </c>
      <c r="B649" s="38" t="inlineStr">
        <is>
          <t>Sales de Llierca</t>
        </is>
      </c>
      <c r="C649" s="38" t="inlineStr">
        <is>
          <t>19</t>
        </is>
      </c>
      <c r="D649" s="38" t="inlineStr">
        <is>
          <t>Garrotxa</t>
        </is>
      </c>
    </row>
    <row r="650" ht="15" customHeight="1" s="39">
      <c r="A650" s="42" t="inlineStr">
        <is>
          <t>081918</t>
        </is>
      </c>
      <c r="B650" s="38" t="inlineStr">
        <is>
          <t>Sallent</t>
        </is>
      </c>
      <c r="C650" s="38" t="inlineStr">
        <is>
          <t>07</t>
        </is>
      </c>
      <c r="D650" s="38" t="inlineStr">
        <is>
          <t>Bages</t>
        </is>
      </c>
    </row>
    <row r="651" ht="15" customHeight="1" s="39">
      <c r="A651" s="42" t="inlineStr">
        <is>
          <t>431359</t>
        </is>
      </c>
      <c r="B651" s="38" t="inlineStr">
        <is>
          <t>Salomó</t>
        </is>
      </c>
      <c r="C651" s="38" t="inlineStr">
        <is>
          <t>36</t>
        </is>
      </c>
      <c r="D651" s="38" t="inlineStr">
        <is>
          <t>Tarragonès</t>
        </is>
      </c>
    </row>
    <row r="652" ht="15" customHeight="1" s="39">
      <c r="A652" s="42" t="inlineStr">
        <is>
          <t>439057</t>
        </is>
      </c>
      <c r="B652" s="38" t="inlineStr">
        <is>
          <t>Salou</t>
        </is>
      </c>
      <c r="C652" s="38" t="inlineStr">
        <is>
          <t>36</t>
        </is>
      </c>
      <c r="D652" s="38" t="inlineStr">
        <is>
          <t>Tarragonès</t>
        </is>
      </c>
    </row>
    <row r="653" ht="15" customHeight="1" s="39">
      <c r="A653" s="42" t="inlineStr">
        <is>
          <t>171557</t>
        </is>
      </c>
      <c r="B653" s="38" t="inlineStr">
        <is>
          <t>Salt</t>
        </is>
      </c>
      <c r="C653" s="38" t="inlineStr">
        <is>
          <t>20</t>
        </is>
      </c>
      <c r="D653" s="38" t="inlineStr">
        <is>
          <t>Gironès</t>
        </is>
      </c>
    </row>
    <row r="654" ht="15" customHeight="1" s="39">
      <c r="A654" s="42" t="inlineStr">
        <is>
          <t>251919</t>
        </is>
      </c>
      <c r="B654" s="38" t="inlineStr">
        <is>
          <t>Sanaüja</t>
        </is>
      </c>
      <c r="C654" s="38" t="inlineStr">
        <is>
          <t>32</t>
        </is>
      </c>
      <c r="D654" s="38" t="inlineStr">
        <is>
          <t>Segarra</t>
        </is>
      </c>
    </row>
    <row r="655" ht="15" customHeight="1" s="39">
      <c r="A655" s="42" t="inlineStr">
        <is>
          <t>081944</t>
        </is>
      </c>
      <c r="B655" s="38" t="inlineStr">
        <is>
          <t>Sant Adrià de Besòs</t>
        </is>
      </c>
      <c r="C655" s="38" t="inlineStr">
        <is>
          <t>13</t>
        </is>
      </c>
      <c r="D655" s="38" t="inlineStr">
        <is>
          <t>Barcelonès</t>
        </is>
      </c>
    </row>
    <row r="656" ht="15" customHeight="1" s="39">
      <c r="A656" s="42" t="inlineStr">
        <is>
          <t>081957</t>
        </is>
      </c>
      <c r="B656" s="38" t="inlineStr">
        <is>
          <t>Sant Agustí de Lluçanès</t>
        </is>
      </c>
      <c r="C656" s="38" t="inlineStr">
        <is>
          <t>24</t>
        </is>
      </c>
      <c r="D656" s="38" t="inlineStr">
        <is>
          <t>Osona</t>
        </is>
      </c>
    </row>
    <row r="657" ht="15" customHeight="1" s="39">
      <c r="A657" s="42" t="inlineStr">
        <is>
          <t>081960</t>
        </is>
      </c>
      <c r="B657" s="38" t="inlineStr">
        <is>
          <t>Sant Andreu de la Barca</t>
        </is>
      </c>
      <c r="C657" s="38" t="inlineStr">
        <is>
          <t>11</t>
        </is>
      </c>
      <c r="D657" s="38" t="inlineStr">
        <is>
          <t>Baix Llobregat</t>
        </is>
      </c>
    </row>
    <row r="658" ht="15" customHeight="1" s="39">
      <c r="A658" s="42" t="inlineStr">
        <is>
          <t>081976</t>
        </is>
      </c>
      <c r="B658" s="38" t="inlineStr">
        <is>
          <t>Sant Andreu de Llavaneres</t>
        </is>
      </c>
      <c r="C658" s="38" t="inlineStr">
        <is>
          <t>21</t>
        </is>
      </c>
      <c r="D658" s="38" t="inlineStr">
        <is>
          <t>Maresme</t>
        </is>
      </c>
    </row>
    <row r="659" ht="15" customHeight="1" s="39">
      <c r="A659" s="42" t="inlineStr">
        <is>
          <t>171576</t>
        </is>
      </c>
      <c r="B659" s="38" t="inlineStr">
        <is>
          <t>Sant Andreu Salou</t>
        </is>
      </c>
      <c r="C659" s="38" t="inlineStr">
        <is>
          <t>20</t>
        </is>
      </c>
      <c r="D659" s="38" t="inlineStr">
        <is>
          <t>Gironès</t>
        </is>
      </c>
    </row>
    <row r="660" ht="15" customHeight="1" s="39">
      <c r="A660" s="42" t="inlineStr">
        <is>
          <t>171833</t>
        </is>
      </c>
      <c r="B660" s="38" t="inlineStr">
        <is>
          <t>Sant Aniol de Finestres</t>
        </is>
      </c>
      <c r="C660" s="38" t="inlineStr">
        <is>
          <t>19</t>
        </is>
      </c>
      <c r="D660" s="38" t="inlineStr">
        <is>
          <t>Garrotxa</t>
        </is>
      </c>
    </row>
    <row r="661" ht="15" customHeight="1" s="39">
      <c r="A661" s="42" t="inlineStr">
        <is>
          <t>081982</t>
        </is>
      </c>
      <c r="B661" s="38" t="inlineStr">
        <is>
          <t>Sant Antoni de Vilamajor</t>
        </is>
      </c>
      <c r="C661" s="38" t="inlineStr">
        <is>
          <t>41</t>
        </is>
      </c>
      <c r="D661" s="38" t="inlineStr">
        <is>
          <t>Vallès Oriental</t>
        </is>
      </c>
    </row>
    <row r="662" ht="15" customHeight="1" s="39">
      <c r="A662" s="42" t="inlineStr">
        <is>
          <t>081995</t>
        </is>
      </c>
      <c r="B662" s="38" t="inlineStr">
        <is>
          <t>Sant Bartomeu del Grau</t>
        </is>
      </c>
      <c r="C662" s="38" t="inlineStr">
        <is>
          <t>24</t>
        </is>
      </c>
      <c r="D662" s="38" t="inlineStr">
        <is>
          <t>Osona</t>
        </is>
      </c>
    </row>
    <row r="663" ht="15" customHeight="1" s="39">
      <c r="A663" s="42" t="inlineStr">
        <is>
          <t>082009</t>
        </is>
      </c>
      <c r="B663" s="38" t="inlineStr">
        <is>
          <t>Sant Boi de Llobregat</t>
        </is>
      </c>
      <c r="C663" s="38" t="inlineStr">
        <is>
          <t>11</t>
        </is>
      </c>
      <c r="D663" s="38" t="inlineStr">
        <is>
          <t>Baix Llobregat</t>
        </is>
      </c>
    </row>
    <row r="664" ht="15" customHeight="1" s="39">
      <c r="A664" s="42" t="inlineStr">
        <is>
          <t>082016</t>
        </is>
      </c>
      <c r="B664" s="38" t="inlineStr">
        <is>
          <t>Sant Boi de Lluçanès</t>
        </is>
      </c>
      <c r="C664" s="38" t="inlineStr">
        <is>
          <t>24</t>
        </is>
      </c>
      <c r="D664" s="38" t="inlineStr">
        <is>
          <t>Osona</t>
        </is>
      </c>
    </row>
    <row r="665" ht="15" customHeight="1" s="39">
      <c r="A665" s="42" t="inlineStr">
        <is>
          <t>082037</t>
        </is>
      </c>
      <c r="B665" s="38" t="inlineStr">
        <is>
          <t>Sant Cebrià de Vallalta</t>
        </is>
      </c>
      <c r="C665" s="38" t="inlineStr">
        <is>
          <t>21</t>
        </is>
      </c>
      <c r="D665" s="38" t="inlineStr">
        <is>
          <t>Maresme</t>
        </is>
      </c>
    </row>
    <row r="666" ht="15" customHeight="1" s="39">
      <c r="A666" s="42" t="inlineStr">
        <is>
          <t>082021</t>
        </is>
      </c>
      <c r="B666" s="38" t="inlineStr">
        <is>
          <t>Sant Celoni</t>
        </is>
      </c>
      <c r="C666" s="38" t="inlineStr">
        <is>
          <t>41</t>
        </is>
      </c>
      <c r="D666" s="38" t="inlineStr">
        <is>
          <t>Vallès Oriental</t>
        </is>
      </c>
    </row>
    <row r="667" ht="15" customHeight="1" s="39">
      <c r="A667" s="42" t="inlineStr">
        <is>
          <t>082042</t>
        </is>
      </c>
      <c r="B667" s="38" t="inlineStr">
        <is>
          <t>Sant Climent de Llobregat</t>
        </is>
      </c>
      <c r="C667" s="38" t="inlineStr">
        <is>
          <t>11</t>
        </is>
      </c>
      <c r="D667" s="38" t="inlineStr">
        <is>
          <t>Baix Llobregat</t>
        </is>
      </c>
    </row>
    <row r="668" ht="15" customHeight="1" s="39">
      <c r="A668" s="42" t="inlineStr">
        <is>
          <t>171582</t>
        </is>
      </c>
      <c r="B668" s="38" t="inlineStr">
        <is>
          <t>Sant Climent Sescebes</t>
        </is>
      </c>
      <c r="C668" s="38" t="inlineStr">
        <is>
          <t>02</t>
        </is>
      </c>
      <c r="D668" s="38" t="inlineStr">
        <is>
          <t>Alt Empordà</t>
        </is>
      </c>
    </row>
    <row r="669" ht="15" customHeight="1" s="39">
      <c r="A669" s="42" t="inlineStr">
        <is>
          <t>082055</t>
        </is>
      </c>
      <c r="B669" s="38" t="inlineStr">
        <is>
          <t>Sant Cugat del Vallès</t>
        </is>
      </c>
      <c r="C669" s="38" t="inlineStr">
        <is>
          <t>40</t>
        </is>
      </c>
      <c r="D669" s="38" t="inlineStr">
        <is>
          <t>Vallès Occidental</t>
        </is>
      </c>
    </row>
    <row r="670" ht="15" customHeight="1" s="39">
      <c r="A670" s="42" t="inlineStr">
        <is>
          <t>082068</t>
        </is>
      </c>
      <c r="B670" s="38" t="inlineStr">
        <is>
          <t>Sant Cugat Sesgarrigues</t>
        </is>
      </c>
      <c r="C670" s="38" t="inlineStr">
        <is>
          <t>03</t>
        </is>
      </c>
      <c r="D670" s="38" t="inlineStr">
        <is>
          <t>Alt Penedès</t>
        </is>
      </c>
    </row>
    <row r="671" ht="15" customHeight="1" s="39">
      <c r="A671" s="42" t="inlineStr">
        <is>
          <t>251961</t>
        </is>
      </c>
      <c r="B671" s="38" t="inlineStr">
        <is>
          <t>Sant Esteve de la Sarga</t>
        </is>
      </c>
      <c r="C671" s="38" t="inlineStr">
        <is>
          <t>25</t>
        </is>
      </c>
      <c r="D671" s="38" t="inlineStr">
        <is>
          <t>Pallars Jussà</t>
        </is>
      </c>
    </row>
    <row r="672" ht="15" customHeight="1" s="39">
      <c r="A672" s="42" t="inlineStr">
        <is>
          <t>082074</t>
        </is>
      </c>
      <c r="B672" s="38" t="inlineStr">
        <is>
          <t>Sant Esteve de Palautordera</t>
        </is>
      </c>
      <c r="C672" s="38" t="inlineStr">
        <is>
          <t>41</t>
        </is>
      </c>
      <c r="D672" s="38" t="inlineStr">
        <is>
          <t>Vallès Oriental</t>
        </is>
      </c>
    </row>
    <row r="673" ht="15" customHeight="1" s="39">
      <c r="A673" s="42" t="inlineStr">
        <is>
          <t>082080</t>
        </is>
      </c>
      <c r="B673" s="38" t="inlineStr">
        <is>
          <t>Sant Esteve Sesrovires</t>
        </is>
      </c>
      <c r="C673" s="38" t="inlineStr">
        <is>
          <t>11</t>
        </is>
      </c>
      <c r="D673" s="38" t="inlineStr">
        <is>
          <t>Baix Llobregat</t>
        </is>
      </c>
    </row>
    <row r="674" ht="15" customHeight="1" s="39">
      <c r="A674" s="42" t="inlineStr">
        <is>
          <t>171595</t>
        </is>
      </c>
      <c r="B674" s="38" t="inlineStr">
        <is>
          <t>Sant Feliu de Buixalleu</t>
        </is>
      </c>
      <c r="C674" s="38" t="inlineStr">
        <is>
          <t>34</t>
        </is>
      </c>
      <c r="D674" s="38" t="inlineStr">
        <is>
          <t>Selva</t>
        </is>
      </c>
    </row>
    <row r="675" ht="15" customHeight="1" s="39">
      <c r="A675" s="42" t="inlineStr">
        <is>
          <t>082107</t>
        </is>
      </c>
      <c r="B675" s="38" t="inlineStr">
        <is>
          <t>Sant Feliu de Codines</t>
        </is>
      </c>
      <c r="C675" s="38" t="inlineStr">
        <is>
          <t>41</t>
        </is>
      </c>
      <c r="D675" s="38" t="inlineStr">
        <is>
          <t>Vallès Oriental</t>
        </is>
      </c>
    </row>
    <row r="676" ht="15" customHeight="1" s="39">
      <c r="A676" s="42" t="inlineStr">
        <is>
          <t>171609</t>
        </is>
      </c>
      <c r="B676" s="38" t="inlineStr">
        <is>
          <t>Sant Feliu de Guíxols</t>
        </is>
      </c>
      <c r="C676" s="38" t="inlineStr">
        <is>
          <t>10</t>
        </is>
      </c>
      <c r="D676" s="38" t="inlineStr">
        <is>
          <t>Baix Empordà</t>
        </is>
      </c>
    </row>
    <row r="677" ht="15" customHeight="1" s="39">
      <c r="A677" s="42" t="inlineStr">
        <is>
          <t>082114</t>
        </is>
      </c>
      <c r="B677" s="38" t="inlineStr">
        <is>
          <t>Sant Feliu de Llobregat</t>
        </is>
      </c>
      <c r="C677" s="38" t="inlineStr">
        <is>
          <t>11</t>
        </is>
      </c>
      <c r="D677" s="38" t="inlineStr">
        <is>
          <t>Baix Llobregat</t>
        </is>
      </c>
    </row>
    <row r="678" ht="15" customHeight="1" s="39">
      <c r="A678" s="42" t="inlineStr">
        <is>
          <t>171616</t>
        </is>
      </c>
      <c r="B678" s="38" t="inlineStr">
        <is>
          <t>Sant Feliu de Pallerols</t>
        </is>
      </c>
      <c r="C678" s="38" t="inlineStr">
        <is>
          <t>19</t>
        </is>
      </c>
      <c r="D678" s="38" t="inlineStr">
        <is>
          <t>Garrotxa</t>
        </is>
      </c>
    </row>
    <row r="679" ht="15" customHeight="1" s="39">
      <c r="A679" s="42" t="inlineStr">
        <is>
          <t>082129</t>
        </is>
      </c>
      <c r="B679" s="38" t="inlineStr">
        <is>
          <t>Sant Feliu Sasserra</t>
        </is>
      </c>
      <c r="C679" s="38" t="inlineStr">
        <is>
          <t>07</t>
        </is>
      </c>
      <c r="D679" s="38" t="inlineStr">
        <is>
          <t>Bages</t>
        </is>
      </c>
    </row>
    <row r="680" ht="15" customHeight="1" s="39">
      <c r="A680" s="42" t="inlineStr">
        <is>
          <t>171621</t>
        </is>
      </c>
      <c r="B680" s="38" t="inlineStr">
        <is>
          <t>Sant Ferriol</t>
        </is>
      </c>
      <c r="C680" s="38" t="inlineStr">
        <is>
          <t>19</t>
        </is>
      </c>
      <c r="D680" s="38" t="inlineStr">
        <is>
          <t>Garrotxa</t>
        </is>
      </c>
    </row>
    <row r="681" ht="15" customHeight="1" s="39">
      <c r="A681" s="42" t="inlineStr">
        <is>
          <t>082093</t>
        </is>
      </c>
      <c r="B681" s="38" t="inlineStr">
        <is>
          <t>Sant Fost de Campsentelles</t>
        </is>
      </c>
      <c r="C681" s="38" t="inlineStr">
        <is>
          <t>41</t>
        </is>
      </c>
      <c r="D681" s="38" t="inlineStr">
        <is>
          <t>Vallès Oriental</t>
        </is>
      </c>
    </row>
    <row r="682" ht="15" customHeight="1" s="39">
      <c r="A682" s="42" t="inlineStr">
        <is>
          <t>082135</t>
        </is>
      </c>
      <c r="B682" s="38" t="inlineStr">
        <is>
          <t>Sant Fruitós de Bages</t>
        </is>
      </c>
      <c r="C682" s="38" t="inlineStr">
        <is>
          <t>07</t>
        </is>
      </c>
      <c r="D682" s="38" t="inlineStr">
        <is>
          <t>Bages</t>
        </is>
      </c>
    </row>
    <row r="683" ht="15" customHeight="1" s="39">
      <c r="A683" s="42" t="inlineStr">
        <is>
          <t>171637</t>
        </is>
      </c>
      <c r="B683" s="38" t="inlineStr">
        <is>
          <t>Sant Gregori</t>
        </is>
      </c>
      <c r="C683" s="38" t="inlineStr">
        <is>
          <t>20</t>
        </is>
      </c>
      <c r="D683" s="38" t="inlineStr">
        <is>
          <t>Gironès</t>
        </is>
      </c>
    </row>
    <row r="684" ht="15" customHeight="1" s="39">
      <c r="A684" s="42" t="inlineStr">
        <is>
          <t>251924</t>
        </is>
      </c>
      <c r="B684" s="38" t="inlineStr">
        <is>
          <t>Sant Guim de Freixenet</t>
        </is>
      </c>
      <c r="C684" s="38" t="inlineStr">
        <is>
          <t>32</t>
        </is>
      </c>
      <c r="D684" s="38" t="inlineStr">
        <is>
          <t>Segarra</t>
        </is>
      </c>
    </row>
    <row r="685" ht="15" customHeight="1" s="39">
      <c r="A685" s="42" t="inlineStr">
        <is>
          <t>251977</t>
        </is>
      </c>
      <c r="B685" s="38" t="inlineStr">
        <is>
          <t>Sant Guim de la Plana</t>
        </is>
      </c>
      <c r="C685" s="38" t="inlineStr">
        <is>
          <t>32</t>
        </is>
      </c>
      <c r="D685" s="38" t="inlineStr">
        <is>
          <t>Segarra</t>
        </is>
      </c>
    </row>
    <row r="686" ht="15" customHeight="1" s="39">
      <c r="A686" s="42" t="inlineStr">
        <is>
          <t>171642</t>
        </is>
      </c>
      <c r="B686" s="38" t="inlineStr">
        <is>
          <t>Sant Hilari Sacalm</t>
        </is>
      </c>
      <c r="C686" s="38" t="inlineStr">
        <is>
          <t>34</t>
        </is>
      </c>
      <c r="D686" s="38" t="inlineStr">
        <is>
          <t>Selva</t>
        </is>
      </c>
    </row>
    <row r="687" ht="15" customHeight="1" s="39">
      <c r="A687" s="42" t="inlineStr">
        <is>
          <t>082153</t>
        </is>
      </c>
      <c r="B687" s="38" t="inlineStr">
        <is>
          <t>Sant Hipòlit de Voltregà</t>
        </is>
      </c>
      <c r="C687" s="38" t="inlineStr">
        <is>
          <t>24</t>
        </is>
      </c>
      <c r="D687" s="38" t="inlineStr">
        <is>
          <t>Osona</t>
        </is>
      </c>
    </row>
    <row r="688" ht="15" customHeight="1" s="39">
      <c r="A688" s="42" t="inlineStr">
        <is>
          <t>081939</t>
        </is>
      </c>
      <c r="B688" s="38" t="inlineStr">
        <is>
          <t>Sant Iscle de Vallalta</t>
        </is>
      </c>
      <c r="C688" s="38" t="inlineStr">
        <is>
          <t>21</t>
        </is>
      </c>
      <c r="D688" s="38" t="inlineStr">
        <is>
          <t>Maresme</t>
        </is>
      </c>
    </row>
    <row r="689" ht="15" customHeight="1" s="39">
      <c r="A689" s="42" t="inlineStr">
        <is>
          <t>439023</t>
        </is>
      </c>
      <c r="B689" s="38" t="inlineStr">
        <is>
          <t>Sant Jaume d'Enveja</t>
        </is>
      </c>
      <c r="C689" s="38" t="inlineStr">
        <is>
          <t>22</t>
        </is>
      </c>
      <c r="D689" s="38" t="inlineStr">
        <is>
          <t>Montsià</t>
        </is>
      </c>
    </row>
    <row r="690" ht="15" customHeight="1" s="39">
      <c r="A690" s="42" t="inlineStr">
        <is>
          <t>082166</t>
        </is>
      </c>
      <c r="B690" s="38" t="inlineStr">
        <is>
          <t>Sant Jaume de Frontanyà</t>
        </is>
      </c>
      <c r="C690" s="38" t="inlineStr">
        <is>
          <t>14</t>
        </is>
      </c>
      <c r="D690" s="38" t="inlineStr">
        <is>
          <t>Berguedà</t>
        </is>
      </c>
    </row>
    <row r="691" ht="15" customHeight="1" s="39">
      <c r="A691" s="42" t="inlineStr">
        <is>
          <t>171655</t>
        </is>
      </c>
      <c r="B691" s="38" t="inlineStr">
        <is>
          <t>Sant Jaume de Llierca</t>
        </is>
      </c>
      <c r="C691" s="38" t="inlineStr">
        <is>
          <t>19</t>
        </is>
      </c>
      <c r="D691" s="38" t="inlineStr">
        <is>
          <t>Garrotxa</t>
        </is>
      </c>
    </row>
    <row r="692" ht="15" customHeight="1" s="39">
      <c r="A692" s="42" t="inlineStr">
        <is>
          <t>431378</t>
        </is>
      </c>
      <c r="B692" s="38" t="inlineStr">
        <is>
          <t>Sant Jaume dels Domenys</t>
        </is>
      </c>
      <c r="C692" s="38" t="inlineStr">
        <is>
          <t>12</t>
        </is>
      </c>
      <c r="D692" s="38" t="inlineStr">
        <is>
          <t>Baix Penedès</t>
        </is>
      </c>
    </row>
    <row r="693" ht="15" customHeight="1" s="39">
      <c r="A693" s="42" t="inlineStr">
        <is>
          <t>171674</t>
        </is>
      </c>
      <c r="B693" s="38" t="inlineStr">
        <is>
          <t>Sant Joan de les Abadesses</t>
        </is>
      </c>
      <c r="C693" s="38" t="inlineStr">
        <is>
          <t>31</t>
        </is>
      </c>
      <c r="D693" s="38" t="inlineStr">
        <is>
          <t>Ripollès</t>
        </is>
      </c>
    </row>
    <row r="694" ht="15" customHeight="1" s="39">
      <c r="A694" s="42" t="inlineStr">
        <is>
          <t>171680</t>
        </is>
      </c>
      <c r="B694" s="38" t="inlineStr">
        <is>
          <t>Sant Joan de Mollet</t>
        </is>
      </c>
      <c r="C694" s="38" t="inlineStr">
        <is>
          <t>20</t>
        </is>
      </c>
      <c r="D694" s="38" t="inlineStr">
        <is>
          <t>Gironès</t>
        </is>
      </c>
    </row>
    <row r="695" ht="15" customHeight="1" s="39">
      <c r="A695" s="42" t="inlineStr">
        <is>
          <t>082188</t>
        </is>
      </c>
      <c r="B695" s="38" t="inlineStr">
        <is>
          <t>Sant Joan de Vilatorrada</t>
        </is>
      </c>
      <c r="C695" s="38" t="inlineStr">
        <is>
          <t>07</t>
        </is>
      </c>
      <c r="D695" s="38" t="inlineStr">
        <is>
          <t>Bages</t>
        </is>
      </c>
    </row>
    <row r="696" ht="15" customHeight="1" s="39">
      <c r="A696" s="42" t="inlineStr">
        <is>
          <t>082172</t>
        </is>
      </c>
      <c r="B696" s="38" t="inlineStr">
        <is>
          <t>Sant Joan Despí</t>
        </is>
      </c>
      <c r="C696" s="38" t="inlineStr">
        <is>
          <t>11</t>
        </is>
      </c>
      <c r="D696" s="38" t="inlineStr">
        <is>
          <t>Baix Llobregat</t>
        </is>
      </c>
    </row>
    <row r="697" ht="15" customHeight="1" s="39">
      <c r="A697" s="42" t="inlineStr">
        <is>
          <t>171851</t>
        </is>
      </c>
      <c r="B697" s="38" t="inlineStr">
        <is>
          <t>Sant Joan les Fonts</t>
        </is>
      </c>
      <c r="C697" s="38" t="inlineStr">
        <is>
          <t>19</t>
        </is>
      </c>
      <c r="D697" s="38" t="inlineStr">
        <is>
          <t>Garrotxa</t>
        </is>
      </c>
    </row>
    <row r="698" ht="15" customHeight="1" s="39">
      <c r="A698" s="42" t="inlineStr">
        <is>
          <t>171668</t>
        </is>
      </c>
      <c r="B698" s="38" t="inlineStr">
        <is>
          <t>Sant Jordi Desvalls</t>
        </is>
      </c>
      <c r="C698" s="38" t="inlineStr">
        <is>
          <t>20</t>
        </is>
      </c>
      <c r="D698" s="38" t="inlineStr">
        <is>
          <t>Gironès</t>
        </is>
      </c>
    </row>
    <row r="699" ht="15" customHeight="1" s="39">
      <c r="A699" s="42" t="inlineStr">
        <is>
          <t>089030</t>
        </is>
      </c>
      <c r="B699" s="38" t="inlineStr">
        <is>
          <t>Sant Julià de Cerdanyola</t>
        </is>
      </c>
      <c r="C699" s="38" t="inlineStr">
        <is>
          <t>14</t>
        </is>
      </c>
      <c r="D699" s="38" t="inlineStr">
        <is>
          <t>Berguedà</t>
        </is>
      </c>
    </row>
    <row r="700" ht="15" customHeight="1" s="39">
      <c r="A700" s="42" t="inlineStr">
        <is>
          <t>171693</t>
        </is>
      </c>
      <c r="B700" s="38" t="inlineStr">
        <is>
          <t>Sant Julià de Ramis</t>
        </is>
      </c>
      <c r="C700" s="38" t="inlineStr">
        <is>
          <t>20</t>
        </is>
      </c>
      <c r="D700" s="38" t="inlineStr">
        <is>
          <t>Gironès</t>
        </is>
      </c>
    </row>
    <row r="701" ht="15" customHeight="1" s="39">
      <c r="A701" s="42" t="inlineStr">
        <is>
          <t>082205</t>
        </is>
      </c>
      <c r="B701" s="38" t="inlineStr">
        <is>
          <t>Sant Julià de Vilatorta</t>
        </is>
      </c>
      <c r="C701" s="38" t="inlineStr">
        <is>
          <t>24</t>
        </is>
      </c>
      <c r="D701" s="38" t="inlineStr">
        <is>
          <t>Osona</t>
        </is>
      </c>
    </row>
    <row r="702" ht="15" customHeight="1" s="39">
      <c r="A702" s="42" t="inlineStr">
        <is>
          <t>179032</t>
        </is>
      </c>
      <c r="B702" s="38" t="inlineStr">
        <is>
          <t>Sant Julià del Llor i Bonmatí</t>
        </is>
      </c>
      <c r="C702" s="38" t="inlineStr">
        <is>
          <t>34</t>
        </is>
      </c>
      <c r="D702" s="38" t="inlineStr">
        <is>
          <t>Selva</t>
        </is>
      </c>
    </row>
    <row r="703" ht="15" customHeight="1" s="39">
      <c r="A703" s="42" t="inlineStr">
        <is>
          <t>082212</t>
        </is>
      </c>
      <c r="B703" s="38" t="inlineStr">
        <is>
          <t>Sant Just Desvern</t>
        </is>
      </c>
      <c r="C703" s="38" t="inlineStr">
        <is>
          <t>11</t>
        </is>
      </c>
      <c r="D703" s="38" t="inlineStr">
        <is>
          <t>Baix Llobregat</t>
        </is>
      </c>
    </row>
    <row r="704" ht="15" customHeight="1" s="39">
      <c r="A704" s="42" t="inlineStr">
        <is>
          <t>082227</t>
        </is>
      </c>
      <c r="B704" s="38" t="inlineStr">
        <is>
          <t>Sant Llorenç d'Hortons</t>
        </is>
      </c>
      <c r="C704" s="38" t="inlineStr">
        <is>
          <t>03</t>
        </is>
      </c>
      <c r="D704" s="38" t="inlineStr">
        <is>
          <t>Alt Penedès</t>
        </is>
      </c>
    </row>
    <row r="705" ht="15" customHeight="1" s="39">
      <c r="A705" s="42" t="inlineStr">
        <is>
          <t>171714</t>
        </is>
      </c>
      <c r="B705" s="38" t="inlineStr">
        <is>
          <t>Sant Llorenç de la Muga</t>
        </is>
      </c>
      <c r="C705" s="38" t="inlineStr">
        <is>
          <t>02</t>
        </is>
      </c>
      <c r="D705" s="38" t="inlineStr">
        <is>
          <t>Alt Empordà</t>
        </is>
      </c>
    </row>
    <row r="706" ht="15" customHeight="1" s="39">
      <c r="A706" s="42" t="inlineStr">
        <is>
          <t>251930</t>
        </is>
      </c>
      <c r="B706" s="38" t="inlineStr">
        <is>
          <t>Sant Llorenç de Morunys</t>
        </is>
      </c>
      <c r="C706" s="38" t="inlineStr">
        <is>
          <t>35</t>
        </is>
      </c>
      <c r="D706" s="38" t="inlineStr">
        <is>
          <t>Solsonès</t>
        </is>
      </c>
    </row>
    <row r="707" ht="15" customHeight="1" s="39">
      <c r="A707" s="42" t="inlineStr">
        <is>
          <t>082233</t>
        </is>
      </c>
      <c r="B707" s="38" t="inlineStr">
        <is>
          <t>Sant Llorenç Savall</t>
        </is>
      </c>
      <c r="C707" s="38" t="inlineStr">
        <is>
          <t>40</t>
        </is>
      </c>
      <c r="D707" s="38" t="inlineStr">
        <is>
          <t>Vallès Occidental</t>
        </is>
      </c>
    </row>
    <row r="708" ht="15" customHeight="1" s="39">
      <c r="A708" s="42" t="inlineStr">
        <is>
          <t>082251</t>
        </is>
      </c>
      <c r="B708" s="38" t="inlineStr">
        <is>
          <t>Sant Martí d'Albars</t>
        </is>
      </c>
      <c r="C708" s="38" t="inlineStr">
        <is>
          <t>43</t>
        </is>
      </c>
      <c r="D708" s="38" t="inlineStr">
        <is>
          <t>Lluçanès</t>
        </is>
      </c>
    </row>
    <row r="709" ht="15" customHeight="1" s="39">
      <c r="A709" s="42" t="inlineStr">
        <is>
          <t>082248</t>
        </is>
      </c>
      <c r="B709" s="38" t="inlineStr">
        <is>
          <t>Sant Martí de Centelles</t>
        </is>
      </c>
      <c r="C709" s="38" t="inlineStr">
        <is>
          <t>24</t>
        </is>
      </c>
      <c r="D709" s="38" t="inlineStr">
        <is>
          <t>Osona</t>
        </is>
      </c>
    </row>
    <row r="710" ht="15" customHeight="1" s="39">
      <c r="A710" s="42" t="inlineStr">
        <is>
          <t>171729</t>
        </is>
      </c>
      <c r="B710" s="38" t="inlineStr">
        <is>
          <t>Sant Martí de Llémena</t>
        </is>
      </c>
      <c r="C710" s="38" t="inlineStr">
        <is>
          <t>20</t>
        </is>
      </c>
      <c r="D710" s="38" t="inlineStr">
        <is>
          <t>Gironès</t>
        </is>
      </c>
    </row>
    <row r="711" ht="15" customHeight="1" s="39">
      <c r="A711" s="42" t="inlineStr">
        <is>
          <t>259025</t>
        </is>
      </c>
      <c r="B711" s="38" t="inlineStr">
        <is>
          <t>Sant Martí de Riucorb</t>
        </is>
      </c>
      <c r="C711" s="38" t="inlineStr">
        <is>
          <t>38</t>
        </is>
      </c>
      <c r="D711" s="38" t="inlineStr">
        <is>
          <t>Urgell</t>
        </is>
      </c>
    </row>
    <row r="712" ht="15" customHeight="1" s="39">
      <c r="A712" s="42" t="inlineStr">
        <is>
          <t>082264</t>
        </is>
      </c>
      <c r="B712" s="38" t="inlineStr">
        <is>
          <t>Sant Martí de Tous</t>
        </is>
      </c>
      <c r="C712" s="38" t="inlineStr">
        <is>
          <t>06</t>
        </is>
      </c>
      <c r="D712" s="38" t="inlineStr">
        <is>
          <t>Anoia</t>
        </is>
      </c>
    </row>
    <row r="713" ht="15" customHeight="1" s="39">
      <c r="A713" s="42" t="inlineStr">
        <is>
          <t>082270</t>
        </is>
      </c>
      <c r="B713" s="38" t="inlineStr">
        <is>
          <t>Sant Martí Sarroca</t>
        </is>
      </c>
      <c r="C713" s="38" t="inlineStr">
        <is>
          <t>03</t>
        </is>
      </c>
      <c r="D713" s="38" t="inlineStr">
        <is>
          <t>Alt Penedès</t>
        </is>
      </c>
    </row>
    <row r="714" ht="15" customHeight="1" s="39">
      <c r="A714" s="42" t="inlineStr">
        <is>
          <t>082286</t>
        </is>
      </c>
      <c r="B714" s="38" t="inlineStr">
        <is>
          <t>Sant Martí Sesgueioles</t>
        </is>
      </c>
      <c r="C714" s="38" t="inlineStr">
        <is>
          <t>06</t>
        </is>
      </c>
      <c r="D714" s="38" t="inlineStr">
        <is>
          <t>Anoia</t>
        </is>
      </c>
    </row>
    <row r="715" ht="15" customHeight="1" s="39">
      <c r="A715" s="42" t="inlineStr">
        <is>
          <t>171735</t>
        </is>
      </c>
      <c r="B715" s="38" t="inlineStr">
        <is>
          <t>Sant Martí Vell</t>
        </is>
      </c>
      <c r="C715" s="38" t="inlineStr">
        <is>
          <t>20</t>
        </is>
      </c>
      <c r="D715" s="38" t="inlineStr">
        <is>
          <t>Gironès</t>
        </is>
      </c>
    </row>
    <row r="716" ht="15" customHeight="1" s="39">
      <c r="A716" s="42" t="inlineStr">
        <is>
          <t>082299</t>
        </is>
      </c>
      <c r="B716" s="38" t="inlineStr">
        <is>
          <t>Sant Mateu de Bages</t>
        </is>
      </c>
      <c r="C716" s="38" t="inlineStr">
        <is>
          <t>07</t>
        </is>
      </c>
      <c r="D716" s="38" t="inlineStr">
        <is>
          <t>Bages</t>
        </is>
      </c>
    </row>
    <row r="717" ht="15" customHeight="1" s="39">
      <c r="A717" s="42" t="inlineStr">
        <is>
          <t>171740</t>
        </is>
      </c>
      <c r="B717" s="38" t="inlineStr">
        <is>
          <t>Sant Miquel de Campmajor</t>
        </is>
      </c>
      <c r="C717" s="38" t="inlineStr">
        <is>
          <t>28</t>
        </is>
      </c>
      <c r="D717" s="38" t="inlineStr">
        <is>
          <t>Pla de l'Estany</t>
        </is>
      </c>
    </row>
    <row r="718" ht="15" customHeight="1" s="39">
      <c r="A718" s="42" t="inlineStr">
        <is>
          <t>171753</t>
        </is>
      </c>
      <c r="B718" s="38" t="inlineStr">
        <is>
          <t>Sant Miquel de Fluvià</t>
        </is>
      </c>
      <c r="C718" s="38" t="inlineStr">
        <is>
          <t>02</t>
        </is>
      </c>
      <c r="D718" s="38" t="inlineStr">
        <is>
          <t>Alt Empordà</t>
        </is>
      </c>
    </row>
    <row r="719" ht="15" customHeight="1" s="39">
      <c r="A719" s="42" t="inlineStr">
        <is>
          <t>171766</t>
        </is>
      </c>
      <c r="B719" s="38" t="inlineStr">
        <is>
          <t>Sant Mori</t>
        </is>
      </c>
      <c r="C719" s="38" t="inlineStr">
        <is>
          <t>02</t>
        </is>
      </c>
      <c r="D719" s="38" t="inlineStr">
        <is>
          <t>Alt Empordà</t>
        </is>
      </c>
    </row>
    <row r="720" ht="15" customHeight="1" s="39">
      <c r="A720" s="42" t="inlineStr">
        <is>
          <t>171772</t>
        </is>
      </c>
      <c r="B720" s="38" t="inlineStr">
        <is>
          <t>Sant Pau de Segúries</t>
        </is>
      </c>
      <c r="C720" s="38" t="inlineStr">
        <is>
          <t>31</t>
        </is>
      </c>
      <c r="D720" s="38" t="inlineStr">
        <is>
          <t>Ripollès</t>
        </is>
      </c>
    </row>
    <row r="721" ht="15" customHeight="1" s="39">
      <c r="A721" s="42" t="inlineStr">
        <is>
          <t>082310</t>
        </is>
      </c>
      <c r="B721" s="38" t="inlineStr">
        <is>
          <t>Sant Pere de Ribes</t>
        </is>
      </c>
      <c r="C721" s="38" t="inlineStr">
        <is>
          <t>17</t>
        </is>
      </c>
      <c r="D721" s="38" t="inlineStr">
        <is>
          <t>Garraf</t>
        </is>
      </c>
    </row>
    <row r="722" ht="15" customHeight="1" s="39">
      <c r="A722" s="42" t="inlineStr">
        <is>
          <t>082325</t>
        </is>
      </c>
      <c r="B722" s="38" t="inlineStr">
        <is>
          <t>Sant Pere de Riudebitlles</t>
        </is>
      </c>
      <c r="C722" s="38" t="inlineStr">
        <is>
          <t>03</t>
        </is>
      </c>
      <c r="D722" s="38" t="inlineStr">
        <is>
          <t>Alt Penedès</t>
        </is>
      </c>
    </row>
    <row r="723" ht="15" customHeight="1" s="39">
      <c r="A723" s="42" t="inlineStr">
        <is>
          <t>082331</t>
        </is>
      </c>
      <c r="B723" s="38" t="inlineStr">
        <is>
          <t>Sant Pere de Torelló</t>
        </is>
      </c>
      <c r="C723" s="38" t="inlineStr">
        <is>
          <t>24</t>
        </is>
      </c>
      <c r="D723" s="38" t="inlineStr">
        <is>
          <t>Osona</t>
        </is>
      </c>
    </row>
    <row r="724" ht="15" customHeight="1" s="39">
      <c r="A724" s="42" t="inlineStr">
        <is>
          <t>082346</t>
        </is>
      </c>
      <c r="B724" s="38" t="inlineStr">
        <is>
          <t>Sant Pere de Vilamajor</t>
        </is>
      </c>
      <c r="C724" s="38" t="inlineStr">
        <is>
          <t>41</t>
        </is>
      </c>
      <c r="D724" s="38" t="inlineStr">
        <is>
          <t>Vallès Oriental</t>
        </is>
      </c>
    </row>
    <row r="725" ht="15" customHeight="1" s="39">
      <c r="A725" s="42" t="inlineStr">
        <is>
          <t>171788</t>
        </is>
      </c>
      <c r="B725" s="38" t="inlineStr">
        <is>
          <t>Sant Pere Pescador</t>
        </is>
      </c>
      <c r="C725" s="38" t="inlineStr">
        <is>
          <t>02</t>
        </is>
      </c>
      <c r="D725" s="38" t="inlineStr">
        <is>
          <t>Alt Empordà</t>
        </is>
      </c>
    </row>
    <row r="726" ht="15" customHeight="1" s="39">
      <c r="A726" s="42" t="inlineStr">
        <is>
          <t>081897</t>
        </is>
      </c>
      <c r="B726" s="38" t="inlineStr">
        <is>
          <t>Sant Pere Sallavinera</t>
        </is>
      </c>
      <c r="C726" s="38" t="inlineStr">
        <is>
          <t>06</t>
        </is>
      </c>
      <c r="D726" s="38" t="inlineStr">
        <is>
          <t>Anoia</t>
        </is>
      </c>
    </row>
    <row r="727" ht="15" customHeight="1" s="39">
      <c r="A727" s="42" t="inlineStr">
        <is>
          <t>082359</t>
        </is>
      </c>
      <c r="B727" s="38" t="inlineStr">
        <is>
          <t>Sant Pol de Mar</t>
        </is>
      </c>
      <c r="C727" s="38" t="inlineStr">
        <is>
          <t>21</t>
        </is>
      </c>
      <c r="D727" s="38" t="inlineStr">
        <is>
          <t>Maresme</t>
        </is>
      </c>
    </row>
    <row r="728" ht="15" customHeight="1" s="39">
      <c r="A728" s="42" t="inlineStr">
        <is>
          <t>082362</t>
        </is>
      </c>
      <c r="B728" s="38" t="inlineStr">
        <is>
          <t>Sant Quintí de Mediona</t>
        </is>
      </c>
      <c r="C728" s="38" t="inlineStr">
        <is>
          <t>03</t>
        </is>
      </c>
      <c r="D728" s="38" t="inlineStr">
        <is>
          <t>Alt Penedès</t>
        </is>
      </c>
    </row>
    <row r="729" ht="15" customHeight="1" s="39">
      <c r="A729" s="42" t="inlineStr">
        <is>
          <t>082378</t>
        </is>
      </c>
      <c r="B729" s="38" t="inlineStr">
        <is>
          <t>Sant Quirze de Besora</t>
        </is>
      </c>
      <c r="C729" s="38" t="inlineStr">
        <is>
          <t>24</t>
        </is>
      </c>
      <c r="D729" s="38" t="inlineStr">
        <is>
          <t>Osona</t>
        </is>
      </c>
    </row>
    <row r="730" ht="15" customHeight="1" s="39">
      <c r="A730" s="42" t="inlineStr">
        <is>
          <t>082384</t>
        </is>
      </c>
      <c r="B730" s="38" t="inlineStr">
        <is>
          <t>Sant Quirze del Vallès</t>
        </is>
      </c>
      <c r="C730" s="38" t="inlineStr">
        <is>
          <t>40</t>
        </is>
      </c>
      <c r="D730" s="38" t="inlineStr">
        <is>
          <t>Vallès Occidental</t>
        </is>
      </c>
    </row>
    <row r="731" ht="15" customHeight="1" s="39">
      <c r="A731" s="42" t="inlineStr">
        <is>
          <t>082397</t>
        </is>
      </c>
      <c r="B731" s="38" t="inlineStr">
        <is>
          <t>Sant Quirze Safaja</t>
        </is>
      </c>
      <c r="C731" s="38" t="inlineStr">
        <is>
          <t>42</t>
        </is>
      </c>
      <c r="D731" s="38" t="inlineStr">
        <is>
          <t>Moianès</t>
        </is>
      </c>
    </row>
    <row r="732" ht="15" customHeight="1" s="39">
      <c r="A732" s="42" t="inlineStr">
        <is>
          <t>251945</t>
        </is>
      </c>
      <c r="B732" s="38" t="inlineStr">
        <is>
          <t>Sant Ramon</t>
        </is>
      </c>
      <c r="C732" s="38" t="inlineStr">
        <is>
          <t>32</t>
        </is>
      </c>
      <c r="D732" s="38" t="inlineStr">
        <is>
          <t>Segarra</t>
        </is>
      </c>
    </row>
    <row r="733" ht="15" customHeight="1" s="39">
      <c r="A733" s="42" t="inlineStr">
        <is>
          <t>082401</t>
        </is>
      </c>
      <c r="B733" s="38" t="inlineStr">
        <is>
          <t>Sant Sadurní d'Anoia</t>
        </is>
      </c>
      <c r="C733" s="38" t="inlineStr">
        <is>
          <t>03</t>
        </is>
      </c>
      <c r="D733" s="38" t="inlineStr">
        <is>
          <t>Alt Penedès</t>
        </is>
      </c>
    </row>
    <row r="734" ht="15" customHeight="1" s="39">
      <c r="A734" s="42" t="inlineStr">
        <is>
          <t>082418</t>
        </is>
      </c>
      <c r="B734" s="38" t="inlineStr">
        <is>
          <t>Sant Sadurní d'Osormort</t>
        </is>
      </c>
      <c r="C734" s="38" t="inlineStr">
        <is>
          <t>24</t>
        </is>
      </c>
      <c r="D734" s="38" t="inlineStr">
        <is>
          <t>Osona</t>
        </is>
      </c>
    </row>
    <row r="735" ht="15" customHeight="1" s="39">
      <c r="A735" s="42" t="inlineStr">
        <is>
          <t>080983</t>
        </is>
      </c>
      <c r="B735" s="38" t="inlineStr">
        <is>
          <t>Sant Salvador de Guardiola</t>
        </is>
      </c>
      <c r="C735" s="38" t="inlineStr">
        <is>
          <t>07</t>
        </is>
      </c>
      <c r="D735" s="38" t="inlineStr">
        <is>
          <t>Bages</t>
        </is>
      </c>
    </row>
    <row r="736" ht="15" customHeight="1" s="39">
      <c r="A736" s="42" t="inlineStr">
        <is>
          <t>082628</t>
        </is>
      </c>
      <c r="B736" s="38" t="inlineStr">
        <is>
          <t>Sant Vicenç de Castellet</t>
        </is>
      </c>
      <c r="C736" s="38" t="inlineStr">
        <is>
          <t>07</t>
        </is>
      </c>
      <c r="D736" s="38" t="inlineStr">
        <is>
          <t>Bages</t>
        </is>
      </c>
    </row>
    <row r="737" ht="15" customHeight="1" s="39">
      <c r="A737" s="42" t="inlineStr">
        <is>
          <t>082649</t>
        </is>
      </c>
      <c r="B737" s="38" t="inlineStr">
        <is>
          <t>Sant Vicenç de Montalt</t>
        </is>
      </c>
      <c r="C737" s="38" t="inlineStr">
        <is>
          <t>21</t>
        </is>
      </c>
      <c r="D737" s="38" t="inlineStr">
        <is>
          <t>Maresme</t>
        </is>
      </c>
    </row>
    <row r="738" ht="15" customHeight="1" s="39">
      <c r="A738" s="42" t="inlineStr">
        <is>
          <t>082652</t>
        </is>
      </c>
      <c r="B738" s="38" t="inlineStr">
        <is>
          <t>Sant Vicenç de Torelló</t>
        </is>
      </c>
      <c r="C738" s="38" t="inlineStr">
        <is>
          <t>24</t>
        </is>
      </c>
      <c r="D738" s="38" t="inlineStr">
        <is>
          <t>Osona</t>
        </is>
      </c>
    </row>
    <row r="739" ht="15" customHeight="1" s="39">
      <c r="A739" s="42" t="inlineStr">
        <is>
          <t>082634</t>
        </is>
      </c>
      <c r="B739" s="38" t="inlineStr">
        <is>
          <t>Sant Vicenç dels Horts</t>
        </is>
      </c>
      <c r="C739" s="38" t="inlineStr">
        <is>
          <t>11</t>
        </is>
      </c>
      <c r="D739" s="38" t="inlineStr">
        <is>
          <t>Baix Llobregat</t>
        </is>
      </c>
    </row>
    <row r="740" ht="15" customHeight="1" s="39">
      <c r="A740" s="42" t="inlineStr">
        <is>
          <t>431384</t>
        </is>
      </c>
      <c r="B740" s="38" t="inlineStr">
        <is>
          <t>Santa Bàrbara</t>
        </is>
      </c>
      <c r="C740" s="38" t="inlineStr">
        <is>
          <t>22</t>
        </is>
      </c>
      <c r="D740" s="38" t="inlineStr">
        <is>
          <t>Montsià</t>
        </is>
      </c>
    </row>
    <row r="741" ht="15" customHeight="1" s="39">
      <c r="A741" s="42" t="inlineStr">
        <is>
          <t>082439</t>
        </is>
      </c>
      <c r="B741" s="38" t="inlineStr">
        <is>
          <t>Santa Cecília de Voltregà</t>
        </is>
      </c>
      <c r="C741" s="38" t="inlineStr">
        <is>
          <t>24</t>
        </is>
      </c>
      <c r="D741" s="38" t="inlineStr">
        <is>
          <t>Osona</t>
        </is>
      </c>
    </row>
    <row r="742" ht="15" customHeight="1" s="39">
      <c r="A742" s="42" t="inlineStr">
        <is>
          <t>082444</t>
        </is>
      </c>
      <c r="B742" s="38" t="inlineStr">
        <is>
          <t>Santa Coloma de Cervelló</t>
        </is>
      </c>
      <c r="C742" s="38" t="inlineStr">
        <is>
          <t>11</t>
        </is>
      </c>
      <c r="D742" s="38" t="inlineStr">
        <is>
          <t>Baix Llobregat</t>
        </is>
      </c>
    </row>
    <row r="743" ht="15" customHeight="1" s="39">
      <c r="A743" s="42" t="inlineStr">
        <is>
          <t>171805</t>
        </is>
      </c>
      <c r="B743" s="38" t="inlineStr">
        <is>
          <t>Santa Coloma de Farners</t>
        </is>
      </c>
      <c r="C743" s="38" t="inlineStr">
        <is>
          <t>34</t>
        </is>
      </c>
      <c r="D743" s="38" t="inlineStr">
        <is>
          <t>Selva</t>
        </is>
      </c>
    </row>
    <row r="744" ht="15" customHeight="1" s="39">
      <c r="A744" s="42" t="inlineStr">
        <is>
          <t>082457</t>
        </is>
      </c>
      <c r="B744" s="38" t="inlineStr">
        <is>
          <t>Santa Coloma de Gramenet</t>
        </is>
      </c>
      <c r="C744" s="38" t="inlineStr">
        <is>
          <t>13</t>
        </is>
      </c>
      <c r="D744" s="38" t="inlineStr">
        <is>
          <t>Barcelonès</t>
        </is>
      </c>
    </row>
    <row r="745" ht="15" customHeight="1" s="39">
      <c r="A745" s="42" t="inlineStr">
        <is>
          <t>431397</t>
        </is>
      </c>
      <c r="B745" s="38" t="inlineStr">
        <is>
          <t>Santa Coloma de Queralt</t>
        </is>
      </c>
      <c r="C745" s="38" t="inlineStr">
        <is>
          <t>16</t>
        </is>
      </c>
      <c r="D745" s="38" t="inlineStr">
        <is>
          <t>Conca de Barberà</t>
        </is>
      </c>
    </row>
    <row r="746" ht="15" customHeight="1" s="39">
      <c r="A746" s="42" t="inlineStr">
        <is>
          <t>171812</t>
        </is>
      </c>
      <c r="B746" s="38" t="inlineStr">
        <is>
          <t>Santa Cristina d'Aro</t>
        </is>
      </c>
      <c r="C746" s="38" t="inlineStr">
        <is>
          <t>10</t>
        </is>
      </c>
      <c r="D746" s="38" t="inlineStr">
        <is>
          <t>Baix Empordà</t>
        </is>
      </c>
    </row>
    <row r="747" ht="15" customHeight="1" s="39">
      <c r="A747" s="42" t="inlineStr">
        <is>
          <t>082460</t>
        </is>
      </c>
      <c r="B747" s="38" t="inlineStr">
        <is>
          <t>Santa Eugènia de Berga</t>
        </is>
      </c>
      <c r="C747" s="38" t="inlineStr">
        <is>
          <t>24</t>
        </is>
      </c>
      <c r="D747" s="38" t="inlineStr">
        <is>
          <t>Osona</t>
        </is>
      </c>
    </row>
    <row r="748" ht="15" customHeight="1" s="39">
      <c r="A748" s="42" t="inlineStr">
        <is>
          <t>082476</t>
        </is>
      </c>
      <c r="B748" s="38" t="inlineStr">
        <is>
          <t>Santa Eulàlia de Riuprimer</t>
        </is>
      </c>
      <c r="C748" s="38" t="inlineStr">
        <is>
          <t>24</t>
        </is>
      </c>
      <c r="D748" s="38" t="inlineStr">
        <is>
          <t>Osona</t>
        </is>
      </c>
    </row>
    <row r="749" ht="15" customHeight="1" s="39">
      <c r="A749" s="42" t="inlineStr">
        <is>
          <t>082482</t>
        </is>
      </c>
      <c r="B749" s="38" t="inlineStr">
        <is>
          <t>Santa Eulàlia de Ronçana</t>
        </is>
      </c>
      <c r="C749" s="38" t="inlineStr">
        <is>
          <t>41</t>
        </is>
      </c>
      <c r="D749" s="38" t="inlineStr">
        <is>
          <t>Vallès Oriental</t>
        </is>
      </c>
    </row>
    <row r="750" ht="15" customHeight="1" s="39">
      <c r="A750" s="42" t="inlineStr">
        <is>
          <t>082495</t>
        </is>
      </c>
      <c r="B750" s="38" t="inlineStr">
        <is>
          <t>Santa Fe del Penedès</t>
        </is>
      </c>
      <c r="C750" s="38" t="inlineStr">
        <is>
          <t>03</t>
        </is>
      </c>
      <c r="D750" s="38" t="inlineStr">
        <is>
          <t>Alt Penedès</t>
        </is>
      </c>
    </row>
    <row r="751" ht="15" customHeight="1" s="39">
      <c r="A751" s="42" t="inlineStr">
        <is>
          <t>171827</t>
        </is>
      </c>
      <c r="B751" s="38" t="inlineStr">
        <is>
          <t>Santa Llogaia d'Àlguema</t>
        </is>
      </c>
      <c r="C751" s="38" t="inlineStr">
        <is>
          <t>02</t>
        </is>
      </c>
      <c r="D751" s="38" t="inlineStr">
        <is>
          <t>Alt Empordà</t>
        </is>
      </c>
    </row>
    <row r="752" ht="15" customHeight="1" s="39">
      <c r="A752" s="42" t="inlineStr">
        <is>
          <t>082508</t>
        </is>
      </c>
      <c r="B752" s="38" t="inlineStr">
        <is>
          <t>Santa Margarida de Montbui</t>
        </is>
      </c>
      <c r="C752" s="38" t="inlineStr">
        <is>
          <t>06</t>
        </is>
      </c>
      <c r="D752" s="38" t="inlineStr">
        <is>
          <t>Anoia</t>
        </is>
      </c>
    </row>
    <row r="753" ht="15" customHeight="1" s="39">
      <c r="A753" s="42" t="inlineStr">
        <is>
          <t>082515</t>
        </is>
      </c>
      <c r="B753" s="38" t="inlineStr">
        <is>
          <t>Santa Margarida i els Monjos</t>
        </is>
      </c>
      <c r="C753" s="38" t="inlineStr">
        <is>
          <t>03</t>
        </is>
      </c>
      <c r="D753" s="38" t="inlineStr">
        <is>
          <t>Alt Penedès</t>
        </is>
      </c>
    </row>
    <row r="754" ht="15" customHeight="1" s="39">
      <c r="A754" s="42" t="inlineStr">
        <is>
          <t>082589</t>
        </is>
      </c>
      <c r="B754" s="38" t="inlineStr">
        <is>
          <t>Santa Maria d'Oló</t>
        </is>
      </c>
      <c r="C754" s="38" t="inlineStr">
        <is>
          <t>42</t>
        </is>
      </c>
      <c r="D754" s="38" t="inlineStr">
        <is>
          <t>Moianès</t>
        </is>
      </c>
    </row>
    <row r="755" ht="15" customHeight="1" s="39">
      <c r="A755" s="42" t="inlineStr">
        <is>
          <t>082536</t>
        </is>
      </c>
      <c r="B755" s="38" t="inlineStr">
        <is>
          <t>Santa Maria de Besora</t>
        </is>
      </c>
      <c r="C755" s="38" t="inlineStr">
        <is>
          <t>24</t>
        </is>
      </c>
      <c r="D755" s="38" t="inlineStr">
        <is>
          <t>Osona</t>
        </is>
      </c>
    </row>
    <row r="756" ht="15" customHeight="1" s="39">
      <c r="A756" s="42" t="inlineStr">
        <is>
          <t>082567</t>
        </is>
      </c>
      <c r="B756" s="38" t="inlineStr">
        <is>
          <t>Santa Maria de Martorelles</t>
        </is>
      </c>
      <c r="C756" s="38" t="inlineStr">
        <is>
          <t>41</t>
        </is>
      </c>
      <c r="D756" s="38" t="inlineStr">
        <is>
          <t>Vallès Oriental</t>
        </is>
      </c>
    </row>
    <row r="757" ht="15" customHeight="1" s="39">
      <c r="A757" s="42" t="inlineStr">
        <is>
          <t>082554</t>
        </is>
      </c>
      <c r="B757" s="38" t="inlineStr">
        <is>
          <t>Santa Maria de Merlès</t>
        </is>
      </c>
      <c r="C757" s="38" t="inlineStr">
        <is>
          <t>14</t>
        </is>
      </c>
      <c r="D757" s="38" t="inlineStr">
        <is>
          <t>Berguedà</t>
        </is>
      </c>
    </row>
    <row r="758" ht="15" customHeight="1" s="39">
      <c r="A758" s="42" t="inlineStr">
        <is>
          <t>082573</t>
        </is>
      </c>
      <c r="B758" s="38" t="inlineStr">
        <is>
          <t>Santa Maria de Miralles</t>
        </is>
      </c>
      <c r="C758" s="38" t="inlineStr">
        <is>
          <t>06</t>
        </is>
      </c>
      <c r="D758" s="38" t="inlineStr">
        <is>
          <t>Anoia</t>
        </is>
      </c>
    </row>
    <row r="759" ht="15" customHeight="1" s="39">
      <c r="A759" s="42" t="inlineStr">
        <is>
          <t>082592</t>
        </is>
      </c>
      <c r="B759" s="38" t="inlineStr">
        <is>
          <t>Santa Maria de Palautordera</t>
        </is>
      </c>
      <c r="C759" s="38" t="inlineStr">
        <is>
          <t>41</t>
        </is>
      </c>
      <c r="D759" s="38" t="inlineStr">
        <is>
          <t>Vallès Oriental</t>
        </is>
      </c>
    </row>
    <row r="760" ht="15" customHeight="1" s="39">
      <c r="A760" s="42" t="inlineStr">
        <is>
          <t>431401</t>
        </is>
      </c>
      <c r="B760" s="38" t="inlineStr">
        <is>
          <t>Santa Oliva</t>
        </is>
      </c>
      <c r="C760" s="38" t="inlineStr">
        <is>
          <t>12</t>
        </is>
      </c>
      <c r="D760" s="38" t="inlineStr">
        <is>
          <t>Baix Penedès</t>
        </is>
      </c>
    </row>
    <row r="761" ht="15" customHeight="1" s="39">
      <c r="A761" s="42" t="inlineStr">
        <is>
          <t>171848</t>
        </is>
      </c>
      <c r="B761" s="38" t="inlineStr">
        <is>
          <t>Santa Pau</t>
        </is>
      </c>
      <c r="C761" s="38" t="inlineStr">
        <is>
          <t>19</t>
        </is>
      </c>
      <c r="D761" s="38" t="inlineStr">
        <is>
          <t>Garrotxa</t>
        </is>
      </c>
    </row>
    <row r="762" ht="15" customHeight="1" s="39">
      <c r="A762" s="42" t="inlineStr">
        <is>
          <t>082606</t>
        </is>
      </c>
      <c r="B762" s="38" t="inlineStr">
        <is>
          <t>Santa Perpètua de Mogoda</t>
        </is>
      </c>
      <c r="C762" s="38" t="inlineStr">
        <is>
          <t>40</t>
        </is>
      </c>
      <c r="D762" s="38" t="inlineStr">
        <is>
          <t>Vallès Occidental</t>
        </is>
      </c>
    </row>
    <row r="763" ht="15" customHeight="1" s="39">
      <c r="A763" s="42" t="inlineStr">
        <is>
          <t>082613</t>
        </is>
      </c>
      <c r="B763" s="38" t="inlineStr">
        <is>
          <t>Santa Susanna</t>
        </is>
      </c>
      <c r="C763" s="38" t="inlineStr">
        <is>
          <t>21</t>
        </is>
      </c>
      <c r="D763" s="38" t="inlineStr">
        <is>
          <t>Maresme</t>
        </is>
      </c>
    </row>
    <row r="764" ht="15" customHeight="1" s="39">
      <c r="A764" s="42" t="inlineStr">
        <is>
          <t>081923</t>
        </is>
      </c>
      <c r="B764" s="38" t="inlineStr">
        <is>
          <t>Santpedor</t>
        </is>
      </c>
      <c r="C764" s="38" t="inlineStr">
        <is>
          <t>07</t>
        </is>
      </c>
      <c r="D764" s="38" t="inlineStr">
        <is>
          <t>Bages</t>
        </is>
      </c>
    </row>
    <row r="765" ht="15" customHeight="1" s="39">
      <c r="A765" s="42" t="inlineStr">
        <is>
          <t>431423</t>
        </is>
      </c>
      <c r="B765" s="38" t="inlineStr">
        <is>
          <t>Sarral</t>
        </is>
      </c>
      <c r="C765" s="38" t="inlineStr">
        <is>
          <t>16</t>
        </is>
      </c>
      <c r="D765" s="38" t="inlineStr">
        <is>
          <t>Conca de Barberà</t>
        </is>
      </c>
    </row>
    <row r="766" ht="15" customHeight="1" s="39">
      <c r="A766" s="42" t="inlineStr">
        <is>
          <t>171864</t>
        </is>
      </c>
      <c r="B766" s="38" t="inlineStr">
        <is>
          <t>Sarrià de Ter</t>
        </is>
      </c>
      <c r="C766" s="38" t="inlineStr">
        <is>
          <t>20</t>
        </is>
      </c>
      <c r="D766" s="38" t="inlineStr">
        <is>
          <t>Gironès</t>
        </is>
      </c>
    </row>
    <row r="767" ht="15" customHeight="1" s="39">
      <c r="A767" s="42" t="inlineStr">
        <is>
          <t>252017</t>
        </is>
      </c>
      <c r="B767" s="38" t="inlineStr">
        <is>
          <t>Sarroca de Bellera</t>
        </is>
      </c>
      <c r="C767" s="38" t="inlineStr">
        <is>
          <t>25</t>
        </is>
      </c>
      <c r="D767" s="38" t="inlineStr">
        <is>
          <t>Pallars Jussà</t>
        </is>
      </c>
    </row>
    <row r="768" ht="15" customHeight="1" s="39">
      <c r="A768" s="42" t="inlineStr">
        <is>
          <t>252000</t>
        </is>
      </c>
      <c r="B768" s="38" t="inlineStr">
        <is>
          <t>Sarroca de Lleida</t>
        </is>
      </c>
      <c r="C768" s="38" t="inlineStr">
        <is>
          <t>33</t>
        </is>
      </c>
      <c r="D768" s="38" t="inlineStr">
        <is>
          <t>Segrià</t>
        </is>
      </c>
    </row>
    <row r="769" ht="15" customHeight="1" s="39">
      <c r="A769" s="42" t="inlineStr">
        <is>
          <t>171870</t>
        </is>
      </c>
      <c r="B769" s="38" t="inlineStr">
        <is>
          <t>Saus, Camallera i Llampaies</t>
        </is>
      </c>
      <c r="C769" s="38" t="inlineStr">
        <is>
          <t>02</t>
        </is>
      </c>
      <c r="D769" s="38" t="inlineStr">
        <is>
          <t>Alt Empordà</t>
        </is>
      </c>
    </row>
    <row r="770" ht="15" customHeight="1" s="39">
      <c r="A770" s="42" t="inlineStr">
        <is>
          <t>431439</t>
        </is>
      </c>
      <c r="B770" s="38" t="inlineStr">
        <is>
          <t>Savallà del Comtat</t>
        </is>
      </c>
      <c r="C770" s="38" t="inlineStr">
        <is>
          <t>16</t>
        </is>
      </c>
      <c r="D770" s="38" t="inlineStr">
        <is>
          <t>Conca de Barberà</t>
        </is>
      </c>
    </row>
    <row r="771" ht="15" customHeight="1" s="39">
      <c r="A771" s="42" t="inlineStr">
        <is>
          <t>431444</t>
        </is>
      </c>
      <c r="B771" s="38" t="inlineStr">
        <is>
          <t>Secuita, la</t>
        </is>
      </c>
      <c r="C771" s="38" t="inlineStr">
        <is>
          <t>36</t>
        </is>
      </c>
      <c r="D771" s="38" t="inlineStr">
        <is>
          <t>Tarragonès</t>
        </is>
      </c>
    </row>
    <row r="772" ht="15" customHeight="1" s="39">
      <c r="A772" s="42" t="inlineStr">
        <is>
          <t>171886</t>
        </is>
      </c>
      <c r="B772" s="38" t="inlineStr">
        <is>
          <t>Selva de Mar, la</t>
        </is>
      </c>
      <c r="C772" s="38" t="inlineStr">
        <is>
          <t>02</t>
        </is>
      </c>
      <c r="D772" s="38" t="inlineStr">
        <is>
          <t>Alt Empordà</t>
        </is>
      </c>
    </row>
    <row r="773" ht="15" customHeight="1" s="39">
      <c r="A773" s="42" t="inlineStr">
        <is>
          <t>431457</t>
        </is>
      </c>
      <c r="B773" s="38" t="inlineStr">
        <is>
          <t>Selva del Camp, la</t>
        </is>
      </c>
      <c r="C773" s="38" t="inlineStr">
        <is>
          <t>08</t>
        </is>
      </c>
      <c r="D773" s="38" t="inlineStr">
        <is>
          <t>Baix Camp</t>
        </is>
      </c>
    </row>
    <row r="774" ht="15" customHeight="1" s="39">
      <c r="A774" s="42" t="inlineStr">
        <is>
          <t>431460</t>
        </is>
      </c>
      <c r="B774" s="38" t="inlineStr">
        <is>
          <t>Senan</t>
        </is>
      </c>
      <c r="C774" s="38" t="inlineStr">
        <is>
          <t>16</t>
        </is>
      </c>
      <c r="D774" s="38" t="inlineStr">
        <is>
          <t>Conca de Barberà</t>
        </is>
      </c>
    </row>
    <row r="775" ht="15" customHeight="1" s="39">
      <c r="A775" s="42" t="inlineStr">
        <is>
          <t>430445</t>
        </is>
      </c>
      <c r="B775" s="38" t="inlineStr">
        <is>
          <t>Sénia, la</t>
        </is>
      </c>
      <c r="C775" s="38" t="inlineStr">
        <is>
          <t>22</t>
        </is>
      </c>
      <c r="D775" s="38" t="inlineStr">
        <is>
          <t>Montsià</t>
        </is>
      </c>
    </row>
    <row r="776" ht="15" customHeight="1" s="39">
      <c r="A776" s="42" t="inlineStr">
        <is>
          <t>252022</t>
        </is>
      </c>
      <c r="B776" s="38" t="inlineStr">
        <is>
          <t>Senterada</t>
        </is>
      </c>
      <c r="C776" s="38" t="inlineStr">
        <is>
          <t>25</t>
        </is>
      </c>
      <c r="D776" s="38" t="inlineStr">
        <is>
          <t>Pallars Jussà</t>
        </is>
      </c>
    </row>
    <row r="777" ht="15" customHeight="1" s="39">
      <c r="A777" s="42" t="inlineStr">
        <is>
          <t>250352</t>
        </is>
      </c>
      <c r="B777" s="38" t="inlineStr">
        <is>
          <t>Sentiu de Sió, la</t>
        </is>
      </c>
      <c r="C777" s="38" t="inlineStr">
        <is>
          <t>23</t>
        </is>
      </c>
      <c r="D777" s="38" t="inlineStr">
        <is>
          <t>Noguera</t>
        </is>
      </c>
    </row>
    <row r="778" ht="15" customHeight="1" s="39">
      <c r="A778" s="42" t="inlineStr">
        <is>
          <t>082671</t>
        </is>
      </c>
      <c r="B778" s="38" t="inlineStr">
        <is>
          <t>Sentmenat</t>
        </is>
      </c>
      <c r="C778" s="38" t="inlineStr">
        <is>
          <t>40</t>
        </is>
      </c>
      <c r="D778" s="38" t="inlineStr">
        <is>
          <t>Vallès Occidental</t>
        </is>
      </c>
    </row>
    <row r="779" ht="15" customHeight="1" s="39">
      <c r="A779" s="42" t="inlineStr">
        <is>
          <t>171903</t>
        </is>
      </c>
      <c r="B779" s="38" t="inlineStr">
        <is>
          <t>Serinyà</t>
        </is>
      </c>
      <c r="C779" s="38" t="inlineStr">
        <is>
          <t>28</t>
        </is>
      </c>
      <c r="D779" s="38" t="inlineStr">
        <is>
          <t>Pla de l'Estany</t>
        </is>
      </c>
    </row>
    <row r="780" ht="15" customHeight="1" s="39">
      <c r="A780" s="42" t="inlineStr">
        <is>
          <t>252043</t>
        </is>
      </c>
      <c r="B780" s="38" t="inlineStr">
        <is>
          <t>Seròs</t>
        </is>
      </c>
      <c r="C780" s="38" t="inlineStr">
        <is>
          <t>33</t>
        </is>
      </c>
      <c r="D780" s="38" t="inlineStr">
        <is>
          <t>Segrià</t>
        </is>
      </c>
    </row>
    <row r="781" ht="15" customHeight="1" s="39">
      <c r="A781" s="42" t="inlineStr">
        <is>
          <t>171910</t>
        </is>
      </c>
      <c r="B781" s="38" t="inlineStr">
        <is>
          <t>Serra de Daró</t>
        </is>
      </c>
      <c r="C781" s="38" t="inlineStr">
        <is>
          <t>10</t>
        </is>
      </c>
      <c r="D781" s="38" t="inlineStr">
        <is>
          <t>Baix Empordà</t>
        </is>
      </c>
    </row>
    <row r="782" ht="15" customHeight="1" s="39">
      <c r="A782" s="42" t="inlineStr">
        <is>
          <t>171925</t>
        </is>
      </c>
      <c r="B782" s="38" t="inlineStr">
        <is>
          <t>Setcases</t>
        </is>
      </c>
      <c r="C782" s="38" t="inlineStr">
        <is>
          <t>31</t>
        </is>
      </c>
      <c r="D782" s="38" t="inlineStr">
        <is>
          <t>Ripollès</t>
        </is>
      </c>
    </row>
    <row r="783" ht="15" customHeight="1" s="39">
      <c r="A783" s="42" t="inlineStr">
        <is>
          <t>252038</t>
        </is>
      </c>
      <c r="B783" s="38" t="inlineStr">
        <is>
          <t>Seu d'Urgell, la</t>
        </is>
      </c>
      <c r="C783" s="38" t="inlineStr">
        <is>
          <t>04</t>
        </is>
      </c>
      <c r="D783" s="38" t="inlineStr">
        <is>
          <t>Alt Urgell</t>
        </is>
      </c>
    </row>
    <row r="784" ht="15" customHeight="1" s="39">
      <c r="A784" s="42" t="inlineStr">
        <is>
          <t>082690</t>
        </is>
      </c>
      <c r="B784" s="38" t="inlineStr">
        <is>
          <t>Seva</t>
        </is>
      </c>
      <c r="C784" s="38" t="inlineStr">
        <is>
          <t>24</t>
        </is>
      </c>
      <c r="D784" s="38" t="inlineStr">
        <is>
          <t>Osona</t>
        </is>
      </c>
    </row>
    <row r="785" ht="15" customHeight="1" s="39">
      <c r="A785" s="42" t="inlineStr">
        <is>
          <t>252056</t>
        </is>
      </c>
      <c r="B785" s="38" t="inlineStr">
        <is>
          <t>Sidamon</t>
        </is>
      </c>
      <c r="C785" s="38" t="inlineStr">
        <is>
          <t>27</t>
        </is>
      </c>
      <c r="D785" s="38" t="inlineStr">
        <is>
          <t>Pla d'Urgell</t>
        </is>
      </c>
    </row>
    <row r="786" ht="15" customHeight="1" s="39">
      <c r="A786" s="42" t="inlineStr">
        <is>
          <t>171931</t>
        </is>
      </c>
      <c r="B786" s="38" t="inlineStr">
        <is>
          <t>Sils</t>
        </is>
      </c>
      <c r="C786" s="38" t="inlineStr">
        <is>
          <t>34</t>
        </is>
      </c>
      <c r="D786" s="38" t="inlineStr">
        <is>
          <t>Selva</t>
        </is>
      </c>
    </row>
    <row r="787" ht="15" customHeight="1" s="39">
      <c r="A787" s="42" t="inlineStr">
        <is>
          <t>082704</t>
        </is>
      </c>
      <c r="B787" s="38" t="inlineStr">
        <is>
          <t>Sitges</t>
        </is>
      </c>
      <c r="C787" s="38" t="inlineStr">
        <is>
          <t>17</t>
        </is>
      </c>
      <c r="D787" s="38" t="inlineStr">
        <is>
          <t>Garraf</t>
        </is>
      </c>
    </row>
    <row r="788" ht="15" customHeight="1" s="39">
      <c r="A788" s="42" t="inlineStr">
        <is>
          <t>170524</t>
        </is>
      </c>
      <c r="B788" s="38" t="inlineStr">
        <is>
          <t>Siurana</t>
        </is>
      </c>
      <c r="C788" s="38" t="inlineStr">
        <is>
          <t>02</t>
        </is>
      </c>
      <c r="D788" s="38" t="inlineStr">
        <is>
          <t>Alt Empordà</t>
        </is>
      </c>
    </row>
    <row r="789" ht="15" customHeight="1" s="39">
      <c r="A789" s="42" t="inlineStr">
        <is>
          <t>082711</t>
        </is>
      </c>
      <c r="B789" s="38" t="inlineStr">
        <is>
          <t>Sobremunt</t>
        </is>
      </c>
      <c r="C789" s="38" t="inlineStr">
        <is>
          <t>43</t>
        </is>
      </c>
      <c r="D789" s="38" t="inlineStr">
        <is>
          <t>Lluçanès</t>
        </is>
      </c>
    </row>
    <row r="790" ht="15" customHeight="1" s="39">
      <c r="A790" s="42" t="inlineStr">
        <is>
          <t>252069</t>
        </is>
      </c>
      <c r="B790" s="38" t="inlineStr">
        <is>
          <t>Soleràs, el</t>
        </is>
      </c>
      <c r="C790" s="38" t="inlineStr">
        <is>
          <t>18</t>
        </is>
      </c>
      <c r="D790" s="38" t="inlineStr">
        <is>
          <t>Garrigues</t>
        </is>
      </c>
    </row>
    <row r="791" ht="15" customHeight="1" s="39">
      <c r="A791" s="42" t="inlineStr">
        <is>
          <t>431476</t>
        </is>
      </c>
      <c r="B791" s="38" t="inlineStr">
        <is>
          <t>Solivella</t>
        </is>
      </c>
      <c r="C791" s="38" t="inlineStr">
        <is>
          <t>16</t>
        </is>
      </c>
      <c r="D791" s="38" t="inlineStr">
        <is>
          <t>Conca de Barberà</t>
        </is>
      </c>
    </row>
    <row r="792" ht="15" customHeight="1" s="39">
      <c r="A792" s="42" t="inlineStr">
        <is>
          <t>252075</t>
        </is>
      </c>
      <c r="B792" s="38" t="inlineStr">
        <is>
          <t>Solsona</t>
        </is>
      </c>
      <c r="C792" s="38" t="inlineStr">
        <is>
          <t>35</t>
        </is>
      </c>
      <c r="D792" s="38" t="inlineStr">
        <is>
          <t>Solsonès</t>
        </is>
      </c>
    </row>
    <row r="793" ht="15" customHeight="1" s="39">
      <c r="A793" s="42" t="inlineStr">
        <is>
          <t>082726</t>
        </is>
      </c>
      <c r="B793" s="38" t="inlineStr">
        <is>
          <t>Sora</t>
        </is>
      </c>
      <c r="C793" s="38" t="inlineStr">
        <is>
          <t>24</t>
        </is>
      </c>
      <c r="D793" s="38" t="inlineStr">
        <is>
          <t>Osona</t>
        </is>
      </c>
    </row>
    <row r="794" ht="15" customHeight="1" s="39">
      <c r="A794" s="42" t="inlineStr">
        <is>
          <t>252081</t>
        </is>
      </c>
      <c r="B794" s="38" t="inlineStr">
        <is>
          <t>Soriguera</t>
        </is>
      </c>
      <c r="C794" s="38" t="inlineStr">
        <is>
          <t>26</t>
        </is>
      </c>
      <c r="D794" s="38" t="inlineStr">
        <is>
          <t>Pallars Sobirà</t>
        </is>
      </c>
    </row>
    <row r="795" ht="15" customHeight="1" s="39">
      <c r="A795" s="42" t="inlineStr">
        <is>
          <t>252094</t>
        </is>
      </c>
      <c r="B795" s="38" t="inlineStr">
        <is>
          <t>Sort</t>
        </is>
      </c>
      <c r="C795" s="38" t="inlineStr">
        <is>
          <t>26</t>
        </is>
      </c>
      <c r="D795" s="38" t="inlineStr">
        <is>
          <t>Pallars Sobirà</t>
        </is>
      </c>
    </row>
    <row r="796" ht="15" customHeight="1" s="39">
      <c r="A796" s="42" t="inlineStr">
        <is>
          <t>252108</t>
        </is>
      </c>
      <c r="B796" s="38" t="inlineStr">
        <is>
          <t>Soses</t>
        </is>
      </c>
      <c r="C796" s="38" t="inlineStr">
        <is>
          <t>33</t>
        </is>
      </c>
      <c r="D796" s="38" t="inlineStr">
        <is>
          <t>Segrià</t>
        </is>
      </c>
    </row>
    <row r="797" ht="15" customHeight="1" s="39">
      <c r="A797" s="42" t="inlineStr">
        <is>
          <t>082732</t>
        </is>
      </c>
      <c r="B797" s="38" t="inlineStr">
        <is>
          <t>Subirats</t>
        </is>
      </c>
      <c r="C797" s="38" t="inlineStr">
        <is>
          <t>03</t>
        </is>
      </c>
      <c r="D797" s="38" t="inlineStr">
        <is>
          <t>Alt Penedès</t>
        </is>
      </c>
    </row>
    <row r="798" ht="15" customHeight="1" s="39">
      <c r="A798" s="42" t="inlineStr">
        <is>
          <t>252115</t>
        </is>
      </c>
      <c r="B798" s="38" t="inlineStr">
        <is>
          <t>Sudanell</t>
        </is>
      </c>
      <c r="C798" s="38" t="inlineStr">
        <is>
          <t>33</t>
        </is>
      </c>
      <c r="D798" s="38" t="inlineStr">
        <is>
          <t>Segrià</t>
        </is>
      </c>
    </row>
    <row r="799" ht="15" customHeight="1" s="39">
      <c r="A799" s="42" t="inlineStr">
        <is>
          <t>252120</t>
        </is>
      </c>
      <c r="B799" s="38" t="inlineStr">
        <is>
          <t>Sunyer</t>
        </is>
      </c>
      <c r="C799" s="38" t="inlineStr">
        <is>
          <t>33</t>
        </is>
      </c>
      <c r="D799" s="38" t="inlineStr">
        <is>
          <t>Segrià</t>
        </is>
      </c>
    </row>
    <row r="800" ht="15" customHeight="1" s="39">
      <c r="A800" s="42" t="inlineStr">
        <is>
          <t>082747</t>
        </is>
      </c>
      <c r="B800" s="38" t="inlineStr">
        <is>
          <t>Súria</t>
        </is>
      </c>
      <c r="C800" s="38" t="inlineStr">
        <is>
          <t>07</t>
        </is>
      </c>
      <c r="D800" s="38" t="inlineStr">
        <is>
          <t>Bages</t>
        </is>
      </c>
    </row>
    <row r="801" ht="15" customHeight="1" s="39">
      <c r="A801" s="42" t="inlineStr">
        <is>
          <t>171946</t>
        </is>
      </c>
      <c r="B801" s="38" t="inlineStr">
        <is>
          <t>Susqueda</t>
        </is>
      </c>
      <c r="C801" s="38" t="inlineStr">
        <is>
          <t>34</t>
        </is>
      </c>
      <c r="D801" s="38" t="inlineStr">
        <is>
          <t>Selva</t>
        </is>
      </c>
    </row>
    <row r="802" ht="15" customHeight="1" s="39">
      <c r="A802" s="42" t="inlineStr">
        <is>
          <t>082763</t>
        </is>
      </c>
      <c r="B802" s="38" t="inlineStr">
        <is>
          <t>Tagamanent</t>
        </is>
      </c>
      <c r="C802" s="38" t="inlineStr">
        <is>
          <t>41</t>
        </is>
      </c>
      <c r="D802" s="38" t="inlineStr">
        <is>
          <t>Vallès Oriental</t>
        </is>
      </c>
    </row>
    <row r="803" ht="15" customHeight="1" s="39">
      <c r="A803" s="42" t="inlineStr">
        <is>
          <t>082779</t>
        </is>
      </c>
      <c r="B803" s="38" t="inlineStr">
        <is>
          <t>Talamanca</t>
        </is>
      </c>
      <c r="C803" s="38" t="inlineStr">
        <is>
          <t>07</t>
        </is>
      </c>
      <c r="D803" s="38" t="inlineStr">
        <is>
          <t>Bages</t>
        </is>
      </c>
    </row>
    <row r="804" ht="15" customHeight="1" s="39">
      <c r="A804" s="42" t="inlineStr">
        <is>
          <t>252154</t>
        </is>
      </c>
      <c r="B804" s="38" t="inlineStr">
        <is>
          <t>Talarn</t>
        </is>
      </c>
      <c r="C804" s="38" t="inlineStr">
        <is>
          <t>25</t>
        </is>
      </c>
      <c r="D804" s="38" t="inlineStr">
        <is>
          <t>Pallars Jussà</t>
        </is>
      </c>
    </row>
    <row r="805" ht="15" customHeight="1" s="39">
      <c r="A805" s="42" t="inlineStr">
        <is>
          <t>252167</t>
        </is>
      </c>
      <c r="B805" s="38" t="inlineStr">
        <is>
          <t>Talavera</t>
        </is>
      </c>
      <c r="C805" s="38" t="inlineStr">
        <is>
          <t>32</t>
        </is>
      </c>
      <c r="D805" s="38" t="inlineStr">
        <is>
          <t>Segarra</t>
        </is>
      </c>
    </row>
    <row r="806" ht="15" customHeight="1" s="39">
      <c r="A806" s="42" t="inlineStr">
        <is>
          <t>171959</t>
        </is>
      </c>
      <c r="B806" s="38" t="inlineStr">
        <is>
          <t>Tallada d'Empordà, la</t>
        </is>
      </c>
      <c r="C806" s="38" t="inlineStr">
        <is>
          <t>10</t>
        </is>
      </c>
      <c r="D806" s="38" t="inlineStr">
        <is>
          <t>Baix Empordà</t>
        </is>
      </c>
    </row>
    <row r="807" ht="15" customHeight="1" s="39">
      <c r="A807" s="42" t="inlineStr">
        <is>
          <t>082785</t>
        </is>
      </c>
      <c r="B807" s="38" t="inlineStr">
        <is>
          <t>Taradell</t>
        </is>
      </c>
      <c r="C807" s="38" t="inlineStr">
        <is>
          <t>24</t>
        </is>
      </c>
      <c r="D807" s="38" t="inlineStr">
        <is>
          <t>Osona</t>
        </is>
      </c>
    </row>
    <row r="808" ht="15" customHeight="1" s="39">
      <c r="A808" s="42" t="inlineStr">
        <is>
          <t>431482</t>
        </is>
      </c>
      <c r="B808" s="38" t="inlineStr">
        <is>
          <t>Tarragona</t>
        </is>
      </c>
      <c r="C808" s="38" t="inlineStr">
        <is>
          <t>36</t>
        </is>
      </c>
      <c r="D808" s="38" t="inlineStr">
        <is>
          <t>Tarragonès</t>
        </is>
      </c>
    </row>
    <row r="809" ht="15" customHeight="1" s="39">
      <c r="A809" s="42" t="inlineStr">
        <is>
          <t>252173</t>
        </is>
      </c>
      <c r="B809" s="38" t="inlineStr">
        <is>
          <t>Tàrrega</t>
        </is>
      </c>
      <c r="C809" s="38" t="inlineStr">
        <is>
          <t>38</t>
        </is>
      </c>
      <c r="D809" s="38" t="inlineStr">
        <is>
          <t>Urgell</t>
        </is>
      </c>
    </row>
    <row r="810" ht="15" customHeight="1" s="39">
      <c r="A810" s="42" t="inlineStr">
        <is>
          <t>252189</t>
        </is>
      </c>
      <c r="B810" s="38" t="inlineStr">
        <is>
          <t>Tarrés</t>
        </is>
      </c>
      <c r="C810" s="38" t="inlineStr">
        <is>
          <t>18</t>
        </is>
      </c>
      <c r="D810" s="38" t="inlineStr">
        <is>
          <t>Garrigues</t>
        </is>
      </c>
    </row>
    <row r="811" ht="15" customHeight="1" s="39">
      <c r="A811" s="42" t="inlineStr">
        <is>
          <t>252192</t>
        </is>
      </c>
      <c r="B811" s="38" t="inlineStr">
        <is>
          <t>Tarroja de Segarra</t>
        </is>
      </c>
      <c r="C811" s="38" t="inlineStr">
        <is>
          <t>32</t>
        </is>
      </c>
      <c r="D811" s="38" t="inlineStr">
        <is>
          <t>Segarra</t>
        </is>
      </c>
    </row>
    <row r="812" ht="15" customHeight="1" s="39">
      <c r="A812" s="42" t="inlineStr">
        <is>
          <t>082750</t>
        </is>
      </c>
      <c r="B812" s="38" t="inlineStr">
        <is>
          <t>Tavèrnoles</t>
        </is>
      </c>
      <c r="C812" s="38" t="inlineStr">
        <is>
          <t>24</t>
        </is>
      </c>
      <c r="D812" s="38" t="inlineStr">
        <is>
          <t>Osona</t>
        </is>
      </c>
    </row>
    <row r="813" ht="15" customHeight="1" s="39">
      <c r="A813" s="42" t="inlineStr">
        <is>
          <t>082802</t>
        </is>
      </c>
      <c r="B813" s="38" t="inlineStr">
        <is>
          <t>Tavertet</t>
        </is>
      </c>
      <c r="C813" s="38" t="inlineStr">
        <is>
          <t>24</t>
        </is>
      </c>
      <c r="D813" s="38" t="inlineStr">
        <is>
          <t>Osona</t>
        </is>
      </c>
    </row>
    <row r="814" ht="15" customHeight="1" s="39">
      <c r="A814" s="42" t="inlineStr">
        <is>
          <t>082819</t>
        </is>
      </c>
      <c r="B814" s="38" t="inlineStr">
        <is>
          <t>Teià</t>
        </is>
      </c>
      <c r="C814" s="38" t="inlineStr">
        <is>
          <t>21</t>
        </is>
      </c>
      <c r="D814" s="38" t="inlineStr">
        <is>
          <t>Maresme</t>
        </is>
      </c>
    </row>
    <row r="815" ht="15" customHeight="1" s="39">
      <c r="A815" s="42" t="inlineStr">
        <is>
          <t>252206</t>
        </is>
      </c>
      <c r="B815" s="38" t="inlineStr">
        <is>
          <t>Térmens</t>
        </is>
      </c>
      <c r="C815" s="38" t="inlineStr">
        <is>
          <t>23</t>
        </is>
      </c>
      <c r="D815" s="38" t="inlineStr">
        <is>
          <t>Noguera</t>
        </is>
      </c>
    </row>
    <row r="816" ht="15" customHeight="1" s="39">
      <c r="A816" s="42" t="inlineStr">
        <is>
          <t>171962</t>
        </is>
      </c>
      <c r="B816" s="38" t="inlineStr">
        <is>
          <t>Terrades</t>
        </is>
      </c>
      <c r="C816" s="38" t="inlineStr">
        <is>
          <t>02</t>
        </is>
      </c>
      <c r="D816" s="38" t="inlineStr">
        <is>
          <t>Alt Empordà</t>
        </is>
      </c>
    </row>
    <row r="817" ht="15" customHeight="1" s="39">
      <c r="A817" s="42" t="inlineStr">
        <is>
          <t>082798</t>
        </is>
      </c>
      <c r="B817" s="38" t="inlineStr">
        <is>
          <t>Terrassa</t>
        </is>
      </c>
      <c r="C817" s="38" t="inlineStr">
        <is>
          <t>40</t>
        </is>
      </c>
      <c r="D817" s="38" t="inlineStr">
        <is>
          <t>Vallès Occidental</t>
        </is>
      </c>
    </row>
    <row r="818" ht="15" customHeight="1" s="39">
      <c r="A818" s="42" t="inlineStr">
        <is>
          <t>082824</t>
        </is>
      </c>
      <c r="B818" s="38" t="inlineStr">
        <is>
          <t>Tiana</t>
        </is>
      </c>
      <c r="C818" s="38" t="inlineStr">
        <is>
          <t>21</t>
        </is>
      </c>
      <c r="D818" s="38" t="inlineStr">
        <is>
          <t>Maresme</t>
        </is>
      </c>
    </row>
    <row r="819" ht="15" customHeight="1" s="39">
      <c r="A819" s="42" t="inlineStr">
        <is>
          <t>252213</t>
        </is>
      </c>
      <c r="B819" s="38" t="inlineStr">
        <is>
          <t>Tírvia</t>
        </is>
      </c>
      <c r="C819" s="38" t="inlineStr">
        <is>
          <t>26</t>
        </is>
      </c>
      <c r="D819" s="38" t="inlineStr">
        <is>
          <t>Pallars Sobirà</t>
        </is>
      </c>
    </row>
    <row r="820" ht="15" customHeight="1" s="39">
      <c r="A820" s="42" t="inlineStr">
        <is>
          <t>252228</t>
        </is>
      </c>
      <c r="B820" s="38" t="inlineStr">
        <is>
          <t>Tiurana</t>
        </is>
      </c>
      <c r="C820" s="38" t="inlineStr">
        <is>
          <t>23</t>
        </is>
      </c>
      <c r="D820" s="38" t="inlineStr">
        <is>
          <t>Noguera</t>
        </is>
      </c>
    </row>
    <row r="821" ht="15" customHeight="1" s="39">
      <c r="A821" s="42" t="inlineStr">
        <is>
          <t>431495</t>
        </is>
      </c>
      <c r="B821" s="38" t="inlineStr">
        <is>
          <t>Tivenys</t>
        </is>
      </c>
      <c r="C821" s="38" t="inlineStr">
        <is>
          <t>09</t>
        </is>
      </c>
      <c r="D821" s="38" t="inlineStr">
        <is>
          <t>Baix Ebre</t>
        </is>
      </c>
    </row>
    <row r="822" ht="15" customHeight="1" s="39">
      <c r="A822" s="42" t="inlineStr">
        <is>
          <t>431508</t>
        </is>
      </c>
      <c r="B822" s="38" t="inlineStr">
        <is>
          <t>Tivissa</t>
        </is>
      </c>
      <c r="C822" s="38" t="inlineStr">
        <is>
          <t>30</t>
        </is>
      </c>
      <c r="D822" s="38" t="inlineStr">
        <is>
          <t>Ribera d'Ebre</t>
        </is>
      </c>
    </row>
    <row r="823" ht="15" customHeight="1" s="39">
      <c r="A823" s="42" t="inlineStr">
        <is>
          <t>082830</t>
        </is>
      </c>
      <c r="B823" s="38" t="inlineStr">
        <is>
          <t>Tona</t>
        </is>
      </c>
      <c r="C823" s="38" t="inlineStr">
        <is>
          <t>24</t>
        </is>
      </c>
      <c r="D823" s="38" t="inlineStr">
        <is>
          <t>Osona</t>
        </is>
      </c>
    </row>
    <row r="824" ht="15" customHeight="1" s="39">
      <c r="A824" s="42" t="inlineStr">
        <is>
          <t>252234</t>
        </is>
      </c>
      <c r="B824" s="38" t="inlineStr">
        <is>
          <t>Torà</t>
        </is>
      </c>
      <c r="C824" s="38" t="inlineStr">
        <is>
          <t>35</t>
        </is>
      </c>
      <c r="D824" s="38" t="inlineStr">
        <is>
          <t>Solsonès</t>
        </is>
      </c>
    </row>
    <row r="825" ht="15" customHeight="1" s="39">
      <c r="A825" s="42" t="inlineStr">
        <is>
          <t>082845</t>
        </is>
      </c>
      <c r="B825" s="38" t="inlineStr">
        <is>
          <t>Tordera</t>
        </is>
      </c>
      <c r="C825" s="38" t="inlineStr">
        <is>
          <t>21</t>
        </is>
      </c>
      <c r="D825" s="38" t="inlineStr">
        <is>
          <t>Maresme</t>
        </is>
      </c>
    </row>
    <row r="826" ht="15" customHeight="1" s="39">
      <c r="A826" s="42" t="inlineStr">
        <is>
          <t>082858</t>
        </is>
      </c>
      <c r="B826" s="38" t="inlineStr">
        <is>
          <t>Torelló</t>
        </is>
      </c>
      <c r="C826" s="38" t="inlineStr">
        <is>
          <t>24</t>
        </is>
      </c>
      <c r="D826" s="38" t="inlineStr">
        <is>
          <t>Osona</t>
        </is>
      </c>
    </row>
    <row r="827" ht="15" customHeight="1" s="39">
      <c r="A827" s="42" t="inlineStr">
        <is>
          <t>252249</t>
        </is>
      </c>
      <c r="B827" s="38" t="inlineStr">
        <is>
          <t>Torms, els</t>
        </is>
      </c>
      <c r="C827" s="38" t="inlineStr">
        <is>
          <t>18</t>
        </is>
      </c>
      <c r="D827" s="38" t="inlineStr">
        <is>
          <t>Garrigues</t>
        </is>
      </c>
    </row>
    <row r="828" ht="15" customHeight="1" s="39">
      <c r="A828" s="42" t="inlineStr">
        <is>
          <t>252252</t>
        </is>
      </c>
      <c r="B828" s="38" t="inlineStr">
        <is>
          <t>Tornabous</t>
        </is>
      </c>
      <c r="C828" s="38" t="inlineStr">
        <is>
          <t>38</t>
        </is>
      </c>
      <c r="D828" s="38" t="inlineStr">
        <is>
          <t>Urgell</t>
        </is>
      </c>
    </row>
    <row r="829" ht="15" customHeight="1" s="39">
      <c r="A829" s="42" t="inlineStr">
        <is>
          <t>252271</t>
        </is>
      </c>
      <c r="B829" s="38" t="inlineStr">
        <is>
          <t>Torre de Cabdella, la</t>
        </is>
      </c>
      <c r="C829" s="38" t="inlineStr">
        <is>
          <t>25</t>
        </is>
      </c>
      <c r="D829" s="38" t="inlineStr">
        <is>
          <t>Pallars Jussà</t>
        </is>
      </c>
    </row>
    <row r="830" ht="15" customHeight="1" s="39">
      <c r="A830" s="42" t="inlineStr">
        <is>
          <t>082861</t>
        </is>
      </c>
      <c r="B830" s="38" t="inlineStr">
        <is>
          <t>Torre de Claramunt, la</t>
        </is>
      </c>
      <c r="C830" s="38" t="inlineStr">
        <is>
          <t>06</t>
        </is>
      </c>
      <c r="D830" s="38" t="inlineStr">
        <is>
          <t>Anoia</t>
        </is>
      </c>
    </row>
    <row r="831" ht="15" customHeight="1" s="39">
      <c r="A831" s="42" t="inlineStr">
        <is>
          <t>431515</t>
        </is>
      </c>
      <c r="B831" s="38" t="inlineStr">
        <is>
          <t>Torre de Fontaubella, la</t>
        </is>
      </c>
      <c r="C831" s="38" t="inlineStr">
        <is>
          <t>29</t>
        </is>
      </c>
      <c r="D831" s="38" t="inlineStr">
        <is>
          <t>Priorat</t>
        </is>
      </c>
    </row>
    <row r="832" ht="15" customHeight="1" s="39">
      <c r="A832" s="42" t="inlineStr">
        <is>
          <t>431520</t>
        </is>
      </c>
      <c r="B832" s="38" t="inlineStr">
        <is>
          <t>Torre de l'Espanyol, la</t>
        </is>
      </c>
      <c r="C832" s="38" t="inlineStr">
        <is>
          <t>30</t>
        </is>
      </c>
      <c r="D832" s="38" t="inlineStr">
        <is>
          <t>Ribera d'Ebre</t>
        </is>
      </c>
    </row>
    <row r="833" ht="15" customHeight="1" s="39">
      <c r="A833" s="42" t="inlineStr">
        <is>
          <t>252332</t>
        </is>
      </c>
      <c r="B833" s="38" t="inlineStr">
        <is>
          <t>Torre-serona</t>
        </is>
      </c>
      <c r="C833" s="38" t="inlineStr">
        <is>
          <t>33</t>
        </is>
      </c>
      <c r="D833" s="38" t="inlineStr">
        <is>
          <t>Segrià</t>
        </is>
      </c>
    </row>
    <row r="834" ht="15" customHeight="1" s="39">
      <c r="A834" s="42" t="inlineStr">
        <is>
          <t>252265</t>
        </is>
      </c>
      <c r="B834" s="38" t="inlineStr">
        <is>
          <t>Torrebesses</t>
        </is>
      </c>
      <c r="C834" s="38" t="inlineStr">
        <is>
          <t>33</t>
        </is>
      </c>
      <c r="D834" s="38" t="inlineStr">
        <is>
          <t>Segrià</t>
        </is>
      </c>
    </row>
    <row r="835" ht="15" customHeight="1" s="39">
      <c r="A835" s="42" t="inlineStr">
        <is>
          <t>431536</t>
        </is>
      </c>
      <c r="B835" s="38" t="inlineStr">
        <is>
          <t>Torredembarra</t>
        </is>
      </c>
      <c r="C835" s="38" t="inlineStr">
        <is>
          <t>36</t>
        </is>
      </c>
      <c r="D835" s="38" t="inlineStr">
        <is>
          <t>Tarragonès</t>
        </is>
      </c>
    </row>
    <row r="836" ht="15" customHeight="1" s="39">
      <c r="A836" s="42" t="inlineStr">
        <is>
          <t>252287</t>
        </is>
      </c>
      <c r="B836" s="38" t="inlineStr">
        <is>
          <t>Torrefarrera</t>
        </is>
      </c>
      <c r="C836" s="38" t="inlineStr">
        <is>
          <t>33</t>
        </is>
      </c>
      <c r="D836" s="38" t="inlineStr">
        <is>
          <t>Segrià</t>
        </is>
      </c>
    </row>
    <row r="837" ht="15" customHeight="1" s="39">
      <c r="A837" s="42" t="inlineStr">
        <is>
          <t>259078</t>
        </is>
      </c>
      <c r="B837" s="38" t="inlineStr">
        <is>
          <t>Torrefeta i Florejacs</t>
        </is>
      </c>
      <c r="C837" s="38" t="inlineStr">
        <is>
          <t>32</t>
        </is>
      </c>
      <c r="D837" s="38" t="inlineStr">
        <is>
          <t>Segarra</t>
        </is>
      </c>
    </row>
    <row r="838" ht="15" customHeight="1" s="39">
      <c r="A838" s="42" t="inlineStr">
        <is>
          <t>252304</t>
        </is>
      </c>
      <c r="B838" s="38" t="inlineStr">
        <is>
          <t>Torregrossa</t>
        </is>
      </c>
      <c r="C838" s="38" t="inlineStr">
        <is>
          <t>27</t>
        </is>
      </c>
      <c r="D838" s="38" t="inlineStr">
        <is>
          <t>Pla d'Urgell</t>
        </is>
      </c>
    </row>
    <row r="839" ht="15" customHeight="1" s="39">
      <c r="A839" s="42" t="inlineStr">
        <is>
          <t>252311</t>
        </is>
      </c>
      <c r="B839" s="38" t="inlineStr">
        <is>
          <t>Torrelameu</t>
        </is>
      </c>
      <c r="C839" s="38" t="inlineStr">
        <is>
          <t>23</t>
        </is>
      </c>
      <c r="D839" s="38" t="inlineStr">
        <is>
          <t>Noguera</t>
        </is>
      </c>
    </row>
    <row r="840" ht="15" customHeight="1" s="39">
      <c r="A840" s="42" t="inlineStr">
        <is>
          <t>082877</t>
        </is>
      </c>
      <c r="B840" s="38" t="inlineStr">
        <is>
          <t>Torrelavit</t>
        </is>
      </c>
      <c r="C840" s="38" t="inlineStr">
        <is>
          <t>03</t>
        </is>
      </c>
      <c r="D840" s="38" t="inlineStr">
        <is>
          <t>Alt Penedès</t>
        </is>
      </c>
    </row>
    <row r="841" ht="15" customHeight="1" s="39">
      <c r="A841" s="42" t="inlineStr">
        <is>
          <t>082883</t>
        </is>
      </c>
      <c r="B841" s="38" t="inlineStr">
        <is>
          <t>Torrelles de Foix</t>
        </is>
      </c>
      <c r="C841" s="38" t="inlineStr">
        <is>
          <t>03</t>
        </is>
      </c>
      <c r="D841" s="38" t="inlineStr">
        <is>
          <t>Alt Penedès</t>
        </is>
      </c>
    </row>
    <row r="842" ht="15" customHeight="1" s="39">
      <c r="A842" s="42" t="inlineStr">
        <is>
          <t>082896</t>
        </is>
      </c>
      <c r="B842" s="38" t="inlineStr">
        <is>
          <t>Torrelles de Llobregat</t>
        </is>
      </c>
      <c r="C842" s="38" t="inlineStr">
        <is>
          <t>11</t>
        </is>
      </c>
      <c r="D842" s="38" t="inlineStr">
        <is>
          <t>Baix Llobregat</t>
        </is>
      </c>
    </row>
    <row r="843" ht="15" customHeight="1" s="39">
      <c r="A843" s="42" t="inlineStr">
        <is>
          <t>171978</t>
        </is>
      </c>
      <c r="B843" s="38" t="inlineStr">
        <is>
          <t>Torrent</t>
        </is>
      </c>
      <c r="C843" s="38" t="inlineStr">
        <is>
          <t>10</t>
        </is>
      </c>
      <c r="D843" s="38" t="inlineStr">
        <is>
          <t>Baix Empordà</t>
        </is>
      </c>
    </row>
    <row r="844" ht="15" customHeight="1" s="39">
      <c r="A844" s="42" t="inlineStr">
        <is>
          <t>252326</t>
        </is>
      </c>
      <c r="B844" s="38" t="inlineStr">
        <is>
          <t>Torres de Segre</t>
        </is>
      </c>
      <c r="C844" s="38" t="inlineStr">
        <is>
          <t>33</t>
        </is>
      </c>
      <c r="D844" s="38" t="inlineStr">
        <is>
          <t>Segrià</t>
        </is>
      </c>
    </row>
    <row r="845" ht="15" customHeight="1" s="39">
      <c r="A845" s="42" t="inlineStr">
        <is>
          <t>171984</t>
        </is>
      </c>
      <c r="B845" s="38" t="inlineStr">
        <is>
          <t>Torroella de Fluvià</t>
        </is>
      </c>
      <c r="C845" s="38" t="inlineStr">
        <is>
          <t>02</t>
        </is>
      </c>
      <c r="D845" s="38" t="inlineStr">
        <is>
          <t>Alt Empordà</t>
        </is>
      </c>
    </row>
    <row r="846" ht="15" customHeight="1" s="39">
      <c r="A846" s="42" t="inlineStr">
        <is>
          <t>171997</t>
        </is>
      </c>
      <c r="B846" s="38" t="inlineStr">
        <is>
          <t>Torroella de Montgrí</t>
        </is>
      </c>
      <c r="C846" s="38" t="inlineStr">
        <is>
          <t>10</t>
        </is>
      </c>
      <c r="D846" s="38" t="inlineStr">
        <is>
          <t>Baix Empordà</t>
        </is>
      </c>
    </row>
    <row r="847" ht="15" customHeight="1" s="39">
      <c r="A847" s="42" t="inlineStr">
        <is>
          <t>431541</t>
        </is>
      </c>
      <c r="B847" s="38" t="inlineStr">
        <is>
          <t>Torroja del Priorat</t>
        </is>
      </c>
      <c r="C847" s="38" t="inlineStr">
        <is>
          <t>29</t>
        </is>
      </c>
      <c r="D847" s="38" t="inlineStr">
        <is>
          <t>Priorat</t>
        </is>
      </c>
    </row>
    <row r="848" ht="15" customHeight="1" s="39">
      <c r="A848" s="42" t="inlineStr">
        <is>
          <t>172001</t>
        </is>
      </c>
      <c r="B848" s="38" t="inlineStr">
        <is>
          <t>Tortellà</t>
        </is>
      </c>
      <c r="C848" s="38" t="inlineStr">
        <is>
          <t>19</t>
        </is>
      </c>
      <c r="D848" s="38" t="inlineStr">
        <is>
          <t>Garrotxa</t>
        </is>
      </c>
    </row>
    <row r="849" ht="15" customHeight="1" s="39">
      <c r="A849" s="42" t="inlineStr">
        <is>
          <t>431554</t>
        </is>
      </c>
      <c r="B849" s="38" t="inlineStr">
        <is>
          <t>Tortosa</t>
        </is>
      </c>
      <c r="C849" s="38" t="inlineStr">
        <is>
          <t>09</t>
        </is>
      </c>
      <c r="D849" s="38" t="inlineStr">
        <is>
          <t>Baix Ebre</t>
        </is>
      </c>
    </row>
    <row r="850" ht="15" customHeight="1" s="39">
      <c r="A850" s="42" t="inlineStr">
        <is>
          <t>172018</t>
        </is>
      </c>
      <c r="B850" s="38" t="inlineStr">
        <is>
          <t>Toses</t>
        </is>
      </c>
      <c r="C850" s="38" t="inlineStr">
        <is>
          <t>31</t>
        </is>
      </c>
      <c r="D850" s="38" t="inlineStr">
        <is>
          <t>Ripollès</t>
        </is>
      </c>
    </row>
    <row r="851" ht="15" customHeight="1" s="39">
      <c r="A851" s="42" t="inlineStr">
        <is>
          <t>172023</t>
        </is>
      </c>
      <c r="B851" s="38" t="inlineStr">
        <is>
          <t>Tossa de Mar</t>
        </is>
      </c>
      <c r="C851" s="38" t="inlineStr">
        <is>
          <t>34</t>
        </is>
      </c>
      <c r="D851" s="38" t="inlineStr">
        <is>
          <t>Selva</t>
        </is>
      </c>
    </row>
    <row r="852" ht="15" customHeight="1" s="39">
      <c r="A852" s="42" t="inlineStr">
        <is>
          <t>252347</t>
        </is>
      </c>
      <c r="B852" s="38" t="inlineStr">
        <is>
          <t>Tremp</t>
        </is>
      </c>
      <c r="C852" s="38" t="inlineStr">
        <is>
          <t>25</t>
        </is>
      </c>
      <c r="D852" s="38" t="inlineStr">
        <is>
          <t>Pallars Jussà</t>
        </is>
      </c>
    </row>
    <row r="853" ht="15" customHeight="1" s="39">
      <c r="A853" s="42" t="inlineStr">
        <is>
          <t>172044</t>
        </is>
      </c>
      <c r="B853" s="38" t="inlineStr">
        <is>
          <t>Ullà</t>
        </is>
      </c>
      <c r="C853" s="38" t="inlineStr">
        <is>
          <t>10</t>
        </is>
      </c>
      <c r="D853" s="38" t="inlineStr">
        <is>
          <t>Baix Empordà</t>
        </is>
      </c>
    </row>
    <row r="854" ht="15" customHeight="1" s="39">
      <c r="A854" s="42" t="inlineStr">
        <is>
          <t>082900</t>
        </is>
      </c>
      <c r="B854" s="38" t="inlineStr">
        <is>
          <t>Ullastrell</t>
        </is>
      </c>
      <c r="C854" s="38" t="inlineStr">
        <is>
          <t>40</t>
        </is>
      </c>
      <c r="D854" s="38" t="inlineStr">
        <is>
          <t>Vallès Occidental</t>
        </is>
      </c>
    </row>
    <row r="855" ht="15" customHeight="1" s="39">
      <c r="A855" s="42" t="inlineStr">
        <is>
          <t>172057</t>
        </is>
      </c>
      <c r="B855" s="38" t="inlineStr">
        <is>
          <t>Ullastret</t>
        </is>
      </c>
      <c r="C855" s="38" t="inlineStr">
        <is>
          <t>10</t>
        </is>
      </c>
      <c r="D855" s="38" t="inlineStr">
        <is>
          <t>Baix Empordà</t>
        </is>
      </c>
    </row>
    <row r="856" ht="15" customHeight="1" s="39">
      <c r="A856" s="42" t="inlineStr">
        <is>
          <t>431567</t>
        </is>
      </c>
      <c r="B856" s="38" t="inlineStr">
        <is>
          <t>Ulldecona</t>
        </is>
      </c>
      <c r="C856" s="38" t="inlineStr">
        <is>
          <t>22</t>
        </is>
      </c>
      <c r="D856" s="38" t="inlineStr">
        <is>
          <t>Montsià</t>
        </is>
      </c>
    </row>
    <row r="857" ht="15" customHeight="1" s="39">
      <c r="A857" s="42" t="inlineStr">
        <is>
          <t>431573</t>
        </is>
      </c>
      <c r="B857" s="38" t="inlineStr">
        <is>
          <t>Ulldemolins</t>
        </is>
      </c>
      <c r="C857" s="38" t="inlineStr">
        <is>
          <t>29</t>
        </is>
      </c>
      <c r="D857" s="38" t="inlineStr">
        <is>
          <t>Priorat</t>
        </is>
      </c>
    </row>
    <row r="858" ht="15" customHeight="1" s="39">
      <c r="A858" s="42" t="inlineStr">
        <is>
          <t>172039</t>
        </is>
      </c>
      <c r="B858" s="38" t="inlineStr">
        <is>
          <t>Ultramort</t>
        </is>
      </c>
      <c r="C858" s="38" t="inlineStr">
        <is>
          <t>10</t>
        </is>
      </c>
      <c r="D858" s="38" t="inlineStr">
        <is>
          <t>Baix Empordà</t>
        </is>
      </c>
    </row>
    <row r="859" ht="15" customHeight="1" s="39">
      <c r="A859" s="42" t="inlineStr">
        <is>
          <t>172060</t>
        </is>
      </c>
      <c r="B859" s="38" t="inlineStr">
        <is>
          <t>Urús</t>
        </is>
      </c>
      <c r="C859" s="38" t="inlineStr">
        <is>
          <t>15</t>
        </is>
      </c>
      <c r="D859" s="38" t="inlineStr">
        <is>
          <t>Cerdanya</t>
        </is>
      </c>
    </row>
    <row r="860" ht="15" customHeight="1" s="39">
      <c r="A860" s="42" t="inlineStr">
        <is>
          <t>082917</t>
        </is>
      </c>
      <c r="B860" s="38" t="inlineStr">
        <is>
          <t>Vacarisses</t>
        </is>
      </c>
      <c r="C860" s="38" t="inlineStr">
        <is>
          <t>40</t>
        </is>
      </c>
      <c r="D860" s="38" t="inlineStr">
        <is>
          <t>Vallès Occidental</t>
        </is>
      </c>
    </row>
    <row r="861" ht="15" customHeight="1" s="39">
      <c r="A861" s="42" t="inlineStr">
        <is>
          <t>170144</t>
        </is>
      </c>
      <c r="B861" s="38" t="inlineStr">
        <is>
          <t>Vajol, la</t>
        </is>
      </c>
      <c r="C861" s="38" t="inlineStr">
        <is>
          <t>02</t>
        </is>
      </c>
      <c r="D861" s="38" t="inlineStr">
        <is>
          <t>Alt Empordà</t>
        </is>
      </c>
    </row>
    <row r="862" ht="15" customHeight="1" s="39">
      <c r="A862" s="42" t="inlineStr">
        <is>
          <t>172076</t>
        </is>
      </c>
      <c r="B862" s="38" t="inlineStr">
        <is>
          <t>Vall d'en Bas, la</t>
        </is>
      </c>
      <c r="C862" s="38" t="inlineStr">
        <is>
          <t>19</t>
        </is>
      </c>
      <c r="D862" s="38" t="inlineStr">
        <is>
          <t>Garrotxa</t>
        </is>
      </c>
    </row>
    <row r="863" ht="15" customHeight="1" s="39">
      <c r="A863" s="42" t="inlineStr">
        <is>
          <t>172082</t>
        </is>
      </c>
      <c r="B863" s="38" t="inlineStr">
        <is>
          <t>Vall de Bianya, la</t>
        </is>
      </c>
      <c r="C863" s="38" t="inlineStr">
        <is>
          <t>19</t>
        </is>
      </c>
      <c r="D863" s="38" t="inlineStr">
        <is>
          <t>Garrotxa</t>
        </is>
      </c>
    </row>
    <row r="864" ht="15" customHeight="1" s="39">
      <c r="A864" s="42" t="inlineStr">
        <is>
          <t>250432</t>
        </is>
      </c>
      <c r="B864" s="38" t="inlineStr">
        <is>
          <t>Vall de Boí, la</t>
        </is>
      </c>
      <c r="C864" s="38" t="inlineStr">
        <is>
          <t>05</t>
        </is>
      </c>
      <c r="D864" s="38" t="inlineStr">
        <is>
          <t>Alta Ribagorça</t>
        </is>
      </c>
    </row>
    <row r="865" ht="15" customHeight="1" s="39">
      <c r="A865" s="42" t="inlineStr">
        <is>
          <t>259010</t>
        </is>
      </c>
      <c r="B865" s="38" t="inlineStr">
        <is>
          <t>Vall de Cardós</t>
        </is>
      </c>
      <c r="C865" s="38" t="inlineStr">
        <is>
          <t>26</t>
        </is>
      </c>
      <c r="D865" s="38" t="inlineStr">
        <is>
          <t>Pallars Sobirà</t>
        </is>
      </c>
    </row>
    <row r="866" ht="15" customHeight="1" s="39">
      <c r="A866" s="42" t="inlineStr">
        <is>
          <t>172095</t>
        </is>
      </c>
      <c r="B866" s="38" t="inlineStr">
        <is>
          <t>Vall-llobrega</t>
        </is>
      </c>
      <c r="C866" s="38" t="inlineStr">
        <is>
          <t>10</t>
        </is>
      </c>
      <c r="D866" s="38" t="inlineStr">
        <is>
          <t>Baix Empordà</t>
        </is>
      </c>
    </row>
    <row r="867" ht="15" customHeight="1" s="39">
      <c r="A867" s="42" t="inlineStr">
        <is>
          <t>082922</t>
        </is>
      </c>
      <c r="B867" s="38" t="inlineStr">
        <is>
          <t>Vallbona d'Anoia</t>
        </is>
      </c>
      <c r="C867" s="38" t="inlineStr">
        <is>
          <t>06</t>
        </is>
      </c>
      <c r="D867" s="38" t="inlineStr">
        <is>
          <t>Anoia</t>
        </is>
      </c>
    </row>
    <row r="868" ht="15" customHeight="1" s="39">
      <c r="A868" s="42" t="inlineStr">
        <is>
          <t>252385</t>
        </is>
      </c>
      <c r="B868" s="38" t="inlineStr">
        <is>
          <t>Vallbona de les Monges</t>
        </is>
      </c>
      <c r="C868" s="38" t="inlineStr">
        <is>
          <t>38</t>
        </is>
      </c>
      <c r="D868" s="38" t="inlineStr">
        <is>
          <t>Urgell</t>
        </is>
      </c>
    </row>
    <row r="869" ht="15" customHeight="1" s="39">
      <c r="A869" s="42" t="inlineStr">
        <is>
          <t>082938</t>
        </is>
      </c>
      <c r="B869" s="38" t="inlineStr">
        <is>
          <t>Vallcebre</t>
        </is>
      </c>
      <c r="C869" s="38" t="inlineStr">
        <is>
          <t>14</t>
        </is>
      </c>
      <c r="D869" s="38" t="inlineStr">
        <is>
          <t>Berguedà</t>
        </is>
      </c>
    </row>
    <row r="870" ht="15" customHeight="1" s="39">
      <c r="A870" s="42" t="inlineStr">
        <is>
          <t>431589</t>
        </is>
      </c>
      <c r="B870" s="38" t="inlineStr">
        <is>
          <t>Vallclara</t>
        </is>
      </c>
      <c r="C870" s="38" t="inlineStr">
        <is>
          <t>16</t>
        </is>
      </c>
      <c r="D870" s="38" t="inlineStr">
        <is>
          <t>Conca de Barberà</t>
        </is>
      </c>
    </row>
    <row r="871" ht="15" customHeight="1" s="39">
      <c r="A871" s="42" t="inlineStr">
        <is>
          <t>252402</t>
        </is>
      </c>
      <c r="B871" s="38" t="inlineStr">
        <is>
          <t>Vallfogona de Balaguer</t>
        </is>
      </c>
      <c r="C871" s="38" t="inlineStr">
        <is>
          <t>23</t>
        </is>
      </c>
      <c r="D871" s="38" t="inlineStr">
        <is>
          <t>Noguera</t>
        </is>
      </c>
    </row>
    <row r="872" ht="15" customHeight="1" s="39">
      <c r="A872" s="42" t="inlineStr">
        <is>
          <t>171707</t>
        </is>
      </c>
      <c r="B872" s="38" t="inlineStr">
        <is>
          <t>Vallfogona de Ripollès</t>
        </is>
      </c>
      <c r="C872" s="38" t="inlineStr">
        <is>
          <t>31</t>
        </is>
      </c>
      <c r="D872" s="38" t="inlineStr">
        <is>
          <t>Ripollès</t>
        </is>
      </c>
    </row>
    <row r="873" ht="15" customHeight="1" s="39">
      <c r="A873" s="42" t="inlineStr">
        <is>
          <t>431592</t>
        </is>
      </c>
      <c r="B873" s="38" t="inlineStr">
        <is>
          <t>Vallfogona de Riucorb</t>
        </is>
      </c>
      <c r="C873" s="38" t="inlineStr">
        <is>
          <t>16</t>
        </is>
      </c>
      <c r="D873" s="38" t="inlineStr">
        <is>
          <t>Conca de Barberà</t>
        </is>
      </c>
    </row>
    <row r="874" ht="15" customHeight="1" s="39">
      <c r="A874" s="42" t="inlineStr">
        <is>
          <t>082943</t>
        </is>
      </c>
      <c r="B874" s="38" t="inlineStr">
        <is>
          <t>Vallgorguina</t>
        </is>
      </c>
      <c r="C874" s="38" t="inlineStr">
        <is>
          <t>41</t>
        </is>
      </c>
      <c r="D874" s="38" t="inlineStr">
        <is>
          <t>Vallès Oriental</t>
        </is>
      </c>
    </row>
    <row r="875" ht="15" customHeight="1" s="39">
      <c r="A875" s="42" t="inlineStr">
        <is>
          <t>082956</t>
        </is>
      </c>
      <c r="B875" s="38" t="inlineStr">
        <is>
          <t>Vallirana</t>
        </is>
      </c>
      <c r="C875" s="38" t="inlineStr">
        <is>
          <t>11</t>
        </is>
      </c>
      <c r="D875" s="38" t="inlineStr">
        <is>
          <t>Baix Llobregat</t>
        </is>
      </c>
    </row>
    <row r="876" ht="15" customHeight="1" s="39">
      <c r="A876" s="42" t="inlineStr">
        <is>
          <t>431606</t>
        </is>
      </c>
      <c r="B876" s="38" t="inlineStr">
        <is>
          <t>Vallmoll</t>
        </is>
      </c>
      <c r="C876" s="38" t="inlineStr">
        <is>
          <t>01</t>
        </is>
      </c>
      <c r="D876" s="38" t="inlineStr">
        <is>
          <t>Alt Camp</t>
        </is>
      </c>
    </row>
    <row r="877" ht="15" customHeight="1" s="39">
      <c r="A877" s="42" t="inlineStr">
        <is>
          <t>082969</t>
        </is>
      </c>
      <c r="B877" s="38" t="inlineStr">
        <is>
          <t>Vallromanes</t>
        </is>
      </c>
      <c r="C877" s="38" t="inlineStr">
        <is>
          <t>41</t>
        </is>
      </c>
      <c r="D877" s="38" t="inlineStr">
        <is>
          <t>Vallès Oriental</t>
        </is>
      </c>
    </row>
    <row r="878" ht="15" customHeight="1" s="39">
      <c r="A878" s="42" t="inlineStr">
        <is>
          <t>431613</t>
        </is>
      </c>
      <c r="B878" s="38" t="inlineStr">
        <is>
          <t>Valls</t>
        </is>
      </c>
      <c r="C878" s="38" t="inlineStr">
        <is>
          <t>01</t>
        </is>
      </c>
      <c r="D878" s="38" t="inlineStr">
        <is>
          <t>Alt Camp</t>
        </is>
      </c>
    </row>
    <row r="879" ht="15" customHeight="1" s="39">
      <c r="A879" s="42" t="inlineStr">
        <is>
          <t>259062</t>
        </is>
      </c>
      <c r="B879" s="38" t="inlineStr">
        <is>
          <t>Valls d'Aguilar, les</t>
        </is>
      </c>
      <c r="C879" s="38" t="inlineStr">
        <is>
          <t>04</t>
        </is>
      </c>
      <c r="D879" s="38" t="inlineStr">
        <is>
          <t>Alt Urgell</t>
        </is>
      </c>
    </row>
    <row r="880" ht="15" customHeight="1" s="39">
      <c r="A880" s="42" t="inlineStr">
        <is>
          <t>252398</t>
        </is>
      </c>
      <c r="B880" s="38" t="inlineStr">
        <is>
          <t>Valls de Valira, les</t>
        </is>
      </c>
      <c r="C880" s="38" t="inlineStr">
        <is>
          <t>04</t>
        </is>
      </c>
      <c r="D880" s="38" t="inlineStr">
        <is>
          <t>Alt Urgell</t>
        </is>
      </c>
    </row>
    <row r="881" ht="15" customHeight="1" s="39">
      <c r="A881" s="42" t="inlineStr">
        <is>
          <t>431628</t>
        </is>
      </c>
      <c r="B881" s="38" t="inlineStr">
        <is>
          <t>Vandellòs i l'Hospitalet de l'Infant</t>
        </is>
      </c>
      <c r="C881" s="38" t="inlineStr">
        <is>
          <t>08</t>
        </is>
      </c>
      <c r="D881" s="38" t="inlineStr">
        <is>
          <t>Baix Camp</t>
        </is>
      </c>
    </row>
    <row r="882" ht="15" customHeight="1" s="39">
      <c r="A882" s="42" t="inlineStr">
        <is>
          <t>259097</t>
        </is>
      </c>
      <c r="B882" s="38" t="inlineStr">
        <is>
          <t>Vansa i Fórnols, la</t>
        </is>
      </c>
      <c r="C882" s="38" t="inlineStr">
        <is>
          <t>04</t>
        </is>
      </c>
      <c r="D882" s="38" t="inlineStr">
        <is>
          <t>Alt Urgell</t>
        </is>
      </c>
    </row>
    <row r="883" ht="15" customHeight="1" s="39">
      <c r="A883" s="42" t="inlineStr">
        <is>
          <t>082975</t>
        </is>
      </c>
      <c r="B883" s="38" t="inlineStr">
        <is>
          <t>Veciana</t>
        </is>
      </c>
      <c r="C883" s="38" t="inlineStr">
        <is>
          <t>06</t>
        </is>
      </c>
      <c r="D883" s="38" t="inlineStr">
        <is>
          <t>Anoia</t>
        </is>
      </c>
    </row>
    <row r="884" ht="15" customHeight="1" s="39">
      <c r="A884" s="42" t="inlineStr">
        <is>
          <t>431634</t>
        </is>
      </c>
      <c r="B884" s="38" t="inlineStr">
        <is>
          <t>Vendrell, el</t>
        </is>
      </c>
      <c r="C884" s="38" t="inlineStr">
        <is>
          <t>12</t>
        </is>
      </c>
      <c r="D884" s="38" t="inlineStr">
        <is>
          <t>Baix Penedès</t>
        </is>
      </c>
    </row>
    <row r="885" ht="15" customHeight="1" s="39">
      <c r="A885" s="42" t="inlineStr">
        <is>
          <t>172109</t>
        </is>
      </c>
      <c r="B885" s="38" t="inlineStr">
        <is>
          <t>Ventalló</t>
        </is>
      </c>
      <c r="C885" s="38" t="inlineStr">
        <is>
          <t>02</t>
        </is>
      </c>
      <c r="D885" s="38" t="inlineStr">
        <is>
          <t>Alt Empordà</t>
        </is>
      </c>
    </row>
    <row r="886" ht="15" customHeight="1" s="39">
      <c r="A886" s="42" t="inlineStr">
        <is>
          <t>252424</t>
        </is>
      </c>
      <c r="B886" s="38" t="inlineStr">
        <is>
          <t>Verdú</t>
        </is>
      </c>
      <c r="C886" s="38" t="inlineStr">
        <is>
          <t>38</t>
        </is>
      </c>
      <c r="D886" s="38" t="inlineStr">
        <is>
          <t>Urgell</t>
        </is>
      </c>
    </row>
    <row r="887" ht="15" customHeight="1" s="39">
      <c r="A887" s="42" t="inlineStr">
        <is>
          <t>172116</t>
        </is>
      </c>
      <c r="B887" s="38" t="inlineStr">
        <is>
          <t>Verges</t>
        </is>
      </c>
      <c r="C887" s="38" t="inlineStr">
        <is>
          <t>10</t>
        </is>
      </c>
      <c r="D887" s="38" t="inlineStr">
        <is>
          <t>Baix Empordà</t>
        </is>
      </c>
    </row>
    <row r="888" ht="15" customHeight="1" s="39">
      <c r="A888" s="42" t="inlineStr">
        <is>
          <t>431649</t>
        </is>
      </c>
      <c r="B888" s="38" t="inlineStr">
        <is>
          <t>Vespella de Gaià</t>
        </is>
      </c>
      <c r="C888" s="38" t="inlineStr">
        <is>
          <t>36</t>
        </is>
      </c>
      <c r="D888" s="38" t="inlineStr">
        <is>
          <t>Tarragonès</t>
        </is>
      </c>
    </row>
    <row r="889" ht="15" customHeight="1" s="39">
      <c r="A889" s="42" t="inlineStr">
        <is>
          <t>082981</t>
        </is>
      </c>
      <c r="B889" s="38" t="inlineStr">
        <is>
          <t>Vic</t>
        </is>
      </c>
      <c r="C889" s="38" t="inlineStr">
        <is>
          <t>24</t>
        </is>
      </c>
      <c r="D889" s="38" t="inlineStr">
        <is>
          <t>Osona</t>
        </is>
      </c>
    </row>
    <row r="890" ht="15" customHeight="1" s="39">
      <c r="A890" s="42" t="inlineStr">
        <is>
          <t>172121</t>
        </is>
      </c>
      <c r="B890" s="38" t="inlineStr">
        <is>
          <t>Vidrà</t>
        </is>
      </c>
      <c r="C890" s="38" t="inlineStr">
        <is>
          <t>24</t>
        </is>
      </c>
      <c r="D890" s="38" t="inlineStr">
        <is>
          <t>Osona</t>
        </is>
      </c>
    </row>
    <row r="891" ht="15" customHeight="1" s="39">
      <c r="A891" s="42" t="inlineStr">
        <is>
          <t>172137</t>
        </is>
      </c>
      <c r="B891" s="38" t="inlineStr">
        <is>
          <t>Vidreres</t>
        </is>
      </c>
      <c r="C891" s="38" t="inlineStr">
        <is>
          <t>34</t>
        </is>
      </c>
      <c r="D891" s="38" t="inlineStr">
        <is>
          <t>Selva</t>
        </is>
      </c>
    </row>
    <row r="892" ht="15" customHeight="1" s="39">
      <c r="A892" s="42" t="inlineStr">
        <is>
          <t>252430</t>
        </is>
      </c>
      <c r="B892" s="38" t="inlineStr">
        <is>
          <t>Vielha e Mijaran</t>
        </is>
      </c>
      <c r="C892" s="38" t="inlineStr">
        <is>
          <t>39</t>
        </is>
      </c>
      <c r="D892" s="38" t="inlineStr">
        <is>
          <t>Aran</t>
        </is>
      </c>
    </row>
    <row r="893" ht="15" customHeight="1" s="39">
      <c r="A893" s="42" t="inlineStr">
        <is>
          <t>431704</t>
        </is>
      </c>
      <c r="B893" s="38" t="inlineStr">
        <is>
          <t>Vila-rodona</t>
        </is>
      </c>
      <c r="C893" s="38" t="inlineStr">
        <is>
          <t>01</t>
        </is>
      </c>
      <c r="D893" s="38" t="inlineStr">
        <is>
          <t>Alt Camp</t>
        </is>
      </c>
    </row>
    <row r="894" ht="15" customHeight="1" s="39">
      <c r="A894" s="42" t="inlineStr">
        <is>
          <t>172305</t>
        </is>
      </c>
      <c r="B894" s="38" t="inlineStr">
        <is>
          <t>Vila-sacra</t>
        </is>
      </c>
      <c r="C894" s="38" t="inlineStr">
        <is>
          <t>02</t>
        </is>
      </c>
      <c r="D894" s="38" t="inlineStr">
        <is>
          <t>Alt Empordà</t>
        </is>
      </c>
    </row>
    <row r="895" ht="15" customHeight="1" s="39">
      <c r="A895" s="42" t="inlineStr">
        <is>
          <t>252521</t>
        </is>
      </c>
      <c r="B895" s="38" t="inlineStr">
        <is>
          <t>Vila-sana</t>
        </is>
      </c>
      <c r="C895" s="38" t="inlineStr">
        <is>
          <t>27</t>
        </is>
      </c>
      <c r="D895" s="38" t="inlineStr">
        <is>
          <t>Pla d'Urgell</t>
        </is>
      </c>
    </row>
    <row r="896" ht="15" customHeight="1" s="39">
      <c r="A896" s="42" t="inlineStr">
        <is>
          <t>431711</t>
        </is>
      </c>
      <c r="B896" s="38" t="inlineStr">
        <is>
          <t>Vila-seca</t>
        </is>
      </c>
      <c r="C896" s="38" t="inlineStr">
        <is>
          <t>36</t>
        </is>
      </c>
      <c r="D896" s="38" t="inlineStr">
        <is>
          <t>Tarragonès</t>
        </is>
      </c>
    </row>
    <row r="897" ht="15" customHeight="1" s="39">
      <c r="A897" s="42" t="inlineStr">
        <is>
          <t>431652</t>
        </is>
      </c>
      <c r="B897" s="38" t="inlineStr">
        <is>
          <t>Vilabella</t>
        </is>
      </c>
      <c r="C897" s="38" t="inlineStr">
        <is>
          <t>01</t>
        </is>
      </c>
      <c r="D897" s="38" t="inlineStr">
        <is>
          <t>Alt Camp</t>
        </is>
      </c>
    </row>
    <row r="898" ht="15" customHeight="1" s="39">
      <c r="A898" s="42" t="inlineStr">
        <is>
          <t>172142</t>
        </is>
      </c>
      <c r="B898" s="38" t="inlineStr">
        <is>
          <t>Vilabertran</t>
        </is>
      </c>
      <c r="C898" s="38" t="inlineStr">
        <is>
          <t>02</t>
        </is>
      </c>
      <c r="D898" s="38" t="inlineStr">
        <is>
          <t>Alt Empordà</t>
        </is>
      </c>
    </row>
    <row r="899" ht="15" customHeight="1" s="39">
      <c r="A899" s="42" t="inlineStr">
        <is>
          <t>172155</t>
        </is>
      </c>
      <c r="B899" s="38" t="inlineStr">
        <is>
          <t>Vilablareix</t>
        </is>
      </c>
      <c r="C899" s="38" t="inlineStr">
        <is>
          <t>20</t>
        </is>
      </c>
      <c r="D899" s="38" t="inlineStr">
        <is>
          <t>Gironès</t>
        </is>
      </c>
    </row>
    <row r="900" ht="15" customHeight="1" s="39">
      <c r="A900" s="42" t="inlineStr">
        <is>
          <t>082994</t>
        </is>
      </c>
      <c r="B900" s="38" t="inlineStr">
        <is>
          <t>Vilada</t>
        </is>
      </c>
      <c r="C900" s="38" t="inlineStr">
        <is>
          <t>14</t>
        </is>
      </c>
      <c r="D900" s="38" t="inlineStr">
        <is>
          <t>Berguedà</t>
        </is>
      </c>
    </row>
    <row r="901" ht="15" customHeight="1" s="39">
      <c r="A901" s="42" t="inlineStr">
        <is>
          <t>172174</t>
        </is>
      </c>
      <c r="B901" s="38" t="inlineStr">
        <is>
          <t>Viladamat</t>
        </is>
      </c>
      <c r="C901" s="38" t="inlineStr">
        <is>
          <t>02</t>
        </is>
      </c>
      <c r="D901" s="38" t="inlineStr">
        <is>
          <t>Alt Empordà</t>
        </is>
      </c>
    </row>
    <row r="902" ht="15" customHeight="1" s="39">
      <c r="A902" s="42" t="inlineStr">
        <is>
          <t>172168</t>
        </is>
      </c>
      <c r="B902" s="38" t="inlineStr">
        <is>
          <t>Viladasens</t>
        </is>
      </c>
      <c r="C902" s="38" t="inlineStr">
        <is>
          <t>20</t>
        </is>
      </c>
      <c r="D902" s="38" t="inlineStr">
        <is>
          <t>Gironès</t>
        </is>
      </c>
    </row>
    <row r="903" ht="15" customHeight="1" s="39">
      <c r="A903" s="42" t="inlineStr">
        <is>
          <t>083015</t>
        </is>
      </c>
      <c r="B903" s="38" t="inlineStr">
        <is>
          <t>Viladecans</t>
        </is>
      </c>
      <c r="C903" s="38" t="inlineStr">
        <is>
          <t>11</t>
        </is>
      </c>
      <c r="D903" s="38" t="inlineStr">
        <is>
          <t>Baix Llobregat</t>
        </is>
      </c>
    </row>
    <row r="904" ht="15" customHeight="1" s="39">
      <c r="A904" s="42" t="inlineStr">
        <is>
          <t>083008</t>
        </is>
      </c>
      <c r="B904" s="38" t="inlineStr">
        <is>
          <t>Viladecavalls</t>
        </is>
      </c>
      <c r="C904" s="38" t="inlineStr">
        <is>
          <t>40</t>
        </is>
      </c>
      <c r="D904" s="38" t="inlineStr">
        <is>
          <t>Vallès Occidental</t>
        </is>
      </c>
    </row>
    <row r="905" ht="15" customHeight="1" s="39">
      <c r="A905" s="42" t="inlineStr">
        <is>
          <t>172180</t>
        </is>
      </c>
      <c r="B905" s="38" t="inlineStr">
        <is>
          <t>Vilademuls</t>
        </is>
      </c>
      <c r="C905" s="38" t="inlineStr">
        <is>
          <t>28</t>
        </is>
      </c>
      <c r="D905" s="38" t="inlineStr">
        <is>
          <t>Pla de l'Estany</t>
        </is>
      </c>
    </row>
    <row r="906" ht="15" customHeight="1" s="39">
      <c r="A906" s="42" t="inlineStr">
        <is>
          <t>172207</t>
        </is>
      </c>
      <c r="B906" s="38" t="inlineStr">
        <is>
          <t>Viladrau</t>
        </is>
      </c>
      <c r="C906" s="38" t="inlineStr">
        <is>
          <t>24</t>
        </is>
      </c>
      <c r="D906" s="38" t="inlineStr">
        <is>
          <t>Osona</t>
        </is>
      </c>
    </row>
    <row r="907" ht="15" customHeight="1" s="39">
      <c r="A907" s="42" t="inlineStr">
        <is>
          <t>172214</t>
        </is>
      </c>
      <c r="B907" s="38" t="inlineStr">
        <is>
          <t>Vilafant</t>
        </is>
      </c>
      <c r="C907" s="38" t="inlineStr">
        <is>
          <t>02</t>
        </is>
      </c>
      <c r="D907" s="38" t="inlineStr">
        <is>
          <t>Alt Empordà</t>
        </is>
      </c>
    </row>
    <row r="908" ht="15" customHeight="1" s="39">
      <c r="A908" s="42" t="inlineStr">
        <is>
          <t>083054</t>
        </is>
      </c>
      <c r="B908" s="38" t="inlineStr">
        <is>
          <t>Vilafranca del Penedès</t>
        </is>
      </c>
      <c r="C908" s="38" t="inlineStr">
        <is>
          <t>03</t>
        </is>
      </c>
      <c r="D908" s="38" t="inlineStr">
        <is>
          <t>Alt Penedès</t>
        </is>
      </c>
    </row>
    <row r="909" ht="15" customHeight="1" s="39">
      <c r="A909" s="42" t="inlineStr">
        <is>
          <t>252445</t>
        </is>
      </c>
      <c r="B909" s="38" t="inlineStr">
        <is>
          <t>Vilagrassa</t>
        </is>
      </c>
      <c r="C909" s="38" t="inlineStr">
        <is>
          <t>38</t>
        </is>
      </c>
      <c r="D909" s="38" t="inlineStr">
        <is>
          <t>Urgell</t>
        </is>
      </c>
    </row>
    <row r="910" ht="15" customHeight="1" s="39">
      <c r="A910" s="42" t="inlineStr">
        <is>
          <t>172235</t>
        </is>
      </c>
      <c r="B910" s="38" t="inlineStr">
        <is>
          <t>Vilajuïga</t>
        </is>
      </c>
      <c r="C910" s="38" t="inlineStr">
        <is>
          <t>02</t>
        </is>
      </c>
      <c r="D910" s="38" t="inlineStr">
        <is>
          <t>Alt Empordà</t>
        </is>
      </c>
    </row>
    <row r="911" ht="15" customHeight="1" s="39">
      <c r="A911" s="42" t="inlineStr">
        <is>
          <t>431750</t>
        </is>
      </c>
      <c r="B911" s="38" t="inlineStr">
        <is>
          <t>Vilalba dels Arcs</t>
        </is>
      </c>
      <c r="C911" s="38" t="inlineStr">
        <is>
          <t>37</t>
        </is>
      </c>
      <c r="D911" s="38" t="inlineStr">
        <is>
          <t>Terra Alta</t>
        </is>
      </c>
    </row>
    <row r="912" ht="15" customHeight="1" s="39">
      <c r="A912" s="42" t="inlineStr">
        <is>
          <t>083067</t>
        </is>
      </c>
      <c r="B912" s="38" t="inlineStr">
        <is>
          <t>Vilalba Sasserra</t>
        </is>
      </c>
      <c r="C912" s="38" t="inlineStr">
        <is>
          <t>41</t>
        </is>
      </c>
      <c r="D912" s="38" t="inlineStr">
        <is>
          <t>Vallès Oriental</t>
        </is>
      </c>
    </row>
    <row r="913" ht="15" customHeight="1" s="39">
      <c r="A913" s="42" t="inlineStr">
        <is>
          <t>252458</t>
        </is>
      </c>
      <c r="B913" s="38" t="inlineStr">
        <is>
          <t>Vilaller</t>
        </is>
      </c>
      <c r="C913" s="38" t="inlineStr">
        <is>
          <t>05</t>
        </is>
      </c>
      <c r="D913" s="38" t="inlineStr">
        <is>
          <t>Alta Ribagorça</t>
        </is>
      </c>
    </row>
    <row r="914" ht="15" customHeight="1" s="39">
      <c r="A914" s="42" t="inlineStr">
        <is>
          <t>172240</t>
        </is>
      </c>
      <c r="B914" s="38" t="inlineStr">
        <is>
          <t>Vilallonga de Ter</t>
        </is>
      </c>
      <c r="C914" s="38" t="inlineStr">
        <is>
          <t>31</t>
        </is>
      </c>
      <c r="D914" s="38" t="inlineStr">
        <is>
          <t>Ripollès</t>
        </is>
      </c>
    </row>
    <row r="915" ht="15" customHeight="1" s="39">
      <c r="A915" s="42" t="inlineStr">
        <is>
          <t>431665</t>
        </is>
      </c>
      <c r="B915" s="38" t="inlineStr">
        <is>
          <t>Vilallonga del Camp</t>
        </is>
      </c>
      <c r="C915" s="38" t="inlineStr">
        <is>
          <t>36</t>
        </is>
      </c>
      <c r="D915" s="38" t="inlineStr">
        <is>
          <t>Tarragonès</t>
        </is>
      </c>
    </row>
    <row r="916" ht="15" customHeight="1" s="39">
      <c r="A916" s="42" t="inlineStr">
        <is>
          <t>172253</t>
        </is>
      </c>
      <c r="B916" s="38" t="inlineStr">
        <is>
          <t>Vilamacolum</t>
        </is>
      </c>
      <c r="C916" s="38" t="inlineStr">
        <is>
          <t>02</t>
        </is>
      </c>
      <c r="D916" s="38" t="inlineStr">
        <is>
          <t>Alt Empordà</t>
        </is>
      </c>
    </row>
    <row r="917" ht="15" customHeight="1" s="39">
      <c r="A917" s="42" t="inlineStr">
        <is>
          <t>172266</t>
        </is>
      </c>
      <c r="B917" s="38" t="inlineStr">
        <is>
          <t>Vilamalla</t>
        </is>
      </c>
      <c r="C917" s="38" t="inlineStr">
        <is>
          <t>02</t>
        </is>
      </c>
      <c r="D917" s="38" t="inlineStr">
        <is>
          <t>Alt Empordà</t>
        </is>
      </c>
    </row>
    <row r="918" ht="15" customHeight="1" s="39">
      <c r="A918" s="42" t="inlineStr">
        <is>
          <t>172272</t>
        </is>
      </c>
      <c r="B918" s="38" t="inlineStr">
        <is>
          <t>Vilamaniscle</t>
        </is>
      </c>
      <c r="C918" s="38" t="inlineStr">
        <is>
          <t>02</t>
        </is>
      </c>
      <c r="D918" s="38" t="inlineStr">
        <is>
          <t>Alt Empordà</t>
        </is>
      </c>
    </row>
    <row r="919" ht="15" customHeight="1" s="39">
      <c r="A919" s="42" t="inlineStr">
        <is>
          <t>252477</t>
        </is>
      </c>
      <c r="B919" s="38" t="inlineStr">
        <is>
          <t>Vilamòs</t>
        </is>
      </c>
      <c r="C919" s="38" t="inlineStr">
        <is>
          <t>39</t>
        </is>
      </c>
      <c r="D919" s="38" t="inlineStr">
        <is>
          <t>Aran</t>
        </is>
      </c>
    </row>
    <row r="920" ht="15" customHeight="1" s="39">
      <c r="A920" s="42" t="inlineStr">
        <is>
          <t>172288</t>
        </is>
      </c>
      <c r="B920" s="38" t="inlineStr">
        <is>
          <t>Vilanant</t>
        </is>
      </c>
      <c r="C920" s="38" t="inlineStr">
        <is>
          <t>02</t>
        </is>
      </c>
      <c r="D920" s="38" t="inlineStr">
        <is>
          <t>Alt Empordà</t>
        </is>
      </c>
    </row>
    <row r="921" ht="15" customHeight="1" s="39">
      <c r="A921" s="42" t="inlineStr">
        <is>
          <t>431671</t>
        </is>
      </c>
      <c r="B921" s="38" t="inlineStr">
        <is>
          <t>Vilanova d'Escornalbou</t>
        </is>
      </c>
      <c r="C921" s="38" t="inlineStr">
        <is>
          <t>08</t>
        </is>
      </c>
      <c r="D921" s="38" t="inlineStr">
        <is>
          <t>Baix Camp</t>
        </is>
      </c>
    </row>
    <row r="922" ht="15" customHeight="1" s="39">
      <c r="A922" s="42" t="inlineStr">
        <is>
          <t>252483</t>
        </is>
      </c>
      <c r="B922" s="38" t="inlineStr">
        <is>
          <t>Vilanova de Bellpuig</t>
        </is>
      </c>
      <c r="C922" s="38" t="inlineStr">
        <is>
          <t>27</t>
        </is>
      </c>
      <c r="D922" s="38" t="inlineStr">
        <is>
          <t>Pla d'Urgell</t>
        </is>
      </c>
    </row>
    <row r="923" ht="15" customHeight="1" s="39">
      <c r="A923" s="42" t="inlineStr">
        <is>
          <t>252496</t>
        </is>
      </c>
      <c r="B923" s="38" t="inlineStr">
        <is>
          <t>Vilanova de l'Aguda</t>
        </is>
      </c>
      <c r="C923" s="38" t="inlineStr">
        <is>
          <t>23</t>
        </is>
      </c>
      <c r="D923" s="38" t="inlineStr">
        <is>
          <t>Noguera</t>
        </is>
      </c>
    </row>
    <row r="924" ht="15" customHeight="1" s="39">
      <c r="A924" s="42" t="inlineStr">
        <is>
          <t>252542</t>
        </is>
      </c>
      <c r="B924" s="38" t="inlineStr">
        <is>
          <t>Vilanova de la Barca</t>
        </is>
      </c>
      <c r="C924" s="38" t="inlineStr">
        <is>
          <t>33</t>
        </is>
      </c>
      <c r="D924" s="38" t="inlineStr">
        <is>
          <t>Segrià</t>
        </is>
      </c>
    </row>
    <row r="925" ht="15" customHeight="1" s="39">
      <c r="A925" s="42" t="inlineStr">
        <is>
          <t>252509</t>
        </is>
      </c>
      <c r="B925" s="38" t="inlineStr">
        <is>
          <t>Vilanova de Meià</t>
        </is>
      </c>
      <c r="C925" s="38" t="inlineStr">
        <is>
          <t>23</t>
        </is>
      </c>
      <c r="D925" s="38" t="inlineStr">
        <is>
          <t>Noguera</t>
        </is>
      </c>
    </row>
    <row r="926" ht="15" customHeight="1" s="39">
      <c r="A926" s="42" t="inlineStr">
        <is>
          <t>431687</t>
        </is>
      </c>
      <c r="B926" s="38" t="inlineStr">
        <is>
          <t>Vilanova de Prades</t>
        </is>
      </c>
      <c r="C926" s="38" t="inlineStr">
        <is>
          <t>16</t>
        </is>
      </c>
      <c r="D926" s="38" t="inlineStr">
        <is>
          <t>Conca de Barberà</t>
        </is>
      </c>
    </row>
    <row r="927" ht="15" customHeight="1" s="39">
      <c r="A927" s="42" t="inlineStr">
        <is>
          <t>083036</t>
        </is>
      </c>
      <c r="B927" s="38" t="inlineStr">
        <is>
          <t>Vilanova de Sau</t>
        </is>
      </c>
      <c r="C927" s="38" t="inlineStr">
        <is>
          <t>24</t>
        </is>
      </c>
      <c r="D927" s="38" t="inlineStr">
        <is>
          <t>Osona</t>
        </is>
      </c>
    </row>
    <row r="928" ht="15" customHeight="1" s="39">
      <c r="A928" s="42" t="inlineStr">
        <is>
          <t>252516</t>
        </is>
      </c>
      <c r="B928" s="38" t="inlineStr">
        <is>
          <t>Vilanova de Segrià</t>
        </is>
      </c>
      <c r="C928" s="38" t="inlineStr">
        <is>
          <t>33</t>
        </is>
      </c>
      <c r="D928" s="38" t="inlineStr">
        <is>
          <t>Segrià</t>
        </is>
      </c>
    </row>
    <row r="929" ht="15" customHeight="1" s="39">
      <c r="A929" s="42" t="inlineStr">
        <is>
          <t>083020</t>
        </is>
      </c>
      <c r="B929" s="38" t="inlineStr">
        <is>
          <t>Vilanova del Camí</t>
        </is>
      </c>
      <c r="C929" s="38" t="inlineStr">
        <is>
          <t>06</t>
        </is>
      </c>
      <c r="D929" s="38" t="inlineStr">
        <is>
          <t>Anoia</t>
        </is>
      </c>
    </row>
    <row r="930" ht="15" customHeight="1" s="39">
      <c r="A930" s="42" t="inlineStr">
        <is>
          <t>089024</t>
        </is>
      </c>
      <c r="B930" s="38" t="inlineStr">
        <is>
          <t>Vilanova del Vallès</t>
        </is>
      </c>
      <c r="C930" s="38" t="inlineStr">
        <is>
          <t>41</t>
        </is>
      </c>
      <c r="D930" s="38" t="inlineStr">
        <is>
          <t>Vallès Oriental</t>
        </is>
      </c>
    </row>
    <row r="931" ht="15" customHeight="1" s="39">
      <c r="A931" s="42" t="inlineStr">
        <is>
          <t>083073</t>
        </is>
      </c>
      <c r="B931" s="38" t="inlineStr">
        <is>
          <t>Vilanova i la Geltrú</t>
        </is>
      </c>
      <c r="C931" s="38" t="inlineStr">
        <is>
          <t>17</t>
        </is>
      </c>
      <c r="D931" s="38" t="inlineStr">
        <is>
          <t>Garraf</t>
        </is>
      </c>
    </row>
    <row r="932" ht="15" customHeight="1" s="39">
      <c r="A932" s="42" t="inlineStr">
        <is>
          <t>431690</t>
        </is>
      </c>
      <c r="B932" s="38" t="inlineStr">
        <is>
          <t>Vilaplana</t>
        </is>
      </c>
      <c r="C932" s="38" t="inlineStr">
        <is>
          <t>08</t>
        </is>
      </c>
      <c r="D932" s="38" t="inlineStr">
        <is>
          <t>Baix Camp</t>
        </is>
      </c>
    </row>
    <row r="933" ht="15" customHeight="1" s="39">
      <c r="A933" s="42" t="inlineStr">
        <is>
          <t>082140</t>
        </is>
      </c>
      <c r="B933" s="38" t="inlineStr">
        <is>
          <t>Vilassar de Dalt</t>
        </is>
      </c>
      <c r="C933" s="38" t="inlineStr">
        <is>
          <t>21</t>
        </is>
      </c>
      <c r="D933" s="38" t="inlineStr">
        <is>
          <t>Maresme</t>
        </is>
      </c>
    </row>
    <row r="934" ht="15" customHeight="1" s="39">
      <c r="A934" s="42" t="inlineStr">
        <is>
          <t>082191</t>
        </is>
      </c>
      <c r="B934" s="38" t="inlineStr">
        <is>
          <t>Vilassar de Mar</t>
        </is>
      </c>
      <c r="C934" s="38" t="inlineStr">
        <is>
          <t>21</t>
        </is>
      </c>
      <c r="D934" s="38" t="inlineStr">
        <is>
          <t>Maresme</t>
        </is>
      </c>
    </row>
    <row r="935" ht="15" customHeight="1" s="39">
      <c r="A935" s="42" t="inlineStr">
        <is>
          <t>172229</t>
        </is>
      </c>
      <c r="B935" s="38" t="inlineStr">
        <is>
          <t>Vilaür</t>
        </is>
      </c>
      <c r="C935" s="38" t="inlineStr">
        <is>
          <t>02</t>
        </is>
      </c>
      <c r="D935" s="38" t="inlineStr">
        <is>
          <t>Alt Empordà</t>
        </is>
      </c>
    </row>
    <row r="936" ht="15" customHeight="1" s="39">
      <c r="A936" s="42" t="inlineStr">
        <is>
          <t>431726</t>
        </is>
      </c>
      <c r="B936" s="38" t="inlineStr">
        <is>
          <t>Vilaverd</t>
        </is>
      </c>
      <c r="C936" s="38" t="inlineStr">
        <is>
          <t>16</t>
        </is>
      </c>
      <c r="D936" s="38" t="inlineStr">
        <is>
          <t>Conca de Barberà</t>
        </is>
      </c>
    </row>
    <row r="937" ht="15" customHeight="1" s="39">
      <c r="A937" s="42" t="inlineStr">
        <is>
          <t>431732</t>
        </is>
      </c>
      <c r="B937" s="38" t="inlineStr">
        <is>
          <t>Vilella Alta, la</t>
        </is>
      </c>
      <c r="C937" s="38" t="inlineStr">
        <is>
          <t>29</t>
        </is>
      </c>
      <c r="D937" s="38" t="inlineStr">
        <is>
          <t>Priorat</t>
        </is>
      </c>
    </row>
    <row r="938" ht="15" customHeight="1" s="39">
      <c r="A938" s="42" t="inlineStr">
        <is>
          <t>431747</t>
        </is>
      </c>
      <c r="B938" s="38" t="inlineStr">
        <is>
          <t>Vilella Baixa, la</t>
        </is>
      </c>
      <c r="C938" s="38" t="inlineStr">
        <is>
          <t>29</t>
        </is>
      </c>
      <c r="D938" s="38" t="inlineStr">
        <is>
          <t>Priorat</t>
        </is>
      </c>
    </row>
    <row r="939" ht="15" customHeight="1" s="39">
      <c r="A939" s="42" t="inlineStr">
        <is>
          <t>172333</t>
        </is>
      </c>
      <c r="B939" s="38" t="inlineStr">
        <is>
          <t>Vilobí d'Onyar</t>
        </is>
      </c>
      <c r="C939" s="38" t="inlineStr">
        <is>
          <t>34</t>
        </is>
      </c>
      <c r="D939" s="38" t="inlineStr">
        <is>
          <t>Selva</t>
        </is>
      </c>
    </row>
    <row r="940" ht="15" customHeight="1" s="39">
      <c r="A940" s="42" t="inlineStr">
        <is>
          <t>083041</t>
        </is>
      </c>
      <c r="B940" s="38" t="inlineStr">
        <is>
          <t>Vilobí del Penedès</t>
        </is>
      </c>
      <c r="C940" s="38" t="inlineStr">
        <is>
          <t>03</t>
        </is>
      </c>
      <c r="D940" s="38" t="inlineStr">
        <is>
          <t>Alt Penedès</t>
        </is>
      </c>
    </row>
    <row r="941" ht="15" customHeight="1" s="39">
      <c r="A941" s="42" t="inlineStr">
        <is>
          <t>172327</t>
        </is>
      </c>
      <c r="B941" s="38" t="inlineStr">
        <is>
          <t>Vilopriu</t>
        </is>
      </c>
      <c r="C941" s="38" t="inlineStr">
        <is>
          <t>10</t>
        </is>
      </c>
      <c r="D941" s="38" t="inlineStr">
        <is>
          <t>Baix Empordà</t>
        </is>
      </c>
    </row>
    <row r="942" ht="15" customHeight="1" s="39">
      <c r="A942" s="42" t="inlineStr">
        <is>
          <t>252537</t>
        </is>
      </c>
      <c r="B942" s="38" t="inlineStr">
        <is>
          <t>Vilosell, el</t>
        </is>
      </c>
      <c r="C942" s="38" t="inlineStr">
        <is>
          <t>18</t>
        </is>
      </c>
      <c r="D942" s="38" t="inlineStr">
        <is>
          <t>Garrigues</t>
        </is>
      </c>
    </row>
    <row r="943" ht="15" customHeight="1" s="39">
      <c r="A943" s="42" t="inlineStr">
        <is>
          <t>431763</t>
        </is>
      </c>
      <c r="B943" s="38" t="inlineStr">
        <is>
          <t>Vimbodí i Poblet</t>
        </is>
      </c>
      <c r="C943" s="38" t="inlineStr">
        <is>
          <t>16</t>
        </is>
      </c>
      <c r="D943" s="38" t="inlineStr">
        <is>
          <t>Conca de Barberà</t>
        </is>
      </c>
    </row>
    <row r="944" ht="15" customHeight="1" s="39">
      <c r="A944" s="42" t="inlineStr">
        <is>
          <t>252555</t>
        </is>
      </c>
      <c r="B944" s="38" t="inlineStr">
        <is>
          <t>Vinaixa</t>
        </is>
      </c>
      <c r="C944" s="38" t="inlineStr">
        <is>
          <t>18</t>
        </is>
      </c>
      <c r="D944" s="38" t="inlineStr">
        <is>
          <t>Garrigues</t>
        </is>
      </c>
    </row>
    <row r="945" ht="15" customHeight="1" s="39">
      <c r="A945" s="42" t="inlineStr">
        <is>
          <t>431779</t>
        </is>
      </c>
      <c r="B945" s="38" t="inlineStr">
        <is>
          <t>Vinebre</t>
        </is>
      </c>
      <c r="C945" s="38" t="inlineStr">
        <is>
          <t>30</t>
        </is>
      </c>
      <c r="D945" s="38" t="inlineStr">
        <is>
          <t>Ribera d'Ebre</t>
        </is>
      </c>
    </row>
    <row r="946" ht="15" customHeight="1" s="39">
      <c r="A946" s="42" t="inlineStr">
        <is>
          <t>431785</t>
        </is>
      </c>
      <c r="B946" s="38" t="inlineStr">
        <is>
          <t>Vinyols i els Arcs</t>
        </is>
      </c>
      <c r="C946" s="38" t="inlineStr">
        <is>
          <t>08</t>
        </is>
      </c>
      <c r="D946" s="38" t="inlineStr">
        <is>
          <t>Baix Camp</t>
        </is>
      </c>
    </row>
    <row r="947" ht="15" customHeight="1" s="39">
      <c r="A947" s="42" t="inlineStr">
        <is>
          <t>083089</t>
        </is>
      </c>
      <c r="B947" s="38" t="inlineStr">
        <is>
          <t>Viver i Serrateix</t>
        </is>
      </c>
      <c r="C947" s="38" t="inlineStr">
        <is>
          <t>14</t>
        </is>
      </c>
      <c r="D947" s="38" t="inlineStr">
        <is>
          <t>Berguedà</t>
        </is>
      </c>
    </row>
    <row r="948" ht="15" customHeight="1" s="39">
      <c r="A948" s="42" t="inlineStr">
        <is>
          <t>430521</t>
        </is>
      </c>
      <c r="B948" s="38" t="inlineStr">
        <is>
          <t>Xerta</t>
        </is>
      </c>
      <c r="C948" s="38" t="inlineStr">
        <is>
          <t>09</t>
        </is>
      </c>
      <c r="D948" s="38" t="inlineStr">
        <is>
          <t>Baix Ebre</t>
        </is>
      </c>
    </row>
  </sheetData>
  <autoFilter ref="A1:D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39" customWidth="1" style="38" min="2" max="2"/>
    <col width="18" customWidth="1" style="38" min="3" max="3"/>
    <col width="21" customWidth="1" style="38" min="4" max="4"/>
    <col width="38" customWidth="1" style="38" min="5" max="5"/>
  </cols>
  <sheetData>
    <row r="1" ht="15.75" customHeight="1" s="39">
      <c r="A1" s="41" t="inlineStr">
        <is>
          <t>Codi</t>
        </is>
      </c>
      <c r="B1" s="40" t="inlineStr">
        <is>
          <t>Nom</t>
        </is>
      </c>
      <c r="C1" s="40" t="inlineStr">
        <is>
          <t>Superfície (km²)</t>
        </is>
      </c>
      <c r="D1" s="40" t="inlineStr">
        <is>
          <t>Densitat (hab./km²)</t>
        </is>
      </c>
      <c r="E1" s="40" t="inlineStr">
        <is>
          <t>Entitats singulars població (nombre)</t>
        </is>
      </c>
    </row>
    <row r="2" ht="15" customHeight="1" s="39">
      <c r="A2" s="42" t="inlineStr">
        <is>
          <t>250019</t>
        </is>
      </c>
      <c r="B2" s="38" t="inlineStr">
        <is>
          <t>Abella de la Conca</t>
        </is>
      </c>
      <c r="C2" s="38" t="inlineStr">
        <is>
          <t>78,27</t>
        </is>
      </c>
      <c r="D2" s="38" t="inlineStr">
        <is>
          <t>2,1</t>
        </is>
      </c>
      <c r="E2" s="38" t="inlineStr">
        <is>
          <t>5</t>
        </is>
      </c>
    </row>
    <row r="3" ht="15" customHeight="1" s="39">
      <c r="A3" s="42" t="inlineStr">
        <is>
          <t>080018</t>
        </is>
      </c>
      <c r="B3" s="38" t="inlineStr">
        <is>
          <t>Abrera</t>
        </is>
      </c>
      <c r="C3" s="38" t="inlineStr">
        <is>
          <t>19,94</t>
        </is>
      </c>
      <c r="D3" s="38" t="inlineStr">
        <is>
          <t>662,3</t>
        </is>
      </c>
      <c r="E3" s="38" t="inlineStr">
        <is>
          <t>2</t>
        </is>
      </c>
    </row>
    <row r="4" ht="15" customHeight="1" s="39">
      <c r="A4" s="42" t="inlineStr">
        <is>
          <t>250024</t>
        </is>
      </c>
      <c r="B4" s="38" t="inlineStr">
        <is>
          <t>Àger</t>
        </is>
      </c>
      <c r="C4" s="38" t="inlineStr">
        <is>
          <t>160,57</t>
        </is>
      </c>
      <c r="D4" s="38" t="inlineStr">
        <is>
          <t>4,0</t>
        </is>
      </c>
      <c r="E4" s="38" t="inlineStr">
        <is>
          <t>9</t>
        </is>
      </c>
    </row>
    <row r="5" ht="15" customHeight="1" s="39">
      <c r="A5" s="42" t="inlineStr">
        <is>
          <t>250030</t>
        </is>
      </c>
      <c r="B5" s="38" t="inlineStr">
        <is>
          <t>Agramunt</t>
        </is>
      </c>
      <c r="C5" s="38" t="inlineStr">
        <is>
          <t>79,65</t>
        </is>
      </c>
      <c r="D5" s="38" t="inlineStr">
        <is>
          <t>70,8</t>
        </is>
      </c>
      <c r="E5" s="38" t="inlineStr">
        <is>
          <t>6</t>
        </is>
      </c>
    </row>
    <row r="6" ht="15" customHeight="1" s="39">
      <c r="A6" s="42" t="inlineStr">
        <is>
          <t>080023</t>
        </is>
      </c>
      <c r="B6" s="38" t="inlineStr">
        <is>
          <t>Aguilar de Segarra</t>
        </is>
      </c>
      <c r="C6" s="38" t="inlineStr">
        <is>
          <t>43,32</t>
        </is>
      </c>
      <c r="D6" s="38" t="inlineStr">
        <is>
          <t>6,8</t>
        </is>
      </c>
      <c r="E6" s="38" t="inlineStr">
        <is>
          <t>3</t>
        </is>
      </c>
    </row>
    <row r="7" ht="15" customHeight="1" s="39">
      <c r="A7" s="42" t="inlineStr">
        <is>
          <t>170010</t>
        </is>
      </c>
      <c r="B7" s="38" t="inlineStr">
        <is>
          <t>Agullana</t>
        </is>
      </c>
      <c r="C7" s="38" t="inlineStr">
        <is>
          <t>27,73</t>
        </is>
      </c>
      <c r="D7" s="38" t="inlineStr">
        <is>
          <t>31,8</t>
        </is>
      </c>
      <c r="E7" s="38" t="inlineStr">
        <is>
          <t>2</t>
        </is>
      </c>
    </row>
    <row r="8" ht="15" customHeight="1" s="39">
      <c r="A8" s="42" t="inlineStr">
        <is>
          <t>080142</t>
        </is>
      </c>
      <c r="B8" s="38" t="inlineStr">
        <is>
          <t>Aiguafreda</t>
        </is>
      </c>
      <c r="C8" s="38" t="inlineStr">
        <is>
          <t>7,90</t>
        </is>
      </c>
      <c r="D8" s="38" t="inlineStr">
        <is>
          <t>325,2</t>
        </is>
      </c>
      <c r="E8" s="38" t="inlineStr">
        <is>
          <t>1</t>
        </is>
      </c>
    </row>
    <row r="9" ht="15" customHeight="1" s="39">
      <c r="A9" s="42" t="inlineStr">
        <is>
          <t>430017</t>
        </is>
      </c>
      <c r="B9" s="38" t="inlineStr">
        <is>
          <t>Aiguamúrcia</t>
        </is>
      </c>
      <c r="C9" s="38" t="inlineStr">
        <is>
          <t>72,95</t>
        </is>
      </c>
      <c r="D9" s="38" t="inlineStr">
        <is>
          <t>13,7</t>
        </is>
      </c>
      <c r="E9" s="38" t="inlineStr">
        <is>
          <t>9</t>
        </is>
      </c>
    </row>
    <row r="10" ht="15" customHeight="1" s="39">
      <c r="A10" s="42" t="inlineStr">
        <is>
          <t>170025</t>
        </is>
      </c>
      <c r="B10" s="38" t="inlineStr">
        <is>
          <t>Aiguaviva</t>
        </is>
      </c>
      <c r="C10" s="38" t="inlineStr">
        <is>
          <t>13,91</t>
        </is>
      </c>
      <c r="D10" s="38" t="inlineStr">
        <is>
          <t>57,9</t>
        </is>
      </c>
      <c r="E10" s="38" t="inlineStr">
        <is>
          <t>8</t>
        </is>
      </c>
    </row>
    <row r="11" ht="15" customHeight="1" s="39">
      <c r="A11" s="42" t="inlineStr">
        <is>
          <t>250387</t>
        </is>
      </c>
      <c r="B11" s="38" t="inlineStr">
        <is>
          <t>Aitona</t>
        </is>
      </c>
      <c r="C11" s="38" t="inlineStr">
        <is>
          <t>66,90</t>
        </is>
      </c>
      <c r="D11" s="38" t="inlineStr">
        <is>
          <t>38,5</t>
        </is>
      </c>
      <c r="E11" s="38" t="inlineStr">
        <is>
          <t>3</t>
        </is>
      </c>
    </row>
    <row r="12" ht="15" customHeight="1" s="39">
      <c r="A12" s="42" t="inlineStr">
        <is>
          <t>250045</t>
        </is>
      </c>
      <c r="B12" s="38" t="inlineStr">
        <is>
          <t>Alamús, els</t>
        </is>
      </c>
      <c r="C12" s="38" t="inlineStr">
        <is>
          <t>20,53</t>
        </is>
      </c>
      <c r="D12" s="38" t="inlineStr">
        <is>
          <t>40,8</t>
        </is>
      </c>
      <c r="E12" s="38" t="inlineStr">
        <is>
          <t>3</t>
        </is>
      </c>
    </row>
    <row r="13" ht="15" customHeight="1" s="39">
      <c r="A13" s="42" t="inlineStr">
        <is>
          <t>250058</t>
        </is>
      </c>
      <c r="B13" s="38" t="inlineStr">
        <is>
          <t>Alàs i Cerc</t>
        </is>
      </c>
      <c r="C13" s="38" t="inlineStr">
        <is>
          <t>57,67</t>
        </is>
      </c>
      <c r="D13" s="38" t="inlineStr">
        <is>
          <t>5,5</t>
        </is>
      </c>
      <c r="E13" s="38" t="inlineStr">
        <is>
          <t>7</t>
        </is>
      </c>
    </row>
    <row r="14" ht="15" customHeight="1" s="39">
      <c r="A14" s="42" t="inlineStr">
        <is>
          <t>250061</t>
        </is>
      </c>
      <c r="B14" s="38" t="inlineStr">
        <is>
          <t>Albagés, l'</t>
        </is>
      </c>
      <c r="C14" s="38" t="inlineStr">
        <is>
          <t>25,70</t>
        </is>
      </c>
      <c r="D14" s="38" t="inlineStr">
        <is>
          <t>13,2</t>
        </is>
      </c>
      <c r="E14" s="38" t="inlineStr">
        <is>
          <t>1</t>
        </is>
      </c>
    </row>
    <row r="15" ht="15" customHeight="1" s="39">
      <c r="A15" s="42" t="inlineStr">
        <is>
          <t>170031</t>
        </is>
      </c>
      <c r="B15" s="38" t="inlineStr">
        <is>
          <t>Albanyà</t>
        </is>
      </c>
      <c r="C15" s="38" t="inlineStr">
        <is>
          <t>94,39</t>
        </is>
      </c>
      <c r="D15" s="38" t="inlineStr">
        <is>
          <t>1,7</t>
        </is>
      </c>
      <c r="E15" s="38" t="inlineStr">
        <is>
          <t>10</t>
        </is>
      </c>
    </row>
    <row r="16" ht="15" customHeight="1" s="39">
      <c r="A16" s="42" t="inlineStr">
        <is>
          <t>250077</t>
        </is>
      </c>
      <c r="B16" s="38" t="inlineStr">
        <is>
          <t>Albatàrrec</t>
        </is>
      </c>
      <c r="C16" s="38" t="inlineStr">
        <is>
          <t>10,46</t>
        </is>
      </c>
      <c r="D16" s="38" t="inlineStr">
        <is>
          <t>221,0</t>
        </is>
      </c>
      <c r="E16" s="38" t="inlineStr">
        <is>
          <t>1</t>
        </is>
      </c>
    </row>
    <row r="17" ht="15" customHeight="1" s="39">
      <c r="A17" s="42" t="inlineStr">
        <is>
          <t>250083</t>
        </is>
      </c>
      <c r="B17" s="38" t="inlineStr">
        <is>
          <t>Albesa</t>
        </is>
      </c>
      <c r="C17" s="38" t="inlineStr">
        <is>
          <t>37,61</t>
        </is>
      </c>
      <c r="D17" s="38" t="inlineStr">
        <is>
          <t>42,1</t>
        </is>
      </c>
      <c r="E17" s="38" t="inlineStr">
        <is>
          <t>2</t>
        </is>
      </c>
    </row>
    <row r="18" ht="15" customHeight="1" s="39">
      <c r="A18" s="42" t="inlineStr">
        <is>
          <t>250096</t>
        </is>
      </c>
      <c r="B18" s="38" t="inlineStr">
        <is>
          <t>Albi, l'</t>
        </is>
      </c>
      <c r="C18" s="38" t="inlineStr">
        <is>
          <t>32,54</t>
        </is>
      </c>
      <c r="D18" s="38" t="inlineStr">
        <is>
          <t>23,5</t>
        </is>
      </c>
      <c r="E18" s="38" t="inlineStr">
        <is>
          <t>1</t>
        </is>
      </c>
    </row>
    <row r="19" ht="15" customHeight="1" s="39">
      <c r="A19" s="42" t="inlineStr">
        <is>
          <t>430022</t>
        </is>
      </c>
      <c r="B19" s="38" t="inlineStr">
        <is>
          <t>Albinyana</t>
        </is>
      </c>
      <c r="C19" s="38" t="inlineStr">
        <is>
          <t>19,37</t>
        </is>
      </c>
      <c r="D19" s="38" t="inlineStr">
        <is>
          <t>140,3</t>
        </is>
      </c>
      <c r="E19" s="38" t="inlineStr">
        <is>
          <t>7</t>
        </is>
      </c>
    </row>
    <row r="20" ht="15" customHeight="1" s="39">
      <c r="A20" s="42" t="inlineStr">
        <is>
          <t>430038</t>
        </is>
      </c>
      <c r="B20" s="38" t="inlineStr">
        <is>
          <t>Albiol, l'</t>
        </is>
      </c>
      <c r="C20" s="38" t="inlineStr">
        <is>
          <t>20,34</t>
        </is>
      </c>
      <c r="D20" s="38" t="inlineStr">
        <is>
          <t>27,3</t>
        </is>
      </c>
      <c r="E20" s="38" t="inlineStr">
        <is>
          <t>3</t>
        </is>
      </c>
    </row>
    <row r="21" ht="15" customHeight="1" s="39">
      <c r="A21" s="42" t="inlineStr">
        <is>
          <t>170046</t>
        </is>
      </c>
      <c r="B21" s="38" t="inlineStr">
        <is>
          <t>Albons</t>
        </is>
      </c>
      <c r="C21" s="38" t="inlineStr">
        <is>
          <t>11,13</t>
        </is>
      </c>
      <c r="D21" s="38" t="inlineStr">
        <is>
          <t>76,5</t>
        </is>
      </c>
      <c r="E21" s="38" t="inlineStr">
        <is>
          <t>1</t>
        </is>
      </c>
    </row>
    <row r="22" ht="15" customHeight="1" s="39">
      <c r="A22" s="42" t="inlineStr">
        <is>
          <t>430043</t>
        </is>
      </c>
      <c r="B22" s="38" t="inlineStr">
        <is>
          <t>Alcanar</t>
        </is>
      </c>
      <c r="C22" s="38" t="inlineStr">
        <is>
          <t>47,07</t>
        </is>
      </c>
      <c r="D22" s="38" t="inlineStr">
        <is>
          <t>213,5</t>
        </is>
      </c>
      <c r="E22" s="38" t="inlineStr">
        <is>
          <t>4</t>
        </is>
      </c>
    </row>
    <row r="23" ht="15" customHeight="1" s="39">
      <c r="A23" s="42" t="inlineStr">
        <is>
          <t>250100</t>
        </is>
      </c>
      <c r="B23" s="38" t="inlineStr">
        <is>
          <t>Alcanó</t>
        </is>
      </c>
      <c r="C23" s="38" t="inlineStr">
        <is>
          <t>21,03</t>
        </is>
      </c>
      <c r="D23" s="38" t="inlineStr">
        <is>
          <t>11,7</t>
        </is>
      </c>
      <c r="E23" s="38" t="inlineStr">
        <is>
          <t>1</t>
        </is>
      </c>
    </row>
    <row r="24" ht="15" customHeight="1" s="39">
      <c r="A24" s="42" t="inlineStr">
        <is>
          <t>250117</t>
        </is>
      </c>
      <c r="B24" s="38" t="inlineStr">
        <is>
          <t>Alcarràs</t>
        </is>
      </c>
      <c r="C24" s="38" t="inlineStr">
        <is>
          <t>114,29</t>
        </is>
      </c>
      <c r="D24" s="38" t="inlineStr">
        <is>
          <t>92,4</t>
        </is>
      </c>
      <c r="E24" s="38" t="inlineStr">
        <is>
          <t>5</t>
        </is>
      </c>
    </row>
    <row r="25" ht="15" customHeight="1" s="39">
      <c r="A25" s="42" t="inlineStr">
        <is>
          <t>250122</t>
        </is>
      </c>
      <c r="B25" s="38" t="inlineStr">
        <is>
          <t>Alcoletge</t>
        </is>
      </c>
      <c r="C25" s="38" t="inlineStr">
        <is>
          <t>16,70</t>
        </is>
      </c>
      <c r="D25" s="38" t="inlineStr">
        <is>
          <t>220,3</t>
        </is>
      </c>
      <c r="E25" s="38" t="inlineStr">
        <is>
          <t>1</t>
        </is>
      </c>
    </row>
    <row r="26" ht="15" customHeight="1" s="39">
      <c r="A26" s="42" t="inlineStr">
        <is>
          <t>430056</t>
        </is>
      </c>
      <c r="B26" s="38" t="inlineStr">
        <is>
          <t>Alcover</t>
        </is>
      </c>
      <c r="C26" s="38" t="inlineStr">
        <is>
          <t>46,00</t>
        </is>
      </c>
      <c r="D26" s="38" t="inlineStr">
        <is>
          <t>116,5</t>
        </is>
      </c>
      <c r="E26" s="38" t="inlineStr">
        <is>
          <t>11</t>
        </is>
      </c>
    </row>
    <row r="27" ht="15" customHeight="1" s="39">
      <c r="A27" s="42" t="inlineStr">
        <is>
          <t>439044</t>
        </is>
      </c>
      <c r="B27" s="38" t="inlineStr">
        <is>
          <t>Aldea, l'</t>
        </is>
      </c>
      <c r="C27" s="38" t="inlineStr">
        <is>
          <t>35,21</t>
        </is>
      </c>
      <c r="D27" s="38" t="inlineStr">
        <is>
          <t>134,2</t>
        </is>
      </c>
      <c r="E27" s="38" t="inlineStr">
        <is>
          <t>1</t>
        </is>
      </c>
    </row>
    <row r="28" ht="15" customHeight="1" s="39">
      <c r="A28" s="42" t="inlineStr">
        <is>
          <t>430069</t>
        </is>
      </c>
      <c r="B28" s="38" t="inlineStr">
        <is>
          <t>Aldover</t>
        </is>
      </c>
      <c r="C28" s="38" t="inlineStr">
        <is>
          <t>20,20</t>
        </is>
      </c>
      <c r="D28" s="38" t="inlineStr">
        <is>
          <t>45,0</t>
        </is>
      </c>
      <c r="E28" s="38" t="inlineStr">
        <is>
          <t>1</t>
        </is>
      </c>
    </row>
    <row r="29" ht="15" customHeight="1" s="39">
      <c r="A29" s="42" t="inlineStr">
        <is>
          <t>430075</t>
        </is>
      </c>
      <c r="B29" s="38" t="inlineStr">
        <is>
          <t>Aleixar, l'</t>
        </is>
      </c>
      <c r="C29" s="38" t="inlineStr">
        <is>
          <t>26,10</t>
        </is>
      </c>
      <c r="D29" s="38" t="inlineStr">
        <is>
          <t>39,3</t>
        </is>
      </c>
      <c r="E29" s="38" t="inlineStr">
        <is>
          <t>1</t>
        </is>
      </c>
    </row>
    <row r="30" ht="15" customHeight="1" s="39">
      <c r="A30" s="42" t="inlineStr">
        <is>
          <t>080039</t>
        </is>
      </c>
      <c r="B30" s="38" t="inlineStr">
        <is>
          <t>Alella</t>
        </is>
      </c>
      <c r="C30" s="38" t="inlineStr">
        <is>
          <t>9,58</t>
        </is>
      </c>
      <c r="D30" s="38" t="inlineStr">
        <is>
          <t>1070,0</t>
        </is>
      </c>
      <c r="E30" s="38" t="inlineStr">
        <is>
          <t>1</t>
        </is>
      </c>
    </row>
    <row r="31" ht="15" customHeight="1" s="39">
      <c r="A31" s="42" t="inlineStr">
        <is>
          <t>430081</t>
        </is>
      </c>
      <c r="B31" s="38" t="inlineStr">
        <is>
          <t>Alfara de Carles</t>
        </is>
      </c>
      <c r="C31" s="38" t="inlineStr">
        <is>
          <t>63,87</t>
        </is>
      </c>
      <c r="D31" s="38" t="inlineStr">
        <is>
          <t>5,6</t>
        </is>
      </c>
      <c r="E31" s="38" t="inlineStr">
        <is>
          <t>1</t>
        </is>
      </c>
    </row>
    <row r="32" ht="15" customHeight="1" s="39">
      <c r="A32" s="42" t="inlineStr">
        <is>
          <t>250138</t>
        </is>
      </c>
      <c r="B32" s="38" t="inlineStr">
        <is>
          <t>Alfarràs</t>
        </is>
      </c>
      <c r="C32" s="38" t="inlineStr">
        <is>
          <t>11,40</t>
        </is>
      </c>
      <c r="D32" s="38" t="inlineStr">
        <is>
          <t>244,7</t>
        </is>
      </c>
      <c r="E32" s="38" t="inlineStr">
        <is>
          <t>1</t>
        </is>
      </c>
    </row>
    <row r="33" ht="15" customHeight="1" s="39">
      <c r="A33" s="42" t="inlineStr">
        <is>
          <t>250143</t>
        </is>
      </c>
      <c r="B33" s="38" t="inlineStr">
        <is>
          <t>Alfés</t>
        </is>
      </c>
      <c r="C33" s="38" t="inlineStr">
        <is>
          <t>31,94</t>
        </is>
      </c>
      <c r="D33" s="38" t="inlineStr">
        <is>
          <t>8,9</t>
        </is>
      </c>
      <c r="E33" s="38" t="inlineStr">
        <is>
          <t>1</t>
        </is>
      </c>
    </row>
    <row r="34" ht="15" customHeight="1" s="39">
      <c r="A34" s="42" t="inlineStr">
        <is>
          <t>430094</t>
        </is>
      </c>
      <c r="B34" s="38" t="inlineStr">
        <is>
          <t>Alforja</t>
        </is>
      </c>
      <c r="C34" s="38" t="inlineStr">
        <is>
          <t>38,24</t>
        </is>
      </c>
      <c r="D34" s="38" t="inlineStr">
        <is>
          <t>53,1</t>
        </is>
      </c>
      <c r="E34" s="38" t="inlineStr">
        <is>
          <t>7</t>
        </is>
      </c>
    </row>
    <row r="35" ht="15" customHeight="1" s="39">
      <c r="A35" s="42" t="inlineStr">
        <is>
          <t>250156</t>
        </is>
      </c>
      <c r="B35" s="38" t="inlineStr">
        <is>
          <t>Algerri</t>
        </is>
      </c>
      <c r="C35" s="38" t="inlineStr">
        <is>
          <t>54,32</t>
        </is>
      </c>
      <c r="D35" s="38" t="inlineStr">
        <is>
          <t>7,8</t>
        </is>
      </c>
      <c r="E35" s="38" t="inlineStr">
        <is>
          <t>1</t>
        </is>
      </c>
    </row>
    <row r="36" ht="15" customHeight="1" s="39">
      <c r="A36" s="42" t="inlineStr">
        <is>
          <t>250169</t>
        </is>
      </c>
      <c r="B36" s="38" t="inlineStr">
        <is>
          <t>Alguaire</t>
        </is>
      </c>
      <c r="C36" s="38" t="inlineStr">
        <is>
          <t>50,11</t>
        </is>
      </c>
      <c r="D36" s="38" t="inlineStr">
        <is>
          <t>61,0</t>
        </is>
      </c>
      <c r="E36" s="38" t="inlineStr">
        <is>
          <t>2</t>
        </is>
      </c>
    </row>
    <row r="37" ht="15" customHeight="1" s="39">
      <c r="A37" s="42" t="inlineStr">
        <is>
          <t>250175</t>
        </is>
      </c>
      <c r="B37" s="38" t="inlineStr">
        <is>
          <t>Alins</t>
        </is>
      </c>
      <c r="C37" s="38" t="inlineStr">
        <is>
          <t>183,19</t>
        </is>
      </c>
      <c r="D37" s="38" t="inlineStr">
        <is>
          <t>1,5</t>
        </is>
      </c>
      <c r="E37" s="38" t="inlineStr">
        <is>
          <t>7</t>
        </is>
      </c>
    </row>
    <row r="38" ht="15" customHeight="1" s="39">
      <c r="A38" s="42" t="inlineStr">
        <is>
          <t>430108</t>
        </is>
      </c>
      <c r="B38" s="38" t="inlineStr">
        <is>
          <t>Alió</t>
        </is>
      </c>
      <c r="C38" s="38" t="inlineStr">
        <is>
          <t>7,25</t>
        </is>
      </c>
      <c r="D38" s="38" t="inlineStr">
        <is>
          <t>68,8</t>
        </is>
      </c>
      <c r="E38" s="38" t="inlineStr">
        <is>
          <t>1</t>
        </is>
      </c>
    </row>
    <row r="39" ht="15" customHeight="1" s="39">
      <c r="A39" s="42" t="inlineStr">
        <is>
          <t>250194</t>
        </is>
      </c>
      <c r="B39" s="38" t="inlineStr">
        <is>
          <t>Almacelles</t>
        </is>
      </c>
      <c r="C39" s="38" t="inlineStr">
        <is>
          <t>49,03</t>
        </is>
      </c>
      <c r="D39" s="38" t="inlineStr">
        <is>
          <t>146,8</t>
        </is>
      </c>
      <c r="E39" s="38" t="inlineStr">
        <is>
          <t>3</t>
        </is>
      </c>
    </row>
    <row r="40" ht="15" customHeight="1" s="39">
      <c r="A40" s="42" t="inlineStr">
        <is>
          <t>250208</t>
        </is>
      </c>
      <c r="B40" s="38" t="inlineStr">
        <is>
          <t>Almatret</t>
        </is>
      </c>
      <c r="C40" s="38" t="inlineStr">
        <is>
          <t>56,83</t>
        </is>
      </c>
      <c r="D40" s="38" t="inlineStr">
        <is>
          <t>5,1</t>
        </is>
      </c>
      <c r="E40" s="38" t="inlineStr">
        <is>
          <t>1</t>
        </is>
      </c>
    </row>
    <row r="41" ht="15" customHeight="1" s="39">
      <c r="A41" s="42" t="inlineStr">
        <is>
          <t>250215</t>
        </is>
      </c>
      <c r="B41" s="38" t="inlineStr">
        <is>
          <t>Almenar</t>
        </is>
      </c>
      <c r="C41" s="38" t="inlineStr">
        <is>
          <t>66,59</t>
        </is>
      </c>
      <c r="D41" s="38" t="inlineStr">
        <is>
          <t>50,4</t>
        </is>
      </c>
      <c r="E41" s="38" t="inlineStr">
        <is>
          <t>2</t>
        </is>
      </c>
    </row>
    <row r="42" ht="15" customHeight="1" s="39">
      <c r="A42" s="42" t="inlineStr">
        <is>
          <t>430115</t>
        </is>
      </c>
      <c r="B42" s="38" t="inlineStr">
        <is>
          <t>Almoster</t>
        </is>
      </c>
      <c r="C42" s="38" t="inlineStr">
        <is>
          <t>5,96</t>
        </is>
      </c>
      <c r="D42" s="38" t="inlineStr">
        <is>
          <t>232,0</t>
        </is>
      </c>
      <c r="E42" s="38" t="inlineStr">
        <is>
          <t>4</t>
        </is>
      </c>
    </row>
    <row r="43" ht="15" customHeight="1" s="39">
      <c r="A43" s="42" t="inlineStr">
        <is>
          <t>250220</t>
        </is>
      </c>
      <c r="B43" s="38" t="inlineStr">
        <is>
          <t>Alòs de Balaguer</t>
        </is>
      </c>
      <c r="C43" s="38" t="inlineStr">
        <is>
          <t>69,08</t>
        </is>
      </c>
      <c r="D43" s="38" t="inlineStr">
        <is>
          <t>1,7</t>
        </is>
      </c>
      <c r="E43" s="38" t="inlineStr">
        <is>
          <t>1</t>
        </is>
      </c>
    </row>
    <row r="44" ht="15" customHeight="1" s="39">
      <c r="A44" s="42" t="inlineStr">
        <is>
          <t>170062</t>
        </is>
      </c>
      <c r="B44" s="38" t="inlineStr">
        <is>
          <t>Alp</t>
        </is>
      </c>
      <c r="C44" s="38" t="inlineStr">
        <is>
          <t>44,29</t>
        </is>
      </c>
      <c r="D44" s="38" t="inlineStr">
        <is>
          <t>38,9</t>
        </is>
      </c>
      <c r="E44" s="38" t="inlineStr">
        <is>
          <t>3</t>
        </is>
      </c>
    </row>
    <row r="45" ht="15" customHeight="1" s="39">
      <c r="A45" s="42" t="inlineStr">
        <is>
          <t>080044</t>
        </is>
      </c>
      <c r="B45" s="38" t="inlineStr">
        <is>
          <t>Alpens</t>
        </is>
      </c>
      <c r="C45" s="38" t="inlineStr">
        <is>
          <t>13,80</t>
        </is>
      </c>
      <c r="D45" s="38" t="inlineStr">
        <is>
          <t>19,3</t>
        </is>
      </c>
      <c r="E45" s="38" t="inlineStr">
        <is>
          <t>1</t>
        </is>
      </c>
    </row>
    <row r="46" ht="15" customHeight="1" s="39">
      <c r="A46" s="42" t="inlineStr">
        <is>
          <t>250236</t>
        </is>
      </c>
      <c r="B46" s="38" t="inlineStr">
        <is>
          <t>Alpicat</t>
        </is>
      </c>
      <c r="C46" s="38" t="inlineStr">
        <is>
          <t>15,33</t>
        </is>
      </c>
      <c r="D46" s="38" t="inlineStr">
        <is>
          <t>427,7</t>
        </is>
      </c>
      <c r="E46" s="38" t="inlineStr">
        <is>
          <t>1</t>
        </is>
      </c>
    </row>
    <row r="47" ht="15" customHeight="1" s="39">
      <c r="A47" s="42" t="inlineStr">
        <is>
          <t>250241</t>
        </is>
      </c>
      <c r="B47" s="38" t="inlineStr">
        <is>
          <t>Alt Àneu</t>
        </is>
      </c>
      <c r="C47" s="38" t="inlineStr">
        <is>
          <t>217,76</t>
        </is>
      </c>
      <c r="D47" s="38" t="inlineStr">
        <is>
          <t>2,1</t>
        </is>
      </c>
      <c r="E47" s="38" t="inlineStr">
        <is>
          <t>9</t>
        </is>
      </c>
    </row>
    <row r="48" ht="15" customHeight="1" s="39">
      <c r="A48" s="42" t="inlineStr">
        <is>
          <t>430120</t>
        </is>
      </c>
      <c r="B48" s="38" t="inlineStr">
        <is>
          <t>Altafulla</t>
        </is>
      </c>
      <c r="C48" s="38" t="inlineStr">
        <is>
          <t>6,95</t>
        </is>
      </c>
      <c r="D48" s="38" t="inlineStr">
        <is>
          <t>842,6</t>
        </is>
      </c>
      <c r="E48" s="38" t="inlineStr">
        <is>
          <t>2</t>
        </is>
      </c>
    </row>
    <row r="49" ht="15" customHeight="1" s="39">
      <c r="A49" s="42" t="inlineStr">
        <is>
          <t>170078</t>
        </is>
      </c>
      <c r="B49" s="38" t="inlineStr">
        <is>
          <t>Amer</t>
        </is>
      </c>
      <c r="C49" s="38" t="inlineStr">
        <is>
          <t>40,08</t>
        </is>
      </c>
      <c r="D49" s="38" t="inlineStr">
        <is>
          <t>60,4</t>
        </is>
      </c>
      <c r="E49" s="38" t="inlineStr">
        <is>
          <t>10</t>
        </is>
      </c>
    </row>
    <row r="50" ht="15" customHeight="1" s="39">
      <c r="A50" s="42" t="inlineStr">
        <is>
          <t>430136</t>
        </is>
      </c>
      <c r="B50" s="38" t="inlineStr">
        <is>
          <t>Ametlla de Mar, l'</t>
        </is>
      </c>
      <c r="C50" s="38" t="inlineStr">
        <is>
          <t>66,86</t>
        </is>
      </c>
      <c r="D50" s="38" t="inlineStr">
        <is>
          <t>111,2</t>
        </is>
      </c>
      <c r="E50" s="38" t="inlineStr">
        <is>
          <t>1</t>
        </is>
      </c>
    </row>
    <row r="51" ht="15" customHeight="1" s="39">
      <c r="A51" s="42" t="inlineStr">
        <is>
          <t>080057</t>
        </is>
      </c>
      <c r="B51" s="38" t="inlineStr">
        <is>
          <t>Ametlla del Vallès, l'</t>
        </is>
      </c>
      <c r="C51" s="38" t="inlineStr">
        <is>
          <t>14,24</t>
        </is>
      </c>
      <c r="D51" s="38" t="inlineStr">
        <is>
          <t>665,2</t>
        </is>
      </c>
      <c r="E51" s="38" t="inlineStr">
        <is>
          <t>8</t>
        </is>
      </c>
    </row>
    <row r="52" ht="15" customHeight="1" s="39">
      <c r="A52" s="42" t="inlineStr">
        <is>
          <t>439060</t>
        </is>
      </c>
      <c r="B52" s="38" t="inlineStr">
        <is>
          <t>Ampolla, l'</t>
        </is>
      </c>
      <c r="C52" s="38" t="inlineStr">
        <is>
          <t>35,65</t>
        </is>
      </c>
      <c r="D52" s="38" t="inlineStr">
        <is>
          <t>106,8</t>
        </is>
      </c>
      <c r="E52" s="38" t="inlineStr">
        <is>
          <t>1</t>
        </is>
      </c>
    </row>
    <row r="53" ht="15" customHeight="1" s="39">
      <c r="A53" s="42" t="inlineStr">
        <is>
          <t>430141</t>
        </is>
      </c>
      <c r="B53" s="38" t="inlineStr">
        <is>
          <t>Amposta</t>
        </is>
      </c>
      <c r="C53" s="38" t="inlineStr">
        <is>
          <t>138,31</t>
        </is>
      </c>
      <c r="D53" s="38" t="inlineStr">
        <is>
          <t>166,6</t>
        </is>
      </c>
      <c r="E53" s="38" t="inlineStr">
        <is>
          <t>5</t>
        </is>
      </c>
    </row>
    <row r="54" ht="15" customHeight="1" s="39">
      <c r="A54" s="42" t="inlineStr">
        <is>
          <t>170084</t>
        </is>
      </c>
      <c r="B54" s="38" t="inlineStr">
        <is>
          <t>Anglès</t>
        </is>
      </c>
      <c r="C54" s="38" t="inlineStr">
        <is>
          <t>16,31</t>
        </is>
      </c>
      <c r="D54" s="38" t="inlineStr">
        <is>
          <t>362,0</t>
        </is>
      </c>
      <c r="E54" s="38" t="inlineStr">
        <is>
          <t>6</t>
        </is>
      </c>
    </row>
    <row r="55" ht="15" customHeight="1" s="39">
      <c r="A55" s="42" t="inlineStr">
        <is>
          <t>250273</t>
        </is>
      </c>
      <c r="B55" s="38" t="inlineStr">
        <is>
          <t>Anglesola</t>
        </is>
      </c>
      <c r="C55" s="38" t="inlineStr">
        <is>
          <t>23,53</t>
        </is>
      </c>
      <c r="D55" s="38" t="inlineStr">
        <is>
          <t>59,3</t>
        </is>
      </c>
      <c r="E55" s="38" t="inlineStr">
        <is>
          <t>1</t>
        </is>
      </c>
    </row>
    <row r="56" ht="15" customHeight="1" s="39">
      <c r="A56" s="42" t="inlineStr">
        <is>
          <t>250292</t>
        </is>
      </c>
      <c r="B56" s="38" t="inlineStr">
        <is>
          <t>Arbeca</t>
        </is>
      </c>
      <c r="C56" s="38" t="inlineStr">
        <is>
          <t>58,34</t>
        </is>
      </c>
      <c r="D56" s="38" t="inlineStr">
        <is>
          <t>37,1</t>
        </is>
      </c>
      <c r="E56" s="38" t="inlineStr">
        <is>
          <t>1</t>
        </is>
      </c>
    </row>
    <row r="57" ht="15" customHeight="1" s="39">
      <c r="A57" s="42" t="inlineStr">
        <is>
          <t>430167</t>
        </is>
      </c>
      <c r="B57" s="38" t="inlineStr">
        <is>
          <t>Arboç, l'</t>
        </is>
      </c>
      <c r="C57" s="38" t="inlineStr">
        <is>
          <t>14,13</t>
        </is>
      </c>
      <c r="D57" s="38" t="inlineStr">
        <is>
          <t>403,5</t>
        </is>
      </c>
      <c r="E57" s="38" t="inlineStr">
        <is>
          <t>4</t>
        </is>
      </c>
    </row>
    <row r="58" ht="15" customHeight="1" s="39">
      <c r="A58" s="42" t="inlineStr">
        <is>
          <t>430154</t>
        </is>
      </c>
      <c r="B58" s="38" t="inlineStr">
        <is>
          <t>Arbolí</t>
        </is>
      </c>
      <c r="C58" s="38" t="inlineStr">
        <is>
          <t>20,78</t>
        </is>
      </c>
      <c r="D58" s="38" t="inlineStr">
        <is>
          <t>6,6</t>
        </is>
      </c>
      <c r="E58" s="38" t="inlineStr">
        <is>
          <t>1</t>
        </is>
      </c>
    </row>
    <row r="59" ht="15" customHeight="1" s="39">
      <c r="A59" s="42" t="inlineStr">
        <is>
          <t>170097</t>
        </is>
      </c>
      <c r="B59" s="38" t="inlineStr">
        <is>
          <t>Arbúcies</t>
        </is>
      </c>
      <c r="C59" s="38" t="inlineStr">
        <is>
          <t>86,22</t>
        </is>
      </c>
      <c r="D59" s="38" t="inlineStr">
        <is>
          <t>77,0</t>
        </is>
      </c>
      <c r="E59" s="38" t="inlineStr">
        <is>
          <t>7</t>
        </is>
      </c>
    </row>
    <row r="60" ht="15" customHeight="1" s="39">
      <c r="A60" s="42" t="inlineStr">
        <is>
          <t>080060</t>
        </is>
      </c>
      <c r="B60" s="38" t="inlineStr">
        <is>
          <t>Arenys de Mar</t>
        </is>
      </c>
      <c r="C60" s="38" t="inlineStr">
        <is>
          <t>6,75</t>
        </is>
      </c>
      <c r="D60" s="38" t="inlineStr">
        <is>
          <t>2515,9</t>
        </is>
      </c>
      <c r="E60" s="38" t="inlineStr">
        <is>
          <t>1</t>
        </is>
      </c>
    </row>
    <row r="61" ht="15" customHeight="1" s="39">
      <c r="A61" s="42" t="inlineStr">
        <is>
          <t>080076</t>
        </is>
      </c>
      <c r="B61" s="38" t="inlineStr">
        <is>
          <t>Arenys de Munt</t>
        </is>
      </c>
      <c r="C61" s="38" t="inlineStr">
        <is>
          <t>21,29</t>
        </is>
      </c>
      <c r="D61" s="38" t="inlineStr">
        <is>
          <t>447,5</t>
        </is>
      </c>
      <c r="E61" s="38" t="inlineStr">
        <is>
          <t>17</t>
        </is>
      </c>
    </row>
    <row r="62" ht="15" customHeight="1" s="39">
      <c r="A62" s="42" t="inlineStr">
        <is>
          <t>170101</t>
        </is>
      </c>
      <c r="B62" s="38" t="inlineStr">
        <is>
          <t>Argelaguer</t>
        </is>
      </c>
      <c r="C62" s="38" t="inlineStr">
        <is>
          <t>12,54</t>
        </is>
      </c>
      <c r="D62" s="38" t="inlineStr">
        <is>
          <t>37,2</t>
        </is>
      </c>
      <c r="E62" s="38" t="inlineStr">
        <is>
          <t>6</t>
        </is>
      </c>
    </row>
    <row r="63" ht="15" customHeight="1" s="39">
      <c r="A63" s="42" t="inlineStr">
        <is>
          <t>080082</t>
        </is>
      </c>
      <c r="B63" s="38" t="inlineStr">
        <is>
          <t>Argençola</t>
        </is>
      </c>
      <c r="C63" s="38" t="inlineStr">
        <is>
          <t>47,09</t>
        </is>
      </c>
      <c r="D63" s="38" t="inlineStr">
        <is>
          <t>5,2</t>
        </is>
      </c>
      <c r="E63" s="38" t="inlineStr">
        <is>
          <t>7</t>
        </is>
      </c>
    </row>
    <row r="64" ht="15" customHeight="1" s="39">
      <c r="A64" s="42" t="inlineStr">
        <is>
          <t>430173</t>
        </is>
      </c>
      <c r="B64" s="38" t="inlineStr">
        <is>
          <t>Argentera, l'</t>
        </is>
      </c>
      <c r="C64" s="38" t="inlineStr">
        <is>
          <t>10,12</t>
        </is>
      </c>
      <c r="D64" s="38" t="inlineStr">
        <is>
          <t>13,7</t>
        </is>
      </c>
      <c r="E64" s="38" t="inlineStr">
        <is>
          <t>2</t>
        </is>
      </c>
    </row>
    <row r="65" ht="15" customHeight="1" s="39">
      <c r="A65" s="42" t="inlineStr">
        <is>
          <t>080095</t>
        </is>
      </c>
      <c r="B65" s="38" t="inlineStr">
        <is>
          <t>Argentona</t>
        </is>
      </c>
      <c r="C65" s="38" t="inlineStr">
        <is>
          <t>25,40</t>
        </is>
      </c>
      <c r="D65" s="38" t="inlineStr">
        <is>
          <t>507,5</t>
        </is>
      </c>
      <c r="E65" s="38" t="inlineStr">
        <is>
          <t>13</t>
        </is>
      </c>
    </row>
    <row r="66" ht="15" customHeight="1" s="39">
      <c r="A66" s="42" t="inlineStr">
        <is>
          <t>170118</t>
        </is>
      </c>
      <c r="B66" s="38" t="inlineStr">
        <is>
          <t>Armentera, l'</t>
        </is>
      </c>
      <c r="C66" s="38" t="inlineStr">
        <is>
          <t>5,60</t>
        </is>
      </c>
      <c r="D66" s="38" t="inlineStr">
        <is>
          <t>192,1</t>
        </is>
      </c>
      <c r="E66" s="38" t="inlineStr">
        <is>
          <t>1</t>
        </is>
      </c>
    </row>
    <row r="67" ht="15" customHeight="1" s="39">
      <c r="A67" s="42" t="inlineStr">
        <is>
          <t>430189</t>
        </is>
      </c>
      <c r="B67" s="38" t="inlineStr">
        <is>
          <t>Arnes</t>
        </is>
      </c>
      <c r="C67" s="38" t="inlineStr">
        <is>
          <t>42,97</t>
        </is>
      </c>
      <c r="D67" s="38" t="inlineStr">
        <is>
          <t>10,7</t>
        </is>
      </c>
      <c r="E67" s="38" t="inlineStr">
        <is>
          <t>1</t>
        </is>
      </c>
    </row>
    <row r="68" ht="15" customHeight="1" s="39">
      <c r="A68" s="42" t="inlineStr">
        <is>
          <t>250313</t>
        </is>
      </c>
      <c r="B68" s="38" t="inlineStr">
        <is>
          <t>Arres</t>
        </is>
      </c>
      <c r="C68" s="38" t="inlineStr">
        <is>
          <t>11,57</t>
        </is>
      </c>
      <c r="D68" s="38" t="inlineStr">
        <is>
          <t>5,0</t>
        </is>
      </c>
      <c r="E68" s="38" t="inlineStr">
        <is>
          <t>3</t>
        </is>
      </c>
    </row>
    <row r="69" ht="15" customHeight="1" s="39">
      <c r="A69" s="42" t="inlineStr">
        <is>
          <t>250328</t>
        </is>
      </c>
      <c r="B69" s="38" t="inlineStr">
        <is>
          <t>Arsèguel</t>
        </is>
      </c>
      <c r="C69" s="38" t="inlineStr">
        <is>
          <t>10,59</t>
        </is>
      </c>
      <c r="D69" s="38" t="inlineStr">
        <is>
          <t>8,0</t>
        </is>
      </c>
      <c r="E69" s="38" t="inlineStr">
        <is>
          <t>2</t>
        </is>
      </c>
    </row>
    <row r="70" ht="15" customHeight="1" s="39">
      <c r="A70" s="42" t="inlineStr">
        <is>
          <t>080109</t>
        </is>
      </c>
      <c r="B70" s="38" t="inlineStr">
        <is>
          <t>Artés</t>
        </is>
      </c>
      <c r="C70" s="38" t="inlineStr">
        <is>
          <t>17,87</t>
        </is>
      </c>
      <c r="D70" s="38" t="inlineStr">
        <is>
          <t>347,6</t>
        </is>
      </c>
      <c r="E70" s="38" t="inlineStr">
        <is>
          <t>2</t>
        </is>
      </c>
    </row>
    <row r="71" ht="15" customHeight="1" s="39">
      <c r="A71" s="42" t="inlineStr">
        <is>
          <t>250334</t>
        </is>
      </c>
      <c r="B71" s="38" t="inlineStr">
        <is>
          <t>Artesa de Lleida</t>
        </is>
      </c>
      <c r="C71" s="38" t="inlineStr">
        <is>
          <t>23,94</t>
        </is>
      </c>
      <c r="D71" s="38" t="inlineStr">
        <is>
          <t>64,5</t>
        </is>
      </c>
      <c r="E71" s="38" t="inlineStr">
        <is>
          <t>1</t>
        </is>
      </c>
    </row>
    <row r="72" ht="15" customHeight="1" s="39">
      <c r="A72" s="42" t="inlineStr">
        <is>
          <t>250349</t>
        </is>
      </c>
      <c r="B72" s="38" t="inlineStr">
        <is>
          <t>Artesa de Segre</t>
        </is>
      </c>
      <c r="C72" s="38" t="inlineStr">
        <is>
          <t>175,90</t>
        </is>
      </c>
      <c r="D72" s="38" t="inlineStr">
        <is>
          <t>20,4</t>
        </is>
      </c>
      <c r="E72" s="38" t="inlineStr">
        <is>
          <t>22</t>
        </is>
      </c>
    </row>
    <row r="73" ht="15" customHeight="1" s="39">
      <c r="A73" s="42" t="inlineStr">
        <is>
          <t>430192</t>
        </is>
      </c>
      <c r="B73" s="38" t="inlineStr">
        <is>
          <t>Ascó</t>
        </is>
      </c>
      <c r="C73" s="38" t="inlineStr">
        <is>
          <t>73,63</t>
        </is>
      </c>
      <c r="D73" s="38" t="inlineStr">
        <is>
          <t>21,6</t>
        </is>
      </c>
      <c r="E73" s="38" t="inlineStr">
        <is>
          <t>1</t>
        </is>
      </c>
    </row>
    <row r="74" ht="15" customHeight="1" s="39">
      <c r="A74" s="42" t="inlineStr">
        <is>
          <t>250365</t>
        </is>
      </c>
      <c r="B74" s="38" t="inlineStr">
        <is>
          <t>Aspa</t>
        </is>
      </c>
      <c r="C74" s="38" t="inlineStr">
        <is>
          <t>10,21</t>
        </is>
      </c>
      <c r="D74" s="38" t="inlineStr">
        <is>
          <t>22,7</t>
        </is>
      </c>
      <c r="E74" s="38" t="inlineStr">
        <is>
          <t>1</t>
        </is>
      </c>
    </row>
    <row r="75" ht="15" customHeight="1" s="39">
      <c r="A75" s="42" t="inlineStr">
        <is>
          <t>250371</t>
        </is>
      </c>
      <c r="B75" s="38" t="inlineStr">
        <is>
          <t>Avellanes i Santa Linya, les</t>
        </is>
      </c>
      <c r="C75" s="38" t="inlineStr">
        <is>
          <t>102,96</t>
        </is>
      </c>
      <c r="D75" s="38" t="inlineStr">
        <is>
          <t>4,2</t>
        </is>
      </c>
      <c r="E75" s="38" t="inlineStr">
        <is>
          <t>4</t>
        </is>
      </c>
    </row>
    <row r="76" ht="15" customHeight="1" s="39">
      <c r="A76" s="42" t="inlineStr">
        <is>
          <t>080116</t>
        </is>
      </c>
      <c r="B76" s="38" t="inlineStr">
        <is>
          <t>Avià</t>
        </is>
      </c>
      <c r="C76" s="38" t="inlineStr">
        <is>
          <t>27,23</t>
        </is>
      </c>
      <c r="D76" s="38" t="inlineStr">
        <is>
          <t>83,1</t>
        </is>
      </c>
      <c r="E76" s="38" t="inlineStr">
        <is>
          <t>7</t>
        </is>
      </c>
    </row>
    <row r="77" ht="15" customHeight="1" s="39">
      <c r="A77" s="42" t="inlineStr">
        <is>
          <t>080121</t>
        </is>
      </c>
      <c r="B77" s="38" t="inlineStr">
        <is>
          <t>Avinyó</t>
        </is>
      </c>
      <c r="C77" s="38" t="inlineStr">
        <is>
          <t>63,23</t>
        </is>
      </c>
      <c r="D77" s="38" t="inlineStr">
        <is>
          <t>36,8</t>
        </is>
      </c>
      <c r="E77" s="38" t="inlineStr">
        <is>
          <t>4</t>
        </is>
      </c>
    </row>
    <row r="78" ht="15" customHeight="1" s="39">
      <c r="A78" s="42" t="inlineStr">
        <is>
          <t>170123</t>
        </is>
      </c>
      <c r="B78" s="38" t="inlineStr">
        <is>
          <t>Avinyonet de Puigventós</t>
        </is>
      </c>
      <c r="C78" s="38" t="inlineStr">
        <is>
          <t>12,30</t>
        </is>
      </c>
      <c r="D78" s="38" t="inlineStr">
        <is>
          <t>135,7</t>
        </is>
      </c>
      <c r="E78" s="38" t="inlineStr">
        <is>
          <t>3</t>
        </is>
      </c>
    </row>
    <row r="79" ht="15" customHeight="1" s="39">
      <c r="A79" s="42" t="inlineStr">
        <is>
          <t>080137</t>
        </is>
      </c>
      <c r="B79" s="38" t="inlineStr">
        <is>
          <t>Avinyonet del Penedès</t>
        </is>
      </c>
      <c r="C79" s="38" t="inlineStr">
        <is>
          <t>29,13</t>
        </is>
      </c>
      <c r="D79" s="38" t="inlineStr">
        <is>
          <t>61,3</t>
        </is>
      </c>
      <c r="E79" s="38" t="inlineStr">
        <is>
          <t>9</t>
        </is>
      </c>
    </row>
    <row r="80" ht="15" customHeight="1" s="39">
      <c r="A80" s="42" t="inlineStr">
        <is>
          <t>080155</t>
        </is>
      </c>
      <c r="B80" s="38" t="inlineStr">
        <is>
          <t>Badalona</t>
        </is>
      </c>
      <c r="C80" s="38" t="inlineStr">
        <is>
          <t>21,18</t>
        </is>
      </c>
      <c r="D80" s="38" t="inlineStr">
        <is>
          <t>10889,6</t>
        </is>
      </c>
      <c r="E80" s="38" t="inlineStr">
        <is>
          <t>1</t>
        </is>
      </c>
    </row>
    <row r="81" ht="15" customHeight="1" s="39">
      <c r="A81" s="42" t="inlineStr">
        <is>
          <t>089045</t>
        </is>
      </c>
      <c r="B81" s="38" t="inlineStr">
        <is>
          <t>Badia del Vallès</t>
        </is>
      </c>
      <c r="C81" s="38" t="inlineStr">
        <is>
          <t>0,93</t>
        </is>
      </c>
      <c r="D81" s="38" t="inlineStr">
        <is>
          <t>14040,9</t>
        </is>
      </c>
      <c r="E81" s="38" t="inlineStr">
        <is>
          <t>1</t>
        </is>
      </c>
    </row>
    <row r="82" ht="15" customHeight="1" s="39">
      <c r="A82" s="42" t="inlineStr">
        <is>
          <t>080168</t>
        </is>
      </c>
      <c r="B82" s="38" t="inlineStr">
        <is>
          <t>Bagà</t>
        </is>
      </c>
      <c r="C82" s="38" t="inlineStr">
        <is>
          <t>43,13</t>
        </is>
      </c>
      <c r="D82" s="38" t="inlineStr">
        <is>
          <t>50,2</t>
        </is>
      </c>
      <c r="E82" s="38" t="inlineStr">
        <is>
          <t>1</t>
        </is>
      </c>
    </row>
    <row r="83" ht="15" customHeight="1" s="39">
      <c r="A83" s="42" t="inlineStr">
        <is>
          <t>250390</t>
        </is>
      </c>
      <c r="B83" s="38" t="inlineStr">
        <is>
          <t>Baix Pallars</t>
        </is>
      </c>
      <c r="C83" s="38" t="inlineStr">
        <is>
          <t>129,41</t>
        </is>
      </c>
      <c r="D83" s="38" t="inlineStr">
        <is>
          <t>2,7</t>
        </is>
      </c>
      <c r="E83" s="38" t="inlineStr">
        <is>
          <t>28</t>
        </is>
      </c>
    </row>
    <row r="84" ht="15" customHeight="1" s="39">
      <c r="A84" s="42" t="inlineStr">
        <is>
          <t>250404</t>
        </is>
      </c>
      <c r="B84" s="38" t="inlineStr">
        <is>
          <t>Balaguer</t>
        </is>
      </c>
      <c r="C84" s="38" t="inlineStr">
        <is>
          <t>57,32</t>
        </is>
      </c>
      <c r="D84" s="38" t="inlineStr">
        <is>
          <t>308,2</t>
        </is>
      </c>
      <c r="E84" s="38" t="inlineStr">
        <is>
          <t>1</t>
        </is>
      </c>
    </row>
    <row r="85" ht="15" customHeight="1" s="39">
      <c r="A85" s="42" t="inlineStr">
        <is>
          <t>080174</t>
        </is>
      </c>
      <c r="B85" s="38" t="inlineStr">
        <is>
          <t>Balenyà</t>
        </is>
      </c>
      <c r="C85" s="38" t="inlineStr">
        <is>
          <t>17,35</t>
        </is>
      </c>
      <c r="D85" s="38" t="inlineStr">
        <is>
          <t>231,0</t>
        </is>
      </c>
      <c r="E85" s="38" t="inlineStr">
        <is>
          <t>2</t>
        </is>
      </c>
    </row>
    <row r="86" ht="15" customHeight="1" s="39">
      <c r="A86" s="42" t="inlineStr">
        <is>
          <t>080180</t>
        </is>
      </c>
      <c r="B86" s="38" t="inlineStr">
        <is>
          <t>Balsareny</t>
        </is>
      </c>
      <c r="C86" s="38" t="inlineStr">
        <is>
          <t>36,91</t>
        </is>
      </c>
      <c r="D86" s="38" t="inlineStr">
        <is>
          <t>90,9</t>
        </is>
      </c>
      <c r="E86" s="38" t="inlineStr">
        <is>
          <t>5</t>
        </is>
      </c>
    </row>
    <row r="87" ht="15" customHeight="1" s="39">
      <c r="A87" s="42" t="inlineStr">
        <is>
          <t>430206</t>
        </is>
      </c>
      <c r="B87" s="38" t="inlineStr">
        <is>
          <t>Banyeres del Penedès</t>
        </is>
      </c>
      <c r="C87" s="38" t="inlineStr">
        <is>
          <t>12,19</t>
        </is>
      </c>
      <c r="D87" s="38" t="inlineStr">
        <is>
          <t>278,3</t>
        </is>
      </c>
      <c r="E87" s="38" t="inlineStr">
        <is>
          <t>6</t>
        </is>
      </c>
    </row>
    <row r="88" ht="15" customHeight="1" s="39">
      <c r="A88" s="42" t="inlineStr">
        <is>
          <t>170157</t>
        </is>
      </c>
      <c r="B88" s="38" t="inlineStr">
        <is>
          <t>Banyoles</t>
        </is>
      </c>
      <c r="C88" s="38" t="inlineStr">
        <is>
          <t>11,05</t>
        </is>
      </c>
      <c r="D88" s="38" t="inlineStr">
        <is>
          <t>1890,2</t>
        </is>
      </c>
      <c r="E88" s="38" t="inlineStr">
        <is>
          <t>7</t>
        </is>
      </c>
    </row>
    <row r="89" ht="15" customHeight="1" s="39">
      <c r="A89" s="42" t="inlineStr">
        <is>
          <t>250411</t>
        </is>
      </c>
      <c r="B89" s="38" t="inlineStr">
        <is>
          <t>Barbens</t>
        </is>
      </c>
      <c r="C89" s="38" t="inlineStr">
        <is>
          <t>7,56</t>
        </is>
      </c>
      <c r="D89" s="38" t="inlineStr">
        <is>
          <t>120,4</t>
        </is>
      </c>
      <c r="E89" s="38" t="inlineStr">
        <is>
          <t>3</t>
        </is>
      </c>
    </row>
    <row r="90" ht="15" customHeight="1" s="39">
      <c r="A90" s="42" t="inlineStr">
        <is>
          <t>430213</t>
        </is>
      </c>
      <c r="B90" s="38" t="inlineStr">
        <is>
          <t>Barberà de la Conca</t>
        </is>
      </c>
      <c r="C90" s="38" t="inlineStr">
        <is>
          <t>26,60</t>
        </is>
      </c>
      <c r="D90" s="38" t="inlineStr">
        <is>
          <t>18,3</t>
        </is>
      </c>
      <c r="E90" s="38" t="inlineStr">
        <is>
          <t>2</t>
        </is>
      </c>
    </row>
    <row r="91" ht="15" customHeight="1" s="39">
      <c r="A91" s="42" t="inlineStr">
        <is>
          <t>082520</t>
        </is>
      </c>
      <c r="B91" s="38" t="inlineStr">
        <is>
          <t>Barberà del Vallès</t>
        </is>
      </c>
      <c r="C91" s="38" t="inlineStr">
        <is>
          <t>8,31</t>
        </is>
      </c>
      <c r="D91" s="38" t="inlineStr">
        <is>
          <t>4095,2</t>
        </is>
      </c>
      <c r="E91" s="38" t="inlineStr">
        <is>
          <t>2</t>
        </is>
      </c>
    </row>
    <row r="92" ht="15" customHeight="1" s="39">
      <c r="A92" s="42" t="inlineStr">
        <is>
          <t>080193</t>
        </is>
      </c>
      <c r="B92" s="38" t="inlineStr">
        <is>
          <t>Barcelona</t>
        </is>
      </c>
      <c r="C92" s="38" t="inlineStr">
        <is>
          <t>101,35</t>
        </is>
      </c>
      <c r="D92" s="38" t="inlineStr">
        <is>
          <t>16904,3</t>
        </is>
      </c>
      <c r="E92" s="38" t="inlineStr">
        <is>
          <t>1</t>
        </is>
      </c>
    </row>
    <row r="93" ht="15" customHeight="1" s="39">
      <c r="A93" s="42" t="inlineStr">
        <is>
          <t>250426</t>
        </is>
      </c>
      <c r="B93" s="38" t="inlineStr">
        <is>
          <t>Baronia de Rialb, la</t>
        </is>
      </c>
      <c r="C93" s="38" t="inlineStr">
        <is>
          <t>145,08</t>
        </is>
      </c>
      <c r="D93" s="38" t="inlineStr">
        <is>
          <t>1,5</t>
        </is>
      </c>
      <c r="E93" s="38" t="inlineStr">
        <is>
          <t>11</t>
        </is>
      </c>
    </row>
    <row r="94" ht="15" customHeight="1" s="39">
      <c r="A94" s="42" t="inlineStr">
        <is>
          <t>170160</t>
        </is>
      </c>
      <c r="B94" s="38" t="inlineStr">
        <is>
          <t>Bàscara</t>
        </is>
      </c>
      <c r="C94" s="38" t="inlineStr">
        <is>
          <t>17,50</t>
        </is>
      </c>
      <c r="D94" s="38" t="inlineStr">
        <is>
          <t>59,9</t>
        </is>
      </c>
      <c r="E94" s="38" t="inlineStr">
        <is>
          <t>4</t>
        </is>
      </c>
    </row>
    <row r="95" ht="15" customHeight="1" s="39">
      <c r="A95" s="42" t="inlineStr">
        <is>
          <t>250447</t>
        </is>
      </c>
      <c r="B95" s="38" t="inlineStr">
        <is>
          <t>Bassella</t>
        </is>
      </c>
      <c r="C95" s="38" t="inlineStr">
        <is>
          <t>70,25</t>
        </is>
      </c>
      <c r="D95" s="38" t="inlineStr">
        <is>
          <t>3,1</t>
        </is>
      </c>
      <c r="E95" s="38" t="inlineStr">
        <is>
          <t>9</t>
        </is>
      </c>
    </row>
    <row r="96" ht="15" customHeight="1" s="39">
      <c r="A96" s="42" t="inlineStr">
        <is>
          <t>430228</t>
        </is>
      </c>
      <c r="B96" s="38" t="inlineStr">
        <is>
          <t>Batea</t>
        </is>
      </c>
      <c r="C96" s="38" t="inlineStr">
        <is>
          <t>128,41</t>
        </is>
      </c>
      <c r="D96" s="38" t="inlineStr">
        <is>
          <t>14,6</t>
        </is>
      </c>
      <c r="E96" s="38" t="inlineStr">
        <is>
          <t>1</t>
        </is>
      </c>
    </row>
    <row r="97" ht="15" customHeight="1" s="39">
      <c r="A97" s="42" t="inlineStr">
        <is>
          <t>250450</t>
        </is>
      </c>
      <c r="B97" s="38" t="inlineStr">
        <is>
          <t>Bausen</t>
        </is>
      </c>
      <c r="C97" s="38" t="inlineStr">
        <is>
          <t>17,72</t>
        </is>
      </c>
      <c r="D97" s="38" t="inlineStr">
        <is>
          <t>3,5</t>
        </is>
      </c>
      <c r="E97" s="38" t="inlineStr">
        <is>
          <t>3</t>
        </is>
      </c>
    </row>
    <row r="98" ht="15" customHeight="1" s="39">
      <c r="A98" s="42" t="inlineStr">
        <is>
          <t>080207</t>
        </is>
      </c>
      <c r="B98" s="38" t="inlineStr">
        <is>
          <t>Begues</t>
        </is>
      </c>
      <c r="C98" s="38" t="inlineStr">
        <is>
          <t>50,44</t>
        </is>
      </c>
      <c r="D98" s="38" t="inlineStr">
        <is>
          <t>149,6</t>
        </is>
      </c>
      <c r="E98" s="38" t="inlineStr">
        <is>
          <t>3</t>
        </is>
      </c>
    </row>
    <row r="99" ht="15" customHeight="1" s="39">
      <c r="A99" s="42" t="inlineStr">
        <is>
          <t>170139</t>
        </is>
      </c>
      <c r="B99" s="38" t="inlineStr">
        <is>
          <t>Begur</t>
        </is>
      </c>
      <c r="C99" s="38" t="inlineStr">
        <is>
          <t>20,66</t>
        </is>
      </c>
      <c r="D99" s="38" t="inlineStr">
        <is>
          <t>207,5</t>
        </is>
      </c>
      <c r="E99" s="38" t="inlineStr">
        <is>
          <t>8</t>
        </is>
      </c>
    </row>
    <row r="100" ht="15" customHeight="1" s="39">
      <c r="A100" s="42" t="inlineStr">
        <is>
          <t>250463</t>
        </is>
      </c>
      <c r="B100" s="38" t="inlineStr">
        <is>
          <t>Belianes</t>
        </is>
      </c>
      <c r="C100" s="38" t="inlineStr">
        <is>
          <t>15,69</t>
        </is>
      </c>
      <c r="D100" s="38" t="inlineStr">
        <is>
          <t>32,6</t>
        </is>
      </c>
      <c r="E100" s="38" t="inlineStr">
        <is>
          <t>1</t>
        </is>
      </c>
    </row>
    <row r="101" ht="15" customHeight="1" s="39">
      <c r="A101" s="42" t="inlineStr">
        <is>
          <t>251706</t>
        </is>
      </c>
      <c r="B101" s="38" t="inlineStr">
        <is>
          <t>Bellaguarda</t>
        </is>
      </c>
      <c r="C101" s="38" t="inlineStr">
        <is>
          <t>17,14</t>
        </is>
      </c>
      <c r="D101" s="38" t="inlineStr">
        <is>
          <t>16,7</t>
        </is>
      </c>
      <c r="E101" s="38" t="inlineStr">
        <is>
          <t>1</t>
        </is>
      </c>
    </row>
    <row r="102" ht="15" customHeight="1" s="39">
      <c r="A102" s="42" t="inlineStr">
        <is>
          <t>170182</t>
        </is>
      </c>
      <c r="B102" s="38" t="inlineStr">
        <is>
          <t>Bellcaire d'Empordà</t>
        </is>
      </c>
      <c r="C102" s="38" t="inlineStr">
        <is>
          <t>12,64</t>
        </is>
      </c>
      <c r="D102" s="38" t="inlineStr">
        <is>
          <t>57,1</t>
        </is>
      </c>
      <c r="E102" s="38" t="inlineStr">
        <is>
          <t>1</t>
        </is>
      </c>
    </row>
    <row r="103" ht="15" customHeight="1" s="39">
      <c r="A103" s="42" t="inlineStr">
        <is>
          <t>250479</t>
        </is>
      </c>
      <c r="B103" s="38" t="inlineStr">
        <is>
          <t>Bellcaire d'Urgell</t>
        </is>
      </c>
      <c r="C103" s="38" t="inlineStr">
        <is>
          <t>31,38</t>
        </is>
      </c>
      <c r="D103" s="38" t="inlineStr">
        <is>
          <t>40,5</t>
        </is>
      </c>
      <c r="E103" s="38" t="inlineStr">
        <is>
          <t>2</t>
        </is>
      </c>
    </row>
    <row r="104" ht="15" customHeight="1" s="39">
      <c r="A104" s="42" t="inlineStr">
        <is>
          <t>250485</t>
        </is>
      </c>
      <c r="B104" s="38" t="inlineStr">
        <is>
          <t>Bell-lloc d'Urgell</t>
        </is>
      </c>
      <c r="C104" s="38" t="inlineStr">
        <is>
          <t>34,92</t>
        </is>
      </c>
      <c r="D104" s="38" t="inlineStr">
        <is>
          <t>67,6</t>
        </is>
      </c>
      <c r="E104" s="38" t="inlineStr">
        <is>
          <t>1</t>
        </is>
      </c>
    </row>
    <row r="105" ht="15" customHeight="1" s="39">
      <c r="A105" s="42" t="inlineStr">
        <is>
          <t>250498</t>
        </is>
      </c>
      <c r="B105" s="38" t="inlineStr">
        <is>
          <t>Bellmunt d'Urgell</t>
        </is>
      </c>
      <c r="C105" s="38" t="inlineStr">
        <is>
          <t>5,11</t>
        </is>
      </c>
      <c r="D105" s="38" t="inlineStr">
        <is>
          <t>34,1</t>
        </is>
      </c>
      <c r="E105" s="38" t="inlineStr">
        <is>
          <t>1</t>
        </is>
      </c>
    </row>
    <row r="106" ht="15" customHeight="1" s="39">
      <c r="A106" s="42" t="inlineStr">
        <is>
          <t>430234</t>
        </is>
      </c>
      <c r="B106" s="38" t="inlineStr">
        <is>
          <t>Bellmunt del Priorat</t>
        </is>
      </c>
      <c r="C106" s="38" t="inlineStr">
        <is>
          <t>8,86</t>
        </is>
      </c>
      <c r="D106" s="38" t="inlineStr">
        <is>
          <t>32,5</t>
        </is>
      </c>
      <c r="E106" s="38" t="inlineStr">
        <is>
          <t>1</t>
        </is>
      </c>
    </row>
    <row r="107" ht="15" customHeight="1" s="39">
      <c r="A107" s="42" t="inlineStr">
        <is>
          <t>080214</t>
        </is>
      </c>
      <c r="B107" s="38" t="inlineStr">
        <is>
          <t>Bellprat</t>
        </is>
      </c>
      <c r="C107" s="38" t="inlineStr">
        <is>
          <t>30,97</t>
        </is>
      </c>
      <c r="D107" s="38" t="inlineStr">
        <is>
          <t>2,2</t>
        </is>
      </c>
      <c r="E107" s="38" t="inlineStr">
        <is>
          <t>1</t>
        </is>
      </c>
    </row>
    <row r="108" ht="15" customHeight="1" s="39">
      <c r="A108" s="42" t="inlineStr">
        <is>
          <t>250501</t>
        </is>
      </c>
      <c r="B108" s="38" t="inlineStr">
        <is>
          <t>Bellpuig</t>
        </is>
      </c>
      <c r="C108" s="38" t="inlineStr">
        <is>
          <t>34,98</t>
        </is>
      </c>
      <c r="D108" s="38" t="inlineStr">
        <is>
          <t>158,1</t>
        </is>
      </c>
      <c r="E108" s="38" t="inlineStr">
        <is>
          <t>2</t>
        </is>
      </c>
    </row>
    <row r="109" ht="15" customHeight="1" s="39">
      <c r="A109" s="42" t="inlineStr">
        <is>
          <t>430249</t>
        </is>
      </c>
      <c r="B109" s="38" t="inlineStr">
        <is>
          <t>Bellvei</t>
        </is>
      </c>
      <c r="C109" s="38" t="inlineStr">
        <is>
          <t>8,27</t>
        </is>
      </c>
      <c r="D109" s="38" t="inlineStr">
        <is>
          <t>297,9</t>
        </is>
      </c>
      <c r="E109" s="38" t="inlineStr">
        <is>
          <t>1</t>
        </is>
      </c>
    </row>
    <row r="110" ht="15" customHeight="1" s="39">
      <c r="A110" s="42" t="inlineStr">
        <is>
          <t>250518</t>
        </is>
      </c>
      <c r="B110" s="38" t="inlineStr">
        <is>
          <t>Bellver de Cerdanya</t>
        </is>
      </c>
      <c r="C110" s="38" t="inlineStr">
        <is>
          <t>98,15</t>
        </is>
      </c>
      <c r="D110" s="38" t="inlineStr">
        <is>
          <t>23,3</t>
        </is>
      </c>
      <c r="E110" s="38" t="inlineStr">
        <is>
          <t>20</t>
        </is>
      </c>
    </row>
    <row r="111" ht="15" customHeight="1" s="39">
      <c r="A111" s="42" t="inlineStr">
        <is>
          <t>250523</t>
        </is>
      </c>
      <c r="B111" s="38" t="inlineStr">
        <is>
          <t>Bellvís</t>
        </is>
      </c>
      <c r="C111" s="38" t="inlineStr">
        <is>
          <t>46,70</t>
        </is>
      </c>
      <c r="D111" s="38" t="inlineStr">
        <is>
          <t>47,9</t>
        </is>
      </c>
      <c r="E111" s="38" t="inlineStr">
        <is>
          <t>2</t>
        </is>
      </c>
    </row>
    <row r="112" ht="15" customHeight="1" s="39">
      <c r="A112" s="42" t="inlineStr">
        <is>
          <t>250539</t>
        </is>
      </c>
      <c r="B112" s="38" t="inlineStr">
        <is>
          <t>Benavent de Segrià</t>
        </is>
      </c>
      <c r="C112" s="38" t="inlineStr">
        <is>
          <t>7,43</t>
        </is>
      </c>
      <c r="D112" s="38" t="inlineStr">
        <is>
          <t>210,6</t>
        </is>
      </c>
      <c r="E112" s="38" t="inlineStr">
        <is>
          <t>1</t>
        </is>
      </c>
    </row>
    <row r="113" ht="15" customHeight="1" s="39">
      <c r="A113" s="42" t="inlineStr">
        <is>
          <t>430252</t>
        </is>
      </c>
      <c r="B113" s="38" t="inlineStr">
        <is>
          <t>Benifallet</t>
        </is>
      </c>
      <c r="C113" s="38" t="inlineStr">
        <is>
          <t>62,42</t>
        </is>
      </c>
      <c r="D113" s="38" t="inlineStr">
        <is>
          <t>11,3</t>
        </is>
      </c>
      <c r="E113" s="38" t="inlineStr">
        <is>
          <t>1</t>
        </is>
      </c>
    </row>
    <row r="114" ht="15" customHeight="1" s="39">
      <c r="A114" s="42" t="inlineStr">
        <is>
          <t>430265</t>
        </is>
      </c>
      <c r="B114" s="38" t="inlineStr">
        <is>
          <t>Benissanet</t>
        </is>
      </c>
      <c r="C114" s="38" t="inlineStr">
        <is>
          <t>23,06</t>
        </is>
      </c>
      <c r="D114" s="38" t="inlineStr">
        <is>
          <t>51,6</t>
        </is>
      </c>
      <c r="E114" s="38" t="inlineStr">
        <is>
          <t>1</t>
        </is>
      </c>
    </row>
    <row r="115" ht="15" customHeight="1" s="39">
      <c r="A115" s="42" t="inlineStr">
        <is>
          <t>080229</t>
        </is>
      </c>
      <c r="B115" s="38" t="inlineStr">
        <is>
          <t>Berga</t>
        </is>
      </c>
      <c r="C115" s="38" t="inlineStr">
        <is>
          <t>22,57</t>
        </is>
      </c>
      <c r="D115" s="38" t="inlineStr">
        <is>
          <t>777,1</t>
        </is>
      </c>
      <c r="E115" s="38" t="inlineStr">
        <is>
          <t>3</t>
        </is>
      </c>
    </row>
    <row r="116" ht="15" customHeight="1" s="39">
      <c r="A116" s="42" t="inlineStr">
        <is>
          <t>170195</t>
        </is>
      </c>
      <c r="B116" s="38" t="inlineStr">
        <is>
          <t>Besalú</t>
        </is>
      </c>
      <c r="C116" s="38" t="inlineStr">
        <is>
          <t>4,93</t>
        </is>
      </c>
      <c r="D116" s="38" t="inlineStr">
        <is>
          <t>525,6</t>
        </is>
      </c>
      <c r="E116" s="38" t="inlineStr">
        <is>
          <t>1</t>
        </is>
      </c>
    </row>
    <row r="117" ht="15" customHeight="1" s="39">
      <c r="A117" s="42" t="inlineStr">
        <is>
          <t>170209</t>
        </is>
      </c>
      <c r="B117" s="38" t="inlineStr">
        <is>
          <t>Bescanó</t>
        </is>
      </c>
      <c r="C117" s="38" t="inlineStr">
        <is>
          <t>35,92</t>
        </is>
      </c>
      <c r="D117" s="38" t="inlineStr">
        <is>
          <t>141,6</t>
        </is>
      </c>
      <c r="E117" s="38" t="inlineStr">
        <is>
          <t>4</t>
        </is>
      </c>
    </row>
    <row r="118" ht="15" customHeight="1" s="39">
      <c r="A118" s="42" t="inlineStr">
        <is>
          <t>170216</t>
        </is>
      </c>
      <c r="B118" s="38" t="inlineStr">
        <is>
          <t>Beuda</t>
        </is>
      </c>
      <c r="C118" s="38" t="inlineStr">
        <is>
          <t>35,91</t>
        </is>
      </c>
      <c r="D118" s="38" t="inlineStr">
        <is>
          <t>5,6</t>
        </is>
      </c>
      <c r="E118" s="38" t="inlineStr">
        <is>
          <t>4</t>
        </is>
      </c>
    </row>
    <row r="119" ht="15" customHeight="1" s="39">
      <c r="A119" s="42" t="inlineStr">
        <is>
          <t>080235</t>
        </is>
      </c>
      <c r="B119" s="38" t="inlineStr">
        <is>
          <t>Bigues i Riells del Fai</t>
        </is>
      </c>
      <c r="C119" s="38" t="inlineStr">
        <is>
          <t>28,64</t>
        </is>
      </c>
      <c r="D119" s="38" t="inlineStr">
        <is>
          <t>353,5</t>
        </is>
      </c>
      <c r="E119" s="38" t="inlineStr">
        <is>
          <t>17</t>
        </is>
      </c>
    </row>
    <row r="120" ht="15" customHeight="1" s="39">
      <c r="A120" s="42" t="inlineStr">
        <is>
          <t>250557</t>
        </is>
      </c>
      <c r="B120" s="38" t="inlineStr">
        <is>
          <t>Biosca</t>
        </is>
      </c>
      <c r="C120" s="38" t="inlineStr">
        <is>
          <t>66,21</t>
        </is>
      </c>
      <c r="D120" s="38" t="inlineStr">
        <is>
          <t>2,8</t>
        </is>
      </c>
      <c r="E120" s="38" t="inlineStr">
        <is>
          <t>2</t>
        </is>
      </c>
    </row>
    <row r="121" ht="15" customHeight="1" s="39">
      <c r="A121" s="42" t="inlineStr">
        <is>
          <t>170221</t>
        </is>
      </c>
      <c r="B121" s="38" t="inlineStr">
        <is>
          <t>Bisbal d'Empordà, la</t>
        </is>
      </c>
      <c r="C121" s="38" t="inlineStr">
        <is>
          <t>20,62</t>
        </is>
      </c>
      <c r="D121" s="38" t="inlineStr">
        <is>
          <t>568,9</t>
        </is>
      </c>
      <c r="E121" s="38" t="inlineStr">
        <is>
          <t>3</t>
        </is>
      </c>
    </row>
    <row r="122" ht="15" customHeight="1" s="39">
      <c r="A122" s="42" t="inlineStr">
        <is>
          <t>430271</t>
        </is>
      </c>
      <c r="B122" s="38" t="inlineStr">
        <is>
          <t>Bisbal de Montsant, la</t>
        </is>
      </c>
      <c r="C122" s="38" t="inlineStr">
        <is>
          <t>14,14</t>
        </is>
      </c>
      <c r="D122" s="38" t="inlineStr">
        <is>
          <t>15,1</t>
        </is>
      </c>
      <c r="E122" s="38" t="inlineStr">
        <is>
          <t>1</t>
        </is>
      </c>
    </row>
    <row r="123" ht="15" customHeight="1" s="39">
      <c r="A123" s="42" t="inlineStr">
        <is>
          <t>430287</t>
        </is>
      </c>
      <c r="B123" s="38" t="inlineStr">
        <is>
          <t>Bisbal del Penedès, la</t>
        </is>
      </c>
      <c r="C123" s="38" t="inlineStr">
        <is>
          <t>32,54</t>
        </is>
      </c>
      <c r="D123" s="38" t="inlineStr">
        <is>
          <t>131,2</t>
        </is>
      </c>
      <c r="E123" s="38" t="inlineStr">
        <is>
          <t>9</t>
        </is>
      </c>
    </row>
    <row r="124" ht="15" customHeight="1" s="39">
      <c r="A124" s="42" t="inlineStr">
        <is>
          <t>172348</t>
        </is>
      </c>
      <c r="B124" s="38" t="inlineStr">
        <is>
          <t>Biure</t>
        </is>
      </c>
      <c r="C124" s="38" t="inlineStr">
        <is>
          <t>10,02</t>
        </is>
      </c>
      <c r="D124" s="38" t="inlineStr">
        <is>
          <t>22,7</t>
        </is>
      </c>
      <c r="E124" s="38" t="inlineStr">
        <is>
          <t>1</t>
        </is>
      </c>
    </row>
    <row r="125" ht="15" customHeight="1" s="39">
      <c r="A125" s="42" t="inlineStr">
        <is>
          <t>430290</t>
        </is>
      </c>
      <c r="B125" s="38" t="inlineStr">
        <is>
          <t>Blancafort</t>
        </is>
      </c>
      <c r="C125" s="38" t="inlineStr">
        <is>
          <t>14,48</t>
        </is>
      </c>
      <c r="D125" s="38" t="inlineStr">
        <is>
          <t>27,1</t>
        </is>
      </c>
      <c r="E125" s="38" t="inlineStr">
        <is>
          <t>1</t>
        </is>
      </c>
    </row>
    <row r="126" ht="15" customHeight="1" s="39">
      <c r="A126" s="42" t="inlineStr">
        <is>
          <t>170237</t>
        </is>
      </c>
      <c r="B126" s="38" t="inlineStr">
        <is>
          <t>Blanes</t>
        </is>
      </c>
      <c r="C126" s="38" t="inlineStr">
        <is>
          <t>17,66</t>
        </is>
      </c>
      <c r="D126" s="38" t="inlineStr">
        <is>
          <t>2403,5</t>
        </is>
      </c>
      <c r="E126" s="38" t="inlineStr">
        <is>
          <t>1</t>
        </is>
      </c>
    </row>
    <row r="127" ht="15" customHeight="1" s="39">
      <c r="A127" s="42" t="inlineStr">
        <is>
          <t>170293</t>
        </is>
      </c>
      <c r="B127" s="38" t="inlineStr">
        <is>
          <t>Boadella i les Escaules</t>
        </is>
      </c>
      <c r="C127" s="38" t="inlineStr">
        <is>
          <t>10,78</t>
        </is>
      </c>
      <c r="D127" s="38" t="inlineStr">
        <is>
          <t>24,5</t>
        </is>
      </c>
      <c r="E127" s="38" t="inlineStr">
        <is>
          <t>2</t>
        </is>
      </c>
    </row>
    <row r="128" ht="15" customHeight="1" s="39">
      <c r="A128" s="42" t="inlineStr">
        <is>
          <t>170242</t>
        </is>
      </c>
      <c r="B128" s="38" t="inlineStr">
        <is>
          <t>Bolvir</t>
        </is>
      </c>
      <c r="C128" s="38" t="inlineStr">
        <is>
          <t>10,34</t>
        </is>
      </c>
      <c r="D128" s="38" t="inlineStr">
        <is>
          <t>47,7</t>
        </is>
      </c>
      <c r="E128" s="38" t="inlineStr">
        <is>
          <t>9</t>
        </is>
      </c>
    </row>
    <row r="129" ht="15" customHeight="1" s="39">
      <c r="A129" s="42" t="inlineStr">
        <is>
          <t>430304</t>
        </is>
      </c>
      <c r="B129" s="38" t="inlineStr">
        <is>
          <t>Bonastre</t>
        </is>
      </c>
      <c r="C129" s="38" t="inlineStr">
        <is>
          <t>24,97</t>
        </is>
      </c>
      <c r="D129" s="38" t="inlineStr">
        <is>
          <t>31,2</t>
        </is>
      </c>
      <c r="E129" s="38" t="inlineStr">
        <is>
          <t>3</t>
        </is>
      </c>
    </row>
    <row r="130" ht="15" customHeight="1" s="39">
      <c r="A130" s="42" t="inlineStr">
        <is>
          <t>250576</t>
        </is>
      </c>
      <c r="B130" s="38" t="inlineStr">
        <is>
          <t>Bòrdes, Es</t>
        </is>
      </c>
      <c r="C130" s="38" t="inlineStr">
        <is>
          <t>21,44</t>
        </is>
      </c>
      <c r="D130" s="38" t="inlineStr">
        <is>
          <t>13,1</t>
        </is>
      </c>
      <c r="E130" s="38" t="inlineStr">
        <is>
          <t>4</t>
        </is>
      </c>
    </row>
    <row r="131" ht="15" customHeight="1" s="39">
      <c r="A131" s="42" t="inlineStr">
        <is>
          <t>170255</t>
        </is>
      </c>
      <c r="B131" s="38" t="inlineStr">
        <is>
          <t>Bordils</t>
        </is>
      </c>
      <c r="C131" s="38" t="inlineStr">
        <is>
          <t>7,32</t>
        </is>
      </c>
      <c r="D131" s="38" t="inlineStr">
        <is>
          <t>249,2</t>
        </is>
      </c>
      <c r="E131" s="38" t="inlineStr">
        <is>
          <t>1</t>
        </is>
      </c>
    </row>
    <row r="132" ht="15" customHeight="1" s="39">
      <c r="A132" s="42" t="inlineStr">
        <is>
          <t>250582</t>
        </is>
      </c>
      <c r="B132" s="38" t="inlineStr">
        <is>
          <t>Borges Blanques, les</t>
        </is>
      </c>
      <c r="C132" s="38" t="inlineStr">
        <is>
          <t>61,55</t>
        </is>
      </c>
      <c r="D132" s="38" t="inlineStr">
        <is>
          <t>104,9</t>
        </is>
      </c>
      <c r="E132" s="38" t="inlineStr">
        <is>
          <t>1</t>
        </is>
      </c>
    </row>
    <row r="133" ht="15" customHeight="1" s="39">
      <c r="A133" s="42" t="inlineStr">
        <is>
          <t>430311</t>
        </is>
      </c>
      <c r="B133" s="38" t="inlineStr">
        <is>
          <t>Borges del Camp, les</t>
        </is>
      </c>
      <c r="C133" s="38" t="inlineStr">
        <is>
          <t>8,24</t>
        </is>
      </c>
      <c r="D133" s="38" t="inlineStr">
        <is>
          <t>280,7</t>
        </is>
      </c>
      <c r="E133" s="38" t="inlineStr">
        <is>
          <t>1</t>
        </is>
      </c>
    </row>
    <row r="134" ht="15" customHeight="1" s="39">
      <c r="A134" s="42" t="inlineStr">
        <is>
          <t>170268</t>
        </is>
      </c>
      <c r="B134" s="38" t="inlineStr">
        <is>
          <t>Borrassà</t>
        </is>
      </c>
      <c r="C134" s="38" t="inlineStr">
        <is>
          <t>9,45</t>
        </is>
      </c>
      <c r="D134" s="38" t="inlineStr">
        <is>
          <t>84,9</t>
        </is>
      </c>
      <c r="E134" s="38" t="inlineStr">
        <is>
          <t>3</t>
        </is>
      </c>
    </row>
    <row r="135" ht="15" customHeight="1" s="39">
      <c r="A135" s="42" t="inlineStr">
        <is>
          <t>080240</t>
        </is>
      </c>
      <c r="B135" s="38" t="inlineStr">
        <is>
          <t>Borredà</t>
        </is>
      </c>
      <c r="C135" s="38" t="inlineStr">
        <is>
          <t>43,45</t>
        </is>
      </c>
      <c r="D135" s="38" t="inlineStr">
        <is>
          <t>10,0</t>
        </is>
      </c>
      <c r="E135" s="38" t="inlineStr">
        <is>
          <t>1</t>
        </is>
      </c>
    </row>
    <row r="136" ht="15" customHeight="1" s="39">
      <c r="A136" s="42" t="inlineStr">
        <is>
          <t>250595</t>
        </is>
      </c>
      <c r="B136" s="38" t="inlineStr">
        <is>
          <t>Bossòst</t>
        </is>
      </c>
      <c r="C136" s="38" t="inlineStr">
        <is>
          <t>28,17</t>
        </is>
      </c>
      <c r="D136" s="38" t="inlineStr">
        <is>
          <t>41,8</t>
        </is>
      </c>
      <c r="E136" s="38" t="inlineStr">
        <is>
          <t>1</t>
        </is>
      </c>
    </row>
    <row r="137" ht="15" customHeight="1" s="39">
      <c r="A137" s="42" t="inlineStr">
        <is>
          <t>430326</t>
        </is>
      </c>
      <c r="B137" s="38" t="inlineStr">
        <is>
          <t>Bot</t>
        </is>
      </c>
      <c r="C137" s="38" t="inlineStr">
        <is>
          <t>34,94</t>
        </is>
      </c>
      <c r="D137" s="38" t="inlineStr">
        <is>
          <t>15,6</t>
        </is>
      </c>
      <c r="E137" s="38" t="inlineStr">
        <is>
          <t>1</t>
        </is>
      </c>
    </row>
    <row r="138" ht="15" customHeight="1" s="39">
      <c r="A138" s="42" t="inlineStr">
        <is>
          <t>430332</t>
        </is>
      </c>
      <c r="B138" s="38" t="inlineStr">
        <is>
          <t>Botarell</t>
        </is>
      </c>
      <c r="C138" s="38" t="inlineStr">
        <is>
          <t>11,95</t>
        </is>
      </c>
      <c r="D138" s="38" t="inlineStr">
        <is>
          <t>96,7</t>
        </is>
      </c>
      <c r="E138" s="38" t="inlineStr">
        <is>
          <t>2</t>
        </is>
      </c>
    </row>
    <row r="139" ht="15" customHeight="1" s="39">
      <c r="A139" s="42" t="inlineStr">
        <is>
          <t>250560</t>
        </is>
      </c>
      <c r="B139" s="38" t="inlineStr">
        <is>
          <t>Bovera</t>
        </is>
      </c>
      <c r="C139" s="38" t="inlineStr">
        <is>
          <t>31,12</t>
        </is>
      </c>
      <c r="D139" s="38" t="inlineStr">
        <is>
          <t>8,1</t>
        </is>
      </c>
      <c r="E139" s="38" t="inlineStr">
        <is>
          <t>1</t>
        </is>
      </c>
    </row>
    <row r="140" ht="15" customHeight="1" s="39">
      <c r="A140" s="42" t="inlineStr">
        <is>
          <t>430347</t>
        </is>
      </c>
      <c r="B140" s="38" t="inlineStr">
        <is>
          <t>Bràfim</t>
        </is>
      </c>
      <c r="C140" s="38" t="inlineStr">
        <is>
          <t>6,42</t>
        </is>
      </c>
      <c r="D140" s="38" t="inlineStr">
        <is>
          <t>109,8</t>
        </is>
      </c>
      <c r="E140" s="38" t="inlineStr">
        <is>
          <t>1</t>
        </is>
      </c>
    </row>
    <row r="141" ht="15" customHeight="1" s="39">
      <c r="A141" s="42" t="inlineStr">
        <is>
          <t>170274</t>
        </is>
      </c>
      <c r="B141" s="38" t="inlineStr">
        <is>
          <t>Breda</t>
        </is>
      </c>
      <c r="C141" s="38" t="inlineStr">
        <is>
          <t>5,02</t>
        </is>
      </c>
      <c r="D141" s="38" t="inlineStr">
        <is>
          <t>789,6</t>
        </is>
      </c>
      <c r="E141" s="38" t="inlineStr">
        <is>
          <t>3</t>
        </is>
      </c>
    </row>
    <row r="142" ht="15" customHeight="1" s="39">
      <c r="A142" s="42" t="inlineStr">
        <is>
          <t>080253</t>
        </is>
      </c>
      <c r="B142" s="38" t="inlineStr">
        <is>
          <t>Bruc, el</t>
        </is>
      </c>
      <c r="C142" s="38" t="inlineStr">
        <is>
          <t>47,20</t>
        </is>
      </c>
      <c r="D142" s="38" t="inlineStr">
        <is>
          <t>48,6</t>
        </is>
      </c>
      <c r="E142" s="38" t="inlineStr">
        <is>
          <t>4</t>
        </is>
      </c>
    </row>
    <row r="143" ht="15" customHeight="1" s="39">
      <c r="A143" s="42" t="inlineStr">
        <is>
          <t>080266</t>
        </is>
      </c>
      <c r="B143" s="38" t="inlineStr">
        <is>
          <t>Brull, el</t>
        </is>
      </c>
      <c r="C143" s="38" t="inlineStr">
        <is>
          <t>41,03</t>
        </is>
      </c>
      <c r="D143" s="38" t="inlineStr">
        <is>
          <t>7,2</t>
        </is>
      </c>
      <c r="E143" s="38" t="inlineStr">
        <is>
          <t>3</t>
        </is>
      </c>
    </row>
    <row r="144" ht="15" customHeight="1" s="39">
      <c r="A144" s="42" t="inlineStr">
        <is>
          <t>170280</t>
        </is>
      </c>
      <c r="B144" s="38" t="inlineStr">
        <is>
          <t>Brunyola i Sant Martí Sapresa</t>
        </is>
      </c>
      <c r="C144" s="38" t="inlineStr">
        <is>
          <t>36,82</t>
        </is>
      </c>
      <c r="D144" s="38" t="inlineStr">
        <is>
          <t>10,8</t>
        </is>
      </c>
      <c r="E144" s="38" t="inlineStr">
        <is>
          <t>2</t>
        </is>
      </c>
    </row>
    <row r="145" ht="15" customHeight="1" s="39">
      <c r="A145" s="42" t="inlineStr">
        <is>
          <t>430350</t>
        </is>
      </c>
      <c r="B145" s="38" t="inlineStr">
        <is>
          <t>Cabacés</t>
        </is>
      </c>
      <c r="C145" s="38" t="inlineStr">
        <is>
          <t>31,27</t>
        </is>
      </c>
      <c r="D145" s="38" t="inlineStr">
        <is>
          <t>9,4</t>
        </is>
      </c>
      <c r="E145" s="38" t="inlineStr">
        <is>
          <t>1</t>
        </is>
      </c>
    </row>
    <row r="146" ht="15" customHeight="1" s="39">
      <c r="A146" s="42" t="inlineStr">
        <is>
          <t>250609</t>
        </is>
      </c>
      <c r="B146" s="38" t="inlineStr">
        <is>
          <t>Cabanabona</t>
        </is>
      </c>
      <c r="C146" s="38" t="inlineStr">
        <is>
          <t>14,16</t>
        </is>
      </c>
      <c r="D146" s="38" t="inlineStr">
        <is>
          <t>4,9</t>
        </is>
      </c>
      <c r="E146" s="38" t="inlineStr">
        <is>
          <t>2</t>
        </is>
      </c>
    </row>
    <row r="147" ht="15" customHeight="1" s="39">
      <c r="A147" s="42" t="inlineStr">
        <is>
          <t>170314</t>
        </is>
      </c>
      <c r="B147" s="38" t="inlineStr">
        <is>
          <t>Cabanelles</t>
        </is>
      </c>
      <c r="C147" s="38" t="inlineStr">
        <is>
          <t>55,58</t>
        </is>
      </c>
      <c r="D147" s="38" t="inlineStr">
        <is>
          <t>5,1</t>
        </is>
      </c>
      <c r="E147" s="38" t="inlineStr">
        <is>
          <t>6</t>
        </is>
      </c>
    </row>
    <row r="148" ht="15" customHeight="1" s="39">
      <c r="A148" s="42" t="inlineStr">
        <is>
          <t>170307</t>
        </is>
      </c>
      <c r="B148" s="38" t="inlineStr">
        <is>
          <t>Cabanes</t>
        </is>
      </c>
      <c r="C148" s="38" t="inlineStr">
        <is>
          <t>15,02</t>
        </is>
      </c>
      <c r="D148" s="38" t="inlineStr">
        <is>
          <t>66,4</t>
        </is>
      </c>
      <c r="E148" s="38" t="inlineStr">
        <is>
          <t>5</t>
        </is>
      </c>
    </row>
    <row r="149" ht="15" customHeight="1" s="39">
      <c r="A149" s="42" t="inlineStr">
        <is>
          <t>080272</t>
        </is>
      </c>
      <c r="B149" s="38" t="inlineStr">
        <is>
          <t>Cabanyes, les</t>
        </is>
      </c>
      <c r="C149" s="38" t="inlineStr">
        <is>
          <t>1,15</t>
        </is>
      </c>
      <c r="D149" s="38" t="inlineStr">
        <is>
          <t>925,2</t>
        </is>
      </c>
      <c r="E149" s="38" t="inlineStr">
        <is>
          <t>1</t>
        </is>
      </c>
    </row>
    <row r="150" ht="15" customHeight="1" s="39">
      <c r="A150" s="42" t="inlineStr">
        <is>
          <t>250616</t>
        </is>
      </c>
      <c r="B150" s="38" t="inlineStr">
        <is>
          <t>Cabó</t>
        </is>
      </c>
      <c r="C150" s="38" t="inlineStr">
        <is>
          <t>80,33</t>
        </is>
      </c>
      <c r="D150" s="38" t="inlineStr">
        <is>
          <t>1,1</t>
        </is>
      </c>
      <c r="E150" s="38" t="inlineStr">
        <is>
          <t>3</t>
        </is>
      </c>
    </row>
    <row r="151" ht="15" customHeight="1" s="39">
      <c r="A151" s="42" t="inlineStr">
        <is>
          <t>430363</t>
        </is>
      </c>
      <c r="B151" s="38" t="inlineStr">
        <is>
          <t>Cabra del Camp</t>
        </is>
      </c>
      <c r="C151" s="38" t="inlineStr">
        <is>
          <t>26,95</t>
        </is>
      </c>
      <c r="D151" s="38" t="inlineStr">
        <is>
          <t>51,5</t>
        </is>
      </c>
      <c r="E151" s="38" t="inlineStr">
        <is>
          <t>4</t>
        </is>
      </c>
    </row>
    <row r="152" ht="15" customHeight="1" s="39">
      <c r="A152" s="42" t="inlineStr">
        <is>
          <t>080288</t>
        </is>
      </c>
      <c r="B152" s="38" t="inlineStr">
        <is>
          <t>Cabrera d'Anoia</t>
        </is>
      </c>
      <c r="C152" s="38" t="inlineStr">
        <is>
          <t>17,00</t>
        </is>
      </c>
      <c r="D152" s="38" t="inlineStr">
        <is>
          <t>104,5</t>
        </is>
      </c>
      <c r="E152" s="38" t="inlineStr">
        <is>
          <t>14</t>
        </is>
      </c>
    </row>
    <row r="153" ht="15" customHeight="1" s="39">
      <c r="A153" s="42" t="inlineStr">
        <is>
          <t>080291</t>
        </is>
      </c>
      <c r="B153" s="38" t="inlineStr">
        <is>
          <t>Cabrera de Mar</t>
        </is>
      </c>
      <c r="C153" s="38" t="inlineStr">
        <is>
          <t>8,98</t>
        </is>
      </c>
      <c r="D153" s="38" t="inlineStr">
        <is>
          <t>562,7</t>
        </is>
      </c>
      <c r="E153" s="38" t="inlineStr">
        <is>
          <t>1</t>
        </is>
      </c>
    </row>
    <row r="154" ht="15" customHeight="1" s="39">
      <c r="A154" s="42" t="inlineStr">
        <is>
          <t>080305</t>
        </is>
      </c>
      <c r="B154" s="38" t="inlineStr">
        <is>
          <t>Cabrils</t>
        </is>
      </c>
      <c r="C154" s="38" t="inlineStr">
        <is>
          <t>7,05</t>
        </is>
      </c>
      <c r="D154" s="38" t="inlineStr">
        <is>
          <t>1100,0</t>
        </is>
      </c>
      <c r="E154" s="38" t="inlineStr">
        <is>
          <t>1</t>
        </is>
      </c>
    </row>
    <row r="155" ht="15" customHeight="1" s="39">
      <c r="A155" s="42" t="inlineStr">
        <is>
          <t>170329</t>
        </is>
      </c>
      <c r="B155" s="38" t="inlineStr">
        <is>
          <t>Cadaqués</t>
        </is>
      </c>
      <c r="C155" s="38" t="inlineStr">
        <is>
          <t>26,43</t>
        </is>
      </c>
      <c r="D155" s="38" t="inlineStr">
        <is>
          <t>110,0</t>
        </is>
      </c>
      <c r="E155" s="38" t="inlineStr">
        <is>
          <t>1</t>
        </is>
      </c>
    </row>
    <row r="156" ht="15" customHeight="1" s="39">
      <c r="A156" s="42" t="inlineStr">
        <is>
          <t>080312</t>
        </is>
      </c>
      <c r="B156" s="38" t="inlineStr">
        <is>
          <t>Calaf</t>
        </is>
      </c>
      <c r="C156" s="38" t="inlineStr">
        <is>
          <t>9,22</t>
        </is>
      </c>
      <c r="D156" s="38" t="inlineStr">
        <is>
          <t>393,4</t>
        </is>
      </c>
      <c r="E156" s="38" t="inlineStr">
        <is>
          <t>2</t>
        </is>
      </c>
    </row>
    <row r="157" ht="15" customHeight="1" s="39">
      <c r="A157" s="42" t="inlineStr">
        <is>
          <t>430379</t>
        </is>
      </c>
      <c r="B157" s="38" t="inlineStr">
        <is>
          <t>Calafell</t>
        </is>
      </c>
      <c r="C157" s="38" t="inlineStr">
        <is>
          <t>20,38</t>
        </is>
      </c>
      <c r="D157" s="38" t="inlineStr">
        <is>
          <t>1591,2</t>
        </is>
      </c>
      <c r="E157" s="38" t="inlineStr">
        <is>
          <t>5</t>
        </is>
      </c>
    </row>
    <row r="158" ht="15" customHeight="1" s="39">
      <c r="A158" s="42" t="inlineStr">
        <is>
          <t>080348</t>
        </is>
      </c>
      <c r="B158" s="38" t="inlineStr">
        <is>
          <t>Calders</t>
        </is>
      </c>
      <c r="C158" s="38" t="inlineStr">
        <is>
          <t>33,09</t>
        </is>
      </c>
      <c r="D158" s="38" t="inlineStr">
        <is>
          <t>33,9</t>
        </is>
      </c>
      <c r="E158" s="38" t="inlineStr">
        <is>
          <t>2</t>
        </is>
      </c>
    </row>
    <row r="159" ht="15" customHeight="1" s="39">
      <c r="A159" s="42" t="inlineStr">
        <is>
          <t>080327</t>
        </is>
      </c>
      <c r="B159" s="38" t="inlineStr">
        <is>
          <t>Caldes d'Estrac</t>
        </is>
      </c>
      <c r="C159" s="38" t="inlineStr">
        <is>
          <t>0,88</t>
        </is>
      </c>
      <c r="D159" s="38" t="inlineStr">
        <is>
          <t>3804,5</t>
        </is>
      </c>
      <c r="E159" s="38" t="inlineStr">
        <is>
          <t>1</t>
        </is>
      </c>
    </row>
    <row r="160" ht="15" customHeight="1" s="39">
      <c r="A160" s="42" t="inlineStr">
        <is>
          <t>170335</t>
        </is>
      </c>
      <c r="B160" s="38" t="inlineStr">
        <is>
          <t>Caldes de Malavella</t>
        </is>
      </c>
      <c r="C160" s="38" t="inlineStr">
        <is>
          <t>57,33</t>
        </is>
      </c>
      <c r="D160" s="38" t="inlineStr">
        <is>
          <t>150,8</t>
        </is>
      </c>
      <c r="E160" s="38" t="inlineStr">
        <is>
          <t>15</t>
        </is>
      </c>
    </row>
    <row r="161" ht="15" customHeight="1" s="39">
      <c r="A161" s="42" t="inlineStr">
        <is>
          <t>080333</t>
        </is>
      </c>
      <c r="B161" s="38" t="inlineStr">
        <is>
          <t>Caldes de Montbui</t>
        </is>
      </c>
      <c r="C161" s="38" t="inlineStr">
        <is>
          <t>37,45</t>
        </is>
      </c>
      <c r="D161" s="38" t="inlineStr">
        <is>
          <t>495,4</t>
        </is>
      </c>
      <c r="E161" s="38" t="inlineStr">
        <is>
          <t>4</t>
        </is>
      </c>
    </row>
    <row r="162" ht="15" customHeight="1" s="39">
      <c r="A162" s="42" t="inlineStr">
        <is>
          <t>080351</t>
        </is>
      </c>
      <c r="B162" s="38" t="inlineStr">
        <is>
          <t>Calella</t>
        </is>
      </c>
      <c r="C162" s="38" t="inlineStr">
        <is>
          <t>8,00</t>
        </is>
      </c>
      <c r="D162" s="38" t="inlineStr">
        <is>
          <t>2596,9</t>
        </is>
      </c>
      <c r="E162" s="38" t="inlineStr">
        <is>
          <t>6</t>
        </is>
      </c>
    </row>
    <row r="163" ht="15" customHeight="1" s="39">
      <c r="A163" s="42" t="inlineStr">
        <is>
          <t>080370</t>
        </is>
      </c>
      <c r="B163" s="38" t="inlineStr">
        <is>
          <t>Calldetenes</t>
        </is>
      </c>
      <c r="C163" s="38" t="inlineStr">
        <is>
          <t>5,80</t>
        </is>
      </c>
      <c r="D163" s="38" t="inlineStr">
        <is>
          <t>469,7</t>
        </is>
      </c>
      <c r="E163" s="38" t="inlineStr">
        <is>
          <t>2</t>
        </is>
      </c>
    </row>
    <row r="164" ht="15" customHeight="1" s="39">
      <c r="A164" s="42" t="inlineStr">
        <is>
          <t>080386</t>
        </is>
      </c>
      <c r="B164" s="38" t="inlineStr">
        <is>
          <t>Callús</t>
        </is>
      </c>
      <c r="C164" s="38" t="inlineStr">
        <is>
          <t>12,50</t>
        </is>
      </c>
      <c r="D164" s="38" t="inlineStr">
        <is>
          <t>175,4</t>
        </is>
      </c>
      <c r="E164" s="38" t="inlineStr">
        <is>
          <t>6</t>
        </is>
      </c>
    </row>
    <row r="165" ht="15" customHeight="1" s="39">
      <c r="A165" s="42" t="inlineStr">
        <is>
          <t>080364</t>
        </is>
      </c>
      <c r="B165" s="38" t="inlineStr">
        <is>
          <t>Calonge de Segarra</t>
        </is>
      </c>
      <c r="C165" s="38" t="inlineStr">
        <is>
          <t>37,15</t>
        </is>
      </c>
      <c r="D165" s="38" t="inlineStr">
        <is>
          <t>4,8</t>
        </is>
      </c>
      <c r="E165" s="38" t="inlineStr">
        <is>
          <t>6</t>
        </is>
      </c>
    </row>
    <row r="166" ht="15" customHeight="1" s="39">
      <c r="A166" s="42" t="inlineStr">
        <is>
          <t>170340</t>
        </is>
      </c>
      <c r="B166" s="38" t="inlineStr">
        <is>
          <t>Calonge i Sant Antoni</t>
        </is>
      </c>
      <c r="C166" s="38" t="inlineStr">
        <is>
          <t>33,57</t>
        </is>
      </c>
      <c r="D166" s="38" t="inlineStr">
        <is>
          <t>365,4</t>
        </is>
      </c>
      <c r="E166" s="38" t="inlineStr">
        <is>
          <t>5</t>
        </is>
      </c>
    </row>
    <row r="167" ht="15" customHeight="1" s="39">
      <c r="A167" s="42" t="inlineStr">
        <is>
          <t>250621</t>
        </is>
      </c>
      <c r="B167" s="38" t="inlineStr">
        <is>
          <t>Camarasa</t>
        </is>
      </c>
      <c r="C167" s="38" t="inlineStr">
        <is>
          <t>157,13</t>
        </is>
      </c>
      <c r="D167" s="38" t="inlineStr">
        <is>
          <t>5,1</t>
        </is>
      </c>
      <c r="E167" s="38" t="inlineStr">
        <is>
          <t>7</t>
        </is>
      </c>
    </row>
    <row r="168" ht="15" customHeight="1" s="39">
      <c r="A168" s="42" t="inlineStr">
        <is>
          <t>439039</t>
        </is>
      </c>
      <c r="B168" s="38" t="inlineStr">
        <is>
          <t>Camarles</t>
        </is>
      </c>
      <c r="C168" s="38" t="inlineStr">
        <is>
          <t>25,16</t>
        </is>
      </c>
      <c r="D168" s="38" t="inlineStr">
        <is>
          <t>139,1</t>
        </is>
      </c>
      <c r="E168" s="38" t="inlineStr">
        <is>
          <t>3</t>
        </is>
      </c>
    </row>
    <row r="169" ht="15" customHeight="1" s="39">
      <c r="A169" s="42" t="inlineStr">
        <is>
          <t>430385</t>
        </is>
      </c>
      <c r="B169" s="38" t="inlineStr">
        <is>
          <t>Cambrils</t>
        </is>
      </c>
      <c r="C169" s="38" t="inlineStr">
        <is>
          <t>35,21</t>
        </is>
      </c>
      <c r="D169" s="38" t="inlineStr">
        <is>
          <t>1052,8</t>
        </is>
      </c>
      <c r="E169" s="38" t="inlineStr">
        <is>
          <t>6</t>
        </is>
      </c>
    </row>
    <row r="170" ht="15" customHeight="1" s="39">
      <c r="A170" s="42" t="inlineStr">
        <is>
          <t>170353</t>
        </is>
      </c>
      <c r="B170" s="38" t="inlineStr">
        <is>
          <t>Camós</t>
        </is>
      </c>
      <c r="C170" s="38" t="inlineStr">
        <is>
          <t>15,66</t>
        </is>
      </c>
      <c r="D170" s="38" t="inlineStr">
        <is>
          <t>44,7</t>
        </is>
      </c>
      <c r="E170" s="38" t="inlineStr">
        <is>
          <t>2</t>
        </is>
      </c>
    </row>
    <row r="171" ht="15" customHeight="1" s="39">
      <c r="A171" s="42" t="inlineStr">
        <is>
          <t>170366</t>
        </is>
      </c>
      <c r="B171" s="38" t="inlineStr">
        <is>
          <t>Campdevànol</t>
        </is>
      </c>
      <c r="C171" s="38" t="inlineStr">
        <is>
          <t>32,62</t>
        </is>
      </c>
      <c r="D171" s="38" t="inlineStr">
        <is>
          <t>99,3</t>
        </is>
      </c>
      <c r="E171" s="38" t="inlineStr">
        <is>
          <t>8</t>
        </is>
      </c>
    </row>
    <row r="172" ht="15" customHeight="1" s="39">
      <c r="A172" s="42" t="inlineStr">
        <is>
          <t>170372</t>
        </is>
      </c>
      <c r="B172" s="38" t="inlineStr">
        <is>
          <t>Campelles</t>
        </is>
      </c>
      <c r="C172" s="38" t="inlineStr">
        <is>
          <t>18,64</t>
        </is>
      </c>
      <c r="D172" s="38" t="inlineStr">
        <is>
          <t>8,7</t>
        </is>
      </c>
      <c r="E172" s="38" t="inlineStr">
        <is>
          <t>2</t>
        </is>
      </c>
    </row>
    <row r="173" ht="15" customHeight="1" s="39">
      <c r="A173" s="42" t="inlineStr">
        <is>
          <t>080399</t>
        </is>
      </c>
      <c r="B173" s="38" t="inlineStr">
        <is>
          <t>Campins</t>
        </is>
      </c>
      <c r="C173" s="38" t="inlineStr">
        <is>
          <t>7,29</t>
        </is>
      </c>
      <c r="D173" s="38" t="inlineStr">
        <is>
          <t>80,7</t>
        </is>
      </c>
      <c r="E173" s="38" t="inlineStr">
        <is>
          <t>1</t>
        </is>
      </c>
    </row>
    <row r="174" ht="15" customHeight="1" s="39">
      <c r="A174" s="42" t="inlineStr">
        <is>
          <t>170388</t>
        </is>
      </c>
      <c r="B174" s="38" t="inlineStr">
        <is>
          <t>Campllong</t>
        </is>
      </c>
      <c r="C174" s="38" t="inlineStr">
        <is>
          <t>8,59</t>
        </is>
      </c>
      <c r="D174" s="38" t="inlineStr">
        <is>
          <t>62,2</t>
        </is>
      </c>
      <c r="E174" s="38" t="inlineStr">
        <is>
          <t>7</t>
        </is>
      </c>
    </row>
    <row r="175" ht="15" customHeight="1" s="39">
      <c r="A175" s="42" t="inlineStr">
        <is>
          <t>170391</t>
        </is>
      </c>
      <c r="B175" s="38" t="inlineStr">
        <is>
          <t>Camprodon</t>
        </is>
      </c>
      <c r="C175" s="38" t="inlineStr">
        <is>
          <t>103,38</t>
        </is>
      </c>
      <c r="D175" s="38" t="inlineStr">
        <is>
          <t>24,8</t>
        </is>
      </c>
      <c r="E175" s="38" t="inlineStr">
        <is>
          <t>11</t>
        </is>
      </c>
    </row>
    <row r="176" ht="15" customHeight="1" s="39">
      <c r="A176" s="42" t="inlineStr">
        <is>
          <t>250637</t>
        </is>
      </c>
      <c r="B176" s="38" t="inlineStr">
        <is>
          <t>Canejan</t>
        </is>
      </c>
      <c r="C176" s="38" t="inlineStr">
        <is>
          <t>48,32</t>
        </is>
      </c>
      <c r="D176" s="38" t="inlineStr">
        <is>
          <t>2,0</t>
        </is>
      </c>
      <c r="E176" s="38" t="inlineStr">
        <is>
          <t>9</t>
        </is>
      </c>
    </row>
    <row r="177" ht="15" customHeight="1" s="39">
      <c r="A177" s="42" t="inlineStr">
        <is>
          <t>170405</t>
        </is>
      </c>
      <c r="B177" s="38" t="inlineStr">
        <is>
          <t>Canet d'Adri</t>
        </is>
      </c>
      <c r="C177" s="38" t="inlineStr">
        <is>
          <t>44,41</t>
        </is>
      </c>
      <c r="D177" s="38" t="inlineStr">
        <is>
          <t>16,7</t>
        </is>
      </c>
      <c r="E177" s="38" t="inlineStr">
        <is>
          <t>6</t>
        </is>
      </c>
    </row>
    <row r="178" ht="15" customHeight="1" s="39">
      <c r="A178" s="42" t="inlineStr">
        <is>
          <t>080403</t>
        </is>
      </c>
      <c r="B178" s="38" t="inlineStr">
        <is>
          <t>Canet de Mar</t>
        </is>
      </c>
      <c r="C178" s="38" t="inlineStr">
        <is>
          <t>5,56</t>
        </is>
      </c>
      <c r="D178" s="38" t="inlineStr">
        <is>
          <t>2732,2</t>
        </is>
      </c>
      <c r="E178" s="38" t="inlineStr">
        <is>
          <t>1</t>
        </is>
      </c>
    </row>
    <row r="179" ht="15" customHeight="1" s="39">
      <c r="A179" s="42" t="inlineStr">
        <is>
          <t>439076</t>
        </is>
      </c>
      <c r="B179" s="38" t="inlineStr">
        <is>
          <t>Canonja, la</t>
        </is>
      </c>
      <c r="C179" s="38" t="inlineStr">
        <is>
          <t>7,32</t>
        </is>
      </c>
      <c r="D179" s="38" t="inlineStr">
        <is>
          <t>818,7</t>
        </is>
      </c>
      <c r="E179" s="38" t="inlineStr">
        <is>
          <t>1</t>
        </is>
      </c>
    </row>
    <row r="180" ht="15" customHeight="1" s="39">
      <c r="A180" s="42" t="inlineStr">
        <is>
          <t>080410</t>
        </is>
      </c>
      <c r="B180" s="38" t="inlineStr">
        <is>
          <t>Canovelles</t>
        </is>
      </c>
      <c r="C180" s="38" t="inlineStr">
        <is>
          <t>6,66</t>
        </is>
      </c>
      <c r="D180" s="38" t="inlineStr">
        <is>
          <t>2619,4</t>
        </is>
      </c>
      <c r="E180" s="38" t="inlineStr">
        <is>
          <t>13</t>
        </is>
      </c>
    </row>
    <row r="181" ht="15" customHeight="1" s="39">
      <c r="A181" s="42" t="inlineStr">
        <is>
          <t>080425</t>
        </is>
      </c>
      <c r="B181" s="38" t="inlineStr">
        <is>
          <t>Cànoves i Samalús</t>
        </is>
      </c>
      <c r="C181" s="38" t="inlineStr">
        <is>
          <t>29,19</t>
        </is>
      </c>
      <c r="D181" s="38" t="inlineStr">
        <is>
          <t>116,2</t>
        </is>
      </c>
      <c r="E181" s="38" t="inlineStr">
        <is>
          <t>8</t>
        </is>
      </c>
    </row>
    <row r="182" ht="15" customHeight="1" s="39">
      <c r="A182" s="42" t="inlineStr">
        <is>
          <t>170412</t>
        </is>
      </c>
      <c r="B182" s="38" t="inlineStr">
        <is>
          <t>Cantallops</t>
        </is>
      </c>
      <c r="C182" s="38" t="inlineStr">
        <is>
          <t>19,62</t>
        </is>
      </c>
      <c r="D182" s="38" t="inlineStr">
        <is>
          <t>18,7</t>
        </is>
      </c>
      <c r="E182" s="38" t="inlineStr">
        <is>
          <t>1</t>
        </is>
      </c>
    </row>
    <row r="183" ht="15" customHeight="1" s="39">
      <c r="A183" s="42" t="inlineStr">
        <is>
          <t>080431</t>
        </is>
      </c>
      <c r="B183" s="38" t="inlineStr">
        <is>
          <t>Canyelles</t>
        </is>
      </c>
      <c r="C183" s="38" t="inlineStr">
        <is>
          <t>14,23</t>
        </is>
      </c>
      <c r="D183" s="38" t="inlineStr">
        <is>
          <t>386,1</t>
        </is>
      </c>
      <c r="E183" s="38" t="inlineStr">
        <is>
          <t>1</t>
        </is>
      </c>
    </row>
    <row r="184" ht="15" customHeight="1" s="39">
      <c r="A184" s="42" t="inlineStr">
        <is>
          <t>430398</t>
        </is>
      </c>
      <c r="B184" s="38" t="inlineStr">
        <is>
          <t>Capafonts</t>
        </is>
      </c>
      <c r="C184" s="38" t="inlineStr">
        <is>
          <t>13,35</t>
        </is>
      </c>
      <c r="D184" s="38" t="inlineStr">
        <is>
          <t>7,6</t>
        </is>
      </c>
      <c r="E184" s="38" t="inlineStr">
        <is>
          <t>1</t>
        </is>
      </c>
    </row>
    <row r="185" ht="15" customHeight="1" s="39">
      <c r="A185" s="42" t="inlineStr">
        <is>
          <t>430402</t>
        </is>
      </c>
      <c r="B185" s="38" t="inlineStr">
        <is>
          <t>Capçanes</t>
        </is>
      </c>
      <c r="C185" s="38" t="inlineStr">
        <is>
          <t>22,49</t>
        </is>
      </c>
      <c r="D185" s="38" t="inlineStr">
        <is>
          <t>19,8</t>
        </is>
      </c>
      <c r="E185" s="38" t="inlineStr">
        <is>
          <t>1</t>
        </is>
      </c>
    </row>
    <row r="186" ht="15" customHeight="1" s="39">
      <c r="A186" s="42" t="inlineStr">
        <is>
          <t>080446</t>
        </is>
      </c>
      <c r="B186" s="38" t="inlineStr">
        <is>
          <t>Capellades</t>
        </is>
      </c>
      <c r="C186" s="38" t="inlineStr">
        <is>
          <t>2,94</t>
        </is>
      </c>
      <c r="D186" s="38" t="inlineStr">
        <is>
          <t>1904,1</t>
        </is>
      </c>
      <c r="E186" s="38" t="inlineStr">
        <is>
          <t>1</t>
        </is>
      </c>
    </row>
    <row r="187" ht="15" customHeight="1" s="39">
      <c r="A187" s="42" t="inlineStr">
        <is>
          <t>170427</t>
        </is>
      </c>
      <c r="B187" s="38" t="inlineStr">
        <is>
          <t>Capmany</t>
        </is>
      </c>
      <c r="C187" s="38" t="inlineStr">
        <is>
          <t>26,40</t>
        </is>
      </c>
      <c r="D187" s="38" t="inlineStr">
        <is>
          <t>25,6</t>
        </is>
      </c>
      <c r="E187" s="38" t="inlineStr">
        <is>
          <t>5</t>
        </is>
      </c>
    </row>
    <row r="188" ht="15" customHeight="1" s="39">
      <c r="A188" s="42" t="inlineStr">
        <is>
          <t>080459</t>
        </is>
      </c>
      <c r="B188" s="38" t="inlineStr">
        <is>
          <t>Capolat</t>
        </is>
      </c>
      <c r="C188" s="38" t="inlineStr">
        <is>
          <t>34,13</t>
        </is>
      </c>
      <c r="D188" s="38" t="inlineStr">
        <is>
          <t>2,7</t>
        </is>
      </c>
      <c r="E188" s="38" t="inlineStr">
        <is>
          <t>5</t>
        </is>
      </c>
    </row>
    <row r="189" ht="15" customHeight="1" s="39">
      <c r="A189" s="42" t="inlineStr">
        <is>
          <t>080462</t>
        </is>
      </c>
      <c r="B189" s="38" t="inlineStr">
        <is>
          <t>Cardedeu</t>
        </is>
      </c>
      <c r="C189" s="38" t="inlineStr">
        <is>
          <t>12,10</t>
        </is>
      </c>
      <c r="D189" s="38" t="inlineStr">
        <is>
          <t>1574,4</t>
        </is>
      </c>
      <c r="E189" s="38" t="inlineStr">
        <is>
          <t>1</t>
        </is>
      </c>
    </row>
    <row r="190" ht="15" customHeight="1" s="39">
      <c r="A190" s="42" t="inlineStr">
        <is>
          <t>080478</t>
        </is>
      </c>
      <c r="B190" s="38" t="inlineStr">
        <is>
          <t>Cardona</t>
        </is>
      </c>
      <c r="C190" s="38" t="inlineStr">
        <is>
          <t>66,70</t>
        </is>
      </c>
      <c r="D190" s="38" t="inlineStr">
        <is>
          <t>68,1</t>
        </is>
      </c>
      <c r="E190" s="38" t="inlineStr">
        <is>
          <t>2</t>
        </is>
      </c>
    </row>
    <row r="191" ht="15" customHeight="1" s="39">
      <c r="A191" s="42" t="inlineStr">
        <is>
          <t>080484</t>
        </is>
      </c>
      <c r="B191" s="38" t="inlineStr">
        <is>
          <t>Carme</t>
        </is>
      </c>
      <c r="C191" s="38" t="inlineStr">
        <is>
          <t>11,68</t>
        </is>
      </c>
      <c r="D191" s="38" t="inlineStr">
        <is>
          <t>73,6</t>
        </is>
      </c>
      <c r="E191" s="38" t="inlineStr">
        <is>
          <t>3</t>
        </is>
      </c>
    </row>
    <row r="192" ht="15" customHeight="1" s="39">
      <c r="A192" s="42" t="inlineStr">
        <is>
          <t>430419</t>
        </is>
      </c>
      <c r="B192" s="38" t="inlineStr">
        <is>
          <t>Caseres</t>
        </is>
      </c>
      <c r="C192" s="38" t="inlineStr">
        <is>
          <t>42,90</t>
        </is>
      </c>
      <c r="D192" s="38" t="inlineStr">
        <is>
          <t>5,8</t>
        </is>
      </c>
      <c r="E192" s="38" t="inlineStr">
        <is>
          <t>1</t>
        </is>
      </c>
    </row>
    <row r="193" ht="15" customHeight="1" s="39">
      <c r="A193" s="42" t="inlineStr">
        <is>
          <t>170448</t>
        </is>
      </c>
      <c r="B193" s="38" t="inlineStr">
        <is>
          <t>Cassà de la Selva</t>
        </is>
      </c>
      <c r="C193" s="38" t="inlineStr">
        <is>
          <t>45,21</t>
        </is>
      </c>
      <c r="D193" s="38" t="inlineStr">
        <is>
          <t>247,0</t>
        </is>
      </c>
      <c r="E193" s="38" t="inlineStr">
        <is>
          <t>11</t>
        </is>
      </c>
    </row>
    <row r="194" ht="15" customHeight="1" s="39">
      <c r="A194" s="42" t="inlineStr">
        <is>
          <t>080497</t>
        </is>
      </c>
      <c r="B194" s="38" t="inlineStr">
        <is>
          <t>Casserres</t>
        </is>
      </c>
      <c r="C194" s="38" t="inlineStr">
        <is>
          <t>29,46</t>
        </is>
      </c>
      <c r="D194" s="38" t="inlineStr">
        <is>
          <t>56,5</t>
        </is>
      </c>
      <c r="E194" s="38" t="inlineStr">
        <is>
          <t>3</t>
        </is>
      </c>
    </row>
    <row r="195" ht="15" customHeight="1" s="39">
      <c r="A195" s="42" t="inlineStr">
        <is>
          <t>170486</t>
        </is>
      </c>
      <c r="B195" s="38" t="inlineStr">
        <is>
          <t>Castell d'Aro, Platja d'Aro i s'Agaró</t>
        </is>
      </c>
      <c r="C195" s="38" t="inlineStr">
        <is>
          <t>21,74</t>
        </is>
      </c>
      <c r="D195" s="38" t="inlineStr">
        <is>
          <t>592,9</t>
        </is>
      </c>
      <c r="E195" s="38" t="inlineStr">
        <is>
          <t>3</t>
        </is>
      </c>
    </row>
    <row r="196" ht="15" customHeight="1" s="39">
      <c r="A196" s="42" t="inlineStr">
        <is>
          <t>080575</t>
        </is>
      </c>
      <c r="B196" s="38" t="inlineStr">
        <is>
          <t>Castell de l'Areny</t>
        </is>
      </c>
      <c r="C196" s="38" t="inlineStr">
        <is>
          <t>24,35</t>
        </is>
      </c>
      <c r="D196" s="38" t="inlineStr">
        <is>
          <t>2,8</t>
        </is>
      </c>
      <c r="E196" s="38" t="inlineStr">
        <is>
          <t>1</t>
        </is>
      </c>
    </row>
    <row r="197" ht="15" customHeight="1" s="39">
      <c r="A197" s="42" t="inlineStr">
        <is>
          <t>259046</t>
        </is>
      </c>
      <c r="B197" s="38" t="inlineStr">
        <is>
          <t>Castell de Mur</t>
        </is>
      </c>
      <c r="C197" s="38" t="inlineStr">
        <is>
          <t>62,42</t>
        </is>
      </c>
      <c r="D197" s="38" t="inlineStr">
        <is>
          <t>2,5</t>
        </is>
      </c>
      <c r="E197" s="38" t="inlineStr">
        <is>
          <t>8</t>
        </is>
      </c>
    </row>
    <row r="198" ht="15" customHeight="1" s="39">
      <c r="A198" s="42" t="inlineStr">
        <is>
          <t>250642</t>
        </is>
      </c>
      <c r="B198" s="38" t="inlineStr">
        <is>
          <t>Castellar de la Ribera</t>
        </is>
      </c>
      <c r="C198" s="38" t="inlineStr">
        <is>
          <t>60,19</t>
        </is>
      </c>
      <c r="D198" s="38" t="inlineStr">
        <is>
          <t>2,2</t>
        </is>
      </c>
      <c r="E198" s="38" t="inlineStr">
        <is>
          <t>4</t>
        </is>
      </c>
    </row>
    <row r="199" ht="15" customHeight="1" s="39">
      <c r="A199" s="42" t="inlineStr">
        <is>
          <t>080522</t>
        </is>
      </c>
      <c r="B199" s="38" t="inlineStr">
        <is>
          <t>Castellar de n'Hug</t>
        </is>
      </c>
      <c r="C199" s="38" t="inlineStr">
        <is>
          <t>47,12</t>
        </is>
      </c>
      <c r="D199" s="38" t="inlineStr">
        <is>
          <t>3,5</t>
        </is>
      </c>
      <c r="E199" s="38" t="inlineStr">
        <is>
          <t>1</t>
        </is>
      </c>
    </row>
    <row r="200" ht="15" customHeight="1" s="39">
      <c r="A200" s="42" t="inlineStr">
        <is>
          <t>080500</t>
        </is>
      </c>
      <c r="B200" s="38" t="inlineStr">
        <is>
          <t>Castellar del Riu</t>
        </is>
      </c>
      <c r="C200" s="38" t="inlineStr">
        <is>
          <t>32,74</t>
        </is>
      </c>
      <c r="D200" s="38" t="inlineStr">
        <is>
          <t>4,6</t>
        </is>
      </c>
      <c r="E200" s="38" t="inlineStr">
        <is>
          <t>4</t>
        </is>
      </c>
    </row>
    <row r="201" ht="15" customHeight="1" s="39">
      <c r="A201" s="42" t="inlineStr">
        <is>
          <t>080517</t>
        </is>
      </c>
      <c r="B201" s="38" t="inlineStr">
        <is>
          <t>Castellar del Vallès</t>
        </is>
      </c>
      <c r="C201" s="38" t="inlineStr">
        <is>
          <t>44,91</t>
        </is>
      </c>
      <c r="D201" s="38" t="inlineStr">
        <is>
          <t>565,5</t>
        </is>
      </c>
      <c r="E201" s="38" t="inlineStr">
        <is>
          <t>8</t>
        </is>
      </c>
    </row>
    <row r="202" ht="15" customHeight="1" s="39">
      <c r="A202" s="42" t="inlineStr">
        <is>
          <t>080538</t>
        </is>
      </c>
      <c r="B202" s="38" t="inlineStr">
        <is>
          <t>Castellbell i el Vilar</t>
        </is>
      </c>
      <c r="C202" s="38" t="inlineStr">
        <is>
          <t>28,47</t>
        </is>
      </c>
      <c r="D202" s="38" t="inlineStr">
        <is>
          <t>146,2</t>
        </is>
      </c>
      <c r="E202" s="38" t="inlineStr">
        <is>
          <t>19</t>
        </is>
      </c>
    </row>
    <row r="203" ht="15" customHeight="1" s="39">
      <c r="A203" s="42" t="inlineStr">
        <is>
          <t>080543</t>
        </is>
      </c>
      <c r="B203" s="38" t="inlineStr">
        <is>
          <t>Castellbisbal</t>
        </is>
      </c>
      <c r="C203" s="38" t="inlineStr">
        <is>
          <t>31,03</t>
        </is>
      </c>
      <c r="D203" s="38" t="inlineStr">
        <is>
          <t>420,8</t>
        </is>
      </c>
      <c r="E203" s="38" t="inlineStr">
        <is>
          <t>18</t>
        </is>
      </c>
    </row>
    <row r="204" ht="15" customHeight="1" s="39">
      <c r="A204" s="42" t="inlineStr">
        <is>
          <t>080556</t>
        </is>
      </c>
      <c r="B204" s="38" t="inlineStr">
        <is>
          <t>Castellcir</t>
        </is>
      </c>
      <c r="C204" s="38" t="inlineStr">
        <is>
          <t>34,18</t>
        </is>
      </c>
      <c r="D204" s="38" t="inlineStr">
        <is>
          <t>23,5</t>
        </is>
      </c>
      <c r="E204" s="38" t="inlineStr">
        <is>
          <t>4</t>
        </is>
      </c>
    </row>
    <row r="205" ht="15" customHeight="1" s="39">
      <c r="A205" s="42" t="inlineStr">
        <is>
          <t>250674</t>
        </is>
      </c>
      <c r="B205" s="38" t="inlineStr">
        <is>
          <t>Castelldans</t>
        </is>
      </c>
      <c r="C205" s="38" t="inlineStr">
        <is>
          <t>65,10</t>
        </is>
      </c>
      <c r="D205" s="38" t="inlineStr">
        <is>
          <t>14,7</t>
        </is>
      </c>
      <c r="E205" s="38" t="inlineStr">
        <is>
          <t>1</t>
        </is>
      </c>
    </row>
    <row r="206" ht="15" customHeight="1" s="39">
      <c r="A206" s="42" t="inlineStr">
        <is>
          <t>080569</t>
        </is>
      </c>
      <c r="B206" s="38" t="inlineStr">
        <is>
          <t>Castelldefels</t>
        </is>
      </c>
      <c r="C206" s="38" t="inlineStr">
        <is>
          <t>12,87</t>
        </is>
      </c>
      <c r="D206" s="38" t="inlineStr">
        <is>
          <t>5414,8</t>
        </is>
      </c>
      <c r="E206" s="38" t="inlineStr">
        <is>
          <t>1</t>
        </is>
      </c>
    </row>
    <row r="207" ht="15" customHeight="1" s="39">
      <c r="A207" s="42" t="inlineStr">
        <is>
          <t>080581</t>
        </is>
      </c>
      <c r="B207" s="38" t="inlineStr">
        <is>
          <t>Castellet i la Gornal</t>
        </is>
      </c>
      <c r="C207" s="38" t="inlineStr">
        <is>
          <t>47,48</t>
        </is>
      </c>
      <c r="D207" s="38" t="inlineStr">
        <is>
          <t>58,4</t>
        </is>
      </c>
      <c r="E207" s="38" t="inlineStr">
        <is>
          <t>12</t>
        </is>
      </c>
    </row>
    <row r="208" ht="15" customHeight="1" s="39">
      <c r="A208" s="42" t="inlineStr">
        <is>
          <t>170464</t>
        </is>
      </c>
      <c r="B208" s="38" t="inlineStr">
        <is>
          <t>Castellfollit de la Roca</t>
        </is>
      </c>
      <c r="C208" s="38" t="inlineStr">
        <is>
          <t>0,73</t>
        </is>
      </c>
      <c r="D208" s="38" t="inlineStr">
        <is>
          <t>1315,1</t>
        </is>
      </c>
      <c r="E208" s="38" t="inlineStr">
        <is>
          <t>1</t>
        </is>
      </c>
    </row>
    <row r="209" ht="15" customHeight="1" s="39">
      <c r="A209" s="42" t="inlineStr">
        <is>
          <t>080608</t>
        </is>
      </c>
      <c r="B209" s="38" t="inlineStr">
        <is>
          <t>Castellfollit de Riubregós</t>
        </is>
      </c>
      <c r="C209" s="38" t="inlineStr">
        <is>
          <t>26,21</t>
        </is>
      </c>
      <c r="D209" s="38" t="inlineStr">
        <is>
          <t>5,8</t>
        </is>
      </c>
      <c r="E209" s="38" t="inlineStr">
        <is>
          <t>1</t>
        </is>
      </c>
    </row>
    <row r="210" ht="15" customHeight="1" s="39">
      <c r="A210" s="42" t="inlineStr">
        <is>
          <t>080594</t>
        </is>
      </c>
      <c r="B210" s="38" t="inlineStr">
        <is>
          <t>Castellfollit del Boix</t>
        </is>
      </c>
      <c r="C210" s="38" t="inlineStr">
        <is>
          <t>58,90</t>
        </is>
      </c>
      <c r="D210" s="38" t="inlineStr">
        <is>
          <t>8,0</t>
        </is>
      </c>
      <c r="E210" s="38" t="inlineStr">
        <is>
          <t>6</t>
        </is>
      </c>
    </row>
    <row r="211" ht="15" customHeight="1" s="39">
      <c r="A211" s="42" t="inlineStr">
        <is>
          <t>080615</t>
        </is>
      </c>
      <c r="B211" s="38" t="inlineStr">
        <is>
          <t>Castellgalí</t>
        </is>
      </c>
      <c r="C211" s="38" t="inlineStr">
        <is>
          <t>17,21</t>
        </is>
      </c>
      <c r="D211" s="38" t="inlineStr">
        <is>
          <t>140,1</t>
        </is>
      </c>
      <c r="E211" s="38" t="inlineStr">
        <is>
          <t>8</t>
        </is>
      </c>
    </row>
    <row r="212" ht="15" customHeight="1" s="39">
      <c r="A212" s="42" t="inlineStr">
        <is>
          <t>080620</t>
        </is>
      </c>
      <c r="B212" s="38" t="inlineStr">
        <is>
          <t>Castellnou de Bages</t>
        </is>
      </c>
      <c r="C212" s="38" t="inlineStr">
        <is>
          <t>29,16</t>
        </is>
      </c>
      <c r="D212" s="38" t="inlineStr">
        <is>
          <t>50,4</t>
        </is>
      </c>
      <c r="E212" s="38" t="inlineStr">
        <is>
          <t>5</t>
        </is>
      </c>
    </row>
    <row r="213" ht="15" customHeight="1" s="39">
      <c r="A213" s="42" t="inlineStr">
        <is>
          <t>250680</t>
        </is>
      </c>
      <c r="B213" s="38" t="inlineStr">
        <is>
          <t>Castellnou de Seana</t>
        </is>
      </c>
      <c r="C213" s="38" t="inlineStr">
        <is>
          <t>16,11</t>
        </is>
      </c>
      <c r="D213" s="38" t="inlineStr">
        <is>
          <t>45,5</t>
        </is>
      </c>
      <c r="E213" s="38" t="inlineStr">
        <is>
          <t>1</t>
        </is>
      </c>
    </row>
    <row r="214" ht="15" customHeight="1" s="39">
      <c r="A214" s="42" t="inlineStr">
        <is>
          <t>170470</t>
        </is>
      </c>
      <c r="B214" s="38" t="inlineStr">
        <is>
          <t>Castelló d'Empúries</t>
        </is>
      </c>
      <c r="C214" s="38" t="inlineStr">
        <is>
          <t>42,30</t>
        </is>
      </c>
      <c r="D214" s="38" t="inlineStr">
        <is>
          <t>290,2</t>
        </is>
      </c>
      <c r="E214" s="38" t="inlineStr">
        <is>
          <t>2</t>
        </is>
      </c>
    </row>
    <row r="215" ht="15" customHeight="1" s="39">
      <c r="A215" s="42" t="inlineStr">
        <is>
          <t>250693</t>
        </is>
      </c>
      <c r="B215" s="38" t="inlineStr">
        <is>
          <t>Castelló de Farfanya</t>
        </is>
      </c>
      <c r="C215" s="38" t="inlineStr">
        <is>
          <t>52,62</t>
        </is>
      </c>
      <c r="D215" s="38" t="inlineStr">
        <is>
          <t>10,4</t>
        </is>
      </c>
      <c r="E215" s="38" t="inlineStr">
        <is>
          <t>1</t>
        </is>
      </c>
    </row>
    <row r="216" ht="15" customHeight="1" s="39">
      <c r="A216" s="42" t="inlineStr">
        <is>
          <t>080636</t>
        </is>
      </c>
      <c r="B216" s="38" t="inlineStr">
        <is>
          <t>Castellolí</t>
        </is>
      </c>
      <c r="C216" s="38" t="inlineStr">
        <is>
          <t>25,28</t>
        </is>
      </c>
      <c r="D216" s="38" t="inlineStr">
        <is>
          <t>26,5</t>
        </is>
      </c>
      <c r="E216" s="38" t="inlineStr">
        <is>
          <t>3</t>
        </is>
      </c>
    </row>
    <row r="217" ht="15" customHeight="1" s="39">
      <c r="A217" s="42" t="inlineStr">
        <is>
          <t>250707</t>
        </is>
      </c>
      <c r="B217" s="38" t="inlineStr">
        <is>
          <t>Castellserà</t>
        </is>
      </c>
      <c r="C217" s="38" t="inlineStr">
        <is>
          <t>15,84</t>
        </is>
      </c>
      <c r="D217" s="38" t="inlineStr">
        <is>
          <t>62,3</t>
        </is>
      </c>
      <c r="E217" s="38" t="inlineStr">
        <is>
          <t>1</t>
        </is>
      </c>
    </row>
    <row r="218" ht="15" customHeight="1" s="39">
      <c r="A218" s="42" t="inlineStr">
        <is>
          <t>080641</t>
        </is>
      </c>
      <c r="B218" s="38" t="inlineStr">
        <is>
          <t>Castellterçol</t>
        </is>
      </c>
      <c r="C218" s="38" t="inlineStr">
        <is>
          <t>31,90</t>
        </is>
      </c>
      <c r="D218" s="38" t="inlineStr">
        <is>
          <t>86,0</t>
        </is>
      </c>
      <c r="E218" s="38" t="inlineStr">
        <is>
          <t>1</t>
        </is>
      </c>
    </row>
    <row r="219" ht="15" customHeight="1" s="39">
      <c r="A219" s="42" t="inlineStr">
        <is>
          <t>430424</t>
        </is>
      </c>
      <c r="B219" s="38" t="inlineStr">
        <is>
          <t>Castellvell del Camp</t>
        </is>
      </c>
      <c r="C219" s="38" t="inlineStr">
        <is>
          <t>5,21</t>
        </is>
      </c>
      <c r="D219" s="38" t="inlineStr">
        <is>
          <t>576,0</t>
        </is>
      </c>
      <c r="E219" s="38" t="inlineStr">
        <is>
          <t>11</t>
        </is>
      </c>
    </row>
    <row r="220" ht="15" customHeight="1" s="39">
      <c r="A220" s="42" t="inlineStr">
        <is>
          <t>080654</t>
        </is>
      </c>
      <c r="B220" s="38" t="inlineStr">
        <is>
          <t>Castellví de la Marca</t>
        </is>
      </c>
      <c r="C220" s="38" t="inlineStr">
        <is>
          <t>28,40</t>
        </is>
      </c>
      <c r="D220" s="38" t="inlineStr">
        <is>
          <t>60,5</t>
        </is>
      </c>
      <c r="E220" s="38" t="inlineStr">
        <is>
          <t>15</t>
        </is>
      </c>
    </row>
    <row r="221" ht="15" customHeight="1" s="39">
      <c r="A221" s="42" t="inlineStr">
        <is>
          <t>080667</t>
        </is>
      </c>
      <c r="B221" s="38" t="inlineStr">
        <is>
          <t>Castellví de Rosanes</t>
        </is>
      </c>
      <c r="C221" s="38" t="inlineStr">
        <is>
          <t>16,38</t>
        </is>
      </c>
      <c r="D221" s="38" t="inlineStr">
        <is>
          <t>132,2</t>
        </is>
      </c>
      <c r="E221" s="38" t="inlineStr">
        <is>
          <t>6</t>
        </is>
      </c>
    </row>
    <row r="222" ht="15" customHeight="1" s="39">
      <c r="A222" s="42" t="inlineStr">
        <is>
          <t>430430</t>
        </is>
      </c>
      <c r="B222" s="38" t="inlineStr">
        <is>
          <t>Catllar, el</t>
        </is>
      </c>
      <c r="C222" s="38" t="inlineStr">
        <is>
          <t>26,43</t>
        </is>
      </c>
      <c r="D222" s="38" t="inlineStr">
        <is>
          <t>203,8</t>
        </is>
      </c>
      <c r="E222" s="38" t="inlineStr">
        <is>
          <t>25</t>
        </is>
      </c>
    </row>
    <row r="223" ht="15" customHeight="1" s="39">
      <c r="A223" s="42" t="inlineStr">
        <is>
          <t>250714</t>
        </is>
      </c>
      <c r="B223" s="38" t="inlineStr">
        <is>
          <t>Cava</t>
        </is>
      </c>
      <c r="C223" s="38" t="inlineStr">
        <is>
          <t>42,19</t>
        </is>
      </c>
      <c r="D223" s="38" t="inlineStr">
        <is>
          <t>0,9</t>
        </is>
      </c>
      <c r="E223" s="38" t="inlineStr">
        <is>
          <t>3</t>
        </is>
      </c>
    </row>
    <row r="224" ht="15" customHeight="1" s="39">
      <c r="A224" s="42" t="inlineStr">
        <is>
          <t>171899</t>
        </is>
      </c>
      <c r="B224" s="38" t="inlineStr">
        <is>
          <t>Cellera de Ter, la</t>
        </is>
      </c>
      <c r="C224" s="38" t="inlineStr">
        <is>
          <t>14,63</t>
        </is>
      </c>
      <c r="D224" s="38" t="inlineStr">
        <is>
          <t>139,0</t>
        </is>
      </c>
      <c r="E224" s="38" t="inlineStr">
        <is>
          <t>4</t>
        </is>
      </c>
    </row>
    <row r="225" ht="15" customHeight="1" s="39">
      <c r="A225" s="42" t="inlineStr">
        <is>
          <t>170499</t>
        </is>
      </c>
      <c r="B225" s="38" t="inlineStr">
        <is>
          <t>Celrà</t>
        </is>
      </c>
      <c r="C225" s="38" t="inlineStr">
        <is>
          <t>19,53</t>
        </is>
      </c>
      <c r="D225" s="38" t="inlineStr">
        <is>
          <t>287,4</t>
        </is>
      </c>
      <c r="E225" s="38" t="inlineStr">
        <is>
          <t>12</t>
        </is>
      </c>
    </row>
    <row r="226" ht="15" customHeight="1" s="39">
      <c r="A226" s="42" t="inlineStr">
        <is>
          <t>080673</t>
        </is>
      </c>
      <c r="B226" s="38" t="inlineStr">
        <is>
          <t>Centelles</t>
        </is>
      </c>
      <c r="C226" s="38" t="inlineStr">
        <is>
          <t>15,18</t>
        </is>
      </c>
      <c r="D226" s="38" t="inlineStr">
        <is>
          <t>517,8</t>
        </is>
      </c>
      <c r="E226" s="38" t="inlineStr">
        <is>
          <t>1</t>
        </is>
      </c>
    </row>
    <row r="227" ht="15" customHeight="1" s="39">
      <c r="A227" s="42" t="inlineStr">
        <is>
          <t>082687</t>
        </is>
      </c>
      <c r="B227" s="38" t="inlineStr">
        <is>
          <t>Cercs</t>
        </is>
      </c>
      <c r="C227" s="38" t="inlineStr">
        <is>
          <t>47,35</t>
        </is>
      </c>
      <c r="D227" s="38" t="inlineStr">
        <is>
          <t>26,1</t>
        </is>
      </c>
      <c r="E227" s="38" t="inlineStr">
        <is>
          <t>5</t>
        </is>
      </c>
    </row>
    <row r="228" ht="15" customHeight="1" s="39">
      <c r="A228" s="42" t="inlineStr">
        <is>
          <t>082665</t>
        </is>
      </c>
      <c r="B228" s="38" t="inlineStr">
        <is>
          <t>Cerdanyola del Vallès</t>
        </is>
      </c>
      <c r="C228" s="38" t="inlineStr">
        <is>
          <t>30,56</t>
        </is>
      </c>
      <c r="D228" s="38" t="inlineStr">
        <is>
          <t>1906,5</t>
        </is>
      </c>
      <c r="E228" s="38" t="inlineStr">
        <is>
          <t>2</t>
        </is>
      </c>
    </row>
    <row r="229" ht="15" customHeight="1" s="39">
      <c r="A229" s="42" t="inlineStr">
        <is>
          <t>080689</t>
        </is>
      </c>
      <c r="B229" s="38" t="inlineStr">
        <is>
          <t>Cervelló</t>
        </is>
      </c>
      <c r="C229" s="38" t="inlineStr">
        <is>
          <t>24,10</t>
        </is>
      </c>
      <c r="D229" s="38" t="inlineStr">
        <is>
          <t>403,6</t>
        </is>
      </c>
      <c r="E229" s="38" t="inlineStr">
        <is>
          <t>16</t>
        </is>
      </c>
    </row>
    <row r="230" ht="15" customHeight="1" s="39">
      <c r="A230" s="42" t="inlineStr">
        <is>
          <t>250729</t>
        </is>
      </c>
      <c r="B230" s="38" t="inlineStr">
        <is>
          <t>Cervera</t>
        </is>
      </c>
      <c r="C230" s="38" t="inlineStr">
        <is>
          <t>55,19</t>
        </is>
      </c>
      <c r="D230" s="38" t="inlineStr">
        <is>
          <t>174,5</t>
        </is>
      </c>
      <c r="E230" s="38" t="inlineStr">
        <is>
          <t>6</t>
        </is>
      </c>
    </row>
    <row r="231" ht="15" customHeight="1" s="39">
      <c r="A231" s="42" t="inlineStr">
        <is>
          <t>250735</t>
        </is>
      </c>
      <c r="B231" s="38" t="inlineStr">
        <is>
          <t>Cervià de les Garrigues</t>
        </is>
      </c>
      <c r="C231" s="38" t="inlineStr">
        <is>
          <t>34,20</t>
        </is>
      </c>
      <c r="D231" s="38" t="inlineStr">
        <is>
          <t>18,6</t>
        </is>
      </c>
      <c r="E231" s="38" t="inlineStr">
        <is>
          <t>1</t>
        </is>
      </c>
    </row>
    <row r="232" ht="15" customHeight="1" s="39">
      <c r="A232" s="42" t="inlineStr">
        <is>
          <t>170502</t>
        </is>
      </c>
      <c r="B232" s="38" t="inlineStr">
        <is>
          <t>Cervià de Ter</t>
        </is>
      </c>
      <c r="C232" s="38" t="inlineStr">
        <is>
          <t>9,90</t>
        </is>
      </c>
      <c r="D232" s="38" t="inlineStr">
        <is>
          <t>104,0</t>
        </is>
      </c>
      <c r="E232" s="38" t="inlineStr">
        <is>
          <t>2</t>
        </is>
      </c>
    </row>
    <row r="233" ht="15" customHeight="1" s="39">
      <c r="A233" s="42" t="inlineStr">
        <is>
          <t>170519</t>
        </is>
      </c>
      <c r="B233" s="38" t="inlineStr">
        <is>
          <t>Cistella</t>
        </is>
      </c>
      <c r="C233" s="38" t="inlineStr">
        <is>
          <t>25,55</t>
        </is>
      </c>
      <c r="D233" s="38" t="inlineStr">
        <is>
          <t>11,2</t>
        </is>
      </c>
      <c r="E233" s="38" t="inlineStr">
        <is>
          <t>5</t>
        </is>
      </c>
    </row>
    <row r="234" ht="15" customHeight="1" s="39">
      <c r="A234" s="42" t="inlineStr">
        <is>
          <t>250740</t>
        </is>
      </c>
      <c r="B234" s="38" t="inlineStr">
        <is>
          <t>Ciutadilla</t>
        </is>
      </c>
      <c r="C234" s="38" t="inlineStr">
        <is>
          <t>17,03</t>
        </is>
      </c>
      <c r="D234" s="38" t="inlineStr">
        <is>
          <t>10,9</t>
        </is>
      </c>
      <c r="E234" s="38" t="inlineStr">
        <is>
          <t>1</t>
        </is>
      </c>
    </row>
    <row r="235" ht="15" customHeight="1" s="39">
      <c r="A235" s="42" t="inlineStr">
        <is>
          <t>250753</t>
        </is>
      </c>
      <c r="B235" s="38" t="inlineStr">
        <is>
          <t>Clariana de Cardener</t>
        </is>
      </c>
      <c r="C235" s="38" t="inlineStr">
        <is>
          <t>40,78</t>
        </is>
      </c>
      <c r="D235" s="38" t="inlineStr">
        <is>
          <t>3,9</t>
        </is>
      </c>
      <c r="E235" s="38" t="inlineStr">
        <is>
          <t>4</t>
        </is>
      </c>
    </row>
    <row r="236" ht="15" customHeight="1" s="39">
      <c r="A236" s="42" t="inlineStr">
        <is>
          <t>250766</t>
        </is>
      </c>
      <c r="B236" s="38" t="inlineStr">
        <is>
          <t>Cogul, el</t>
        </is>
      </c>
      <c r="C236" s="38" t="inlineStr">
        <is>
          <t>17,51</t>
        </is>
      </c>
      <c r="D236" s="38" t="inlineStr">
        <is>
          <t>9,3</t>
        </is>
      </c>
      <c r="E236" s="38" t="inlineStr">
        <is>
          <t>1</t>
        </is>
      </c>
    </row>
    <row r="237" ht="15" customHeight="1" s="39">
      <c r="A237" s="42" t="inlineStr">
        <is>
          <t>170545</t>
        </is>
      </c>
      <c r="B237" s="38" t="inlineStr">
        <is>
          <t>Colera</t>
        </is>
      </c>
      <c r="C237" s="38" t="inlineStr">
        <is>
          <t>24,35</t>
        </is>
      </c>
      <c r="D237" s="38" t="inlineStr">
        <is>
          <t>20,1</t>
        </is>
      </c>
      <c r="E237" s="38" t="inlineStr">
        <is>
          <t>2</t>
        </is>
      </c>
    </row>
    <row r="238" ht="15" customHeight="1" s="39">
      <c r="A238" s="42" t="inlineStr">
        <is>
          <t>250772</t>
        </is>
      </c>
      <c r="B238" s="38" t="inlineStr">
        <is>
          <t>Coll de Nargó</t>
        </is>
      </c>
      <c r="C238" s="38" t="inlineStr">
        <is>
          <t>151,41</t>
        </is>
      </c>
      <c r="D238" s="38" t="inlineStr">
        <is>
          <t>3,9</t>
        </is>
      </c>
      <c r="E238" s="38" t="inlineStr">
        <is>
          <t>6</t>
        </is>
      </c>
    </row>
    <row r="239" ht="15" customHeight="1" s="39">
      <c r="A239" s="42" t="inlineStr">
        <is>
          <t>080692</t>
        </is>
      </c>
      <c r="B239" s="38" t="inlineStr">
        <is>
          <t>Collbató</t>
        </is>
      </c>
      <c r="C239" s="38" t="inlineStr">
        <is>
          <t>18,07</t>
        </is>
      </c>
      <c r="D239" s="38" t="inlineStr">
        <is>
          <t>266,7</t>
        </is>
      </c>
      <c r="E239" s="38" t="inlineStr">
        <is>
          <t>10</t>
        </is>
      </c>
    </row>
    <row r="240" ht="15" customHeight="1" s="39">
      <c r="A240" s="42" t="inlineStr">
        <is>
          <t>430458</t>
        </is>
      </c>
      <c r="B240" s="38" t="inlineStr">
        <is>
          <t>Colldejou</t>
        </is>
      </c>
      <c r="C240" s="38" t="inlineStr">
        <is>
          <t>14,48</t>
        </is>
      </c>
      <c r="D240" s="38" t="inlineStr">
        <is>
          <t>10,8</t>
        </is>
      </c>
      <c r="E240" s="38" t="inlineStr">
        <is>
          <t>1</t>
        </is>
      </c>
    </row>
    <row r="241" ht="15" customHeight="1" s="39">
      <c r="A241" s="42" t="inlineStr">
        <is>
          <t>080706</t>
        </is>
      </c>
      <c r="B241" s="38" t="inlineStr">
        <is>
          <t>Collsuspina</t>
        </is>
      </c>
      <c r="C241" s="38" t="inlineStr">
        <is>
          <t>15,08</t>
        </is>
      </c>
      <c r="D241" s="38" t="inlineStr">
        <is>
          <t>25,9</t>
        </is>
      </c>
      <c r="E241" s="38" t="inlineStr">
        <is>
          <t>3</t>
        </is>
      </c>
    </row>
    <row r="242" ht="15" customHeight="1" s="39">
      <c r="A242" s="42" t="inlineStr">
        <is>
          <t>170558</t>
        </is>
      </c>
      <c r="B242" s="38" t="inlineStr">
        <is>
          <t>Colomers</t>
        </is>
      </c>
      <c r="C242" s="38" t="inlineStr">
        <is>
          <t>4,35</t>
        </is>
      </c>
      <c r="D242" s="38" t="inlineStr">
        <is>
          <t>47,4</t>
        </is>
      </c>
      <c r="E242" s="38" t="inlineStr">
        <is>
          <t>1</t>
        </is>
      </c>
    </row>
    <row r="243" ht="15" customHeight="1" s="39">
      <c r="A243" s="42" t="inlineStr">
        <is>
          <t>251636</t>
        </is>
      </c>
      <c r="B243" s="38" t="inlineStr">
        <is>
          <t>Coma i la Pedra, la</t>
        </is>
      </c>
      <c r="C243" s="38" t="inlineStr">
        <is>
          <t>60,62</t>
        </is>
      </c>
      <c r="D243" s="38" t="inlineStr">
        <is>
          <t>4,6</t>
        </is>
      </c>
      <c r="E243" s="38" t="inlineStr">
        <is>
          <t>3</t>
        </is>
      </c>
    </row>
    <row r="244" ht="15" customHeight="1" s="39">
      <c r="A244" s="42" t="inlineStr">
        <is>
          <t>251615</t>
        </is>
      </c>
      <c r="B244" s="38" t="inlineStr">
        <is>
          <t>Conca de Dalt</t>
        </is>
      </c>
      <c r="C244" s="38" t="inlineStr">
        <is>
          <t>166,48</t>
        </is>
      </c>
      <c r="D244" s="38" t="inlineStr">
        <is>
          <t>2,6</t>
        </is>
      </c>
      <c r="E244" s="38" t="inlineStr">
        <is>
          <t>12</t>
        </is>
      </c>
    </row>
    <row r="245" ht="15" customHeight="1" s="39">
      <c r="A245" s="42" t="inlineStr">
        <is>
          <t>430461</t>
        </is>
      </c>
      <c r="B245" s="38" t="inlineStr">
        <is>
          <t>Conesa</t>
        </is>
      </c>
      <c r="C245" s="38" t="inlineStr">
        <is>
          <t>29,02</t>
        </is>
      </c>
      <c r="D245" s="38" t="inlineStr">
        <is>
          <t>3,9</t>
        </is>
      </c>
      <c r="E245" s="38" t="inlineStr">
        <is>
          <t>1</t>
        </is>
      </c>
    </row>
    <row r="246" ht="15" customHeight="1" s="39">
      <c r="A246" s="42" t="inlineStr">
        <is>
          <t>430477</t>
        </is>
      </c>
      <c r="B246" s="38" t="inlineStr">
        <is>
          <t>Constantí</t>
        </is>
      </c>
      <c r="C246" s="38" t="inlineStr">
        <is>
          <t>30,87</t>
        </is>
      </c>
      <c r="D246" s="38" t="inlineStr">
        <is>
          <t>231,8</t>
        </is>
      </c>
      <c r="E246" s="38" t="inlineStr">
        <is>
          <t>1</t>
        </is>
      </c>
    </row>
    <row r="247" ht="15" customHeight="1" s="39">
      <c r="A247" s="42" t="inlineStr">
        <is>
          <t>080713</t>
        </is>
      </c>
      <c r="B247" s="38" t="inlineStr">
        <is>
          <t>Copons</t>
        </is>
      </c>
      <c r="C247" s="38" t="inlineStr">
        <is>
          <t>18,66</t>
        </is>
      </c>
      <c r="D247" s="38" t="inlineStr">
        <is>
          <t>18,9</t>
        </is>
      </c>
      <c r="E247" s="38" t="inlineStr">
        <is>
          <t>1</t>
        </is>
      </c>
    </row>
    <row r="248" ht="15" customHeight="1" s="39">
      <c r="A248" s="42" t="inlineStr">
        <is>
          <t>430483</t>
        </is>
      </c>
      <c r="B248" s="38" t="inlineStr">
        <is>
          <t>Corbera d'Ebre</t>
        </is>
      </c>
      <c r="C248" s="38" t="inlineStr">
        <is>
          <t>53,09</t>
        </is>
      </c>
      <c r="D248" s="38" t="inlineStr">
        <is>
          <t>19,3</t>
        </is>
      </c>
      <c r="E248" s="38" t="inlineStr">
        <is>
          <t>1</t>
        </is>
      </c>
    </row>
    <row r="249" ht="15" customHeight="1" s="39">
      <c r="A249" s="42" t="inlineStr">
        <is>
          <t>080728</t>
        </is>
      </c>
      <c r="B249" s="38" t="inlineStr">
        <is>
          <t>Corbera de Llobregat</t>
        </is>
      </c>
      <c r="C249" s="38" t="inlineStr">
        <is>
          <t>18,41</t>
        </is>
      </c>
      <c r="D249" s="38" t="inlineStr">
        <is>
          <t>871,5</t>
        </is>
      </c>
      <c r="E249" s="38" t="inlineStr">
        <is>
          <t>1</t>
        </is>
      </c>
    </row>
    <row r="250" ht="15" customHeight="1" s="39">
      <c r="A250" s="42" t="inlineStr">
        <is>
          <t>250788</t>
        </is>
      </c>
      <c r="B250" s="38" t="inlineStr">
        <is>
          <t>Corbins</t>
        </is>
      </c>
      <c r="C250" s="38" t="inlineStr">
        <is>
          <t>21,01</t>
        </is>
      </c>
      <c r="D250" s="38" t="inlineStr">
        <is>
          <t>70,9</t>
        </is>
      </c>
      <c r="E250" s="38" t="inlineStr">
        <is>
          <t>1</t>
        </is>
      </c>
    </row>
    <row r="251" ht="15" customHeight="1" s="39">
      <c r="A251" s="42" t="inlineStr">
        <is>
          <t>170577</t>
        </is>
      </c>
      <c r="B251" s="38" t="inlineStr">
        <is>
          <t>Corçà</t>
        </is>
      </c>
      <c r="C251" s="38" t="inlineStr">
        <is>
          <t>16,29</t>
        </is>
      </c>
      <c r="D251" s="38" t="inlineStr">
        <is>
          <t>78,9</t>
        </is>
      </c>
      <c r="E251" s="38" t="inlineStr">
        <is>
          <t>4</t>
        </is>
      </c>
    </row>
    <row r="252" ht="15" customHeight="1" s="39">
      <c r="A252" s="42" t="inlineStr">
        <is>
          <t>080734</t>
        </is>
      </c>
      <c r="B252" s="38" t="inlineStr">
        <is>
          <t>Cornellà de Llobregat</t>
        </is>
      </c>
      <c r="C252" s="38" t="inlineStr">
        <is>
          <t>6,99</t>
        </is>
      </c>
      <c r="D252" s="38" t="inlineStr">
        <is>
          <t>13198,1</t>
        </is>
      </c>
      <c r="E252" s="38" t="inlineStr">
        <is>
          <t>5</t>
        </is>
      </c>
    </row>
    <row r="253" ht="15" customHeight="1" s="39">
      <c r="A253" s="42" t="inlineStr">
        <is>
          <t>170561</t>
        </is>
      </c>
      <c r="B253" s="38" t="inlineStr">
        <is>
          <t>Cornellà del Terri</t>
        </is>
      </c>
      <c r="C253" s="38" t="inlineStr">
        <is>
          <t>27,71</t>
        </is>
      </c>
      <c r="D253" s="38" t="inlineStr">
        <is>
          <t>87,1</t>
        </is>
      </c>
      <c r="E253" s="38" t="inlineStr">
        <is>
          <t>10</t>
        </is>
      </c>
    </row>
    <row r="254" ht="15" customHeight="1" s="39">
      <c r="A254" s="42" t="inlineStr">
        <is>
          <t>430496</t>
        </is>
      </c>
      <c r="B254" s="38" t="inlineStr">
        <is>
          <t>Cornudella de Montsant</t>
        </is>
      </c>
      <c r="C254" s="38" t="inlineStr">
        <is>
          <t>63,50</t>
        </is>
      </c>
      <c r="D254" s="38" t="inlineStr">
        <is>
          <t>16,0</t>
        </is>
      </c>
      <c r="E254" s="38" t="inlineStr">
        <is>
          <t>3</t>
        </is>
      </c>
    </row>
    <row r="255" ht="15" customHeight="1" s="39">
      <c r="A255" s="42" t="inlineStr">
        <is>
          <t>430509</t>
        </is>
      </c>
      <c r="B255" s="38" t="inlineStr">
        <is>
          <t>Creixell</t>
        </is>
      </c>
      <c r="C255" s="38" t="inlineStr">
        <is>
          <t>10,46</t>
        </is>
      </c>
      <c r="D255" s="38" t="inlineStr">
        <is>
          <t>405,7</t>
        </is>
      </c>
      <c r="E255" s="38" t="inlineStr">
        <is>
          <t>11</t>
        </is>
      </c>
    </row>
    <row r="256" ht="15" customHeight="1" s="39">
      <c r="A256" s="42" t="inlineStr">
        <is>
          <t>170583</t>
        </is>
      </c>
      <c r="B256" s="38" t="inlineStr">
        <is>
          <t>Crespià</t>
        </is>
      </c>
      <c r="C256" s="38" t="inlineStr">
        <is>
          <t>11,38</t>
        </is>
      </c>
      <c r="D256" s="38" t="inlineStr">
        <is>
          <t>22,2</t>
        </is>
      </c>
      <c r="E256" s="38" t="inlineStr">
        <is>
          <t>5</t>
        </is>
      </c>
    </row>
    <row r="257" ht="15" customHeight="1" s="39">
      <c r="A257" s="42" t="inlineStr">
        <is>
          <t>179011</t>
        </is>
      </c>
      <c r="B257" s="38" t="inlineStr">
        <is>
          <t>Cruïlles, Monells i Sant Sadurní de l'Heura</t>
        </is>
      </c>
      <c r="C257" s="38" t="inlineStr">
        <is>
          <t>99,84</t>
        </is>
      </c>
      <c r="D257" s="38" t="inlineStr">
        <is>
          <t>13,5</t>
        </is>
      </c>
      <c r="E257" s="38" t="inlineStr">
        <is>
          <t>17</t>
        </is>
      </c>
    </row>
    <row r="258" ht="15" customHeight="1" s="39">
      <c r="A258" s="42" t="inlineStr">
        <is>
          <t>080749</t>
        </is>
      </c>
      <c r="B258" s="38" t="inlineStr">
        <is>
          <t>Cubelles</t>
        </is>
      </c>
      <c r="C258" s="38" t="inlineStr">
        <is>
          <t>13,49</t>
        </is>
      </c>
      <c r="D258" s="38" t="inlineStr">
        <is>
          <t>1308,2</t>
        </is>
      </c>
      <c r="E258" s="38" t="inlineStr">
        <is>
          <t>2</t>
        </is>
      </c>
    </row>
    <row r="259" ht="15" customHeight="1" s="39">
      <c r="A259" s="42" t="inlineStr">
        <is>
          <t>250791</t>
        </is>
      </c>
      <c r="B259" s="38" t="inlineStr">
        <is>
          <t>Cubells</t>
        </is>
      </c>
      <c r="C259" s="38" t="inlineStr">
        <is>
          <t>39,17</t>
        </is>
      </c>
      <c r="D259" s="38" t="inlineStr">
        <is>
          <t>9,0</t>
        </is>
      </c>
      <c r="E259" s="38" t="inlineStr">
        <is>
          <t>2</t>
        </is>
      </c>
    </row>
    <row r="260" ht="15" customHeight="1" s="39">
      <c r="A260" s="42" t="inlineStr">
        <is>
          <t>430516</t>
        </is>
      </c>
      <c r="B260" s="38" t="inlineStr">
        <is>
          <t>Cunit</t>
        </is>
      </c>
      <c r="C260" s="38" t="inlineStr">
        <is>
          <t>9,74</t>
        </is>
      </c>
      <c r="D260" s="38" t="inlineStr">
        <is>
          <t>1673,9</t>
        </is>
      </c>
      <c r="E260" s="38" t="inlineStr">
        <is>
          <t>1</t>
        </is>
      </c>
    </row>
    <row r="261" ht="15" customHeight="1" s="39">
      <c r="A261" s="42" t="inlineStr">
        <is>
          <t>170600</t>
        </is>
      </c>
      <c r="B261" s="38" t="inlineStr">
        <is>
          <t>Darnius</t>
        </is>
      </c>
      <c r="C261" s="38" t="inlineStr">
        <is>
          <t>34,93</t>
        </is>
      </c>
      <c r="D261" s="38" t="inlineStr">
        <is>
          <t>16,1</t>
        </is>
      </c>
      <c r="E261" s="38" t="inlineStr">
        <is>
          <t>7</t>
        </is>
      </c>
    </row>
    <row r="262" ht="15" customHeight="1" s="39">
      <c r="A262" s="42" t="inlineStr">
        <is>
          <t>170617</t>
        </is>
      </c>
      <c r="B262" s="38" t="inlineStr">
        <is>
          <t>Das</t>
        </is>
      </c>
      <c r="C262" s="38" t="inlineStr">
        <is>
          <t>14,58</t>
        </is>
      </c>
      <c r="D262" s="38" t="inlineStr">
        <is>
          <t>17,9</t>
        </is>
      </c>
      <c r="E262" s="38" t="inlineStr">
        <is>
          <t>5</t>
        </is>
      </c>
    </row>
    <row r="263" ht="15" customHeight="1" s="39">
      <c r="A263" s="42" t="inlineStr">
        <is>
          <t>439018</t>
        </is>
      </c>
      <c r="B263" s="38" t="inlineStr">
        <is>
          <t>Deltebre</t>
        </is>
      </c>
      <c r="C263" s="38" t="inlineStr">
        <is>
          <t>107,44</t>
        </is>
      </c>
      <c r="D263" s="38" t="inlineStr">
        <is>
          <t>112,4</t>
        </is>
      </c>
      <c r="E263" s="38" t="inlineStr">
        <is>
          <t>1</t>
        </is>
      </c>
    </row>
    <row r="264" ht="15" customHeight="1" s="39">
      <c r="A264" s="42" t="inlineStr">
        <is>
          <t>080752</t>
        </is>
      </c>
      <c r="B264" s="38" t="inlineStr">
        <is>
          <t>Dosrius</t>
        </is>
      </c>
      <c r="C264" s="38" t="inlineStr">
        <is>
          <t>40,73</t>
        </is>
      </c>
      <c r="D264" s="38" t="inlineStr">
        <is>
          <t>154,8</t>
        </is>
      </c>
      <c r="E264" s="38" t="inlineStr">
        <is>
          <t>3</t>
        </is>
      </c>
    </row>
    <row r="265" ht="15" customHeight="1" s="39">
      <c r="A265" s="42" t="inlineStr">
        <is>
          <t>430537</t>
        </is>
      </c>
      <c r="B265" s="38" t="inlineStr">
        <is>
          <t>Duesaigües</t>
        </is>
      </c>
      <c r="C265" s="38" t="inlineStr">
        <is>
          <t>13,58</t>
        </is>
      </c>
      <c r="D265" s="38" t="inlineStr">
        <is>
          <t>16,1</t>
        </is>
      </c>
      <c r="E265" s="38" t="inlineStr">
        <is>
          <t>1</t>
        </is>
      </c>
    </row>
    <row r="266" ht="15" customHeight="1" s="39">
      <c r="A266" s="42" t="inlineStr">
        <is>
          <t>170622</t>
        </is>
      </c>
      <c r="B266" s="38" t="inlineStr">
        <is>
          <t>Escala, l'</t>
        </is>
      </c>
      <c r="C266" s="38" t="inlineStr">
        <is>
          <t>16,31</t>
        </is>
      </c>
      <c r="D266" s="38" t="inlineStr">
        <is>
          <t>652,4</t>
        </is>
      </c>
      <c r="E266" s="38" t="inlineStr">
        <is>
          <t>4</t>
        </is>
      </c>
    </row>
    <row r="267" ht="15" customHeight="1" s="39">
      <c r="A267" s="42" t="inlineStr">
        <is>
          <t>080765</t>
        </is>
      </c>
      <c r="B267" s="38" t="inlineStr">
        <is>
          <t>Esparreguera</t>
        </is>
      </c>
      <c r="C267" s="38" t="inlineStr">
        <is>
          <t>27,40</t>
        </is>
      </c>
      <c r="D267" s="38" t="inlineStr">
        <is>
          <t>826,2</t>
        </is>
      </c>
      <c r="E267" s="38" t="inlineStr">
        <is>
          <t>4</t>
        </is>
      </c>
    </row>
    <row r="268" ht="15" customHeight="1" s="39">
      <c r="A268" s="42" t="inlineStr">
        <is>
          <t>170638</t>
        </is>
      </c>
      <c r="B268" s="38" t="inlineStr">
        <is>
          <t>Espinelves</t>
        </is>
      </c>
      <c r="C268" s="38" t="inlineStr">
        <is>
          <t>17,43</t>
        </is>
      </c>
      <c r="D268" s="38" t="inlineStr">
        <is>
          <t>15,0</t>
        </is>
      </c>
      <c r="E268" s="38" t="inlineStr">
        <is>
          <t>1</t>
        </is>
      </c>
    </row>
    <row r="269" ht="15" customHeight="1" s="39">
      <c r="A269" s="42" t="inlineStr">
        <is>
          <t>250812</t>
        </is>
      </c>
      <c r="B269" s="38" t="inlineStr">
        <is>
          <t>Espluga Calba, l'</t>
        </is>
      </c>
      <c r="C269" s="38" t="inlineStr">
        <is>
          <t>21,53</t>
        </is>
      </c>
      <c r="D269" s="38" t="inlineStr">
        <is>
          <t>15,0</t>
        </is>
      </c>
      <c r="E269" s="38" t="inlineStr">
        <is>
          <t>1</t>
        </is>
      </c>
    </row>
    <row r="270" ht="15" customHeight="1" s="39">
      <c r="A270" s="42" t="inlineStr">
        <is>
          <t>430542</t>
        </is>
      </c>
      <c r="B270" s="38" t="inlineStr">
        <is>
          <t>Espluga de Francolí, l'</t>
        </is>
      </c>
      <c r="C270" s="38" t="inlineStr">
        <is>
          <t>56,97</t>
        </is>
      </c>
      <c r="D270" s="38" t="inlineStr">
        <is>
          <t>68,3</t>
        </is>
      </c>
      <c r="E270" s="38" t="inlineStr">
        <is>
          <t>4</t>
        </is>
      </c>
    </row>
    <row r="271" ht="15" customHeight="1" s="39">
      <c r="A271" s="42" t="inlineStr">
        <is>
          <t>080771</t>
        </is>
      </c>
      <c r="B271" s="38" t="inlineStr">
        <is>
          <t>Esplugues de Llobregat</t>
        </is>
      </c>
      <c r="C271" s="38" t="inlineStr">
        <is>
          <t>4,60</t>
        </is>
      </c>
      <c r="D271" s="38" t="inlineStr">
        <is>
          <t>10527,0</t>
        </is>
      </c>
      <c r="E271" s="38" t="inlineStr">
        <is>
          <t>1</t>
        </is>
      </c>
    </row>
    <row r="272" ht="15" customHeight="1" s="39">
      <c r="A272" s="42" t="inlineStr">
        <is>
          <t>170643</t>
        </is>
      </c>
      <c r="B272" s="38" t="inlineStr">
        <is>
          <t>Espolla</t>
        </is>
      </c>
      <c r="C272" s="38" t="inlineStr">
        <is>
          <t>43,55</t>
        </is>
      </c>
      <c r="D272" s="38" t="inlineStr">
        <is>
          <t>9,2</t>
        </is>
      </c>
      <c r="E272" s="38" t="inlineStr">
        <is>
          <t>1</t>
        </is>
      </c>
    </row>
    <row r="273" ht="15" customHeight="1" s="39">
      <c r="A273" s="42" t="inlineStr">
        <is>
          <t>170656</t>
        </is>
      </c>
      <c r="B273" s="38" t="inlineStr">
        <is>
          <t>Esponellà</t>
        </is>
      </c>
      <c r="C273" s="38" t="inlineStr">
        <is>
          <t>16,06</t>
        </is>
      </c>
      <c r="D273" s="38" t="inlineStr">
        <is>
          <t>27,6</t>
        </is>
      </c>
      <c r="E273" s="38" t="inlineStr">
        <is>
          <t>9</t>
        </is>
      </c>
    </row>
    <row r="274" ht="15" customHeight="1" s="39">
      <c r="A274" s="42" t="inlineStr">
        <is>
          <t>250827</t>
        </is>
      </c>
      <c r="B274" s="38" t="inlineStr">
        <is>
          <t>Espot</t>
        </is>
      </c>
      <c r="C274" s="38" t="inlineStr">
        <is>
          <t>97,30</t>
        </is>
      </c>
      <c r="D274" s="38" t="inlineStr">
        <is>
          <t>3,9</t>
        </is>
      </c>
      <c r="E274" s="38" t="inlineStr">
        <is>
          <t>4</t>
        </is>
      </c>
    </row>
    <row r="275" ht="15" customHeight="1" s="39">
      <c r="A275" s="42" t="inlineStr">
        <is>
          <t>080787</t>
        </is>
      </c>
      <c r="B275" s="38" t="inlineStr">
        <is>
          <t>Espunyola, l'</t>
        </is>
      </c>
      <c r="C275" s="38" t="inlineStr">
        <is>
          <t>35,46</t>
        </is>
      </c>
      <c r="D275" s="38" t="inlineStr">
        <is>
          <t>7,3</t>
        </is>
      </c>
      <c r="E275" s="38" t="inlineStr">
        <is>
          <t>6</t>
        </is>
      </c>
    </row>
    <row r="276" ht="15" customHeight="1" s="39">
      <c r="A276" s="42" t="inlineStr">
        <is>
          <t>082541</t>
        </is>
      </c>
      <c r="B276" s="38" t="inlineStr">
        <is>
          <t>Esquirol, l'</t>
        </is>
      </c>
      <c r="C276" s="38" t="inlineStr">
        <is>
          <t>61,80</t>
        </is>
      </c>
      <c r="D276" s="38" t="inlineStr">
        <is>
          <t>37,3</t>
        </is>
      </c>
      <c r="E276" s="38" t="inlineStr">
        <is>
          <t>4</t>
        </is>
      </c>
    </row>
    <row r="277" ht="15" customHeight="1" s="39">
      <c r="A277" s="42" t="inlineStr">
        <is>
          <t>250886</t>
        </is>
      </c>
      <c r="B277" s="38" t="inlineStr">
        <is>
          <t>Estamariu</t>
        </is>
      </c>
      <c r="C277" s="38" t="inlineStr">
        <is>
          <t>21,16</t>
        </is>
      </c>
      <c r="D277" s="38" t="inlineStr">
        <is>
          <t>6,3</t>
        </is>
      </c>
      <c r="E277" s="38" t="inlineStr">
        <is>
          <t>1</t>
        </is>
      </c>
    </row>
    <row r="278" ht="15" customHeight="1" s="39">
      <c r="A278" s="42" t="inlineStr">
        <is>
          <t>080790</t>
        </is>
      </c>
      <c r="B278" s="38" t="inlineStr">
        <is>
          <t>Estany, l'</t>
        </is>
      </c>
      <c r="C278" s="38" t="inlineStr">
        <is>
          <t>10,25</t>
        </is>
      </c>
      <c r="D278" s="38" t="inlineStr">
        <is>
          <t>38,1</t>
        </is>
      </c>
      <c r="E278" s="38" t="inlineStr">
        <is>
          <t>2</t>
        </is>
      </c>
    </row>
    <row r="279" ht="15" customHeight="1" s="39">
      <c r="A279" s="42" t="inlineStr">
        <is>
          <t>250851</t>
        </is>
      </c>
      <c r="B279" s="38" t="inlineStr">
        <is>
          <t>Estaràs</t>
        </is>
      </c>
      <c r="C279" s="38" t="inlineStr">
        <is>
          <t>20,99</t>
        </is>
      </c>
      <c r="D279" s="38" t="inlineStr">
        <is>
          <t>7,7</t>
        </is>
      </c>
      <c r="E279" s="38" t="inlineStr">
        <is>
          <t>6</t>
        </is>
      </c>
    </row>
    <row r="280" ht="15" customHeight="1" s="39">
      <c r="A280" s="42" t="inlineStr">
        <is>
          <t>250864</t>
        </is>
      </c>
      <c r="B280" s="38" t="inlineStr">
        <is>
          <t>Esterri d'Àneu</t>
        </is>
      </c>
      <c r="C280" s="38" t="inlineStr">
        <is>
          <t>8,49</t>
        </is>
      </c>
      <c r="D280" s="38" t="inlineStr">
        <is>
          <t>107,7</t>
        </is>
      </c>
      <c r="E280" s="38" t="inlineStr">
        <is>
          <t>1</t>
        </is>
      </c>
    </row>
    <row r="281" ht="15" customHeight="1" s="39">
      <c r="A281" s="42" t="inlineStr">
        <is>
          <t>250870</t>
        </is>
      </c>
      <c r="B281" s="38" t="inlineStr">
        <is>
          <t>Esterri de Cardós</t>
        </is>
      </c>
      <c r="C281" s="38" t="inlineStr">
        <is>
          <t>16,55</t>
        </is>
      </c>
      <c r="D281" s="38" t="inlineStr">
        <is>
          <t>3,8</t>
        </is>
      </c>
      <c r="E281" s="38" t="inlineStr">
        <is>
          <t>4</t>
        </is>
      </c>
    </row>
    <row r="282" ht="15" customHeight="1" s="39">
      <c r="A282" s="42" t="inlineStr">
        <is>
          <t>430555</t>
        </is>
      </c>
      <c r="B282" s="38" t="inlineStr">
        <is>
          <t>Falset</t>
        </is>
      </c>
      <c r="C282" s="38" t="inlineStr">
        <is>
          <t>31,62</t>
        </is>
      </c>
      <c r="D282" s="38" t="inlineStr">
        <is>
          <t>91,5</t>
        </is>
      </c>
      <c r="E282" s="38" t="inlineStr">
        <is>
          <t>1</t>
        </is>
      </c>
    </row>
    <row r="283" ht="15" customHeight="1" s="39">
      <c r="A283" s="42" t="inlineStr">
        <is>
          <t>170059</t>
        </is>
      </c>
      <c r="B283" s="38" t="inlineStr">
        <is>
          <t>Far d'Empordà, el</t>
        </is>
      </c>
      <c r="C283" s="38" t="inlineStr">
        <is>
          <t>9,00</t>
        </is>
      </c>
      <c r="D283" s="38" t="inlineStr">
        <is>
          <t>69,3</t>
        </is>
      </c>
      <c r="E283" s="38" t="inlineStr">
        <is>
          <t>2</t>
        </is>
      </c>
    </row>
    <row r="284" ht="15" customHeight="1" s="39">
      <c r="A284" s="42" t="inlineStr">
        <is>
          <t>250899</t>
        </is>
      </c>
      <c r="B284" s="38" t="inlineStr">
        <is>
          <t>Farrera</t>
        </is>
      </c>
      <c r="C284" s="38" t="inlineStr">
        <is>
          <t>61,87</t>
        </is>
      </c>
      <c r="D284" s="38" t="inlineStr">
        <is>
          <t>1,9</t>
        </is>
      </c>
      <c r="E284" s="38" t="inlineStr">
        <is>
          <t>6</t>
        </is>
      </c>
    </row>
    <row r="285" ht="15" customHeight="1" s="39">
      <c r="A285" s="42" t="inlineStr">
        <is>
          <t>430568</t>
        </is>
      </c>
      <c r="B285" s="38" t="inlineStr">
        <is>
          <t>Fatarella, la</t>
        </is>
      </c>
      <c r="C285" s="38" t="inlineStr">
        <is>
          <t>56,52</t>
        </is>
      </c>
      <c r="D285" s="38" t="inlineStr">
        <is>
          <t>14,9</t>
        </is>
      </c>
      <c r="E285" s="38" t="inlineStr">
        <is>
          <t>2</t>
        </is>
      </c>
    </row>
    <row r="286" ht="15" customHeight="1" s="39">
      <c r="A286" s="42" t="inlineStr">
        <is>
          <t>430574</t>
        </is>
      </c>
      <c r="B286" s="38" t="inlineStr">
        <is>
          <t>Febró, la</t>
        </is>
      </c>
      <c r="C286" s="38" t="inlineStr">
        <is>
          <t>16,08</t>
        </is>
      </c>
      <c r="D286" s="38" t="inlineStr">
        <is>
          <t>2,2</t>
        </is>
      </c>
      <c r="E286" s="38" t="inlineStr">
        <is>
          <t>1</t>
        </is>
      </c>
    </row>
    <row r="287" ht="15" customHeight="1" s="39">
      <c r="A287" s="42" t="inlineStr">
        <is>
          <t>081347</t>
        </is>
      </c>
      <c r="B287" s="38" t="inlineStr">
        <is>
          <t>Figaró-Montmany</t>
        </is>
      </c>
      <c r="C287" s="38" t="inlineStr">
        <is>
          <t>14,99</t>
        </is>
      </c>
      <c r="D287" s="38" t="inlineStr">
        <is>
          <t>79,2</t>
        </is>
      </c>
      <c r="E287" s="38" t="inlineStr">
        <is>
          <t>1</t>
        </is>
      </c>
    </row>
    <row r="288" ht="15" customHeight="1" s="39">
      <c r="A288" s="42" t="inlineStr">
        <is>
          <t>080804</t>
        </is>
      </c>
      <c r="B288" s="38" t="inlineStr">
        <is>
          <t>Fígols</t>
        </is>
      </c>
      <c r="C288" s="38" t="inlineStr">
        <is>
          <t>29,31</t>
        </is>
      </c>
      <c r="D288" s="38" t="inlineStr">
        <is>
          <t>1,4</t>
        </is>
      </c>
      <c r="E288" s="38" t="inlineStr">
        <is>
          <t>1</t>
        </is>
      </c>
    </row>
    <row r="289" ht="15" customHeight="1" s="39">
      <c r="A289" s="42" t="inlineStr">
        <is>
          <t>259084</t>
        </is>
      </c>
      <c r="B289" s="38" t="inlineStr">
        <is>
          <t>Fígols i Alinyà</t>
        </is>
      </c>
      <c r="C289" s="38" t="inlineStr">
        <is>
          <t>101,80</t>
        </is>
      </c>
      <c r="D289" s="38" t="inlineStr">
        <is>
          <t>2,3</t>
        </is>
      </c>
      <c r="E289" s="38" t="inlineStr">
        <is>
          <t>5</t>
        </is>
      </c>
    </row>
    <row r="290" ht="15" customHeight="1" s="39">
      <c r="A290" s="42" t="inlineStr">
        <is>
          <t>430580</t>
        </is>
      </c>
      <c r="B290" s="38" t="inlineStr">
        <is>
          <t>Figuera, la</t>
        </is>
      </c>
      <c r="C290" s="38" t="inlineStr">
        <is>
          <t>18,69</t>
        </is>
      </c>
      <c r="D290" s="38" t="inlineStr">
        <is>
          <t>6,2</t>
        </is>
      </c>
      <c r="E290" s="38" t="inlineStr">
        <is>
          <t>1</t>
        </is>
      </c>
    </row>
    <row r="291" ht="15" customHeight="1" s="39">
      <c r="A291" s="42" t="inlineStr">
        <is>
          <t>170669</t>
        </is>
      </c>
      <c r="B291" s="38" t="inlineStr">
        <is>
          <t>Figueres</t>
        </is>
      </c>
      <c r="C291" s="38" t="inlineStr">
        <is>
          <t>19,30</t>
        </is>
      </c>
      <c r="D291" s="38" t="inlineStr">
        <is>
          <t>2567,7</t>
        </is>
      </c>
      <c r="E291" s="38" t="inlineStr">
        <is>
          <t>3</t>
        </is>
      </c>
    </row>
    <row r="292" ht="15" customHeight="1" s="39">
      <c r="A292" s="42" t="inlineStr">
        <is>
          <t>430593</t>
        </is>
      </c>
      <c r="B292" s="38" t="inlineStr">
        <is>
          <t>Figuerola del Camp</t>
        </is>
      </c>
      <c r="C292" s="38" t="inlineStr">
        <is>
          <t>22,72</t>
        </is>
      </c>
      <c r="D292" s="38" t="inlineStr">
        <is>
          <t>15,1</t>
        </is>
      </c>
      <c r="E292" s="38" t="inlineStr">
        <is>
          <t>1</t>
        </is>
      </c>
    </row>
    <row r="293" ht="15" customHeight="1" s="39">
      <c r="A293" s="42" t="inlineStr">
        <is>
          <t>170675</t>
        </is>
      </c>
      <c r="B293" s="38" t="inlineStr">
        <is>
          <t>Flaçà</t>
        </is>
      </c>
      <c r="C293" s="38" t="inlineStr">
        <is>
          <t>6,53</t>
        </is>
      </c>
      <c r="D293" s="38" t="inlineStr">
        <is>
          <t>179,8</t>
        </is>
      </c>
      <c r="E293" s="38" t="inlineStr">
        <is>
          <t>1</t>
        </is>
      </c>
    </row>
    <row r="294" ht="15" customHeight="1" s="39">
      <c r="A294" s="42" t="inlineStr">
        <is>
          <t>430607</t>
        </is>
      </c>
      <c r="B294" s="38" t="inlineStr">
        <is>
          <t>Flix</t>
        </is>
      </c>
      <c r="C294" s="38" t="inlineStr">
        <is>
          <t>116,90</t>
        </is>
      </c>
      <c r="D294" s="38" t="inlineStr">
        <is>
          <t>28,6</t>
        </is>
      </c>
      <c r="E294" s="38" t="inlineStr">
        <is>
          <t>3</t>
        </is>
      </c>
    </row>
    <row r="295" ht="15" customHeight="1" s="39">
      <c r="A295" s="42" t="inlineStr">
        <is>
          <t>250925</t>
        </is>
      </c>
      <c r="B295" s="38" t="inlineStr">
        <is>
          <t>Floresta, la</t>
        </is>
      </c>
      <c r="C295" s="38" t="inlineStr">
        <is>
          <t>5,46</t>
        </is>
      </c>
      <c r="D295" s="38" t="inlineStr">
        <is>
          <t>29,1</t>
        </is>
      </c>
      <c r="E295" s="38" t="inlineStr">
        <is>
          <t>1</t>
        </is>
      </c>
    </row>
    <row r="296" ht="15" customHeight="1" s="39">
      <c r="A296" s="42" t="inlineStr">
        <is>
          <t>080826</t>
        </is>
      </c>
      <c r="B296" s="38" t="inlineStr">
        <is>
          <t>Fogars de la Selva</t>
        </is>
      </c>
      <c r="C296" s="38" t="inlineStr">
        <is>
          <t>32,12</t>
        </is>
      </c>
      <c r="D296" s="38" t="inlineStr">
        <is>
          <t>53,1</t>
        </is>
      </c>
      <c r="E296" s="38" t="inlineStr">
        <is>
          <t>1</t>
        </is>
      </c>
    </row>
    <row r="297" ht="15" customHeight="1" s="39">
      <c r="A297" s="42" t="inlineStr">
        <is>
          <t>080811</t>
        </is>
      </c>
      <c r="B297" s="38" t="inlineStr">
        <is>
          <t>Fogars de Montclús</t>
        </is>
      </c>
      <c r="C297" s="38" t="inlineStr">
        <is>
          <t>39,72</t>
        </is>
      </c>
      <c r="D297" s="38" t="inlineStr">
        <is>
          <t>12,4</t>
        </is>
      </c>
      <c r="E297" s="38" t="inlineStr">
        <is>
          <t>6</t>
        </is>
      </c>
    </row>
    <row r="298" ht="15" customHeight="1" s="39">
      <c r="A298" s="42" t="inlineStr">
        <is>
          <t>170681</t>
        </is>
      </c>
      <c r="B298" s="38" t="inlineStr">
        <is>
          <t>Foixà</t>
        </is>
      </c>
      <c r="C298" s="38" t="inlineStr">
        <is>
          <t>18,80</t>
        </is>
      </c>
      <c r="D298" s="38" t="inlineStr">
        <is>
          <t>15,9</t>
        </is>
      </c>
      <c r="E298" s="38" t="inlineStr">
        <is>
          <t>5</t>
        </is>
      </c>
    </row>
    <row r="299" ht="15" customHeight="1" s="39">
      <c r="A299" s="42" t="inlineStr">
        <is>
          <t>080832</t>
        </is>
      </c>
      <c r="B299" s="38" t="inlineStr">
        <is>
          <t>Folgueroles</t>
        </is>
      </c>
      <c r="C299" s="38" t="inlineStr">
        <is>
          <t>10,47</t>
        </is>
      </c>
      <c r="D299" s="38" t="inlineStr">
        <is>
          <t>216,0</t>
        </is>
      </c>
      <c r="E299" s="38" t="inlineStr">
        <is>
          <t>1</t>
        </is>
      </c>
    </row>
    <row r="300" ht="15" customHeight="1" s="39">
      <c r="A300" s="42" t="inlineStr">
        <is>
          <t>250931</t>
        </is>
      </c>
      <c r="B300" s="38" t="inlineStr">
        <is>
          <t>Fondarella</t>
        </is>
      </c>
      <c r="C300" s="38" t="inlineStr">
        <is>
          <t>5,43</t>
        </is>
      </c>
      <c r="D300" s="38" t="inlineStr">
        <is>
          <t>152,5</t>
        </is>
      </c>
      <c r="E300" s="38" t="inlineStr">
        <is>
          <t>1</t>
        </is>
      </c>
    </row>
    <row r="301" ht="15" customHeight="1" s="39">
      <c r="A301" s="42" t="inlineStr">
        <is>
          <t>080847</t>
        </is>
      </c>
      <c r="B301" s="38" t="inlineStr">
        <is>
          <t>Fonollosa</t>
        </is>
      </c>
      <c r="C301" s="38" t="inlineStr">
        <is>
          <t>51,67</t>
        </is>
      </c>
      <c r="D301" s="38" t="inlineStr">
        <is>
          <t>30,4</t>
        </is>
      </c>
      <c r="E301" s="38" t="inlineStr">
        <is>
          <t>4</t>
        </is>
      </c>
    </row>
    <row r="302" ht="15" customHeight="1" s="39">
      <c r="A302" s="42" t="inlineStr">
        <is>
          <t>170694</t>
        </is>
      </c>
      <c r="B302" s="38" t="inlineStr">
        <is>
          <t>Fontanals de Cerdanya</t>
        </is>
      </c>
      <c r="C302" s="38" t="inlineStr">
        <is>
          <t>28,65</t>
        </is>
      </c>
      <c r="D302" s="38" t="inlineStr">
        <is>
          <t>18,0</t>
        </is>
      </c>
      <c r="E302" s="38" t="inlineStr">
        <is>
          <t>7</t>
        </is>
      </c>
    </row>
    <row r="303" ht="15" customHeight="1" s="39">
      <c r="A303" s="42" t="inlineStr">
        <is>
          <t>170708</t>
        </is>
      </c>
      <c r="B303" s="38" t="inlineStr">
        <is>
          <t>Fontanilles</t>
        </is>
      </c>
      <c r="C303" s="38" t="inlineStr">
        <is>
          <t>9,28</t>
        </is>
      </c>
      <c r="D303" s="38" t="inlineStr">
        <is>
          <t>18,3</t>
        </is>
      </c>
      <c r="E303" s="38" t="inlineStr">
        <is>
          <t>2</t>
        </is>
      </c>
    </row>
    <row r="304" ht="15" customHeight="1" s="39">
      <c r="A304" s="42" t="inlineStr">
        <is>
          <t>170715</t>
        </is>
      </c>
      <c r="B304" s="38" t="inlineStr">
        <is>
          <t>Fontcoberta</t>
        </is>
      </c>
      <c r="C304" s="38" t="inlineStr">
        <is>
          <t>17,28</t>
        </is>
      </c>
      <c r="D304" s="38" t="inlineStr">
        <is>
          <t>85,8</t>
        </is>
      </c>
      <c r="E304" s="38" t="inlineStr">
        <is>
          <t>5</t>
        </is>
      </c>
    </row>
    <row r="305" ht="15" customHeight="1" s="39">
      <c r="A305" s="42" t="inlineStr">
        <is>
          <t>080850</t>
        </is>
      </c>
      <c r="B305" s="38" t="inlineStr">
        <is>
          <t>Font-rubí</t>
        </is>
      </c>
      <c r="C305" s="38" t="inlineStr">
        <is>
          <t>37,42</t>
        </is>
      </c>
      <c r="D305" s="38" t="inlineStr">
        <is>
          <t>38,4</t>
        </is>
      </c>
      <c r="E305" s="38" t="inlineStr">
        <is>
          <t>16</t>
        </is>
      </c>
    </row>
    <row r="306" ht="15" customHeight="1" s="39">
      <c r="A306" s="42" t="inlineStr">
        <is>
          <t>250946</t>
        </is>
      </c>
      <c r="B306" s="38" t="inlineStr">
        <is>
          <t>Foradada</t>
        </is>
      </c>
      <c r="C306" s="38" t="inlineStr">
        <is>
          <t>28,55</t>
        </is>
      </c>
      <c r="D306" s="38" t="inlineStr">
        <is>
          <t>6,8</t>
        </is>
      </c>
      <c r="E306" s="38" t="inlineStr">
        <is>
          <t>6</t>
        </is>
      </c>
    </row>
    <row r="307" ht="15" customHeight="1" s="39">
      <c r="A307" s="42" t="inlineStr">
        <is>
          <t>179026</t>
        </is>
      </c>
      <c r="B307" s="38" t="inlineStr">
        <is>
          <t>Forallac</t>
        </is>
      </c>
      <c r="C307" s="38" t="inlineStr">
        <is>
          <t>50,63</t>
        </is>
      </c>
      <c r="D307" s="38" t="inlineStr">
        <is>
          <t>35,3</t>
        </is>
      </c>
      <c r="E307" s="38" t="inlineStr">
        <is>
          <t>8</t>
        </is>
      </c>
    </row>
    <row r="308" ht="15" customHeight="1" s="39">
      <c r="A308" s="42" t="inlineStr">
        <is>
          <t>430614</t>
        </is>
      </c>
      <c r="B308" s="38" t="inlineStr">
        <is>
          <t>Forès</t>
        </is>
      </c>
      <c r="C308" s="38" t="inlineStr">
        <is>
          <t>16,03</t>
        </is>
      </c>
      <c r="D308" s="38" t="inlineStr">
        <is>
          <t>2,4</t>
        </is>
      </c>
      <c r="E308" s="38" t="inlineStr">
        <is>
          <t>1</t>
        </is>
      </c>
    </row>
    <row r="309" ht="15" customHeight="1" s="39">
      <c r="A309" s="42" t="inlineStr">
        <is>
          <t>170736</t>
        </is>
      </c>
      <c r="B309" s="38" t="inlineStr">
        <is>
          <t>Fornells de la Selva</t>
        </is>
      </c>
      <c r="C309" s="38" t="inlineStr">
        <is>
          <t>11,86</t>
        </is>
      </c>
      <c r="D309" s="38" t="inlineStr">
        <is>
          <t>237,2</t>
        </is>
      </c>
      <c r="E309" s="38" t="inlineStr">
        <is>
          <t>6</t>
        </is>
      </c>
    </row>
    <row r="310" ht="15" customHeight="1" s="39">
      <c r="A310" s="42" t="inlineStr">
        <is>
          <t>170741</t>
        </is>
      </c>
      <c r="B310" s="38" t="inlineStr">
        <is>
          <t>Fortià</t>
        </is>
      </c>
      <c r="C310" s="38" t="inlineStr">
        <is>
          <t>10,76</t>
        </is>
      </c>
      <c r="D310" s="38" t="inlineStr">
        <is>
          <t>73,3</t>
        </is>
      </c>
      <c r="E310" s="38" t="inlineStr">
        <is>
          <t>1</t>
        </is>
      </c>
    </row>
    <row r="311" ht="15" customHeight="1" s="39">
      <c r="A311" s="42" t="inlineStr">
        <is>
          <t>080863</t>
        </is>
      </c>
      <c r="B311" s="38" t="inlineStr">
        <is>
          <t>Franqueses del Vallès, les</t>
        </is>
      </c>
      <c r="C311" s="38" t="inlineStr">
        <is>
          <t>29,14</t>
        </is>
      </c>
      <c r="D311" s="38" t="inlineStr">
        <is>
          <t>715,7</t>
        </is>
      </c>
      <c r="E311" s="38" t="inlineStr">
        <is>
          <t>5</t>
        </is>
      </c>
    </row>
    <row r="312" ht="15" customHeight="1" s="39">
      <c r="A312" s="42" t="inlineStr">
        <is>
          <t>430629</t>
        </is>
      </c>
      <c r="B312" s="38" t="inlineStr">
        <is>
          <t>Freginals</t>
        </is>
      </c>
      <c r="C312" s="38" t="inlineStr">
        <is>
          <t>17,59</t>
        </is>
      </c>
      <c r="D312" s="38" t="inlineStr">
        <is>
          <t>25,3</t>
        </is>
      </c>
      <c r="E312" s="38" t="inlineStr">
        <is>
          <t>1</t>
        </is>
      </c>
    </row>
    <row r="313" ht="15" customHeight="1" s="39">
      <c r="A313" s="42" t="inlineStr">
        <is>
          <t>250962</t>
        </is>
      </c>
      <c r="B313" s="38" t="inlineStr">
        <is>
          <t>Fuliola, la</t>
        </is>
      </c>
      <c r="C313" s="38" t="inlineStr">
        <is>
          <t>11,05</t>
        </is>
      </c>
      <c r="D313" s="38" t="inlineStr">
        <is>
          <t>115,6</t>
        </is>
      </c>
      <c r="E313" s="38" t="inlineStr">
        <is>
          <t>2</t>
        </is>
      </c>
    </row>
    <row r="314" ht="15" customHeight="1" s="39">
      <c r="A314" s="42" t="inlineStr">
        <is>
          <t>250978</t>
        </is>
      </c>
      <c r="B314" s="38" t="inlineStr">
        <is>
          <t>Fulleda</t>
        </is>
      </c>
      <c r="C314" s="38" t="inlineStr">
        <is>
          <t>16,18</t>
        </is>
      </c>
      <c r="D314" s="38" t="inlineStr">
        <is>
          <t>5,4</t>
        </is>
      </c>
      <c r="E314" s="38" t="inlineStr">
        <is>
          <t>1</t>
        </is>
      </c>
    </row>
    <row r="315" ht="15" customHeight="1" s="39">
      <c r="A315" s="42" t="inlineStr">
        <is>
          <t>080902</t>
        </is>
      </c>
      <c r="B315" s="38" t="inlineStr">
        <is>
          <t>Gaià</t>
        </is>
      </c>
      <c r="C315" s="38" t="inlineStr">
        <is>
          <t>39,48</t>
        </is>
      </c>
      <c r="D315" s="38" t="inlineStr">
        <is>
          <t>4,4</t>
        </is>
      </c>
      <c r="E315" s="38" t="inlineStr">
        <is>
          <t>2</t>
        </is>
      </c>
    </row>
    <row r="316" ht="15" customHeight="1" s="39">
      <c r="A316" s="42" t="inlineStr">
        <is>
          <t>430635</t>
        </is>
      </c>
      <c r="B316" s="38" t="inlineStr">
        <is>
          <t>Galera, la</t>
        </is>
      </c>
      <c r="C316" s="38" t="inlineStr">
        <is>
          <t>27,47</t>
        </is>
      </c>
      <c r="D316" s="38" t="inlineStr">
        <is>
          <t>26,6</t>
        </is>
      </c>
      <c r="E316" s="38" t="inlineStr">
        <is>
          <t>1</t>
        </is>
      </c>
    </row>
    <row r="317" ht="15" customHeight="1" s="39">
      <c r="A317" s="42" t="inlineStr">
        <is>
          <t>080879</t>
        </is>
      </c>
      <c r="B317" s="38" t="inlineStr">
        <is>
          <t>Gallifa</t>
        </is>
      </c>
      <c r="C317" s="38" t="inlineStr">
        <is>
          <t>16,33</t>
        </is>
      </c>
      <c r="D317" s="38" t="inlineStr">
        <is>
          <t>10,5</t>
        </is>
      </c>
      <c r="E317" s="38" t="inlineStr">
        <is>
          <t>1</t>
        </is>
      </c>
    </row>
    <row r="318" ht="15" customHeight="1" s="39">
      <c r="A318" s="42" t="inlineStr">
        <is>
          <t>430640</t>
        </is>
      </c>
      <c r="B318" s="38" t="inlineStr">
        <is>
          <t>Gandesa</t>
        </is>
      </c>
      <c r="C318" s="38" t="inlineStr">
        <is>
          <t>71,15</t>
        </is>
      </c>
      <c r="D318" s="38" t="inlineStr">
        <is>
          <t>44,3</t>
        </is>
      </c>
      <c r="E318" s="38" t="inlineStr">
        <is>
          <t>1</t>
        </is>
      </c>
    </row>
    <row r="319" ht="15" customHeight="1" s="39">
      <c r="A319" s="42" t="inlineStr">
        <is>
          <t>430653</t>
        </is>
      </c>
      <c r="B319" s="38" t="inlineStr">
        <is>
          <t>Garcia</t>
        </is>
      </c>
      <c r="C319" s="38" t="inlineStr">
        <is>
          <t>52,37</t>
        </is>
      </c>
      <c r="D319" s="38" t="inlineStr">
        <is>
          <t>10,6</t>
        </is>
      </c>
      <c r="E319" s="38" t="inlineStr">
        <is>
          <t>1</t>
        </is>
      </c>
    </row>
    <row r="320" ht="15" customHeight="1" s="39">
      <c r="A320" s="42" t="inlineStr">
        <is>
          <t>430666</t>
        </is>
      </c>
      <c r="B320" s="38" t="inlineStr">
        <is>
          <t>Garidells, els</t>
        </is>
      </c>
      <c r="C320" s="38" t="inlineStr">
        <is>
          <t>3,07</t>
        </is>
      </c>
      <c r="D320" s="38" t="inlineStr">
        <is>
          <t>68,7</t>
        </is>
      </c>
      <c r="E320" s="38" t="inlineStr">
        <is>
          <t>2</t>
        </is>
      </c>
    </row>
    <row r="321" ht="15" customHeight="1" s="39">
      <c r="A321" s="42" t="inlineStr">
        <is>
          <t>080885</t>
        </is>
      </c>
      <c r="B321" s="38" t="inlineStr">
        <is>
          <t>Garriga, la</t>
        </is>
      </c>
      <c r="C321" s="38" t="inlineStr">
        <is>
          <t>18,80</t>
        </is>
      </c>
      <c r="D321" s="38" t="inlineStr">
        <is>
          <t>924,8</t>
        </is>
      </c>
      <c r="E321" s="38" t="inlineStr">
        <is>
          <t>1</t>
        </is>
      </c>
    </row>
    <row r="322" ht="15" customHeight="1" s="39">
      <c r="A322" s="42" t="inlineStr">
        <is>
          <t>170754</t>
        </is>
      </c>
      <c r="B322" s="38" t="inlineStr">
        <is>
          <t>Garrigàs</t>
        </is>
      </c>
      <c r="C322" s="38" t="inlineStr">
        <is>
          <t>19,89</t>
        </is>
      </c>
      <c r="D322" s="38" t="inlineStr">
        <is>
          <t>24,1</t>
        </is>
      </c>
      <c r="E322" s="38" t="inlineStr">
        <is>
          <t>5</t>
        </is>
      </c>
    </row>
    <row r="323" ht="15" customHeight="1" s="39">
      <c r="A323" s="42" t="inlineStr">
        <is>
          <t>170767</t>
        </is>
      </c>
      <c r="B323" s="38" t="inlineStr">
        <is>
          <t>Garrigoles</t>
        </is>
      </c>
      <c r="C323" s="38" t="inlineStr">
        <is>
          <t>9,40</t>
        </is>
      </c>
      <c r="D323" s="38" t="inlineStr">
        <is>
          <t>19,5</t>
        </is>
      </c>
      <c r="E323" s="38" t="inlineStr">
        <is>
          <t>2</t>
        </is>
      </c>
    </row>
    <row r="324" ht="15" customHeight="1" s="39">
      <c r="A324" s="42" t="inlineStr">
        <is>
          <t>170773</t>
        </is>
      </c>
      <c r="B324" s="38" t="inlineStr">
        <is>
          <t>Garriguella</t>
        </is>
      </c>
      <c r="C324" s="38" t="inlineStr">
        <is>
          <t>21,01</t>
        </is>
      </c>
      <c r="D324" s="38" t="inlineStr">
        <is>
          <t>47,1</t>
        </is>
      </c>
      <c r="E324" s="38" t="inlineStr">
        <is>
          <t>1</t>
        </is>
      </c>
    </row>
    <row r="325" ht="15" customHeight="1" s="39">
      <c r="A325" s="42" t="inlineStr">
        <is>
          <t>080898</t>
        </is>
      </c>
      <c r="B325" s="38" t="inlineStr">
        <is>
          <t>Gavà</t>
        </is>
      </c>
      <c r="C325" s="38" t="inlineStr">
        <is>
          <t>30,75</t>
        </is>
      </c>
      <c r="D325" s="38" t="inlineStr">
        <is>
          <t>1566,9</t>
        </is>
      </c>
      <c r="E325" s="38" t="inlineStr">
        <is>
          <t>1</t>
        </is>
      </c>
    </row>
    <row r="326" ht="15" customHeight="1" s="39">
      <c r="A326" s="42" t="inlineStr">
        <is>
          <t>250984</t>
        </is>
      </c>
      <c r="B326" s="38" t="inlineStr">
        <is>
          <t>Gavet de la Conca</t>
        </is>
      </c>
      <c r="C326" s="38" t="inlineStr">
        <is>
          <t>90,90</t>
        </is>
      </c>
      <c r="D326" s="38" t="inlineStr">
        <is>
          <t>2,8</t>
        </is>
      </c>
      <c r="E326" s="38" t="inlineStr">
        <is>
          <t>12</t>
        </is>
      </c>
    </row>
    <row r="327" ht="15" customHeight="1" s="39">
      <c r="A327" s="42" t="inlineStr">
        <is>
          <t>080919</t>
        </is>
      </c>
      <c r="B327" s="38" t="inlineStr">
        <is>
          <t>Gelida</t>
        </is>
      </c>
      <c r="C327" s="38" t="inlineStr">
        <is>
          <t>26,70</t>
        </is>
      </c>
      <c r="D327" s="38" t="inlineStr">
        <is>
          <t>306,8</t>
        </is>
      </c>
      <c r="E327" s="38" t="inlineStr">
        <is>
          <t>8</t>
        </is>
      </c>
    </row>
    <row r="328" ht="15" customHeight="1" s="39">
      <c r="A328" s="42" t="inlineStr">
        <is>
          <t>170789</t>
        </is>
      </c>
      <c r="B328" s="38" t="inlineStr">
        <is>
          <t>Ger</t>
        </is>
      </c>
      <c r="C328" s="38" t="inlineStr">
        <is>
          <t>33,38</t>
        </is>
      </c>
      <c r="D328" s="38" t="inlineStr">
        <is>
          <t>15,0</t>
        </is>
      </c>
      <c r="E328" s="38" t="inlineStr">
        <is>
          <t>8</t>
        </is>
      </c>
    </row>
    <row r="329" ht="15" customHeight="1" s="39">
      <c r="A329" s="42" t="inlineStr">
        <is>
          <t>259123</t>
        </is>
      </c>
      <c r="B329" s="38" t="inlineStr">
        <is>
          <t>Gimenells i el Pla de la Font</t>
        </is>
      </c>
      <c r="C329" s="38" t="inlineStr">
        <is>
          <t>55,84</t>
        </is>
      </c>
      <c r="D329" s="38" t="inlineStr">
        <is>
          <t>19,2</t>
        </is>
      </c>
      <c r="E329" s="38" t="inlineStr">
        <is>
          <t>3</t>
        </is>
      </c>
    </row>
    <row r="330" ht="15" customHeight="1" s="39">
      <c r="A330" s="42" t="inlineStr">
        <is>
          <t>430672</t>
        </is>
      </c>
      <c r="B330" s="38" t="inlineStr">
        <is>
          <t>Ginestar</t>
        </is>
      </c>
      <c r="C330" s="38" t="inlineStr">
        <is>
          <t>15,84</t>
        </is>
      </c>
      <c r="D330" s="38" t="inlineStr">
        <is>
          <t>50,4</t>
        </is>
      </c>
      <c r="E330" s="38" t="inlineStr">
        <is>
          <t>1</t>
        </is>
      </c>
    </row>
    <row r="331" ht="15" customHeight="1" s="39">
      <c r="A331" s="42" t="inlineStr">
        <is>
          <t>170792</t>
        </is>
      </c>
      <c r="B331" s="38" t="inlineStr">
        <is>
          <t>Girona</t>
        </is>
      </c>
      <c r="C331" s="38" t="inlineStr">
        <is>
          <t>39,12</t>
        </is>
      </c>
      <c r="D331" s="38" t="inlineStr">
        <is>
          <t>2769,7</t>
        </is>
      </c>
      <c r="E331" s="38" t="inlineStr">
        <is>
          <t>13</t>
        </is>
      </c>
    </row>
    <row r="332" ht="15" customHeight="1" s="39">
      <c r="A332" s="42" t="inlineStr">
        <is>
          <t>080924</t>
        </is>
      </c>
      <c r="B332" s="38" t="inlineStr">
        <is>
          <t>Gironella</t>
        </is>
      </c>
      <c r="C332" s="38" t="inlineStr">
        <is>
          <t>6,78</t>
        </is>
      </c>
      <c r="D332" s="38" t="inlineStr">
        <is>
          <t>749,6</t>
        </is>
      </c>
      <c r="E332" s="38" t="inlineStr">
        <is>
          <t>5</t>
        </is>
      </c>
    </row>
    <row r="333" ht="15" customHeight="1" s="39">
      <c r="A333" s="42" t="inlineStr">
        <is>
          <t>080930</t>
        </is>
      </c>
      <c r="B333" s="38" t="inlineStr">
        <is>
          <t>Gisclareny</t>
        </is>
      </c>
      <c r="C333" s="38" t="inlineStr">
        <is>
          <t>36,47</t>
        </is>
      </c>
      <c r="D333" s="38" t="inlineStr">
        <is>
          <t>0,8</t>
        </is>
      </c>
      <c r="E333" s="38" t="inlineStr">
        <is>
          <t>1</t>
        </is>
      </c>
    </row>
    <row r="334" ht="15" customHeight="1" s="39">
      <c r="A334" s="42" t="inlineStr">
        <is>
          <t>430688</t>
        </is>
      </c>
      <c r="B334" s="38" t="inlineStr">
        <is>
          <t>Godall</t>
        </is>
      </c>
      <c r="C334" s="38" t="inlineStr">
        <is>
          <t>33,62</t>
        </is>
      </c>
      <c r="D334" s="38" t="inlineStr">
        <is>
          <t>17,8</t>
        </is>
      </c>
      <c r="E334" s="38" t="inlineStr">
        <is>
          <t>1</t>
        </is>
      </c>
    </row>
    <row r="335" ht="15" customHeight="1" s="39">
      <c r="A335" s="42" t="inlineStr">
        <is>
          <t>250997</t>
        </is>
      </c>
      <c r="B335" s="38" t="inlineStr">
        <is>
          <t>Golmés</t>
        </is>
      </c>
      <c r="C335" s="38" t="inlineStr">
        <is>
          <t>16,62</t>
        </is>
      </c>
      <c r="D335" s="38" t="inlineStr">
        <is>
          <t>115,2</t>
        </is>
      </c>
      <c r="E335" s="38" t="inlineStr">
        <is>
          <t>1</t>
        </is>
      </c>
    </row>
    <row r="336" ht="15" customHeight="1" s="39">
      <c r="A336" s="42" t="inlineStr">
        <is>
          <t>170806</t>
        </is>
      </c>
      <c r="B336" s="38" t="inlineStr">
        <is>
          <t>Gombrèn</t>
        </is>
      </c>
      <c r="C336" s="38" t="inlineStr">
        <is>
          <t>43,26</t>
        </is>
      </c>
      <c r="D336" s="38" t="inlineStr">
        <is>
          <t>4,8</t>
        </is>
      </c>
      <c r="E336" s="38" t="inlineStr">
        <is>
          <t>4</t>
        </is>
      </c>
    </row>
    <row r="337" ht="15" customHeight="1" s="39">
      <c r="A337" s="42" t="inlineStr">
        <is>
          <t>251001</t>
        </is>
      </c>
      <c r="B337" s="38" t="inlineStr">
        <is>
          <t>Gósol</t>
        </is>
      </c>
      <c r="C337" s="38" t="inlineStr">
        <is>
          <t>56,29</t>
        </is>
      </c>
      <c r="D337" s="38" t="inlineStr">
        <is>
          <t>3,7</t>
        </is>
      </c>
      <c r="E337" s="38" t="inlineStr">
        <is>
          <t>2</t>
        </is>
      </c>
    </row>
    <row r="338" ht="15" customHeight="1" s="39">
      <c r="A338" s="42" t="inlineStr">
        <is>
          <t>080945</t>
        </is>
      </c>
      <c r="B338" s="38" t="inlineStr">
        <is>
          <t>Granada, la</t>
        </is>
      </c>
      <c r="C338" s="38" t="inlineStr">
        <is>
          <t>6,52</t>
        </is>
      </c>
      <c r="D338" s="38" t="inlineStr">
        <is>
          <t>349,8</t>
        </is>
      </c>
      <c r="E338" s="38" t="inlineStr">
        <is>
          <t>1</t>
        </is>
      </c>
    </row>
    <row r="339" ht="15" customHeight="1" s="39">
      <c r="A339" s="42" t="inlineStr">
        <is>
          <t>251018</t>
        </is>
      </c>
      <c r="B339" s="38" t="inlineStr">
        <is>
          <t>Granadella, la</t>
        </is>
      </c>
      <c r="C339" s="38" t="inlineStr">
        <is>
          <t>88,70</t>
        </is>
      </c>
      <c r="D339" s="38" t="inlineStr">
        <is>
          <t>8,5</t>
        </is>
      </c>
      <c r="E339" s="38" t="inlineStr">
        <is>
          <t>1</t>
        </is>
      </c>
    </row>
    <row r="340" ht="15" customHeight="1" s="39">
      <c r="A340" s="42" t="inlineStr">
        <is>
          <t>080958</t>
        </is>
      </c>
      <c r="B340" s="38" t="inlineStr">
        <is>
          <t>Granera</t>
        </is>
      </c>
      <c r="C340" s="38" t="inlineStr">
        <is>
          <t>23,73</t>
        </is>
      </c>
      <c r="D340" s="38" t="inlineStr">
        <is>
          <t>3,5</t>
        </is>
      </c>
      <c r="E340" s="38" t="inlineStr">
        <is>
          <t>1</t>
        </is>
      </c>
    </row>
    <row r="341" ht="15" customHeight="1" s="39">
      <c r="A341" s="42" t="inlineStr">
        <is>
          <t>251023</t>
        </is>
      </c>
      <c r="B341" s="38" t="inlineStr">
        <is>
          <t>Granja d'Escarp, la</t>
        </is>
      </c>
      <c r="C341" s="38" t="inlineStr">
        <is>
          <t>38,51</t>
        </is>
      </c>
      <c r="D341" s="38" t="inlineStr">
        <is>
          <t>25,8</t>
        </is>
      </c>
      <c r="E341" s="38" t="inlineStr">
        <is>
          <t>1</t>
        </is>
      </c>
    </row>
    <row r="342" ht="15" customHeight="1" s="39">
      <c r="A342" s="42" t="inlineStr">
        <is>
          <t>080961</t>
        </is>
      </c>
      <c r="B342" s="38" t="inlineStr">
        <is>
          <t>Granollers</t>
        </is>
      </c>
      <c r="C342" s="38" t="inlineStr">
        <is>
          <t>14,87</t>
        </is>
      </c>
      <c r="D342" s="38" t="inlineStr">
        <is>
          <t>4379,5</t>
        </is>
      </c>
      <c r="E342" s="38" t="inlineStr">
        <is>
          <t>1</t>
        </is>
      </c>
    </row>
    <row r="343" ht="15" customHeight="1" s="39">
      <c r="A343" s="42" t="inlineStr">
        <is>
          <t>251039</t>
        </is>
      </c>
      <c r="B343" s="38" t="inlineStr">
        <is>
          <t>Granyanella</t>
        </is>
      </c>
      <c r="C343" s="38" t="inlineStr">
        <is>
          <t>24,35</t>
        </is>
      </c>
      <c r="D343" s="38" t="inlineStr">
        <is>
          <t>6,3</t>
        </is>
      </c>
      <c r="E343" s="38" t="inlineStr">
        <is>
          <t>5</t>
        </is>
      </c>
    </row>
    <row r="344" ht="15" customHeight="1" s="39">
      <c r="A344" s="42" t="inlineStr">
        <is>
          <t>251057</t>
        </is>
      </c>
      <c r="B344" s="38" t="inlineStr">
        <is>
          <t>Granyena de les Garrigues</t>
        </is>
      </c>
      <c r="C344" s="38" t="inlineStr">
        <is>
          <t>20,47</t>
        </is>
      </c>
      <c r="D344" s="38" t="inlineStr">
        <is>
          <t>8,5</t>
        </is>
      </c>
      <c r="E344" s="38" t="inlineStr">
        <is>
          <t>1</t>
        </is>
      </c>
    </row>
    <row r="345" ht="15" customHeight="1" s="39">
      <c r="A345" s="42" t="inlineStr">
        <is>
          <t>251044</t>
        </is>
      </c>
      <c r="B345" s="38" t="inlineStr">
        <is>
          <t>Granyena de Segarra</t>
        </is>
      </c>
      <c r="C345" s="38" t="inlineStr">
        <is>
          <t>16,30</t>
        </is>
      </c>
      <c r="D345" s="38" t="inlineStr">
        <is>
          <t>9,1</t>
        </is>
      </c>
      <c r="E345" s="38" t="inlineStr">
        <is>
          <t>1</t>
        </is>
      </c>
    </row>
    <row r="346" ht="15" customHeight="1" s="39">
      <c r="A346" s="42" t="inlineStr">
        <is>
          <t>430691</t>
        </is>
      </c>
      <c r="B346" s="38" t="inlineStr">
        <is>
          <t>Gratallops</t>
        </is>
      </c>
      <c r="C346" s="38" t="inlineStr">
        <is>
          <t>13,52</t>
        </is>
      </c>
      <c r="D346" s="38" t="inlineStr">
        <is>
          <t>16,8</t>
        </is>
      </c>
      <c r="E346" s="38" t="inlineStr">
        <is>
          <t>1</t>
        </is>
      </c>
    </row>
    <row r="347" ht="15" customHeight="1" s="39">
      <c r="A347" s="42" t="inlineStr">
        <is>
          <t>080977</t>
        </is>
      </c>
      <c r="B347" s="38" t="inlineStr">
        <is>
          <t>Gualba</t>
        </is>
      </c>
      <c r="C347" s="38" t="inlineStr">
        <is>
          <t>23,29</t>
        </is>
      </c>
      <c r="D347" s="38" t="inlineStr">
        <is>
          <t>75,3</t>
        </is>
      </c>
      <c r="E347" s="38" t="inlineStr">
        <is>
          <t>8</t>
        </is>
      </c>
    </row>
    <row r="348" ht="15" customHeight="1" s="39">
      <c r="A348" s="42" t="inlineStr">
        <is>
          <t>170813</t>
        </is>
      </c>
      <c r="B348" s="38" t="inlineStr">
        <is>
          <t>Gualta</t>
        </is>
      </c>
      <c r="C348" s="38" t="inlineStr">
        <is>
          <t>9,02</t>
        </is>
      </c>
      <c r="D348" s="38" t="inlineStr">
        <is>
          <t>48,4</t>
        </is>
      </c>
      <c r="E348" s="38" t="inlineStr">
        <is>
          <t>1</t>
        </is>
      </c>
    </row>
    <row r="349" ht="15" customHeight="1" s="39">
      <c r="A349" s="42" t="inlineStr">
        <is>
          <t>080996</t>
        </is>
      </c>
      <c r="B349" s="38" t="inlineStr">
        <is>
          <t>Guardiola de Berguedà</t>
        </is>
      </c>
      <c r="C349" s="38" t="inlineStr">
        <is>
          <t>61,73</t>
        </is>
      </c>
      <c r="D349" s="38" t="inlineStr">
        <is>
          <t>15,6</t>
        </is>
      </c>
      <c r="E349" s="38" t="inlineStr">
        <is>
          <t>2</t>
        </is>
      </c>
    </row>
    <row r="350" ht="15" customHeight="1" s="39">
      <c r="A350" s="42" t="inlineStr">
        <is>
          <t>430705</t>
        </is>
      </c>
      <c r="B350" s="38" t="inlineStr">
        <is>
          <t>Guiamets, els</t>
        </is>
      </c>
      <c r="C350" s="38" t="inlineStr">
        <is>
          <t>12,14</t>
        </is>
      </c>
      <c r="D350" s="38" t="inlineStr">
        <is>
          <t>20,8</t>
        </is>
      </c>
      <c r="E350" s="38" t="inlineStr">
        <is>
          <t>1</t>
        </is>
      </c>
    </row>
    <row r="351" ht="15" customHeight="1" s="39">
      <c r="A351" s="42" t="inlineStr">
        <is>
          <t>170828</t>
        </is>
      </c>
      <c r="B351" s="38" t="inlineStr">
        <is>
          <t>Guils de Cerdanya</t>
        </is>
      </c>
      <c r="C351" s="38" t="inlineStr">
        <is>
          <t>22,02</t>
        </is>
      </c>
      <c r="D351" s="38" t="inlineStr">
        <is>
          <t>25,4</t>
        </is>
      </c>
      <c r="E351" s="38" t="inlineStr">
        <is>
          <t>4</t>
        </is>
      </c>
    </row>
    <row r="352" ht="15" customHeight="1" s="39">
      <c r="A352" s="42" t="inlineStr">
        <is>
          <t>251095</t>
        </is>
      </c>
      <c r="B352" s="38" t="inlineStr">
        <is>
          <t>Guimerà</t>
        </is>
      </c>
      <c r="C352" s="38" t="inlineStr">
        <is>
          <t>25,76</t>
        </is>
      </c>
      <c r="D352" s="38" t="inlineStr">
        <is>
          <t>9,8</t>
        </is>
      </c>
      <c r="E352" s="38" t="inlineStr">
        <is>
          <t>1</t>
        </is>
      </c>
    </row>
    <row r="353" ht="15" customHeight="1" s="39">
      <c r="A353" s="42" t="inlineStr">
        <is>
          <t>259031</t>
        </is>
      </c>
      <c r="B353" s="38" t="inlineStr">
        <is>
          <t>Guingueta d'Àneu, la</t>
        </is>
      </c>
      <c r="C353" s="38" t="inlineStr">
        <is>
          <t>108,42</t>
        </is>
      </c>
      <c r="D353" s="38" t="inlineStr">
        <is>
          <t>2,5</t>
        </is>
      </c>
      <c r="E353" s="38" t="inlineStr">
        <is>
          <t>14</t>
        </is>
      </c>
    </row>
    <row r="354" ht="15" customHeight="1" s="39">
      <c r="A354" s="42" t="inlineStr">
        <is>
          <t>251109</t>
        </is>
      </c>
      <c r="B354" s="38" t="inlineStr">
        <is>
          <t>Guissona</t>
        </is>
      </c>
      <c r="C354" s="38" t="inlineStr">
        <is>
          <t>18,10</t>
        </is>
      </c>
      <c r="D354" s="38" t="inlineStr">
        <is>
          <t>426,2</t>
        </is>
      </c>
      <c r="E354" s="38" t="inlineStr">
        <is>
          <t>2</t>
        </is>
      </c>
    </row>
    <row r="355" ht="15" customHeight="1" s="39">
      <c r="A355" s="42" t="inlineStr">
        <is>
          <t>251116</t>
        </is>
      </c>
      <c r="B355" s="38" t="inlineStr">
        <is>
          <t>Guixers</t>
        </is>
      </c>
      <c r="C355" s="38" t="inlineStr">
        <is>
          <t>66,44</t>
        </is>
      </c>
      <c r="D355" s="38" t="inlineStr">
        <is>
          <t>1,9</t>
        </is>
      </c>
      <c r="E355" s="38" t="inlineStr">
        <is>
          <t>7</t>
        </is>
      </c>
    </row>
    <row r="356" ht="15" customHeight="1" s="39">
      <c r="A356" s="42" t="inlineStr">
        <is>
          <t>081000</t>
        </is>
      </c>
      <c r="B356" s="38" t="inlineStr">
        <is>
          <t>Gurb</t>
        </is>
      </c>
      <c r="C356" s="38" t="inlineStr">
        <is>
          <t>51,57</t>
        </is>
      </c>
      <c r="D356" s="38" t="inlineStr">
        <is>
          <t>53,1</t>
        </is>
      </c>
      <c r="E356" s="38" t="inlineStr">
        <is>
          <t>4</t>
        </is>
      </c>
    </row>
    <row r="357" ht="15" customHeight="1" s="39">
      <c r="A357" s="42" t="inlineStr">
        <is>
          <t>430712</t>
        </is>
      </c>
      <c r="B357" s="38" t="inlineStr">
        <is>
          <t>Horta de Sant Joan</t>
        </is>
      </c>
      <c r="C357" s="38" t="inlineStr">
        <is>
          <t>118,99</t>
        </is>
      </c>
      <c r="D357" s="38" t="inlineStr">
        <is>
          <t>9,7</t>
        </is>
      </c>
      <c r="E357" s="38" t="inlineStr">
        <is>
          <t>2</t>
        </is>
      </c>
    </row>
    <row r="358" ht="15" customHeight="1" s="39">
      <c r="A358" s="42" t="inlineStr">
        <is>
          <t>081017</t>
        </is>
      </c>
      <c r="B358" s="38" t="inlineStr">
        <is>
          <t>Hospitalet de Llobregat, l'</t>
        </is>
      </c>
      <c r="C358" s="38" t="inlineStr">
        <is>
          <t>12,40</t>
        </is>
      </c>
      <c r="D358" s="38" t="inlineStr">
        <is>
          <t>23561,4</t>
        </is>
      </c>
      <c r="E358" s="38" t="inlineStr">
        <is>
          <t>1</t>
        </is>
      </c>
    </row>
    <row r="359" ht="15" customHeight="1" s="39">
      <c r="A359" s="42" t="inlineStr">
        <is>
          <t>081629</t>
        </is>
      </c>
      <c r="B359" s="38" t="inlineStr">
        <is>
          <t>Hostalets de Pierola, els</t>
        </is>
      </c>
      <c r="C359" s="38" t="inlineStr">
        <is>
          <t>33,49</t>
        </is>
      </c>
      <c r="D359" s="38" t="inlineStr">
        <is>
          <t>97,2</t>
        </is>
      </c>
      <c r="E359" s="38" t="inlineStr">
        <is>
          <t>10</t>
        </is>
      </c>
    </row>
    <row r="360" ht="15" customHeight="1" s="39">
      <c r="A360" s="42" t="inlineStr">
        <is>
          <t>170834</t>
        </is>
      </c>
      <c r="B360" s="38" t="inlineStr">
        <is>
          <t>Hostalric</t>
        </is>
      </c>
      <c r="C360" s="38" t="inlineStr">
        <is>
          <t>3,39</t>
        </is>
      </c>
      <c r="D360" s="38" t="inlineStr">
        <is>
          <t>1316,8</t>
        </is>
      </c>
      <c r="E360" s="38" t="inlineStr">
        <is>
          <t>1</t>
        </is>
      </c>
    </row>
    <row r="361" ht="15" customHeight="1" s="39">
      <c r="A361" s="42" t="inlineStr">
        <is>
          <t>081022</t>
        </is>
      </c>
      <c r="B361" s="38" t="inlineStr">
        <is>
          <t>Igualada</t>
        </is>
      </c>
      <c r="C361" s="38" t="inlineStr">
        <is>
          <t>8,11</t>
        </is>
      </c>
      <c r="D361" s="38" t="inlineStr">
        <is>
          <t>5234,2</t>
        </is>
      </c>
      <c r="E361" s="38" t="inlineStr">
        <is>
          <t>1</t>
        </is>
      </c>
    </row>
    <row r="362" ht="15" customHeight="1" s="39">
      <c r="A362" s="42" t="inlineStr">
        <is>
          <t>251155</t>
        </is>
      </c>
      <c r="B362" s="38" t="inlineStr">
        <is>
          <t>Isona i Conca Dellà</t>
        </is>
      </c>
      <c r="C362" s="38" t="inlineStr">
        <is>
          <t>139,37</t>
        </is>
      </c>
      <c r="D362" s="38" t="inlineStr">
        <is>
          <t>7,4</t>
        </is>
      </c>
      <c r="E362" s="38" t="inlineStr">
        <is>
          <t>14</t>
        </is>
      </c>
    </row>
    <row r="363" ht="15" customHeight="1" s="39">
      <c r="A363" s="42" t="inlineStr">
        <is>
          <t>170849</t>
        </is>
      </c>
      <c r="B363" s="38" t="inlineStr">
        <is>
          <t>Isòvol</t>
        </is>
      </c>
      <c r="C363" s="38" t="inlineStr">
        <is>
          <t>10,81</t>
        </is>
      </c>
      <c r="D363" s="38" t="inlineStr">
        <is>
          <t>29,0</t>
        </is>
      </c>
      <c r="E363" s="38" t="inlineStr">
        <is>
          <t>3</t>
        </is>
      </c>
    </row>
    <row r="364" ht="15" customHeight="1" s="39">
      <c r="A364" s="42" t="inlineStr">
        <is>
          <t>251137</t>
        </is>
      </c>
      <c r="B364" s="38" t="inlineStr">
        <is>
          <t>Ivars d'Urgell</t>
        </is>
      </c>
      <c r="C364" s="38" t="inlineStr">
        <is>
          <t>24,32</t>
        </is>
      </c>
      <c r="D364" s="38" t="inlineStr">
        <is>
          <t>65,7</t>
        </is>
      </c>
      <c r="E364" s="38" t="inlineStr">
        <is>
          <t>4</t>
        </is>
      </c>
    </row>
    <row r="365" ht="15" customHeight="1" s="39">
      <c r="A365" s="42" t="inlineStr">
        <is>
          <t>251121</t>
        </is>
      </c>
      <c r="B365" s="38" t="inlineStr">
        <is>
          <t>Ivars de Noguera</t>
        </is>
      </c>
      <c r="C365" s="38" t="inlineStr">
        <is>
          <t>27,14</t>
        </is>
      </c>
      <c r="D365" s="38" t="inlineStr">
        <is>
          <t>11,7</t>
        </is>
      </c>
      <c r="E365" s="38" t="inlineStr">
        <is>
          <t>1</t>
        </is>
      </c>
    </row>
    <row r="366" ht="15" customHeight="1" s="39">
      <c r="A366" s="42" t="inlineStr">
        <is>
          <t>251142</t>
        </is>
      </c>
      <c r="B366" s="38" t="inlineStr">
        <is>
          <t>Ivorra</t>
        </is>
      </c>
      <c r="C366" s="38" t="inlineStr">
        <is>
          <t>15,36</t>
        </is>
      </c>
      <c r="D366" s="38" t="inlineStr">
        <is>
          <t>6,6</t>
        </is>
      </c>
      <c r="E366" s="38" t="inlineStr">
        <is>
          <t>1</t>
        </is>
      </c>
    </row>
    <row r="367" ht="15" customHeight="1" s="39">
      <c r="A367" s="42" t="inlineStr">
        <is>
          <t>170852</t>
        </is>
      </c>
      <c r="B367" s="38" t="inlineStr">
        <is>
          <t>Jafre</t>
        </is>
      </c>
      <c r="C367" s="38" t="inlineStr">
        <is>
          <t>6,64</t>
        </is>
      </c>
      <c r="D367" s="38" t="inlineStr">
        <is>
          <t>57,8</t>
        </is>
      </c>
      <c r="E367" s="38" t="inlineStr">
        <is>
          <t>1</t>
        </is>
      </c>
    </row>
    <row r="368" ht="15" customHeight="1" s="39">
      <c r="A368" s="42" t="inlineStr">
        <is>
          <t>170865</t>
        </is>
      </c>
      <c r="B368" s="38" t="inlineStr">
        <is>
          <t>Jonquera, la</t>
        </is>
      </c>
      <c r="C368" s="38" t="inlineStr">
        <is>
          <t>56,93</t>
        </is>
      </c>
      <c r="D368" s="38" t="inlineStr">
        <is>
          <t>59,9</t>
        </is>
      </c>
      <c r="E368" s="38" t="inlineStr">
        <is>
          <t>5</t>
        </is>
      </c>
    </row>
    <row r="369" ht="15" customHeight="1" s="39">
      <c r="A369" s="42" t="inlineStr">
        <is>
          <t>081038</t>
        </is>
      </c>
      <c r="B369" s="38" t="inlineStr">
        <is>
          <t>Jorba</t>
        </is>
      </c>
      <c r="C369" s="38" t="inlineStr">
        <is>
          <t>30,90</t>
        </is>
      </c>
      <c r="D369" s="38" t="inlineStr">
        <is>
          <t>27,5</t>
        </is>
      </c>
      <c r="E369" s="38" t="inlineStr">
        <is>
          <t>2</t>
        </is>
      </c>
    </row>
    <row r="370" ht="15" customHeight="1" s="39">
      <c r="A370" s="42" t="inlineStr">
        <is>
          <t>259101</t>
        </is>
      </c>
      <c r="B370" s="38" t="inlineStr">
        <is>
          <t>Josa i Tuixén</t>
        </is>
      </c>
      <c r="C370" s="38" t="inlineStr">
        <is>
          <t>68,16</t>
        </is>
      </c>
      <c r="D370" s="38" t="inlineStr">
        <is>
          <t>1,6</t>
        </is>
      </c>
      <c r="E370" s="38" t="inlineStr">
        <is>
          <t>2</t>
        </is>
      </c>
    </row>
    <row r="371" ht="15" customHeight="1" s="39">
      <c r="A371" s="42" t="inlineStr">
        <is>
          <t>170871</t>
        </is>
      </c>
      <c r="B371" s="38" t="inlineStr">
        <is>
          <t>Juià</t>
        </is>
      </c>
      <c r="C371" s="38" t="inlineStr">
        <is>
          <t>8,36</t>
        </is>
      </c>
      <c r="D371" s="38" t="inlineStr">
        <is>
          <t>38,3</t>
        </is>
      </c>
      <c r="E371" s="38" t="inlineStr">
        <is>
          <t>4</t>
        </is>
      </c>
    </row>
    <row r="372" ht="15" customHeight="1" s="39">
      <c r="A372" s="42" t="inlineStr">
        <is>
          <t>251180</t>
        </is>
      </c>
      <c r="B372" s="38" t="inlineStr">
        <is>
          <t>Juncosa</t>
        </is>
      </c>
      <c r="C372" s="38" t="inlineStr">
        <is>
          <t>76,49</t>
        </is>
      </c>
      <c r="D372" s="38" t="inlineStr">
        <is>
          <t>5,0</t>
        </is>
      </c>
      <c r="E372" s="38" t="inlineStr">
        <is>
          <t>1</t>
        </is>
      </c>
    </row>
    <row r="373" ht="15" customHeight="1" s="39">
      <c r="A373" s="42" t="inlineStr">
        <is>
          <t>251193</t>
        </is>
      </c>
      <c r="B373" s="38" t="inlineStr">
        <is>
          <t>Juneda</t>
        </is>
      </c>
      <c r="C373" s="38" t="inlineStr">
        <is>
          <t>47,33</t>
        </is>
      </c>
      <c r="D373" s="38" t="inlineStr">
        <is>
          <t>74,4</t>
        </is>
      </c>
      <c r="E373" s="38" t="inlineStr">
        <is>
          <t>1</t>
        </is>
      </c>
    </row>
    <row r="374" ht="15" customHeight="1" s="39">
      <c r="A374" s="42" t="inlineStr">
        <is>
          <t>251214</t>
        </is>
      </c>
      <c r="B374" s="38" t="inlineStr">
        <is>
          <t>Les</t>
        </is>
      </c>
      <c r="C374" s="38" t="inlineStr">
        <is>
          <t>23,45</t>
        </is>
      </c>
      <c r="D374" s="38" t="inlineStr">
        <is>
          <t>44,9</t>
        </is>
      </c>
      <c r="E374" s="38" t="inlineStr">
        <is>
          <t>1</t>
        </is>
      </c>
    </row>
    <row r="375" ht="15" customHeight="1" s="39">
      <c r="A375" s="42" t="inlineStr">
        <is>
          <t>251229</t>
        </is>
      </c>
      <c r="B375" s="38" t="inlineStr">
        <is>
          <t>Linyola</t>
        </is>
      </c>
      <c r="C375" s="38" t="inlineStr">
        <is>
          <t>28,66</t>
        </is>
      </c>
      <c r="D375" s="38" t="inlineStr">
        <is>
          <t>96,1</t>
        </is>
      </c>
      <c r="E375" s="38" t="inlineStr">
        <is>
          <t>1</t>
        </is>
      </c>
    </row>
    <row r="376" ht="15" customHeight="1" s="39">
      <c r="A376" s="42" t="inlineStr">
        <is>
          <t>081043</t>
        </is>
      </c>
      <c r="B376" s="38" t="inlineStr">
        <is>
          <t>Llacuna, la</t>
        </is>
      </c>
      <c r="C376" s="38" t="inlineStr">
        <is>
          <t>52,23</t>
        </is>
      </c>
      <c r="D376" s="38" t="inlineStr">
        <is>
          <t>18,4</t>
        </is>
      </c>
      <c r="E376" s="38" t="inlineStr">
        <is>
          <t>3</t>
        </is>
      </c>
    </row>
    <row r="377" ht="15" customHeight="1" s="39">
      <c r="A377" s="42" t="inlineStr">
        <is>
          <t>170887</t>
        </is>
      </c>
      <c r="B377" s="38" t="inlineStr">
        <is>
          <t>Lladó</t>
        </is>
      </c>
      <c r="C377" s="38" t="inlineStr">
        <is>
          <t>13,50</t>
        </is>
      </c>
      <c r="D377" s="38" t="inlineStr">
        <is>
          <t>61,0</t>
        </is>
      </c>
      <c r="E377" s="38" t="inlineStr">
        <is>
          <t>4</t>
        </is>
      </c>
    </row>
    <row r="378" ht="15" customHeight="1" s="39">
      <c r="A378" s="42" t="inlineStr">
        <is>
          <t>251235</t>
        </is>
      </c>
      <c r="B378" s="38" t="inlineStr">
        <is>
          <t>Lladorre</t>
        </is>
      </c>
      <c r="C378" s="38" t="inlineStr">
        <is>
          <t>146,98</t>
        </is>
      </c>
      <c r="D378" s="38" t="inlineStr">
        <is>
          <t>1,7</t>
        </is>
      </c>
      <c r="E378" s="38" t="inlineStr">
        <is>
          <t>8</t>
        </is>
      </c>
    </row>
    <row r="379" ht="15" customHeight="1" s="39">
      <c r="A379" s="42" t="inlineStr">
        <is>
          <t>251240</t>
        </is>
      </c>
      <c r="B379" s="38" t="inlineStr">
        <is>
          <t>Lladurs</t>
        </is>
      </c>
      <c r="C379" s="38" t="inlineStr">
        <is>
          <t>128,03</t>
        </is>
      </c>
      <c r="D379" s="38" t="inlineStr">
        <is>
          <t>1,5</t>
        </is>
      </c>
      <c r="E379" s="38" t="inlineStr">
        <is>
          <t>7</t>
        </is>
      </c>
    </row>
    <row r="380" ht="15" customHeight="1" s="39">
      <c r="A380" s="42" t="inlineStr">
        <is>
          <t>081056</t>
        </is>
      </c>
      <c r="B380" s="38" t="inlineStr">
        <is>
          <t>Llagosta, la</t>
        </is>
      </c>
      <c r="C380" s="38" t="inlineStr">
        <is>
          <t>3,03</t>
        </is>
      </c>
      <c r="D380" s="38" t="inlineStr">
        <is>
          <t>4374,3</t>
        </is>
      </c>
      <c r="E380" s="38" t="inlineStr">
        <is>
          <t>1</t>
        </is>
      </c>
    </row>
    <row r="381" ht="15" customHeight="1" s="39">
      <c r="A381" s="42" t="inlineStr">
        <is>
          <t>170890</t>
        </is>
      </c>
      <c r="B381" s="38" t="inlineStr">
        <is>
          <t>Llagostera</t>
        </is>
      </c>
      <c r="C381" s="38" t="inlineStr">
        <is>
          <t>76,38</t>
        </is>
      </c>
      <c r="D381" s="38" t="inlineStr">
        <is>
          <t>125,4</t>
        </is>
      </c>
      <c r="E381" s="38" t="inlineStr">
        <is>
          <t>18</t>
        </is>
      </c>
    </row>
    <row r="382" ht="15" customHeight="1" s="39">
      <c r="A382" s="42" t="inlineStr">
        <is>
          <t>170904</t>
        </is>
      </c>
      <c r="B382" s="38" t="inlineStr">
        <is>
          <t>Llambilles</t>
        </is>
      </c>
      <c r="C382" s="38" t="inlineStr">
        <is>
          <t>14,58</t>
        </is>
      </c>
      <c r="D382" s="38" t="inlineStr">
        <is>
          <t>50,2</t>
        </is>
      </c>
      <c r="E382" s="38" t="inlineStr">
        <is>
          <t>9</t>
        </is>
      </c>
    </row>
    <row r="383" ht="15" customHeight="1" s="39">
      <c r="A383" s="42" t="inlineStr">
        <is>
          <t>170911</t>
        </is>
      </c>
      <c r="B383" s="38" t="inlineStr">
        <is>
          <t>Llanars</t>
        </is>
      </c>
      <c r="C383" s="38" t="inlineStr">
        <is>
          <t>24,73</t>
        </is>
      </c>
      <c r="D383" s="38" t="inlineStr">
        <is>
          <t>20,9</t>
        </is>
      </c>
      <c r="E383" s="38" t="inlineStr">
        <is>
          <t>6</t>
        </is>
      </c>
    </row>
    <row r="384" ht="15" customHeight="1" s="39">
      <c r="A384" s="42" t="inlineStr">
        <is>
          <t>170926</t>
        </is>
      </c>
      <c r="B384" s="38" t="inlineStr">
        <is>
          <t>Llançà</t>
        </is>
      </c>
      <c r="C384" s="38" t="inlineStr">
        <is>
          <t>27,98</t>
        </is>
      </c>
      <c r="D384" s="38" t="inlineStr">
        <is>
          <t>179,9</t>
        </is>
      </c>
      <c r="E384" s="38" t="inlineStr">
        <is>
          <t>3</t>
        </is>
      </c>
    </row>
    <row r="385" ht="15" customHeight="1" s="39">
      <c r="A385" s="42" t="inlineStr">
        <is>
          <t>251253</t>
        </is>
      </c>
      <c r="B385" s="38" t="inlineStr">
        <is>
          <t>Llardecans</t>
        </is>
      </c>
      <c r="C385" s="38" t="inlineStr">
        <is>
          <t>66,04</t>
        </is>
      </c>
      <c r="D385" s="38" t="inlineStr">
        <is>
          <t>6,7</t>
        </is>
      </c>
      <c r="E385" s="38" t="inlineStr">
        <is>
          <t>1</t>
        </is>
      </c>
    </row>
    <row r="386" ht="15" customHeight="1" s="39">
      <c r="A386" s="42" t="inlineStr">
        <is>
          <t>251266</t>
        </is>
      </c>
      <c r="B386" s="38" t="inlineStr">
        <is>
          <t>Llavorsí</t>
        </is>
      </c>
      <c r="C386" s="38" t="inlineStr">
        <is>
          <t>68,51</t>
        </is>
      </c>
      <c r="D386" s="38" t="inlineStr">
        <is>
          <t>5,0</t>
        </is>
      </c>
      <c r="E386" s="38" t="inlineStr">
        <is>
          <t>7</t>
        </is>
      </c>
    </row>
    <row r="387" ht="15" customHeight="1" s="39">
      <c r="A387" s="42" t="inlineStr">
        <is>
          <t>251207</t>
        </is>
      </c>
      <c r="B387" s="38" t="inlineStr">
        <is>
          <t>Lleida</t>
        </is>
      </c>
      <c r="C387" s="38" t="inlineStr">
        <is>
          <t>212,30</t>
        </is>
      </c>
      <c r="D387" s="38" t="inlineStr">
        <is>
          <t>694,2</t>
        </is>
      </c>
      <c r="E387" s="38" t="inlineStr">
        <is>
          <t>8</t>
        </is>
      </c>
    </row>
    <row r="388" ht="15" customHeight="1" s="39">
      <c r="A388" s="42" t="inlineStr">
        <is>
          <t>170932</t>
        </is>
      </c>
      <c r="B388" s="38" t="inlineStr">
        <is>
          <t>Llers</t>
        </is>
      </c>
      <c r="C388" s="38" t="inlineStr">
        <is>
          <t>21,28</t>
        </is>
      </c>
      <c r="D388" s="38" t="inlineStr">
        <is>
          <t>59,6</t>
        </is>
      </c>
      <c r="E388" s="38" t="inlineStr">
        <is>
          <t>4</t>
        </is>
      </c>
    </row>
    <row r="389" ht="15" customHeight="1" s="39">
      <c r="A389" s="42" t="inlineStr">
        <is>
          <t>251272</t>
        </is>
      </c>
      <c r="B389" s="38" t="inlineStr">
        <is>
          <t>Lles de Cerdanya</t>
        </is>
      </c>
      <c r="C389" s="38" t="inlineStr">
        <is>
          <t>102,79</t>
        </is>
      </c>
      <c r="D389" s="38" t="inlineStr">
        <is>
          <t>2,9</t>
        </is>
      </c>
      <c r="E389" s="38" t="inlineStr">
        <is>
          <t>5</t>
        </is>
      </c>
    </row>
    <row r="390" ht="15" customHeight="1" s="39">
      <c r="A390" s="42" t="inlineStr">
        <is>
          <t>081075</t>
        </is>
      </c>
      <c r="B390" s="38" t="inlineStr">
        <is>
          <t>Lliçà d'Amunt</t>
        </is>
      </c>
      <c r="C390" s="38" t="inlineStr">
        <is>
          <t>22,33</t>
        </is>
      </c>
      <c r="D390" s="38" t="inlineStr">
        <is>
          <t>739,8</t>
        </is>
      </c>
      <c r="E390" s="38" t="inlineStr">
        <is>
          <t>3</t>
        </is>
      </c>
    </row>
    <row r="391" ht="15" customHeight="1" s="39">
      <c r="A391" s="42" t="inlineStr">
        <is>
          <t>081081</t>
        </is>
      </c>
      <c r="B391" s="38" t="inlineStr">
        <is>
          <t>Lliçà de Vall</t>
        </is>
      </c>
      <c r="C391" s="38" t="inlineStr">
        <is>
          <t>10,83</t>
        </is>
      </c>
      <c r="D391" s="38" t="inlineStr">
        <is>
          <t>636,3</t>
        </is>
      </c>
      <c r="E391" s="38" t="inlineStr">
        <is>
          <t>16</t>
        </is>
      </c>
    </row>
    <row r="392" ht="15" customHeight="1" s="39">
      <c r="A392" s="42" t="inlineStr">
        <is>
          <t>251288</t>
        </is>
      </c>
      <c r="B392" s="38" t="inlineStr">
        <is>
          <t>Llimiana</t>
        </is>
      </c>
      <c r="C392" s="38" t="inlineStr">
        <is>
          <t>41,68</t>
        </is>
      </c>
      <c r="D392" s="38" t="inlineStr">
        <is>
          <t>3,1</t>
        </is>
      </c>
      <c r="E392" s="38" t="inlineStr">
        <is>
          <t>3</t>
        </is>
      </c>
    </row>
    <row r="393" ht="15" customHeight="1" s="39">
      <c r="A393" s="42" t="inlineStr">
        <is>
          <t>081069</t>
        </is>
      </c>
      <c r="B393" s="38" t="inlineStr">
        <is>
          <t>Llinars del Vallès</t>
        </is>
      </c>
      <c r="C393" s="38" t="inlineStr">
        <is>
          <t>27,63</t>
        </is>
      </c>
      <c r="D393" s="38" t="inlineStr">
        <is>
          <t>395,6</t>
        </is>
      </c>
      <c r="E393" s="38" t="inlineStr">
        <is>
          <t>7</t>
        </is>
      </c>
    </row>
    <row r="394" ht="15" customHeight="1" s="39">
      <c r="A394" s="42" t="inlineStr">
        <is>
          <t>170947</t>
        </is>
      </c>
      <c r="B394" s="38" t="inlineStr">
        <is>
          <t>Llívia</t>
        </is>
      </c>
      <c r="C394" s="38" t="inlineStr">
        <is>
          <t>12,93</t>
        </is>
      </c>
      <c r="D394" s="38" t="inlineStr">
        <is>
          <t>121,6</t>
        </is>
      </c>
      <c r="E394" s="38" t="inlineStr">
        <is>
          <t>3</t>
        </is>
      </c>
    </row>
    <row r="395" ht="15" customHeight="1" s="39">
      <c r="A395" s="42" t="inlineStr">
        <is>
          <t>430727</t>
        </is>
      </c>
      <c r="B395" s="38" t="inlineStr">
        <is>
          <t>Lloar, el</t>
        </is>
      </c>
      <c r="C395" s="38" t="inlineStr">
        <is>
          <t>6,64</t>
        </is>
      </c>
      <c r="D395" s="38" t="inlineStr">
        <is>
          <t>15,1</t>
        </is>
      </c>
      <c r="E395" s="38" t="inlineStr">
        <is>
          <t>1</t>
        </is>
      </c>
    </row>
    <row r="396" ht="15" customHeight="1" s="39">
      <c r="A396" s="42" t="inlineStr">
        <is>
          <t>251291</t>
        </is>
      </c>
      <c r="B396" s="38" t="inlineStr">
        <is>
          <t>Llobera</t>
        </is>
      </c>
      <c r="C396" s="38" t="inlineStr">
        <is>
          <t>39,23</t>
        </is>
      </c>
      <c r="D396" s="38" t="inlineStr">
        <is>
          <t>5,1</t>
        </is>
      </c>
      <c r="E396" s="38" t="inlineStr">
        <is>
          <t>3</t>
        </is>
      </c>
    </row>
    <row r="397" ht="15" customHeight="1" s="39">
      <c r="A397" s="42" t="inlineStr">
        <is>
          <t>430733</t>
        </is>
      </c>
      <c r="B397" s="38" t="inlineStr">
        <is>
          <t>Llorac</t>
        </is>
      </c>
      <c r="C397" s="38" t="inlineStr">
        <is>
          <t>23,33</t>
        </is>
      </c>
      <c r="D397" s="38" t="inlineStr">
        <is>
          <t>4,5</t>
        </is>
      </c>
      <c r="E397" s="38" t="inlineStr">
        <is>
          <t>4</t>
        </is>
      </c>
    </row>
    <row r="398" ht="15" customHeight="1" s="39">
      <c r="A398" s="42" t="inlineStr">
        <is>
          <t>430748</t>
        </is>
      </c>
      <c r="B398" s="38" t="inlineStr">
        <is>
          <t>Llorenç del Penedès</t>
        </is>
      </c>
      <c r="C398" s="38" t="inlineStr">
        <is>
          <t>4,61</t>
        </is>
      </c>
      <c r="D398" s="38" t="inlineStr">
        <is>
          <t>526,2</t>
        </is>
      </c>
      <c r="E398" s="38" t="inlineStr">
        <is>
          <t>2</t>
        </is>
      </c>
    </row>
    <row r="399" ht="15" customHeight="1" s="39">
      <c r="A399" s="42" t="inlineStr">
        <is>
          <t>170950</t>
        </is>
      </c>
      <c r="B399" s="38" t="inlineStr">
        <is>
          <t>Lloret de Mar</t>
        </is>
      </c>
      <c r="C399" s="38" t="inlineStr">
        <is>
          <t>48,71</t>
        </is>
      </c>
      <c r="D399" s="38" t="inlineStr">
        <is>
          <t>861,1</t>
        </is>
      </c>
      <c r="E399" s="38" t="inlineStr">
        <is>
          <t>8</t>
        </is>
      </c>
    </row>
    <row r="400" ht="15" customHeight="1" s="39">
      <c r="A400" s="42" t="inlineStr">
        <is>
          <t>170963</t>
        </is>
      </c>
      <c r="B400" s="38" t="inlineStr">
        <is>
          <t>Llosses, les</t>
        </is>
      </c>
      <c r="C400" s="38" t="inlineStr">
        <is>
          <t>114,02</t>
        </is>
      </c>
      <c r="D400" s="38" t="inlineStr">
        <is>
          <t>1,7</t>
        </is>
      </c>
      <c r="E400" s="38" t="inlineStr">
        <is>
          <t>8</t>
        </is>
      </c>
    </row>
    <row r="401" ht="15" customHeight="1" s="39">
      <c r="A401" s="42" t="inlineStr">
        <is>
          <t>081094</t>
        </is>
      </c>
      <c r="B401" s="38" t="inlineStr">
        <is>
          <t>Lluçà</t>
        </is>
      </c>
      <c r="C401" s="38" t="inlineStr">
        <is>
          <t>52,98</t>
        </is>
      </c>
      <c r="D401" s="38" t="inlineStr">
        <is>
          <t>5,3</t>
        </is>
      </c>
      <c r="E401" s="38" t="inlineStr">
        <is>
          <t>2</t>
        </is>
      </c>
    </row>
    <row r="402" ht="15" customHeight="1" s="39">
      <c r="A402" s="42" t="inlineStr">
        <is>
          <t>171024</t>
        </is>
      </c>
      <c r="B402" s="38" t="inlineStr">
        <is>
          <t>Maçanet de Cabrenys</t>
        </is>
      </c>
      <c r="C402" s="38" t="inlineStr">
        <is>
          <t>67,91</t>
        </is>
      </c>
      <c r="D402" s="38" t="inlineStr">
        <is>
          <t>11,3</t>
        </is>
      </c>
      <c r="E402" s="38" t="inlineStr">
        <is>
          <t>8</t>
        </is>
      </c>
    </row>
    <row r="403" ht="15" customHeight="1" s="39">
      <c r="A403" s="42" t="inlineStr">
        <is>
          <t>171030</t>
        </is>
      </c>
      <c r="B403" s="38" t="inlineStr">
        <is>
          <t>Maçanet de la Selva</t>
        </is>
      </c>
      <c r="C403" s="38" t="inlineStr">
        <is>
          <t>45,58</t>
        </is>
      </c>
      <c r="D403" s="38" t="inlineStr">
        <is>
          <t>176,9</t>
        </is>
      </c>
      <c r="E403" s="38" t="inlineStr">
        <is>
          <t>16</t>
        </is>
      </c>
    </row>
    <row r="404" ht="15" customHeight="1" s="39">
      <c r="A404" s="42" t="inlineStr">
        <is>
          <t>170979</t>
        </is>
      </c>
      <c r="B404" s="38" t="inlineStr">
        <is>
          <t>Madremanya</t>
        </is>
      </c>
      <c r="C404" s="38" t="inlineStr">
        <is>
          <t>13,72</t>
        </is>
      </c>
      <c r="D404" s="38" t="inlineStr">
        <is>
          <t>20,2</t>
        </is>
      </c>
      <c r="E404" s="38" t="inlineStr">
        <is>
          <t>4</t>
        </is>
      </c>
    </row>
    <row r="405" ht="15" customHeight="1" s="39">
      <c r="A405" s="42" t="inlineStr">
        <is>
          <t>170985</t>
        </is>
      </c>
      <c r="B405" s="38" t="inlineStr">
        <is>
          <t>Maià de Montcal</t>
        </is>
      </c>
      <c r="C405" s="38" t="inlineStr">
        <is>
          <t>17,29</t>
        </is>
      </c>
      <c r="D405" s="38" t="inlineStr">
        <is>
          <t>28,8</t>
        </is>
      </c>
      <c r="E405" s="38" t="inlineStr">
        <is>
          <t>10</t>
        </is>
      </c>
    </row>
    <row r="406" ht="15" customHeight="1" s="39">
      <c r="A406" s="42" t="inlineStr">
        <is>
          <t>251333</t>
        </is>
      </c>
      <c r="B406" s="38" t="inlineStr">
        <is>
          <t>Maials</t>
        </is>
      </c>
      <c r="C406" s="38" t="inlineStr">
        <is>
          <t>57,08</t>
        </is>
      </c>
      <c r="D406" s="38" t="inlineStr">
        <is>
          <t>16,6</t>
        </is>
      </c>
      <c r="E406" s="38" t="inlineStr">
        <is>
          <t>1</t>
        </is>
      </c>
    </row>
    <row r="407" ht="15" customHeight="1" s="39">
      <c r="A407" s="42" t="inlineStr">
        <is>
          <t>251305</t>
        </is>
      </c>
      <c r="B407" s="38" t="inlineStr">
        <is>
          <t>Maldà</t>
        </is>
      </c>
      <c r="C407" s="38" t="inlineStr">
        <is>
          <t>31,36</t>
        </is>
      </c>
      <c r="D407" s="38" t="inlineStr">
        <is>
          <t>7,7</t>
        </is>
      </c>
      <c r="E407" s="38" t="inlineStr">
        <is>
          <t>1</t>
        </is>
      </c>
    </row>
    <row r="408" ht="15" customHeight="1" s="39">
      <c r="A408" s="42" t="inlineStr">
        <is>
          <t>081108</t>
        </is>
      </c>
      <c r="B408" s="38" t="inlineStr">
        <is>
          <t>Malgrat de Mar</t>
        </is>
      </c>
      <c r="C408" s="38" t="inlineStr">
        <is>
          <t>8,82</t>
        </is>
      </c>
      <c r="D408" s="38" t="inlineStr">
        <is>
          <t>2225,6</t>
        </is>
      </c>
      <c r="E408" s="38" t="inlineStr">
        <is>
          <t>1</t>
        </is>
      </c>
    </row>
    <row r="409" ht="15" customHeight="1" s="39">
      <c r="A409" s="42" t="inlineStr">
        <is>
          <t>081115</t>
        </is>
      </c>
      <c r="B409" s="38" t="inlineStr">
        <is>
          <t>Malla</t>
        </is>
      </c>
      <c r="C409" s="38" t="inlineStr">
        <is>
          <t>11,01</t>
        </is>
      </c>
      <c r="D409" s="38" t="inlineStr">
        <is>
          <t>26,0</t>
        </is>
      </c>
      <c r="E409" s="38" t="inlineStr">
        <is>
          <t>1</t>
        </is>
      </c>
    </row>
    <row r="410" ht="15" customHeight="1" s="39">
      <c r="A410" s="42" t="inlineStr">
        <is>
          <t>081120</t>
        </is>
      </c>
      <c r="B410" s="38" t="inlineStr">
        <is>
          <t>Manlleu</t>
        </is>
      </c>
      <c r="C410" s="38" t="inlineStr">
        <is>
          <t>17,17</t>
        </is>
      </c>
      <c r="D410" s="38" t="inlineStr">
        <is>
          <t>1241,8</t>
        </is>
      </c>
      <c r="E410" s="38" t="inlineStr">
        <is>
          <t>1</t>
        </is>
      </c>
    </row>
    <row r="411" ht="15" customHeight="1" s="39">
      <c r="A411" s="42" t="inlineStr">
        <is>
          <t>081136</t>
        </is>
      </c>
      <c r="B411" s="38" t="inlineStr">
        <is>
          <t>Manresa</t>
        </is>
      </c>
      <c r="C411" s="38" t="inlineStr">
        <is>
          <t>41,64</t>
        </is>
      </c>
      <c r="D411" s="38" t="inlineStr">
        <is>
          <t>1937,8</t>
        </is>
      </c>
      <c r="E411" s="38" t="inlineStr">
        <is>
          <t>17</t>
        </is>
      </c>
    </row>
    <row r="412" ht="15" customHeight="1" s="39">
      <c r="A412" s="42" t="inlineStr">
        <is>
          <t>430764</t>
        </is>
      </c>
      <c r="B412" s="38" t="inlineStr">
        <is>
          <t>Marçà</t>
        </is>
      </c>
      <c r="C412" s="38" t="inlineStr">
        <is>
          <t>16,06</t>
        </is>
      </c>
      <c r="D412" s="38" t="inlineStr">
        <is>
          <t>38,9</t>
        </is>
      </c>
      <c r="E412" s="38" t="inlineStr">
        <is>
          <t>3</t>
        </is>
      </c>
    </row>
    <row r="413" ht="15" customHeight="1" s="39">
      <c r="A413" s="42" t="inlineStr">
        <is>
          <t>430751</t>
        </is>
      </c>
      <c r="B413" s="38" t="inlineStr">
        <is>
          <t>Margalef</t>
        </is>
      </c>
      <c r="C413" s="38" t="inlineStr">
        <is>
          <t>34,66</t>
        </is>
      </c>
      <c r="D413" s="38" t="inlineStr">
        <is>
          <t>3,2</t>
        </is>
      </c>
      <c r="E413" s="38" t="inlineStr">
        <is>
          <t>1</t>
        </is>
      </c>
    </row>
    <row r="414" ht="15" customHeight="1" s="39">
      <c r="A414" s="42" t="inlineStr">
        <is>
          <t>082423</t>
        </is>
      </c>
      <c r="B414" s="38" t="inlineStr">
        <is>
          <t>Marganell</t>
        </is>
      </c>
      <c r="C414" s="38" t="inlineStr">
        <is>
          <t>13,53</t>
        </is>
      </c>
      <c r="D414" s="38" t="inlineStr">
        <is>
          <t>23,0</t>
        </is>
      </c>
      <c r="E414" s="38" t="inlineStr">
        <is>
          <t>5</t>
        </is>
      </c>
    </row>
    <row r="415" ht="15" customHeight="1" s="39">
      <c r="A415" s="42" t="inlineStr">
        <is>
          <t>081141</t>
        </is>
      </c>
      <c r="B415" s="38" t="inlineStr">
        <is>
          <t>Martorell</t>
        </is>
      </c>
      <c r="C415" s="38" t="inlineStr">
        <is>
          <t>12,76</t>
        </is>
      </c>
      <c r="D415" s="38" t="inlineStr">
        <is>
          <t>2271,9</t>
        </is>
      </c>
      <c r="E415" s="38" t="inlineStr">
        <is>
          <t>4</t>
        </is>
      </c>
    </row>
    <row r="416" ht="15" customHeight="1" s="39">
      <c r="A416" s="42" t="inlineStr">
        <is>
          <t>081154</t>
        </is>
      </c>
      <c r="B416" s="38" t="inlineStr">
        <is>
          <t>Martorelles</t>
        </is>
      </c>
      <c r="C416" s="38" t="inlineStr">
        <is>
          <t>3,61</t>
        </is>
      </c>
      <c r="D416" s="38" t="inlineStr">
        <is>
          <t>1381,4</t>
        </is>
      </c>
      <c r="E416" s="38" t="inlineStr">
        <is>
          <t>1</t>
        </is>
      </c>
    </row>
    <row r="417" ht="15" customHeight="1" s="39">
      <c r="A417" s="42" t="inlineStr">
        <is>
          <t>430770</t>
        </is>
      </c>
      <c r="B417" s="38" t="inlineStr">
        <is>
          <t>Mas de Barberans</t>
        </is>
      </c>
      <c r="C417" s="38" t="inlineStr">
        <is>
          <t>78,80</t>
        </is>
      </c>
      <c r="D417" s="38" t="inlineStr">
        <is>
          <t>6,8</t>
        </is>
      </c>
      <c r="E417" s="38" t="inlineStr">
        <is>
          <t>1</t>
        </is>
      </c>
    </row>
    <row r="418" ht="15" customHeight="1" s="39">
      <c r="A418" s="42" t="inlineStr">
        <is>
          <t>171002</t>
        </is>
      </c>
      <c r="B418" s="38" t="inlineStr">
        <is>
          <t>Masarac i Vilarnadal</t>
        </is>
      </c>
      <c r="C418" s="38" t="inlineStr">
        <is>
          <t>12,55</t>
        </is>
      </c>
      <c r="D418" s="38" t="inlineStr">
        <is>
          <t>23,2</t>
        </is>
      </c>
      <c r="E418" s="38" t="inlineStr">
        <is>
          <t>3</t>
        </is>
      </c>
    </row>
    <row r="419" ht="15" customHeight="1" s="39">
      <c r="A419" s="42" t="inlineStr">
        <is>
          <t>430786</t>
        </is>
      </c>
      <c r="B419" s="38" t="inlineStr">
        <is>
          <t>Masdenverge</t>
        </is>
      </c>
      <c r="C419" s="38" t="inlineStr">
        <is>
          <t>14,61</t>
        </is>
      </c>
      <c r="D419" s="38" t="inlineStr">
        <is>
          <t>78,4</t>
        </is>
      </c>
      <c r="E419" s="38" t="inlineStr">
        <is>
          <t>1</t>
        </is>
      </c>
    </row>
    <row r="420" ht="15" customHeight="1" s="39">
      <c r="A420" s="42" t="inlineStr">
        <is>
          <t>081167</t>
        </is>
      </c>
      <c r="B420" s="38" t="inlineStr">
        <is>
          <t>Masies de Roda, les</t>
        </is>
      </c>
      <c r="C420" s="38" t="inlineStr">
        <is>
          <t>16,46</t>
        </is>
      </c>
      <c r="D420" s="38" t="inlineStr">
        <is>
          <t>46,1</t>
        </is>
      </c>
      <c r="E420" s="38" t="inlineStr">
        <is>
          <t>5</t>
        </is>
      </c>
    </row>
    <row r="421" ht="15" customHeight="1" s="39">
      <c r="A421" s="42" t="inlineStr">
        <is>
          <t>081173</t>
        </is>
      </c>
      <c r="B421" s="38" t="inlineStr">
        <is>
          <t>Masies de Voltregà, les</t>
        </is>
      </c>
      <c r="C421" s="38" t="inlineStr">
        <is>
          <t>22,35</t>
        </is>
      </c>
      <c r="D421" s="38" t="inlineStr">
        <is>
          <t>149,7</t>
        </is>
      </c>
      <c r="E421" s="38" t="inlineStr">
        <is>
          <t>12</t>
        </is>
      </c>
    </row>
    <row r="422" ht="15" customHeight="1" s="39">
      <c r="A422" s="42" t="inlineStr">
        <is>
          <t>430799</t>
        </is>
      </c>
      <c r="B422" s="38" t="inlineStr">
        <is>
          <t>Masllorenç</t>
        </is>
      </c>
      <c r="C422" s="38" t="inlineStr">
        <is>
          <t>6,55</t>
        </is>
      </c>
      <c r="D422" s="38" t="inlineStr">
        <is>
          <t>86,7</t>
        </is>
      </c>
      <c r="E422" s="38" t="inlineStr">
        <is>
          <t>3</t>
        </is>
      </c>
    </row>
    <row r="423" ht="15" customHeight="1" s="39">
      <c r="A423" s="42" t="inlineStr">
        <is>
          <t>081189</t>
        </is>
      </c>
      <c r="B423" s="38" t="inlineStr">
        <is>
          <t>Masnou, el</t>
        </is>
      </c>
      <c r="C423" s="38" t="inlineStr">
        <is>
          <t>3,39</t>
        </is>
      </c>
      <c r="D423" s="38" t="inlineStr">
        <is>
          <t>7294,1</t>
        </is>
      </c>
      <c r="E423" s="38" t="inlineStr">
        <is>
          <t>1</t>
        </is>
      </c>
    </row>
    <row r="424" ht="15" customHeight="1" s="39">
      <c r="A424" s="42" t="inlineStr">
        <is>
          <t>430803</t>
        </is>
      </c>
      <c r="B424" s="38" t="inlineStr">
        <is>
          <t>Masó, la</t>
        </is>
      </c>
      <c r="C424" s="38" t="inlineStr">
        <is>
          <t>3,57</t>
        </is>
      </c>
      <c r="D424" s="38" t="inlineStr">
        <is>
          <t>86,3</t>
        </is>
      </c>
      <c r="E424" s="38" t="inlineStr">
        <is>
          <t>1</t>
        </is>
      </c>
    </row>
    <row r="425" ht="15" customHeight="1" s="39">
      <c r="A425" s="42" t="inlineStr">
        <is>
          <t>430810</t>
        </is>
      </c>
      <c r="B425" s="38" t="inlineStr">
        <is>
          <t>Maspujols</t>
        </is>
      </c>
      <c r="C425" s="38" t="inlineStr">
        <is>
          <t>3,66</t>
        </is>
      </c>
      <c r="D425" s="38" t="inlineStr">
        <is>
          <t>250,5</t>
        </is>
      </c>
      <c r="E425" s="38" t="inlineStr">
        <is>
          <t>2</t>
        </is>
      </c>
    </row>
    <row r="426" ht="15" customHeight="1" s="39">
      <c r="A426" s="42" t="inlineStr">
        <is>
          <t>081192</t>
        </is>
      </c>
      <c r="B426" s="38" t="inlineStr">
        <is>
          <t>Masquefa</t>
        </is>
      </c>
      <c r="C426" s="38" t="inlineStr">
        <is>
          <t>17,06</t>
        </is>
      </c>
      <c r="D426" s="38" t="inlineStr">
        <is>
          <t>592,7</t>
        </is>
      </c>
      <c r="E426" s="38" t="inlineStr">
        <is>
          <t>6</t>
        </is>
      </c>
    </row>
    <row r="427" ht="15" customHeight="1" s="39">
      <c r="A427" s="42" t="inlineStr">
        <is>
          <t>430825</t>
        </is>
      </c>
      <c r="B427" s="38" t="inlineStr">
        <is>
          <t>Masroig, el</t>
        </is>
      </c>
      <c r="C427" s="38" t="inlineStr">
        <is>
          <t>15,51</t>
        </is>
      </c>
      <c r="D427" s="38" t="inlineStr">
        <is>
          <t>30,8</t>
        </is>
      </c>
      <c r="E427" s="38" t="inlineStr">
        <is>
          <t>1</t>
        </is>
      </c>
    </row>
    <row r="428" ht="15" customHeight="1" s="39">
      <c r="A428" s="42" t="inlineStr">
        <is>
          <t>251312</t>
        </is>
      </c>
      <c r="B428" s="38" t="inlineStr">
        <is>
          <t>Massalcoreig</t>
        </is>
      </c>
      <c r="C428" s="38" t="inlineStr">
        <is>
          <t>14,14</t>
        </is>
      </c>
      <c r="D428" s="38" t="inlineStr">
        <is>
          <t>41,7</t>
        </is>
      </c>
      <c r="E428" s="38" t="inlineStr">
        <is>
          <t>2</t>
        </is>
      </c>
    </row>
    <row r="429" ht="15" customHeight="1" s="39">
      <c r="A429" s="42" t="inlineStr">
        <is>
          <t>171019</t>
        </is>
      </c>
      <c r="B429" s="38" t="inlineStr">
        <is>
          <t>Massanes</t>
        </is>
      </c>
      <c r="C429" s="38" t="inlineStr">
        <is>
          <t>26,07</t>
        </is>
      </c>
      <c r="D429" s="38" t="inlineStr">
        <is>
          <t>33,8</t>
        </is>
      </c>
      <c r="E429" s="38" t="inlineStr">
        <is>
          <t>7</t>
        </is>
      </c>
    </row>
    <row r="430" ht="15" customHeight="1" s="39">
      <c r="A430" s="42" t="inlineStr">
        <is>
          <t>251327</t>
        </is>
      </c>
      <c r="B430" s="38" t="inlineStr">
        <is>
          <t>Massoteres</t>
        </is>
      </c>
      <c r="C430" s="38" t="inlineStr">
        <is>
          <t>26,11</t>
        </is>
      </c>
      <c r="D430" s="38" t="inlineStr">
        <is>
          <t>8,7</t>
        </is>
      </c>
      <c r="E430" s="38" t="inlineStr">
        <is>
          <t>3</t>
        </is>
      </c>
    </row>
    <row r="431" ht="15" customHeight="1" s="39">
      <c r="A431" s="42" t="inlineStr">
        <is>
          <t>081206</t>
        </is>
      </c>
      <c r="B431" s="38" t="inlineStr">
        <is>
          <t>Matadepera</t>
        </is>
      </c>
      <c r="C431" s="38" t="inlineStr">
        <is>
          <t>25,36</t>
        </is>
      </c>
      <c r="D431" s="38" t="inlineStr">
        <is>
          <t>386,8</t>
        </is>
      </c>
      <c r="E431" s="38" t="inlineStr">
        <is>
          <t>1</t>
        </is>
      </c>
    </row>
    <row r="432" ht="15" customHeight="1" s="39">
      <c r="A432" s="42" t="inlineStr">
        <is>
          <t>081213</t>
        </is>
      </c>
      <c r="B432" s="38" t="inlineStr">
        <is>
          <t>Mataró</t>
        </is>
      </c>
      <c r="C432" s="38" t="inlineStr">
        <is>
          <t>22,53</t>
        </is>
      </c>
      <c r="D432" s="38" t="inlineStr">
        <is>
          <t>5830,9</t>
        </is>
      </c>
      <c r="E432" s="38" t="inlineStr">
        <is>
          <t>1</t>
        </is>
      </c>
    </row>
    <row r="433" ht="15" customHeight="1" s="39">
      <c r="A433" s="42" t="inlineStr">
        <is>
          <t>081228</t>
        </is>
      </c>
      <c r="B433" s="38" t="inlineStr">
        <is>
          <t>Mediona</t>
        </is>
      </c>
      <c r="C433" s="38" t="inlineStr">
        <is>
          <t>47,55</t>
        </is>
      </c>
      <c r="D433" s="38" t="inlineStr">
        <is>
          <t>56,0</t>
        </is>
      </c>
      <c r="E433" s="38" t="inlineStr">
        <is>
          <t>9</t>
        </is>
      </c>
    </row>
    <row r="434" ht="15" customHeight="1" s="39">
      <c r="A434" s="42" t="inlineStr">
        <is>
          <t>251348</t>
        </is>
      </c>
      <c r="B434" s="38" t="inlineStr">
        <is>
          <t>Menàrguens</t>
        </is>
      </c>
      <c r="C434" s="38" t="inlineStr">
        <is>
          <t>20,25</t>
        </is>
      </c>
      <c r="D434" s="38" t="inlineStr">
        <is>
          <t>39,6</t>
        </is>
      </c>
      <c r="E434" s="38" t="inlineStr">
        <is>
          <t>1</t>
        </is>
      </c>
    </row>
    <row r="435" ht="15" customHeight="1" s="39">
      <c r="A435" s="42" t="inlineStr">
        <is>
          <t>170998</t>
        </is>
      </c>
      <c r="B435" s="38" t="inlineStr">
        <is>
          <t>Meranges</t>
        </is>
      </c>
      <c r="C435" s="38" t="inlineStr">
        <is>
          <t>37,34</t>
        </is>
      </c>
      <c r="D435" s="38" t="inlineStr">
        <is>
          <t>3,0</t>
        </is>
      </c>
      <c r="E435" s="38" t="inlineStr">
        <is>
          <t>2</t>
        </is>
      </c>
    </row>
    <row r="436" ht="15" customHeight="1" s="39">
      <c r="A436" s="42" t="inlineStr">
        <is>
          <t>171058</t>
        </is>
      </c>
      <c r="B436" s="38" t="inlineStr">
        <is>
          <t>Mieres</t>
        </is>
      </c>
      <c r="C436" s="38" t="inlineStr">
        <is>
          <t>26,29</t>
        </is>
      </c>
      <c r="D436" s="38" t="inlineStr">
        <is>
          <t>14,0</t>
        </is>
      </c>
      <c r="E436" s="38" t="inlineStr">
        <is>
          <t>5</t>
        </is>
      </c>
    </row>
    <row r="437" ht="15" customHeight="1" s="39">
      <c r="A437" s="42" t="inlineStr">
        <is>
          <t>430831</t>
        </is>
      </c>
      <c r="B437" s="38" t="inlineStr">
        <is>
          <t>Milà, el</t>
        </is>
      </c>
      <c r="C437" s="38" t="inlineStr">
        <is>
          <t>4,13</t>
        </is>
      </c>
      <c r="D437" s="38" t="inlineStr">
        <is>
          <t>47,0</t>
        </is>
      </c>
      <c r="E437" s="38" t="inlineStr">
        <is>
          <t>1</t>
        </is>
      </c>
    </row>
    <row r="438" ht="15" customHeight="1" s="39">
      <c r="A438" s="42" t="inlineStr">
        <is>
          <t>251351</t>
        </is>
      </c>
      <c r="B438" s="38" t="inlineStr">
        <is>
          <t>Miralcamp</t>
        </is>
      </c>
      <c r="C438" s="38" t="inlineStr">
        <is>
          <t>14,87</t>
        </is>
      </c>
      <c r="D438" s="38" t="inlineStr">
        <is>
          <t>91,4</t>
        </is>
      </c>
      <c r="E438" s="38" t="inlineStr">
        <is>
          <t>1</t>
        </is>
      </c>
    </row>
    <row r="439" ht="15" customHeight="1" s="39">
      <c r="A439" s="42" t="inlineStr">
        <is>
          <t>430846</t>
        </is>
      </c>
      <c r="B439" s="38" t="inlineStr">
        <is>
          <t>Miravet</t>
        </is>
      </c>
      <c r="C439" s="38" t="inlineStr">
        <is>
          <t>32,33</t>
        </is>
      </c>
      <c r="D439" s="38" t="inlineStr">
        <is>
          <t>21,7</t>
        </is>
      </c>
      <c r="E439" s="38" t="inlineStr">
        <is>
          <t>1</t>
        </is>
      </c>
    </row>
    <row r="440" ht="15" customHeight="1" s="39">
      <c r="A440" s="42" t="inlineStr">
        <is>
          <t>081385</t>
        </is>
      </c>
      <c r="B440" s="38" t="inlineStr">
        <is>
          <t>Moià</t>
        </is>
      </c>
      <c r="C440" s="38" t="inlineStr">
        <is>
          <t>75,31</t>
        </is>
      </c>
      <c r="D440" s="38" t="inlineStr">
        <is>
          <t>90,4</t>
        </is>
      </c>
      <c r="E440" s="38" t="inlineStr">
        <is>
          <t>1</t>
        </is>
      </c>
    </row>
    <row r="441" ht="15" customHeight="1" s="39">
      <c r="A441" s="42" t="inlineStr">
        <is>
          <t>430859</t>
        </is>
      </c>
      <c r="B441" s="38" t="inlineStr">
        <is>
          <t>Molar, el</t>
        </is>
      </c>
      <c r="C441" s="38" t="inlineStr">
        <is>
          <t>22,81</t>
        </is>
      </c>
      <c r="D441" s="38" t="inlineStr">
        <is>
          <t>13,2</t>
        </is>
      </c>
      <c r="E441" s="38" t="inlineStr">
        <is>
          <t>1</t>
        </is>
      </c>
    </row>
    <row r="442" ht="15" customHeight="1" s="39">
      <c r="A442" s="42" t="inlineStr">
        <is>
          <t>081234</t>
        </is>
      </c>
      <c r="B442" s="38" t="inlineStr">
        <is>
          <t>Molins de Rei</t>
        </is>
      </c>
      <c r="C442" s="38" t="inlineStr">
        <is>
          <t>15,94</t>
        </is>
      </c>
      <c r="D442" s="38" t="inlineStr">
        <is>
          <t>1712,1</t>
        </is>
      </c>
      <c r="E442" s="38" t="inlineStr">
        <is>
          <t>4</t>
        </is>
      </c>
    </row>
    <row r="443" ht="15" customHeight="1" s="39">
      <c r="A443" s="42" t="inlineStr">
        <is>
          <t>251370</t>
        </is>
      </c>
      <c r="B443" s="38" t="inlineStr">
        <is>
          <t>Mollerussa</t>
        </is>
      </c>
      <c r="C443" s="38" t="inlineStr">
        <is>
          <t>7,08</t>
        </is>
      </c>
      <c r="D443" s="38" t="inlineStr">
        <is>
          <t>2262,1</t>
        </is>
      </c>
      <c r="E443" s="38" t="inlineStr">
        <is>
          <t>1</t>
        </is>
      </c>
    </row>
    <row r="444" ht="15" customHeight="1" s="39">
      <c r="A444" s="42" t="inlineStr">
        <is>
          <t>171061</t>
        </is>
      </c>
      <c r="B444" s="38" t="inlineStr">
        <is>
          <t>Mollet de Peralada</t>
        </is>
      </c>
      <c r="C444" s="38" t="inlineStr">
        <is>
          <t>6,04</t>
        </is>
      </c>
      <c r="D444" s="38" t="inlineStr">
        <is>
          <t>33,4</t>
        </is>
      </c>
      <c r="E444" s="38" t="inlineStr">
        <is>
          <t>3</t>
        </is>
      </c>
    </row>
    <row r="445" ht="15" customHeight="1" s="39">
      <c r="A445" s="42" t="inlineStr">
        <is>
          <t>081249</t>
        </is>
      </c>
      <c r="B445" s="38" t="inlineStr">
        <is>
          <t>Mollet del Vallès</t>
        </is>
      </c>
      <c r="C445" s="38" t="inlineStr">
        <is>
          <t>10,77</t>
        </is>
      </c>
      <c r="D445" s="38" t="inlineStr">
        <is>
          <t>4898,7</t>
        </is>
      </c>
      <c r="E445" s="38" t="inlineStr">
        <is>
          <t>2</t>
        </is>
      </c>
    </row>
    <row r="446" ht="15" customHeight="1" s="39">
      <c r="A446" s="42" t="inlineStr">
        <is>
          <t>171077</t>
        </is>
      </c>
      <c r="B446" s="38" t="inlineStr">
        <is>
          <t>Molló</t>
        </is>
      </c>
      <c r="C446" s="38" t="inlineStr">
        <is>
          <t>43,09</t>
        </is>
      </c>
      <c r="D446" s="38" t="inlineStr">
        <is>
          <t>8,1</t>
        </is>
      </c>
      <c r="E446" s="38" t="inlineStr">
        <is>
          <t>9</t>
        </is>
      </c>
    </row>
    <row r="447" ht="15" customHeight="1" s="39">
      <c r="A447" s="42" t="inlineStr">
        <is>
          <t>251364</t>
        </is>
      </c>
      <c r="B447" s="38" t="inlineStr">
        <is>
          <t>Molsosa, la</t>
        </is>
      </c>
      <c r="C447" s="38" t="inlineStr">
        <is>
          <t>26,89</t>
        </is>
      </c>
      <c r="D447" s="38" t="inlineStr">
        <is>
          <t>3,8</t>
        </is>
      </c>
      <c r="E447" s="38" t="inlineStr">
        <is>
          <t>3</t>
        </is>
      </c>
    </row>
    <row r="448" ht="15" customHeight="1" s="39">
      <c r="A448" s="42" t="inlineStr">
        <is>
          <t>081287</t>
        </is>
      </c>
      <c r="B448" s="38" t="inlineStr">
        <is>
          <t>Monistrol de Calders</t>
        </is>
      </c>
      <c r="C448" s="38" t="inlineStr">
        <is>
          <t>21,97</t>
        </is>
      </c>
      <c r="D448" s="38" t="inlineStr">
        <is>
          <t>34,8</t>
        </is>
      </c>
      <c r="E448" s="38" t="inlineStr">
        <is>
          <t>1</t>
        </is>
      </c>
    </row>
    <row r="449" ht="15" customHeight="1" s="39">
      <c r="A449" s="42" t="inlineStr">
        <is>
          <t>081271</t>
        </is>
      </c>
      <c r="B449" s="38" t="inlineStr">
        <is>
          <t>Monistrol de Montserrat</t>
        </is>
      </c>
      <c r="C449" s="38" t="inlineStr">
        <is>
          <t>11,77</t>
        </is>
      </c>
      <c r="D449" s="38" t="inlineStr">
        <is>
          <t>274,7</t>
        </is>
      </c>
      <c r="E449" s="38" t="inlineStr">
        <is>
          <t>5</t>
        </is>
      </c>
    </row>
    <row r="450" ht="15" customHeight="1" s="39">
      <c r="A450" s="42" t="inlineStr">
        <is>
          <t>171096</t>
        </is>
      </c>
      <c r="B450" s="38" t="inlineStr">
        <is>
          <t>Montagut i Oix</t>
        </is>
      </c>
      <c r="C450" s="38" t="inlineStr">
        <is>
          <t>93,70</t>
        </is>
      </c>
      <c r="D450" s="38" t="inlineStr">
        <is>
          <t>10,8</t>
        </is>
      </c>
      <c r="E450" s="38" t="inlineStr">
        <is>
          <t>14</t>
        </is>
      </c>
    </row>
    <row r="451" ht="15" customHeight="1" s="39">
      <c r="A451" s="42" t="inlineStr">
        <is>
          <t>430862</t>
        </is>
      </c>
      <c r="B451" s="38" t="inlineStr">
        <is>
          <t>Montblanc</t>
        </is>
      </c>
      <c r="C451" s="38" t="inlineStr">
        <is>
          <t>91,07</t>
        </is>
      </c>
      <c r="D451" s="38" t="inlineStr">
        <is>
          <t>83,1</t>
        </is>
      </c>
      <c r="E451" s="38" t="inlineStr">
        <is>
          <t>6</t>
        </is>
      </c>
    </row>
    <row r="452" ht="15" customHeight="1" s="39">
      <c r="A452" s="42" t="inlineStr">
        <is>
          <t>430884</t>
        </is>
      </c>
      <c r="B452" s="38" t="inlineStr">
        <is>
          <t>Montbrió del Camp</t>
        </is>
      </c>
      <c r="C452" s="38" t="inlineStr">
        <is>
          <t>10,70</t>
        </is>
      </c>
      <c r="D452" s="38" t="inlineStr">
        <is>
          <t>296,0</t>
        </is>
      </c>
      <c r="E452" s="38" t="inlineStr">
        <is>
          <t>1</t>
        </is>
      </c>
    </row>
    <row r="453" ht="15" customHeight="1" s="39">
      <c r="A453" s="42" t="inlineStr">
        <is>
          <t>081252</t>
        </is>
      </c>
      <c r="B453" s="38" t="inlineStr">
        <is>
          <t>Montcada i Reixac</t>
        </is>
      </c>
      <c r="C453" s="38" t="inlineStr">
        <is>
          <t>23,47</t>
        </is>
      </c>
      <c r="D453" s="38" t="inlineStr">
        <is>
          <t>1595,5</t>
        </is>
      </c>
      <c r="E453" s="38" t="inlineStr">
        <is>
          <t>5</t>
        </is>
      </c>
    </row>
    <row r="454" ht="15" customHeight="1" s="39">
      <c r="A454" s="42" t="inlineStr">
        <is>
          <t>081304</t>
        </is>
      </c>
      <c r="B454" s="38" t="inlineStr">
        <is>
          <t>Montclar</t>
        </is>
      </c>
      <c r="C454" s="38" t="inlineStr">
        <is>
          <t>21,89</t>
        </is>
      </c>
      <c r="D454" s="38" t="inlineStr">
        <is>
          <t>6,1</t>
        </is>
      </c>
      <c r="E454" s="38" t="inlineStr">
        <is>
          <t>3</t>
        </is>
      </c>
    </row>
    <row r="455" ht="15" customHeight="1" s="39">
      <c r="A455" s="42" t="inlineStr">
        <is>
          <t>251399</t>
        </is>
      </c>
      <c r="B455" s="38" t="inlineStr">
        <is>
          <t>Montellà i Martinet</t>
        </is>
      </c>
      <c r="C455" s="38" t="inlineStr">
        <is>
          <t>54,95</t>
        </is>
      </c>
      <c r="D455" s="38" t="inlineStr">
        <is>
          <t>11,0</t>
        </is>
      </c>
      <c r="E455" s="38" t="inlineStr">
        <is>
          <t>5</t>
        </is>
      </c>
    </row>
    <row r="456" ht="15" customHeight="1" s="39">
      <c r="A456" s="42" t="inlineStr">
        <is>
          <t>081311</t>
        </is>
      </c>
      <c r="B456" s="38" t="inlineStr">
        <is>
          <t>Montesquiu</t>
        </is>
      </c>
      <c r="C456" s="38" t="inlineStr">
        <is>
          <t>4,94</t>
        </is>
      </c>
      <c r="D456" s="38" t="inlineStr">
        <is>
          <t>229,4</t>
        </is>
      </c>
      <c r="E456" s="38" t="inlineStr">
        <is>
          <t>2</t>
        </is>
      </c>
    </row>
    <row r="457" ht="15" customHeight="1" s="39">
      <c r="A457" s="42" t="inlineStr">
        <is>
          <t>251403</t>
        </is>
      </c>
      <c r="B457" s="38" t="inlineStr">
        <is>
          <t>Montferrer i Castellbò</t>
        </is>
      </c>
      <c r="C457" s="38" t="inlineStr">
        <is>
          <t>176,66</t>
        </is>
      </c>
      <c r="D457" s="38" t="inlineStr">
        <is>
          <t>6,6</t>
        </is>
      </c>
      <c r="E457" s="38" t="inlineStr">
        <is>
          <t>27</t>
        </is>
      </c>
    </row>
    <row r="458" ht="15" customHeight="1" s="39">
      <c r="A458" s="42" t="inlineStr">
        <is>
          <t>430897</t>
        </is>
      </c>
      <c r="B458" s="38" t="inlineStr">
        <is>
          <t>Montferri</t>
        </is>
      </c>
      <c r="C458" s="38" t="inlineStr">
        <is>
          <t>19,15</t>
        </is>
      </c>
      <c r="D458" s="38" t="inlineStr">
        <is>
          <t>26,6</t>
        </is>
      </c>
      <c r="E458" s="38" t="inlineStr">
        <is>
          <t>2</t>
        </is>
      </c>
    </row>
    <row r="459" ht="15" customHeight="1" s="39">
      <c r="A459" s="42" t="inlineStr">
        <is>
          <t>251386</t>
        </is>
      </c>
      <c r="B459" s="38" t="inlineStr">
        <is>
          <t>Montgai</t>
        </is>
      </c>
      <c r="C459" s="38" t="inlineStr">
        <is>
          <t>28,94</t>
        </is>
      </c>
      <c r="D459" s="38" t="inlineStr">
        <is>
          <t>22,2</t>
        </is>
      </c>
      <c r="E459" s="38" t="inlineStr">
        <is>
          <t>2</t>
        </is>
      </c>
    </row>
    <row r="460" ht="15" customHeight="1" s="39">
      <c r="A460" s="42" t="inlineStr">
        <is>
          <t>081265</t>
        </is>
      </c>
      <c r="B460" s="38" t="inlineStr">
        <is>
          <t>Montgat</t>
        </is>
      </c>
      <c r="C460" s="38" t="inlineStr">
        <is>
          <t>2,91</t>
        </is>
      </c>
      <c r="D460" s="38" t="inlineStr">
        <is>
          <t>4410,7</t>
        </is>
      </c>
      <c r="E460" s="38" t="inlineStr">
        <is>
          <t>1</t>
        </is>
      </c>
    </row>
    <row r="461" ht="15" customHeight="1" s="39">
      <c r="A461" s="42" t="inlineStr">
        <is>
          <t>081326</t>
        </is>
      </c>
      <c r="B461" s="38" t="inlineStr">
        <is>
          <t>Montmajor</t>
        </is>
      </c>
      <c r="C461" s="38" t="inlineStr">
        <is>
          <t>76,49</t>
        </is>
      </c>
      <c r="D461" s="38" t="inlineStr">
        <is>
          <t>6,2</t>
        </is>
      </c>
      <c r="E461" s="38" t="inlineStr">
        <is>
          <t>6</t>
        </is>
      </c>
    </row>
    <row r="462" ht="15" customHeight="1" s="39">
      <c r="A462" s="42" t="inlineStr">
        <is>
          <t>081332</t>
        </is>
      </c>
      <c r="B462" s="38" t="inlineStr">
        <is>
          <t>Montmaneu</t>
        </is>
      </c>
      <c r="C462" s="38" t="inlineStr">
        <is>
          <t>13,62</t>
        </is>
      </c>
      <c r="D462" s="38" t="inlineStr">
        <is>
          <t>13,4</t>
        </is>
      </c>
      <c r="E462" s="38" t="inlineStr">
        <is>
          <t>2</t>
        </is>
      </c>
    </row>
    <row r="463" ht="15" customHeight="1" s="39">
      <c r="A463" s="42" t="inlineStr">
        <is>
          <t>430901</t>
        </is>
      </c>
      <c r="B463" s="38" t="inlineStr">
        <is>
          <t>Montmell, el</t>
        </is>
      </c>
      <c r="C463" s="38" t="inlineStr">
        <is>
          <t>72,80</t>
        </is>
      </c>
      <c r="D463" s="38" t="inlineStr">
        <is>
          <t>26,7</t>
        </is>
      </c>
      <c r="E463" s="38" t="inlineStr">
        <is>
          <t>8</t>
        </is>
      </c>
    </row>
    <row r="464" ht="15" customHeight="1" s="39">
      <c r="A464" s="42" t="inlineStr">
        <is>
          <t>081350</t>
        </is>
      </c>
      <c r="B464" s="38" t="inlineStr">
        <is>
          <t>Montmeló</t>
        </is>
      </c>
      <c r="C464" s="38" t="inlineStr">
        <is>
          <t>4,00</t>
        </is>
      </c>
      <c r="D464" s="38" t="inlineStr">
        <is>
          <t>2217,0</t>
        </is>
      </c>
      <c r="E464" s="38" t="inlineStr">
        <is>
          <t>1</t>
        </is>
      </c>
    </row>
    <row r="465" ht="15" customHeight="1" s="39">
      <c r="A465" s="42" t="inlineStr">
        <is>
          <t>251425</t>
        </is>
      </c>
      <c r="B465" s="38" t="inlineStr">
        <is>
          <t>Montoliu de Lleida</t>
        </is>
      </c>
      <c r="C465" s="38" t="inlineStr">
        <is>
          <t>7,34</t>
        </is>
      </c>
      <c r="D465" s="38" t="inlineStr">
        <is>
          <t>66,9</t>
        </is>
      </c>
      <c r="E465" s="38" t="inlineStr">
        <is>
          <t>2</t>
        </is>
      </c>
    </row>
    <row r="466" ht="15" customHeight="1" s="39">
      <c r="A466" s="42" t="inlineStr">
        <is>
          <t>251410</t>
        </is>
      </c>
      <c r="B466" s="38" t="inlineStr">
        <is>
          <t>Montoliu de Segarra</t>
        </is>
      </c>
      <c r="C466" s="38" t="inlineStr">
        <is>
          <t>29,47</t>
        </is>
      </c>
      <c r="D466" s="38" t="inlineStr">
        <is>
          <t>6,2</t>
        </is>
      </c>
      <c r="E466" s="38" t="inlineStr">
        <is>
          <t>5</t>
        </is>
      </c>
    </row>
    <row r="467" ht="15" customHeight="1" s="39">
      <c r="A467" s="42" t="inlineStr">
        <is>
          <t>251431</t>
        </is>
      </c>
      <c r="B467" s="38" t="inlineStr">
        <is>
          <t>Montornès de Segarra</t>
        </is>
      </c>
      <c r="C467" s="38" t="inlineStr">
        <is>
          <t>12,32</t>
        </is>
      </c>
      <c r="D467" s="38" t="inlineStr">
        <is>
          <t>7,1</t>
        </is>
      </c>
      <c r="E467" s="38" t="inlineStr">
        <is>
          <t>2</t>
        </is>
      </c>
    </row>
    <row r="468" ht="15" customHeight="1" s="39">
      <c r="A468" s="42" t="inlineStr">
        <is>
          <t>081363</t>
        </is>
      </c>
      <c r="B468" s="38" t="inlineStr">
        <is>
          <t>Montornès del Vallès</t>
        </is>
      </c>
      <c r="C468" s="38" t="inlineStr">
        <is>
          <t>10,23</t>
        </is>
      </c>
      <c r="D468" s="38" t="inlineStr">
        <is>
          <t>1667,8</t>
        </is>
      </c>
      <c r="E468" s="38" t="inlineStr">
        <is>
          <t>2</t>
        </is>
      </c>
    </row>
    <row r="469" ht="15" customHeight="1" s="39">
      <c r="A469" s="42" t="inlineStr">
        <is>
          <t>430918</t>
        </is>
      </c>
      <c r="B469" s="38" t="inlineStr">
        <is>
          <t>Mont-ral</t>
        </is>
      </c>
      <c r="C469" s="38" t="inlineStr">
        <is>
          <t>34,72</t>
        </is>
      </c>
      <c r="D469" s="38" t="inlineStr">
        <is>
          <t>5,1</t>
        </is>
      </c>
      <c r="E469" s="38" t="inlineStr">
        <is>
          <t>6</t>
        </is>
      </c>
    </row>
    <row r="470" ht="15" customHeight="1" s="39">
      <c r="A470" s="42" t="inlineStr">
        <is>
          <t>171100</t>
        </is>
      </c>
      <c r="B470" s="38" t="inlineStr">
        <is>
          <t>Mont-ras</t>
        </is>
      </c>
      <c r="C470" s="38" t="inlineStr">
        <is>
          <t>12,31</t>
        </is>
      </c>
      <c r="D470" s="38" t="inlineStr">
        <is>
          <t>137,3</t>
        </is>
      </c>
      <c r="E470" s="38" t="inlineStr">
        <is>
          <t>5</t>
        </is>
      </c>
    </row>
    <row r="471" ht="15" customHeight="1" s="39">
      <c r="A471" s="42" t="inlineStr">
        <is>
          <t>430923</t>
        </is>
      </c>
      <c r="B471" s="38" t="inlineStr">
        <is>
          <t>Mont-roig del Camp</t>
        </is>
      </c>
      <c r="C471" s="38" t="inlineStr">
        <is>
          <t>63,32</t>
        </is>
      </c>
      <c r="D471" s="38" t="inlineStr">
        <is>
          <t>231,4</t>
        </is>
      </c>
      <c r="E471" s="38" t="inlineStr">
        <is>
          <t>3</t>
        </is>
      </c>
    </row>
    <row r="472" ht="15" customHeight="1" s="39">
      <c r="A472" s="42" t="inlineStr">
        <is>
          <t>081379</t>
        </is>
      </c>
      <c r="B472" s="38" t="inlineStr">
        <is>
          <t>Montseny</t>
        </is>
      </c>
      <c r="C472" s="38" t="inlineStr">
        <is>
          <t>26,77</t>
        </is>
      </c>
      <c r="D472" s="38" t="inlineStr">
        <is>
          <t>14,5</t>
        </is>
      </c>
      <c r="E472" s="38" t="inlineStr">
        <is>
          <t>1</t>
        </is>
      </c>
    </row>
    <row r="473" ht="15" customHeight="1" s="39">
      <c r="A473" s="42" t="inlineStr">
        <is>
          <t>430939</t>
        </is>
      </c>
      <c r="B473" s="38" t="inlineStr">
        <is>
          <t>Móra d'Ebre</t>
        </is>
      </c>
      <c r="C473" s="38" t="inlineStr">
        <is>
          <t>45,12</t>
        </is>
      </c>
      <c r="D473" s="38" t="inlineStr">
        <is>
          <t>129,5</t>
        </is>
      </c>
      <c r="E473" s="38" t="inlineStr">
        <is>
          <t>1</t>
        </is>
      </c>
    </row>
    <row r="474" ht="15" customHeight="1" s="39">
      <c r="A474" s="42" t="inlineStr">
        <is>
          <t>430944</t>
        </is>
      </c>
      <c r="B474" s="38" t="inlineStr">
        <is>
          <t>Móra la Nova</t>
        </is>
      </c>
      <c r="C474" s="38" t="inlineStr">
        <is>
          <t>15,93</t>
        </is>
      </c>
      <c r="D474" s="38" t="inlineStr">
        <is>
          <t>211,2</t>
        </is>
      </c>
      <c r="E474" s="38" t="inlineStr">
        <is>
          <t>1</t>
        </is>
      </c>
    </row>
    <row r="475" ht="15" customHeight="1" s="39">
      <c r="A475" s="42" t="inlineStr">
        <is>
          <t>430957</t>
        </is>
      </c>
      <c r="B475" s="38" t="inlineStr">
        <is>
          <t>Morell, el</t>
        </is>
      </c>
      <c r="C475" s="38" t="inlineStr">
        <is>
          <t>5,94</t>
        </is>
      </c>
      <c r="D475" s="38" t="inlineStr">
        <is>
          <t>641,6</t>
        </is>
      </c>
      <c r="E475" s="38" t="inlineStr">
        <is>
          <t>1</t>
        </is>
      </c>
    </row>
    <row r="476" ht="15" customHeight="1" s="39">
      <c r="A476" s="42" t="inlineStr">
        <is>
          <t>430960</t>
        </is>
      </c>
      <c r="B476" s="38" t="inlineStr">
        <is>
          <t>Morera de Montsant, la</t>
        </is>
      </c>
      <c r="C476" s="38" t="inlineStr">
        <is>
          <t>52,88</t>
        </is>
      </c>
      <c r="D476" s="38" t="inlineStr">
        <is>
          <t>2,9</t>
        </is>
      </c>
      <c r="E476" s="38" t="inlineStr">
        <is>
          <t>2</t>
        </is>
      </c>
    </row>
    <row r="477" ht="15" customHeight="1" s="39">
      <c r="A477" s="42" t="inlineStr">
        <is>
          <t>081290</t>
        </is>
      </c>
      <c r="B477" s="38" t="inlineStr">
        <is>
          <t>Muntanyola</t>
        </is>
      </c>
      <c r="C477" s="38" t="inlineStr">
        <is>
          <t>40,30</t>
        </is>
      </c>
      <c r="D477" s="38" t="inlineStr">
        <is>
          <t>17,4</t>
        </is>
      </c>
      <c r="E477" s="38" t="inlineStr">
        <is>
          <t>3</t>
        </is>
      </c>
    </row>
    <row r="478" ht="15" customHeight="1" s="39">
      <c r="A478" s="42" t="inlineStr">
        <is>
          <t>081398</t>
        </is>
      </c>
      <c r="B478" s="38" t="inlineStr">
        <is>
          <t>Mura</t>
        </is>
      </c>
      <c r="C478" s="38" t="inlineStr">
        <is>
          <t>47,79</t>
        </is>
      </c>
      <c r="D478" s="38" t="inlineStr">
        <is>
          <t>4,9</t>
        </is>
      </c>
      <c r="E478" s="38" t="inlineStr">
        <is>
          <t>1</t>
        </is>
      </c>
    </row>
    <row r="479" ht="15" customHeight="1" s="39">
      <c r="A479" s="42" t="inlineStr">
        <is>
          <t>251459</t>
        </is>
      </c>
      <c r="B479" s="38" t="inlineStr">
        <is>
          <t>Nalec</t>
        </is>
      </c>
      <c r="C479" s="38" t="inlineStr">
        <is>
          <t>9,25</t>
        </is>
      </c>
      <c r="D479" s="38" t="inlineStr">
        <is>
          <t>9,8</t>
        </is>
      </c>
      <c r="E479" s="38" t="inlineStr">
        <is>
          <t>1</t>
        </is>
      </c>
    </row>
    <row r="480" ht="15" customHeight="1" s="39">
      <c r="A480" s="42" t="inlineStr">
        <is>
          <t>250254</t>
        </is>
      </c>
      <c r="B480" s="38" t="inlineStr">
        <is>
          <t>Naut Aran</t>
        </is>
      </c>
      <c r="C480" s="38" t="inlineStr">
        <is>
          <t>255,75</t>
        </is>
      </c>
      <c r="D480" s="38" t="inlineStr">
        <is>
          <t>7,4</t>
        </is>
      </c>
      <c r="E480" s="38" t="inlineStr">
        <is>
          <t>7</t>
        </is>
      </c>
    </row>
    <row r="481" ht="15" customHeight="1" s="39">
      <c r="A481" s="42" t="inlineStr">
        <is>
          <t>081402</t>
        </is>
      </c>
      <c r="B481" s="38" t="inlineStr">
        <is>
          <t>Navarcles</t>
        </is>
      </c>
      <c r="C481" s="38" t="inlineStr">
        <is>
          <t>5,52</t>
        </is>
      </c>
      <c r="D481" s="38" t="inlineStr">
        <is>
          <t>1137,1</t>
        </is>
      </c>
      <c r="E481" s="38" t="inlineStr">
        <is>
          <t>4</t>
        </is>
      </c>
    </row>
    <row r="482" ht="15" customHeight="1" s="39">
      <c r="A482" s="42" t="inlineStr">
        <is>
          <t>081419</t>
        </is>
      </c>
      <c r="B482" s="38" t="inlineStr">
        <is>
          <t>Navàs</t>
        </is>
      </c>
      <c r="C482" s="38" t="inlineStr">
        <is>
          <t>80,62</t>
        </is>
      </c>
      <c r="D482" s="38" t="inlineStr">
        <is>
          <t>77,4</t>
        </is>
      </c>
      <c r="E482" s="38" t="inlineStr">
        <is>
          <t>7</t>
        </is>
      </c>
    </row>
    <row r="483" ht="15" customHeight="1" s="39">
      <c r="A483" s="42" t="inlineStr">
        <is>
          <t>171117</t>
        </is>
      </c>
      <c r="B483" s="38" t="inlineStr">
        <is>
          <t>Navata</t>
        </is>
      </c>
      <c r="C483" s="38" t="inlineStr">
        <is>
          <t>18,48</t>
        </is>
      </c>
      <c r="D483" s="38" t="inlineStr">
        <is>
          <t>81,4</t>
        </is>
      </c>
      <c r="E483" s="38" t="inlineStr">
        <is>
          <t>3</t>
        </is>
      </c>
    </row>
    <row r="484" ht="15" customHeight="1" s="39">
      <c r="A484" s="42" t="inlineStr">
        <is>
          <t>251462</t>
        </is>
      </c>
      <c r="B484" s="38" t="inlineStr">
        <is>
          <t>Navès</t>
        </is>
      </c>
      <c r="C484" s="38" t="inlineStr">
        <is>
          <t>145,27</t>
        </is>
      </c>
      <c r="D484" s="38" t="inlineStr">
        <is>
          <t>2,0</t>
        </is>
      </c>
      <c r="E484" s="38" t="inlineStr">
        <is>
          <t>9</t>
        </is>
      </c>
    </row>
    <row r="485" ht="15" customHeight="1" s="39">
      <c r="A485" s="42" t="inlineStr">
        <is>
          <t>081424</t>
        </is>
      </c>
      <c r="B485" s="38" t="inlineStr">
        <is>
          <t>Nou de Berguedà, la</t>
        </is>
      </c>
      <c r="C485" s="38" t="inlineStr">
        <is>
          <t>25,01</t>
        </is>
      </c>
      <c r="D485" s="38" t="inlineStr">
        <is>
          <t>6,5</t>
        </is>
      </c>
      <c r="E485" s="38" t="inlineStr">
        <is>
          <t>1</t>
        </is>
      </c>
    </row>
    <row r="486" ht="15" customHeight="1" s="39">
      <c r="A486" s="42" t="inlineStr">
        <is>
          <t>430976</t>
        </is>
      </c>
      <c r="B486" s="38" t="inlineStr">
        <is>
          <t>Nou de Gaià, la</t>
        </is>
      </c>
      <c r="C486" s="38" t="inlineStr">
        <is>
          <t>4,32</t>
        </is>
      </c>
      <c r="D486" s="38" t="inlineStr">
        <is>
          <t>139,4</t>
        </is>
      </c>
      <c r="E486" s="38" t="inlineStr">
        <is>
          <t>1</t>
        </is>
      </c>
    </row>
    <row r="487" ht="15" customHeight="1" s="39">
      <c r="A487" s="42" t="inlineStr">
        <is>
          <t>430982</t>
        </is>
      </c>
      <c r="B487" s="38" t="inlineStr">
        <is>
          <t>Nulles</t>
        </is>
      </c>
      <c r="C487" s="38" t="inlineStr">
        <is>
          <t>10,61</t>
        </is>
      </c>
      <c r="D487" s="38" t="inlineStr">
        <is>
          <t>52,4</t>
        </is>
      </c>
      <c r="E487" s="38" t="inlineStr">
        <is>
          <t>3</t>
        </is>
      </c>
    </row>
    <row r="488" ht="15" customHeight="1" s="39">
      <c r="A488" s="42" t="inlineStr">
        <is>
          <t>251484</t>
        </is>
      </c>
      <c r="B488" s="38" t="inlineStr">
        <is>
          <t>Odèn</t>
        </is>
      </c>
      <c r="C488" s="38" t="inlineStr">
        <is>
          <t>114,38</t>
        </is>
      </c>
      <c r="D488" s="38" t="inlineStr">
        <is>
          <t>2,0</t>
        </is>
      </c>
      <c r="E488" s="38" t="inlineStr">
        <is>
          <t>9</t>
        </is>
      </c>
    </row>
    <row r="489" ht="15" customHeight="1" s="39">
      <c r="A489" s="42" t="inlineStr">
        <is>
          <t>081430</t>
        </is>
      </c>
      <c r="B489" s="38" t="inlineStr">
        <is>
          <t>Òdena</t>
        </is>
      </c>
      <c r="C489" s="38" t="inlineStr">
        <is>
          <t>52,66</t>
        </is>
      </c>
      <c r="D489" s="38" t="inlineStr">
        <is>
          <t>71,3</t>
        </is>
      </c>
      <c r="E489" s="38" t="inlineStr">
        <is>
          <t>10</t>
        </is>
      </c>
    </row>
    <row r="490" ht="15" customHeight="1" s="39">
      <c r="A490" s="42" t="inlineStr">
        <is>
          <t>171122</t>
        </is>
      </c>
      <c r="B490" s="38" t="inlineStr">
        <is>
          <t>Ogassa</t>
        </is>
      </c>
      <c r="C490" s="38" t="inlineStr">
        <is>
          <t>45,22</t>
        </is>
      </c>
      <c r="D490" s="38" t="inlineStr">
        <is>
          <t>4,9</t>
        </is>
      </c>
      <c r="E490" s="38" t="inlineStr">
        <is>
          <t>8</t>
        </is>
      </c>
    </row>
    <row r="491" ht="15" customHeight="1" s="39">
      <c r="A491" s="42" t="inlineStr">
        <is>
          <t>081458</t>
        </is>
      </c>
      <c r="B491" s="38" t="inlineStr">
        <is>
          <t>Olèrdola</t>
        </is>
      </c>
      <c r="C491" s="38" t="inlineStr">
        <is>
          <t>30,15</t>
        </is>
      </c>
      <c r="D491" s="38" t="inlineStr">
        <is>
          <t>131,1</t>
        </is>
      </c>
      <c r="E491" s="38" t="inlineStr">
        <is>
          <t>8</t>
        </is>
      </c>
    </row>
    <row r="492" ht="15" customHeight="1" s="39">
      <c r="A492" s="42" t="inlineStr">
        <is>
          <t>081461</t>
        </is>
      </c>
      <c r="B492" s="38" t="inlineStr">
        <is>
          <t>Olesa de Bonesvalls</t>
        </is>
      </c>
      <c r="C492" s="38" t="inlineStr">
        <is>
          <t>30,79</t>
        </is>
      </c>
      <c r="D492" s="38" t="inlineStr">
        <is>
          <t>69,3</t>
        </is>
      </c>
      <c r="E492" s="38" t="inlineStr">
        <is>
          <t>7</t>
        </is>
      </c>
    </row>
    <row r="493" ht="15" customHeight="1" s="39">
      <c r="A493" s="42" t="inlineStr">
        <is>
          <t>081477</t>
        </is>
      </c>
      <c r="B493" s="38" t="inlineStr">
        <is>
          <t>Olesa de Montserrat</t>
        </is>
      </c>
      <c r="C493" s="38" t="inlineStr">
        <is>
          <t>16,63</t>
        </is>
      </c>
      <c r="D493" s="38" t="inlineStr">
        <is>
          <t>1503,3</t>
        </is>
      </c>
      <c r="E493" s="38" t="inlineStr">
        <is>
          <t>1</t>
        </is>
      </c>
    </row>
    <row r="494" ht="15" customHeight="1" s="39">
      <c r="A494" s="42" t="inlineStr">
        <is>
          <t>251497</t>
        </is>
      </c>
      <c r="B494" s="38" t="inlineStr">
        <is>
          <t>Oliana</t>
        </is>
      </c>
      <c r="C494" s="38" t="inlineStr">
        <is>
          <t>32,37</t>
        </is>
      </c>
      <c r="D494" s="38" t="inlineStr">
        <is>
          <t>57,7</t>
        </is>
      </c>
      <c r="E494" s="38" t="inlineStr">
        <is>
          <t>3</t>
        </is>
      </c>
    </row>
    <row r="495" ht="15" customHeight="1" s="39">
      <c r="A495" s="42" t="inlineStr">
        <is>
          <t>251500</t>
        </is>
      </c>
      <c r="B495" s="38" t="inlineStr">
        <is>
          <t>Oliola</t>
        </is>
      </c>
      <c r="C495" s="38" t="inlineStr">
        <is>
          <t>86,28</t>
        </is>
      </c>
      <c r="D495" s="38" t="inlineStr">
        <is>
          <t>2,2</t>
        </is>
      </c>
      <c r="E495" s="38" t="inlineStr">
        <is>
          <t>8</t>
        </is>
      </c>
    </row>
    <row r="496" ht="15" customHeight="1" s="39">
      <c r="A496" s="42" t="inlineStr">
        <is>
          <t>251517</t>
        </is>
      </c>
      <c r="B496" s="38" t="inlineStr">
        <is>
          <t>Olius</t>
        </is>
      </c>
      <c r="C496" s="38" t="inlineStr">
        <is>
          <t>54,84</t>
        </is>
      </c>
      <c r="D496" s="38" t="inlineStr">
        <is>
          <t>18,0</t>
        </is>
      </c>
      <c r="E496" s="38" t="inlineStr">
        <is>
          <t>4</t>
        </is>
      </c>
    </row>
    <row r="497" ht="15" customHeight="1" s="39">
      <c r="A497" s="42" t="inlineStr">
        <is>
          <t>081483</t>
        </is>
      </c>
      <c r="B497" s="38" t="inlineStr">
        <is>
          <t>Olivella</t>
        </is>
      </c>
      <c r="C497" s="38" t="inlineStr">
        <is>
          <t>38,75</t>
        </is>
      </c>
      <c r="D497" s="38" t="inlineStr">
        <is>
          <t>115,4</t>
        </is>
      </c>
      <c r="E497" s="38" t="inlineStr">
        <is>
          <t>2</t>
        </is>
      </c>
    </row>
    <row r="498" ht="15" customHeight="1" s="39">
      <c r="A498" s="42" t="inlineStr">
        <is>
          <t>081496</t>
        </is>
      </c>
      <c r="B498" s="38" t="inlineStr">
        <is>
          <t>Olost</t>
        </is>
      </c>
      <c r="C498" s="38" t="inlineStr">
        <is>
          <t>29,37</t>
        </is>
      </c>
      <c r="D498" s="38" t="inlineStr">
        <is>
          <t>41,0</t>
        </is>
      </c>
      <c r="E498" s="38" t="inlineStr">
        <is>
          <t>2</t>
        </is>
      </c>
    </row>
    <row r="499" ht="15" customHeight="1" s="39">
      <c r="A499" s="42" t="inlineStr">
        <is>
          <t>171143</t>
        </is>
      </c>
      <c r="B499" s="38" t="inlineStr">
        <is>
          <t>Olot</t>
        </is>
      </c>
      <c r="C499" s="38" t="inlineStr">
        <is>
          <t>29,03</t>
        </is>
      </c>
      <c r="D499" s="38" t="inlineStr">
        <is>
          <t>1361,2</t>
        </is>
      </c>
      <c r="E499" s="38" t="inlineStr">
        <is>
          <t>3</t>
        </is>
      </c>
    </row>
    <row r="500" ht="15" customHeight="1" s="39">
      <c r="A500" s="42" t="inlineStr">
        <is>
          <t>251522</t>
        </is>
      </c>
      <c r="B500" s="38" t="inlineStr">
        <is>
          <t>Oluges, les</t>
        </is>
      </c>
      <c r="C500" s="38" t="inlineStr">
        <is>
          <t>18,95</t>
        </is>
      </c>
      <c r="D500" s="38" t="inlineStr">
        <is>
          <t>8,8</t>
        </is>
      </c>
      <c r="E500" s="38" t="inlineStr">
        <is>
          <t>3</t>
        </is>
      </c>
    </row>
    <row r="501" ht="15" customHeight="1" s="39">
      <c r="A501" s="42" t="inlineStr">
        <is>
          <t>081445</t>
        </is>
      </c>
      <c r="B501" s="38" t="inlineStr">
        <is>
          <t>Olvan</t>
        </is>
      </c>
      <c r="C501" s="38" t="inlineStr">
        <is>
          <t>35,58</t>
        </is>
      </c>
      <c r="D501" s="38" t="inlineStr">
        <is>
          <t>26,0</t>
        </is>
      </c>
      <c r="E501" s="38" t="inlineStr">
        <is>
          <t>1</t>
        </is>
      </c>
    </row>
    <row r="502" ht="15" customHeight="1" s="39">
      <c r="A502" s="42" t="inlineStr">
        <is>
          <t>251538</t>
        </is>
      </c>
      <c r="B502" s="38" t="inlineStr">
        <is>
          <t>Omellons, els</t>
        </is>
      </c>
      <c r="C502" s="38" t="inlineStr">
        <is>
          <t>11,06</t>
        </is>
      </c>
      <c r="D502" s="38" t="inlineStr">
        <is>
          <t>16,9</t>
        </is>
      </c>
      <c r="E502" s="38" t="inlineStr">
        <is>
          <t>1</t>
        </is>
      </c>
    </row>
    <row r="503" ht="15" customHeight="1" s="39">
      <c r="A503" s="42" t="inlineStr">
        <is>
          <t>251543</t>
        </is>
      </c>
      <c r="B503" s="38" t="inlineStr">
        <is>
          <t>Omells de na Gaia, els</t>
        </is>
      </c>
      <c r="C503" s="38" t="inlineStr">
        <is>
          <t>13,48</t>
        </is>
      </c>
      <c r="D503" s="38" t="inlineStr">
        <is>
          <t>9,3</t>
        </is>
      </c>
      <c r="E503" s="38" t="inlineStr">
        <is>
          <t>1</t>
        </is>
      </c>
    </row>
    <row r="504" ht="15" customHeight="1" s="39">
      <c r="A504" s="42" t="inlineStr">
        <is>
          <t>171156</t>
        </is>
      </c>
      <c r="B504" s="38" t="inlineStr">
        <is>
          <t>Ordis</t>
        </is>
      </c>
      <c r="C504" s="38" t="inlineStr">
        <is>
          <t>8,55</t>
        </is>
      </c>
      <c r="D504" s="38" t="inlineStr">
        <is>
          <t>48,1</t>
        </is>
      </c>
      <c r="E504" s="38" t="inlineStr">
        <is>
          <t>2</t>
        </is>
      </c>
    </row>
    <row r="505" ht="15" customHeight="1" s="39">
      <c r="A505" s="42" t="inlineStr">
        <is>
          <t>251556</t>
        </is>
      </c>
      <c r="B505" s="38" t="inlineStr">
        <is>
          <t>Organyà</t>
        </is>
      </c>
      <c r="C505" s="38" t="inlineStr">
        <is>
          <t>12,53</t>
        </is>
      </c>
      <c r="D505" s="38" t="inlineStr">
        <is>
          <t>67,9</t>
        </is>
      </c>
      <c r="E505" s="38" t="inlineStr">
        <is>
          <t>1</t>
        </is>
      </c>
    </row>
    <row r="506" ht="15" customHeight="1" s="39">
      <c r="A506" s="42" t="inlineStr">
        <is>
          <t>081509</t>
        </is>
      </c>
      <c r="B506" s="38" t="inlineStr">
        <is>
          <t>Orís</t>
        </is>
      </c>
      <c r="C506" s="38" t="inlineStr">
        <is>
          <t>27,17</t>
        </is>
      </c>
      <c r="D506" s="38" t="inlineStr">
        <is>
          <t>13,0</t>
        </is>
      </c>
      <c r="E506" s="38" t="inlineStr">
        <is>
          <t>5</t>
        </is>
      </c>
    </row>
    <row r="507" ht="15" customHeight="1" s="39">
      <c r="A507" s="42" t="inlineStr">
        <is>
          <t>081516</t>
        </is>
      </c>
      <c r="B507" s="38" t="inlineStr">
        <is>
          <t>Oristà</t>
        </is>
      </c>
      <c r="C507" s="38" t="inlineStr">
        <is>
          <t>68,49</t>
        </is>
      </c>
      <c r="D507" s="38" t="inlineStr">
        <is>
          <t>8,1</t>
        </is>
      </c>
      <c r="E507" s="38" t="inlineStr">
        <is>
          <t>3</t>
        </is>
      </c>
    </row>
    <row r="508" ht="15" customHeight="1" s="39">
      <c r="A508" s="42" t="inlineStr">
        <is>
          <t>081521</t>
        </is>
      </c>
      <c r="B508" s="38" t="inlineStr">
        <is>
          <t>Orpí</t>
        </is>
      </c>
      <c r="C508" s="38" t="inlineStr">
        <is>
          <t>15,23</t>
        </is>
      </c>
      <c r="D508" s="38" t="inlineStr">
        <is>
          <t>11,6</t>
        </is>
      </c>
      <c r="E508" s="38" t="inlineStr">
        <is>
          <t>4</t>
        </is>
      </c>
    </row>
    <row r="509" ht="15" customHeight="1" s="39">
      <c r="A509" s="42" t="inlineStr">
        <is>
          <t>081537</t>
        </is>
      </c>
      <c r="B509" s="38" t="inlineStr">
        <is>
          <t>Òrrius</t>
        </is>
      </c>
      <c r="C509" s="38" t="inlineStr">
        <is>
          <t>5,66</t>
        </is>
      </c>
      <c r="D509" s="38" t="inlineStr">
        <is>
          <t>143,8</t>
        </is>
      </c>
      <c r="E509" s="38" t="inlineStr">
        <is>
          <t>1</t>
        </is>
      </c>
    </row>
    <row r="510" ht="15" customHeight="1" s="39">
      <c r="A510" s="42" t="inlineStr">
        <is>
          <t>251569</t>
        </is>
      </c>
      <c r="B510" s="38" t="inlineStr">
        <is>
          <t>Os de Balaguer</t>
        </is>
      </c>
      <c r="C510" s="38" t="inlineStr">
        <is>
          <t>135,96</t>
        </is>
      </c>
      <c r="D510" s="38" t="inlineStr">
        <is>
          <t>8,0</t>
        </is>
      </c>
      <c r="E510" s="38" t="inlineStr">
        <is>
          <t>4</t>
        </is>
      </c>
    </row>
    <row r="511" ht="15" customHeight="1" s="39">
      <c r="A511" s="42" t="inlineStr">
        <is>
          <t>171169</t>
        </is>
      </c>
      <c r="B511" s="38" t="inlineStr">
        <is>
          <t>Osor</t>
        </is>
      </c>
      <c r="C511" s="38" t="inlineStr">
        <is>
          <t>52,07</t>
        </is>
      </c>
      <c r="D511" s="38" t="inlineStr">
        <is>
          <t>8,2</t>
        </is>
      </c>
      <c r="E511" s="38" t="inlineStr">
        <is>
          <t>4</t>
        </is>
      </c>
    </row>
    <row r="512" ht="15" customHeight="1" s="39">
      <c r="A512" s="42" t="inlineStr">
        <is>
          <t>251575</t>
        </is>
      </c>
      <c r="B512" s="38" t="inlineStr">
        <is>
          <t>Ossó de Sió</t>
        </is>
      </c>
      <c r="C512" s="38" t="inlineStr">
        <is>
          <t>26,29</t>
        </is>
      </c>
      <c r="D512" s="38" t="inlineStr">
        <is>
          <t>7,6</t>
        </is>
      </c>
      <c r="E512" s="38" t="inlineStr">
        <is>
          <t>4</t>
        </is>
      </c>
    </row>
    <row r="513" ht="15" customHeight="1" s="39">
      <c r="A513" s="42" t="inlineStr">
        <is>
          <t>081542</t>
        </is>
      </c>
      <c r="B513" s="38" t="inlineStr">
        <is>
          <t>Pacs del Penedès</t>
        </is>
      </c>
      <c r="C513" s="38" t="inlineStr">
        <is>
          <t>6,27</t>
        </is>
      </c>
      <c r="D513" s="38" t="inlineStr">
        <is>
          <t>149,0</t>
        </is>
      </c>
      <c r="E513" s="38" t="inlineStr">
        <is>
          <t>1</t>
        </is>
      </c>
    </row>
    <row r="514" ht="15" customHeight="1" s="39">
      <c r="A514" s="42" t="inlineStr">
        <is>
          <t>081555</t>
        </is>
      </c>
      <c r="B514" s="38" t="inlineStr">
        <is>
          <t>Palafolls</t>
        </is>
      </c>
      <c r="C514" s="38" t="inlineStr">
        <is>
          <t>16,56</t>
        </is>
      </c>
      <c r="D514" s="38" t="inlineStr">
        <is>
          <t>605,4</t>
        </is>
      </c>
      <c r="E514" s="38" t="inlineStr">
        <is>
          <t>5</t>
        </is>
      </c>
    </row>
    <row r="515" ht="15" customHeight="1" s="39">
      <c r="A515" s="42" t="inlineStr">
        <is>
          <t>171175</t>
        </is>
      </c>
      <c r="B515" s="38" t="inlineStr">
        <is>
          <t>Palafrugell</t>
        </is>
      </c>
      <c r="C515" s="38" t="inlineStr">
        <is>
          <t>26,88</t>
        </is>
      </c>
      <c r="D515" s="38" t="inlineStr">
        <is>
          <t>913,5</t>
        </is>
      </c>
      <c r="E515" s="38" t="inlineStr">
        <is>
          <t>9</t>
        </is>
      </c>
    </row>
    <row r="516" ht="15" customHeight="1" s="39">
      <c r="A516" s="42" t="inlineStr">
        <is>
          <t>171181</t>
        </is>
      </c>
      <c r="B516" s="38" t="inlineStr">
        <is>
          <t>Palamós</t>
        </is>
      </c>
      <c r="C516" s="38" t="inlineStr">
        <is>
          <t>13,98</t>
        </is>
      </c>
      <c r="D516" s="38" t="inlineStr">
        <is>
          <t>1353,4</t>
        </is>
      </c>
      <c r="E516" s="38" t="inlineStr">
        <is>
          <t>7</t>
        </is>
      </c>
    </row>
    <row r="517" ht="15" customHeight="1" s="39">
      <c r="A517" s="42" t="inlineStr">
        <is>
          <t>251581</t>
        </is>
      </c>
      <c r="B517" s="38" t="inlineStr">
        <is>
          <t>Palau d'Anglesola, el</t>
        </is>
      </c>
      <c r="C517" s="38" t="inlineStr">
        <is>
          <t>12,27</t>
        </is>
      </c>
      <c r="D517" s="38" t="inlineStr">
        <is>
          <t>181,3</t>
        </is>
      </c>
      <c r="E517" s="38" t="inlineStr">
        <is>
          <t>1</t>
        </is>
      </c>
    </row>
    <row r="518" ht="15" customHeight="1" s="39">
      <c r="A518" s="42" t="inlineStr">
        <is>
          <t>171194</t>
        </is>
      </c>
      <c r="B518" s="38" t="inlineStr">
        <is>
          <t>Palau de Santa Eulàlia</t>
        </is>
      </c>
      <c r="C518" s="38" t="inlineStr">
        <is>
          <t>8,44</t>
        </is>
      </c>
      <c r="D518" s="38" t="inlineStr">
        <is>
          <t>14,7</t>
        </is>
      </c>
      <c r="E518" s="38" t="inlineStr">
        <is>
          <t>2</t>
        </is>
      </c>
    </row>
    <row r="519" ht="15" customHeight="1" s="39">
      <c r="A519" s="42" t="inlineStr">
        <is>
          <t>171215</t>
        </is>
      </c>
      <c r="B519" s="38" t="inlineStr">
        <is>
          <t>Palau-sator</t>
        </is>
      </c>
      <c r="C519" s="38" t="inlineStr">
        <is>
          <t>12,39</t>
        </is>
      </c>
      <c r="D519" s="38" t="inlineStr">
        <is>
          <t>25,8</t>
        </is>
      </c>
      <c r="E519" s="38" t="inlineStr">
        <is>
          <t>4</t>
        </is>
      </c>
    </row>
    <row r="520" ht="15" customHeight="1" s="39">
      <c r="A520" s="42" t="inlineStr">
        <is>
          <t>171208</t>
        </is>
      </c>
      <c r="B520" s="38" t="inlineStr">
        <is>
          <t>Palau-saverdera</t>
        </is>
      </c>
      <c r="C520" s="38" t="inlineStr">
        <is>
          <t>16,45</t>
        </is>
      </c>
      <c r="D520" s="38" t="inlineStr">
        <is>
          <t>92,6</t>
        </is>
      </c>
      <c r="E520" s="38" t="inlineStr">
        <is>
          <t>4</t>
        </is>
      </c>
    </row>
    <row r="521" ht="15" customHeight="1" s="39">
      <c r="A521" s="42" t="inlineStr">
        <is>
          <t>081568</t>
        </is>
      </c>
      <c r="B521" s="38" t="inlineStr">
        <is>
          <t>Palau-solità i Plegamans</t>
        </is>
      </c>
      <c r="C521" s="38" t="inlineStr">
        <is>
          <t>14,93</t>
        </is>
      </c>
      <c r="D521" s="38" t="inlineStr">
        <is>
          <t>1043,8</t>
        </is>
      </c>
      <c r="E521" s="38" t="inlineStr">
        <is>
          <t>12</t>
        </is>
      </c>
    </row>
    <row r="522" ht="15" customHeight="1" s="39">
      <c r="A522" s="42" t="inlineStr">
        <is>
          <t>431009</t>
        </is>
      </c>
      <c r="B522" s="38" t="inlineStr">
        <is>
          <t>Pallaresos, els</t>
        </is>
      </c>
      <c r="C522" s="38" t="inlineStr">
        <is>
          <t>5,13</t>
        </is>
      </c>
      <c r="D522" s="38" t="inlineStr">
        <is>
          <t>983,0</t>
        </is>
      </c>
      <c r="E522" s="38" t="inlineStr">
        <is>
          <t>4</t>
        </is>
      </c>
    </row>
    <row r="523" ht="15" customHeight="1" s="39">
      <c r="A523" s="42" t="inlineStr">
        <is>
          <t>081574</t>
        </is>
      </c>
      <c r="B523" s="38" t="inlineStr">
        <is>
          <t>Pallejà</t>
        </is>
      </c>
      <c r="C523" s="38" t="inlineStr">
        <is>
          <t>8,30</t>
        </is>
      </c>
      <c r="D523" s="38" t="inlineStr">
        <is>
          <t>1442,9</t>
        </is>
      </c>
      <c r="E523" s="38" t="inlineStr">
        <is>
          <t>3</t>
        </is>
      </c>
    </row>
    <row r="524" ht="15" customHeight="1" s="39">
      <c r="A524" s="42" t="inlineStr">
        <is>
          <t>430995</t>
        </is>
      </c>
      <c r="B524" s="38" t="inlineStr">
        <is>
          <t>Palma d'Ebre, la</t>
        </is>
      </c>
      <c r="C524" s="38" t="inlineStr">
        <is>
          <t>37,92</t>
        </is>
      </c>
      <c r="D524" s="38" t="inlineStr">
        <is>
          <t>8,7</t>
        </is>
      </c>
      <c r="E524" s="38" t="inlineStr">
        <is>
          <t>1</t>
        </is>
      </c>
    </row>
    <row r="525" ht="15" customHeight="1" s="39">
      <c r="A525" s="42" t="inlineStr">
        <is>
          <t>089058</t>
        </is>
      </c>
      <c r="B525" s="38" t="inlineStr">
        <is>
          <t>Palma de Cervelló, la</t>
        </is>
      </c>
      <c r="C525" s="38" t="inlineStr">
        <is>
          <t>5,46</t>
        </is>
      </c>
      <c r="D525" s="38" t="inlineStr">
        <is>
          <t>560,3</t>
        </is>
      </c>
      <c r="E525" s="38" t="inlineStr">
        <is>
          <t>4</t>
        </is>
      </c>
    </row>
    <row r="526" ht="15" customHeight="1" s="39">
      <c r="A526" s="42" t="inlineStr">
        <is>
          <t>171236</t>
        </is>
      </c>
      <c r="B526" s="38" t="inlineStr">
        <is>
          <t>Palol de Revardit</t>
        </is>
      </c>
      <c r="C526" s="38" t="inlineStr">
        <is>
          <t>17,98</t>
        </is>
      </c>
      <c r="D526" s="38" t="inlineStr">
        <is>
          <t>25,8</t>
        </is>
      </c>
      <c r="E526" s="38" t="inlineStr">
        <is>
          <t>3</t>
        </is>
      </c>
    </row>
    <row r="527" ht="15" customHeight="1" s="39">
      <c r="A527" s="42" t="inlineStr">
        <is>
          <t>171241</t>
        </is>
      </c>
      <c r="B527" s="38" t="inlineStr">
        <is>
          <t>Pals</t>
        </is>
      </c>
      <c r="C527" s="38" t="inlineStr">
        <is>
          <t>25,83</t>
        </is>
      </c>
      <c r="D527" s="38" t="inlineStr">
        <is>
          <t>98,8</t>
        </is>
      </c>
      <c r="E527" s="38" t="inlineStr">
        <is>
          <t>10</t>
        </is>
      </c>
    </row>
    <row r="528" ht="15" customHeight="1" s="39">
      <c r="A528" s="42" t="inlineStr">
        <is>
          <t>081580</t>
        </is>
      </c>
      <c r="B528" s="38" t="inlineStr">
        <is>
          <t>Papiol, el</t>
        </is>
      </c>
      <c r="C528" s="38" t="inlineStr">
        <is>
          <t>8,95</t>
        </is>
      </c>
      <c r="D528" s="38" t="inlineStr">
        <is>
          <t>492,1</t>
        </is>
      </c>
      <c r="E528" s="38" t="inlineStr">
        <is>
          <t>1</t>
        </is>
      </c>
    </row>
    <row r="529" ht="15" customHeight="1" s="39">
      <c r="A529" s="42" t="inlineStr">
        <is>
          <t>171254</t>
        </is>
      </c>
      <c r="B529" s="38" t="inlineStr">
        <is>
          <t>Pardines</t>
        </is>
      </c>
      <c r="C529" s="38" t="inlineStr">
        <is>
          <t>31,05</t>
        </is>
      </c>
      <c r="D529" s="38" t="inlineStr">
        <is>
          <t>5,4</t>
        </is>
      </c>
      <c r="E529" s="38" t="inlineStr">
        <is>
          <t>6</t>
        </is>
      </c>
    </row>
    <row r="530" ht="15" customHeight="1" s="39">
      <c r="A530" s="42" t="inlineStr">
        <is>
          <t>081593</t>
        </is>
      </c>
      <c r="B530" s="38" t="inlineStr">
        <is>
          <t>Parets del Vallès</t>
        </is>
      </c>
      <c r="C530" s="38" t="inlineStr">
        <is>
          <t>9,12</t>
        </is>
      </c>
      <c r="D530" s="38" t="inlineStr">
        <is>
          <t>2072,3</t>
        </is>
      </c>
      <c r="E530" s="38" t="inlineStr">
        <is>
          <t>11</t>
        </is>
      </c>
    </row>
    <row r="531" ht="15" customHeight="1" s="39">
      <c r="A531" s="42" t="inlineStr">
        <is>
          <t>171267</t>
        </is>
      </c>
      <c r="B531" s="38" t="inlineStr">
        <is>
          <t>Parlavà</t>
        </is>
      </c>
      <c r="C531" s="38" t="inlineStr">
        <is>
          <t>6,18</t>
        </is>
      </c>
      <c r="D531" s="38" t="inlineStr">
        <is>
          <t>70,4</t>
        </is>
      </c>
      <c r="E531" s="38" t="inlineStr">
        <is>
          <t>2</t>
        </is>
      </c>
    </row>
    <row r="532" ht="15" customHeight="1" s="39">
      <c r="A532" s="42" t="inlineStr">
        <is>
          <t>431016</t>
        </is>
      </c>
      <c r="B532" s="38" t="inlineStr">
        <is>
          <t>Passanant i Belltall</t>
        </is>
      </c>
      <c r="C532" s="38" t="inlineStr">
        <is>
          <t>27,35</t>
        </is>
      </c>
      <c r="D532" s="38" t="inlineStr">
        <is>
          <t>5,4</t>
        </is>
      </c>
      <c r="E532" s="38" t="inlineStr">
        <is>
          <t>6</t>
        </is>
      </c>
    </row>
    <row r="533" ht="15" customHeight="1" s="39">
      <c r="A533" s="42" t="inlineStr">
        <is>
          <t>171289</t>
        </is>
      </c>
      <c r="B533" s="38" t="inlineStr">
        <is>
          <t>Pau</t>
        </is>
      </c>
      <c r="C533" s="38" t="inlineStr">
        <is>
          <t>10,70</t>
        </is>
      </c>
      <c r="D533" s="38" t="inlineStr">
        <is>
          <t>52,1</t>
        </is>
      </c>
      <c r="E533" s="38" t="inlineStr">
        <is>
          <t>3</t>
        </is>
      </c>
    </row>
    <row r="534" ht="15" customHeight="1" s="39">
      <c r="A534" s="42" t="inlineStr">
        <is>
          <t>431021</t>
        </is>
      </c>
      <c r="B534" s="38" t="inlineStr">
        <is>
          <t>Paüls</t>
        </is>
      </c>
      <c r="C534" s="38" t="inlineStr">
        <is>
          <t>43,83</t>
        </is>
      </c>
      <c r="D534" s="38" t="inlineStr">
        <is>
          <t>12,6</t>
        </is>
      </c>
      <c r="E534" s="38" t="inlineStr">
        <is>
          <t>1</t>
        </is>
      </c>
    </row>
    <row r="535" ht="15" customHeight="1" s="39">
      <c r="A535" s="42" t="inlineStr">
        <is>
          <t>171292</t>
        </is>
      </c>
      <c r="B535" s="38" t="inlineStr">
        <is>
          <t>Pedret i Marzà</t>
        </is>
      </c>
      <c r="C535" s="38" t="inlineStr">
        <is>
          <t>8,65</t>
        </is>
      </c>
      <c r="D535" s="38" t="inlineStr">
        <is>
          <t>24,0</t>
        </is>
      </c>
      <c r="E535" s="38" t="inlineStr">
        <is>
          <t>2</t>
        </is>
      </c>
    </row>
    <row r="536" ht="15" customHeight="1" s="39">
      <c r="A536" s="42" t="inlineStr">
        <is>
          <t>251641</t>
        </is>
      </c>
      <c r="B536" s="38" t="inlineStr">
        <is>
          <t>Penelles</t>
        </is>
      </c>
      <c r="C536" s="38" t="inlineStr">
        <is>
          <t>25,51</t>
        </is>
      </c>
      <c r="D536" s="38" t="inlineStr">
        <is>
          <t>16,9</t>
        </is>
      </c>
      <c r="E536" s="38" t="inlineStr">
        <is>
          <t>6</t>
        </is>
      </c>
    </row>
    <row r="537" ht="15" customHeight="1" s="39">
      <c r="A537" s="42" t="inlineStr">
        <is>
          <t>171306</t>
        </is>
      </c>
      <c r="B537" s="38" t="inlineStr">
        <is>
          <t>Pera, la</t>
        </is>
      </c>
      <c r="C537" s="38" t="inlineStr">
        <is>
          <t>11,54</t>
        </is>
      </c>
      <c r="D537" s="38" t="inlineStr">
        <is>
          <t>38,9</t>
        </is>
      </c>
      <c r="E537" s="38" t="inlineStr">
        <is>
          <t>4</t>
        </is>
      </c>
    </row>
    <row r="538" ht="15" customHeight="1" s="39">
      <c r="A538" s="42" t="inlineStr">
        <is>
          <t>081607</t>
        </is>
      </c>
      <c r="B538" s="38" t="inlineStr">
        <is>
          <t>Perafita</t>
        </is>
      </c>
      <c r="C538" s="38" t="inlineStr">
        <is>
          <t>19,59</t>
        </is>
      </c>
      <c r="D538" s="38" t="inlineStr">
        <is>
          <t>22,1</t>
        </is>
      </c>
      <c r="E538" s="38" t="inlineStr">
        <is>
          <t>1</t>
        </is>
      </c>
    </row>
    <row r="539" ht="15" customHeight="1" s="39">
      <c r="A539" s="42" t="inlineStr">
        <is>
          <t>431037</t>
        </is>
      </c>
      <c r="B539" s="38" t="inlineStr">
        <is>
          <t>Perafort</t>
        </is>
      </c>
      <c r="C539" s="38" t="inlineStr">
        <is>
          <t>9,54</t>
        </is>
      </c>
      <c r="D539" s="38" t="inlineStr">
        <is>
          <t>141,8</t>
        </is>
      </c>
      <c r="E539" s="38" t="inlineStr">
        <is>
          <t>2</t>
        </is>
      </c>
    </row>
    <row r="540" ht="15" customHeight="1" s="39">
      <c r="A540" s="42" t="inlineStr">
        <is>
          <t>171328</t>
        </is>
      </c>
      <c r="B540" s="38" t="inlineStr">
        <is>
          <t>Peralada</t>
        </is>
      </c>
      <c r="C540" s="38" t="inlineStr">
        <is>
          <t>43,61</t>
        </is>
      </c>
      <c r="D540" s="38" t="inlineStr">
        <is>
          <t>47,9</t>
        </is>
      </c>
      <c r="E540" s="38" t="inlineStr">
        <is>
          <t>3</t>
        </is>
      </c>
    </row>
    <row r="541" ht="15" customHeight="1" s="39">
      <c r="A541" s="42" t="inlineStr">
        <is>
          <t>251654</t>
        </is>
      </c>
      <c r="B541" s="38" t="inlineStr">
        <is>
          <t>Peramola</t>
        </is>
      </c>
      <c r="C541" s="38" t="inlineStr">
        <is>
          <t>56,17</t>
        </is>
      </c>
      <c r="D541" s="38" t="inlineStr">
        <is>
          <t>6,0</t>
        </is>
      </c>
      <c r="E541" s="38" t="inlineStr">
        <is>
          <t>5</t>
        </is>
      </c>
    </row>
    <row r="542" ht="15" customHeight="1" s="39">
      <c r="A542" s="42" t="inlineStr">
        <is>
          <t>431042</t>
        </is>
      </c>
      <c r="B542" s="38" t="inlineStr">
        <is>
          <t>Perelló, el</t>
        </is>
      </c>
      <c r="C542" s="38" t="inlineStr">
        <is>
          <t>100,67</t>
        </is>
      </c>
      <c r="D542" s="38" t="inlineStr">
        <is>
          <t>29,9</t>
        </is>
      </c>
      <c r="E542" s="38" t="inlineStr">
        <is>
          <t>1</t>
        </is>
      </c>
    </row>
    <row r="543" ht="15" customHeight="1" s="39">
      <c r="A543" s="42" t="inlineStr">
        <is>
          <t>081614</t>
        </is>
      </c>
      <c r="B543" s="38" t="inlineStr">
        <is>
          <t>Piera</t>
        </is>
      </c>
      <c r="C543" s="38" t="inlineStr">
        <is>
          <t>57,20</t>
        </is>
      </c>
      <c r="D543" s="38" t="inlineStr">
        <is>
          <t>312,7</t>
        </is>
      </c>
      <c r="E543" s="38" t="inlineStr">
        <is>
          <t>21</t>
        </is>
      </c>
    </row>
    <row r="544" ht="15" customHeight="1" s="39">
      <c r="A544" s="42" t="inlineStr">
        <is>
          <t>431055</t>
        </is>
      </c>
      <c r="B544" s="38" t="inlineStr">
        <is>
          <t>Piles, les</t>
        </is>
      </c>
      <c r="C544" s="38" t="inlineStr">
        <is>
          <t>22,39</t>
        </is>
      </c>
      <c r="D544" s="38" t="inlineStr">
        <is>
          <t>10,2</t>
        </is>
      </c>
      <c r="E544" s="38" t="inlineStr">
        <is>
          <t>4</t>
        </is>
      </c>
    </row>
    <row r="545" ht="15" customHeight="1" s="39">
      <c r="A545" s="42" t="inlineStr">
        <is>
          <t>081635</t>
        </is>
      </c>
      <c r="B545" s="38" t="inlineStr">
        <is>
          <t>Pineda de Mar</t>
        </is>
      </c>
      <c r="C545" s="38" t="inlineStr">
        <is>
          <t>10,74</t>
        </is>
      </c>
      <c r="D545" s="38" t="inlineStr">
        <is>
          <t>2799,9</t>
        </is>
      </c>
      <c r="E545" s="38" t="inlineStr">
        <is>
          <t>4</t>
        </is>
      </c>
    </row>
    <row r="546" ht="15" customHeight="1" s="39">
      <c r="A546" s="42" t="inlineStr">
        <is>
          <t>431068</t>
        </is>
      </c>
      <c r="B546" s="38" t="inlineStr">
        <is>
          <t>Pinell de Brai, el</t>
        </is>
      </c>
      <c r="C546" s="38" t="inlineStr">
        <is>
          <t>56,99</t>
        </is>
      </c>
      <c r="D546" s="38" t="inlineStr">
        <is>
          <t>16,6</t>
        </is>
      </c>
      <c r="E546" s="38" t="inlineStr">
        <is>
          <t>1</t>
        </is>
      </c>
    </row>
    <row r="547" ht="15" customHeight="1" s="39">
      <c r="A547" s="42" t="inlineStr">
        <is>
          <t>251667</t>
        </is>
      </c>
      <c r="B547" s="38" t="inlineStr">
        <is>
          <t>Pinell de Solsonès</t>
        </is>
      </c>
      <c r="C547" s="38" t="inlineStr">
        <is>
          <t>91,11</t>
        </is>
      </c>
      <c r="D547" s="38" t="inlineStr">
        <is>
          <t>2,2</t>
        </is>
      </c>
      <c r="E547" s="38" t="inlineStr">
        <is>
          <t>5</t>
        </is>
      </c>
    </row>
    <row r="548" ht="15" customHeight="1" s="39">
      <c r="A548" s="42" t="inlineStr">
        <is>
          <t>251673</t>
        </is>
      </c>
      <c r="B548" s="38" t="inlineStr">
        <is>
          <t>Pinós</t>
        </is>
      </c>
      <c r="C548" s="38" t="inlineStr">
        <is>
          <t>104,32</t>
        </is>
      </c>
      <c r="D548" s="38" t="inlineStr">
        <is>
          <t>2,6</t>
        </is>
      </c>
      <c r="E548" s="38" t="inlineStr">
        <is>
          <t>5</t>
        </is>
      </c>
    </row>
    <row r="549" ht="15" customHeight="1" s="39">
      <c r="A549" s="42" t="inlineStr">
        <is>
          <t>431074</t>
        </is>
      </c>
      <c r="B549" s="38" t="inlineStr">
        <is>
          <t>Pira</t>
        </is>
      </c>
      <c r="C549" s="38" t="inlineStr">
        <is>
          <t>8,01</t>
        </is>
      </c>
      <c r="D549" s="38" t="inlineStr">
        <is>
          <t>63,9</t>
        </is>
      </c>
      <c r="E549" s="38" t="inlineStr">
        <is>
          <t>1</t>
        </is>
      </c>
    </row>
    <row r="550" ht="15" customHeight="1" s="39">
      <c r="A550" s="42" t="inlineStr">
        <is>
          <t>431080</t>
        </is>
      </c>
      <c r="B550" s="38" t="inlineStr">
        <is>
          <t>Pla de Santa Maria, el</t>
        </is>
      </c>
      <c r="C550" s="38" t="inlineStr">
        <is>
          <t>34,99</t>
        </is>
      </c>
      <c r="D550" s="38" t="inlineStr">
        <is>
          <t>68,9</t>
        </is>
      </c>
      <c r="E550" s="38" t="inlineStr">
        <is>
          <t>1</t>
        </is>
      </c>
    </row>
    <row r="551" ht="15" customHeight="1" s="39">
      <c r="A551" s="42" t="inlineStr">
        <is>
          <t>081640</t>
        </is>
      </c>
      <c r="B551" s="38" t="inlineStr">
        <is>
          <t>Pla del Penedès, el</t>
        </is>
      </c>
      <c r="C551" s="38" t="inlineStr">
        <is>
          <t>9,56</t>
        </is>
      </c>
      <c r="D551" s="38" t="inlineStr">
        <is>
          <t>145,6</t>
        </is>
      </c>
      <c r="E551" s="38" t="inlineStr">
        <is>
          <t>7</t>
        </is>
      </c>
    </row>
    <row r="552" ht="15" customHeight="1" s="39">
      <c r="A552" s="42" t="inlineStr">
        <is>
          <t>171334</t>
        </is>
      </c>
      <c r="B552" s="38" t="inlineStr">
        <is>
          <t>Planes d'Hostoles, les</t>
        </is>
      </c>
      <c r="C552" s="38" t="inlineStr">
        <is>
          <t>37,50</t>
        </is>
      </c>
      <c r="D552" s="38" t="inlineStr">
        <is>
          <t>46,6</t>
        </is>
      </c>
      <c r="E552" s="38" t="inlineStr">
        <is>
          <t>8</t>
        </is>
      </c>
    </row>
    <row r="553" ht="15" customHeight="1" s="39">
      <c r="A553" s="42" t="inlineStr">
        <is>
          <t>171349</t>
        </is>
      </c>
      <c r="B553" s="38" t="inlineStr">
        <is>
          <t>Planoles</t>
        </is>
      </c>
      <c r="C553" s="38" t="inlineStr">
        <is>
          <t>18,75</t>
        </is>
      </c>
      <c r="D553" s="38" t="inlineStr">
        <is>
          <t>16,7</t>
        </is>
      </c>
      <c r="E553" s="38" t="inlineStr">
        <is>
          <t>8</t>
        </is>
      </c>
    </row>
    <row r="554" ht="15" customHeight="1" s="39">
      <c r="A554" s="42" t="inlineStr">
        <is>
          <t>259118</t>
        </is>
      </c>
      <c r="B554" s="38" t="inlineStr">
        <is>
          <t>Plans de Sió, els</t>
        </is>
      </c>
      <c r="C554" s="38" t="inlineStr">
        <is>
          <t>55,89</t>
        </is>
      </c>
      <c r="D554" s="38" t="inlineStr">
        <is>
          <t>9,2</t>
        </is>
      </c>
      <c r="E554" s="38" t="inlineStr">
        <is>
          <t>11</t>
        </is>
      </c>
    </row>
    <row r="555" ht="15" customHeight="1" s="39">
      <c r="A555" s="42" t="inlineStr">
        <is>
          <t>251689</t>
        </is>
      </c>
      <c r="B555" s="38" t="inlineStr">
        <is>
          <t>Poal, el</t>
        </is>
      </c>
      <c r="C555" s="38" t="inlineStr">
        <is>
          <t>8,88</t>
        </is>
      </c>
      <c r="D555" s="38" t="inlineStr">
        <is>
          <t>73,0</t>
        </is>
      </c>
      <c r="E555" s="38" t="inlineStr">
        <is>
          <t>1</t>
        </is>
      </c>
    </row>
    <row r="556" ht="15" customHeight="1" s="39">
      <c r="A556" s="42" t="inlineStr">
        <is>
          <t>251692</t>
        </is>
      </c>
      <c r="B556" s="38" t="inlineStr">
        <is>
          <t>Pobla de Cérvoles, la</t>
        </is>
      </c>
      <c r="C556" s="38" t="inlineStr">
        <is>
          <t>61,92</t>
        </is>
      </c>
      <c r="D556" s="38" t="inlineStr">
        <is>
          <t>3,4</t>
        </is>
      </c>
      <c r="E556" s="38" t="inlineStr">
        <is>
          <t>1</t>
        </is>
      </c>
    </row>
    <row r="557" ht="15" customHeight="1" s="39">
      <c r="A557" s="42" t="inlineStr">
        <is>
          <t>081653</t>
        </is>
      </c>
      <c r="B557" s="38" t="inlineStr">
        <is>
          <t>Pobla de Claramunt, la</t>
        </is>
      </c>
      <c r="C557" s="38" t="inlineStr">
        <is>
          <t>18,54</t>
        </is>
      </c>
      <c r="D557" s="38" t="inlineStr">
        <is>
          <t>126,8</t>
        </is>
      </c>
      <c r="E557" s="38" t="inlineStr">
        <is>
          <t>7</t>
        </is>
      </c>
    </row>
    <row r="558" ht="15" customHeight="1" s="39">
      <c r="A558" s="42" t="inlineStr">
        <is>
          <t>081666</t>
        </is>
      </c>
      <c r="B558" s="38" t="inlineStr">
        <is>
          <t>Pobla de Lillet, la</t>
        </is>
      </c>
      <c r="C558" s="38" t="inlineStr">
        <is>
          <t>51,45</t>
        </is>
      </c>
      <c r="D558" s="38" t="inlineStr">
        <is>
          <t>21,5</t>
        </is>
      </c>
      <c r="E558" s="38" t="inlineStr">
        <is>
          <t>1</t>
        </is>
      </c>
    </row>
    <row r="559" ht="15" customHeight="1" s="39">
      <c r="A559" s="42" t="inlineStr">
        <is>
          <t>431093</t>
        </is>
      </c>
      <c r="B559" s="38" t="inlineStr">
        <is>
          <t>Pobla de Mafumet, la</t>
        </is>
      </c>
      <c r="C559" s="38" t="inlineStr">
        <is>
          <t>6,21</t>
        </is>
      </c>
      <c r="D559" s="38" t="inlineStr">
        <is>
          <t>674,2</t>
        </is>
      </c>
      <c r="E559" s="38" t="inlineStr">
        <is>
          <t>1</t>
        </is>
      </c>
    </row>
    <row r="560" ht="15" customHeight="1" s="39">
      <c r="A560" s="42" t="inlineStr">
        <is>
          <t>431107</t>
        </is>
      </c>
      <c r="B560" s="38" t="inlineStr">
        <is>
          <t>Pobla de Massaluca, la</t>
        </is>
      </c>
      <c r="C560" s="38" t="inlineStr">
        <is>
          <t>43,40</t>
        </is>
      </c>
      <c r="D560" s="38" t="inlineStr">
        <is>
          <t>7,9</t>
        </is>
      </c>
      <c r="E560" s="38" t="inlineStr">
        <is>
          <t>1</t>
        </is>
      </c>
    </row>
    <row r="561" ht="15" customHeight="1" s="39">
      <c r="A561" s="42" t="inlineStr">
        <is>
          <t>431114</t>
        </is>
      </c>
      <c r="B561" s="38" t="inlineStr">
        <is>
          <t>Pobla de Montornès, la</t>
        </is>
      </c>
      <c r="C561" s="38" t="inlineStr">
        <is>
          <t>12,29</t>
        </is>
      </c>
      <c r="D561" s="38" t="inlineStr">
        <is>
          <t>282,3</t>
        </is>
      </c>
      <c r="E561" s="38" t="inlineStr">
        <is>
          <t>5</t>
        </is>
      </c>
    </row>
    <row r="562" ht="15" customHeight="1" s="39">
      <c r="A562" s="42" t="inlineStr">
        <is>
          <t>251713</t>
        </is>
      </c>
      <c r="B562" s="38" t="inlineStr">
        <is>
          <t>Pobla de Segur, la</t>
        </is>
      </c>
      <c r="C562" s="38" t="inlineStr">
        <is>
          <t>32,83</t>
        </is>
      </c>
      <c r="D562" s="38" t="inlineStr">
        <is>
          <t>96,8</t>
        </is>
      </c>
      <c r="E562" s="38" t="inlineStr">
        <is>
          <t>4</t>
        </is>
      </c>
    </row>
    <row r="563" ht="15" customHeight="1" s="39">
      <c r="A563" s="42" t="inlineStr">
        <is>
          <t>431129</t>
        </is>
      </c>
      <c r="B563" s="38" t="inlineStr">
        <is>
          <t>Poboleda</t>
        </is>
      </c>
      <c r="C563" s="38" t="inlineStr">
        <is>
          <t>13,95</t>
        </is>
      </c>
      <c r="D563" s="38" t="inlineStr">
        <is>
          <t>24,7</t>
        </is>
      </c>
      <c r="E563" s="38" t="inlineStr">
        <is>
          <t>1</t>
        </is>
      </c>
    </row>
    <row r="564" ht="15" customHeight="1" s="39">
      <c r="A564" s="42" t="inlineStr">
        <is>
          <t>081672</t>
        </is>
      </c>
      <c r="B564" s="38" t="inlineStr">
        <is>
          <t>Polinyà</t>
        </is>
      </c>
      <c r="C564" s="38" t="inlineStr">
        <is>
          <t>8,79</t>
        </is>
      </c>
      <c r="D564" s="38" t="inlineStr">
        <is>
          <t>975,2</t>
        </is>
      </c>
      <c r="E564" s="38" t="inlineStr">
        <is>
          <t>2</t>
        </is>
      </c>
    </row>
    <row r="565" ht="15" customHeight="1" s="39">
      <c r="A565" s="42" t="inlineStr">
        <is>
          <t>431135</t>
        </is>
      </c>
      <c r="B565" s="38" t="inlineStr">
        <is>
          <t>Pont d'Armentera, el</t>
        </is>
      </c>
      <c r="C565" s="38" t="inlineStr">
        <is>
          <t>21,67</t>
        </is>
      </c>
      <c r="D565" s="38" t="inlineStr">
        <is>
          <t>23,4</t>
        </is>
      </c>
      <c r="E565" s="38" t="inlineStr">
        <is>
          <t>1</t>
        </is>
      </c>
    </row>
    <row r="566" ht="15" customHeight="1" s="39">
      <c r="A566" s="42" t="inlineStr">
        <is>
          <t>250306</t>
        </is>
      </c>
      <c r="B566" s="38" t="inlineStr">
        <is>
          <t>Pont de Bar, el</t>
        </is>
      </c>
      <c r="C566" s="38" t="inlineStr">
        <is>
          <t>42,62</t>
        </is>
      </c>
      <c r="D566" s="38" t="inlineStr">
        <is>
          <t>3,9</t>
        </is>
      </c>
      <c r="E566" s="38" t="inlineStr">
        <is>
          <t>8</t>
        </is>
      </c>
    </row>
    <row r="567" ht="15" customHeight="1" s="39">
      <c r="A567" s="42" t="inlineStr">
        <is>
          <t>171352</t>
        </is>
      </c>
      <c r="B567" s="38" t="inlineStr">
        <is>
          <t>Pont de Molins</t>
        </is>
      </c>
      <c r="C567" s="38" t="inlineStr">
        <is>
          <t>8,66</t>
        </is>
      </c>
      <c r="D567" s="38" t="inlineStr">
        <is>
          <t>67,7</t>
        </is>
      </c>
      <c r="E567" s="38" t="inlineStr">
        <is>
          <t>1</t>
        </is>
      </c>
    </row>
    <row r="568" ht="15" customHeight="1" s="39">
      <c r="A568" s="42" t="inlineStr">
        <is>
          <t>251734</t>
        </is>
      </c>
      <c r="B568" s="38" t="inlineStr">
        <is>
          <t>Pont de Suert, el</t>
        </is>
      </c>
      <c r="C568" s="38" t="inlineStr">
        <is>
          <t>148,14</t>
        </is>
      </c>
      <c r="D568" s="38" t="inlineStr">
        <is>
          <t>16,4</t>
        </is>
      </c>
      <c r="E568" s="38" t="inlineStr">
        <is>
          <t>25</t>
        </is>
      </c>
    </row>
    <row r="569" ht="15" customHeight="1" s="39">
      <c r="A569" s="42" t="inlineStr">
        <is>
          <t>081825</t>
        </is>
      </c>
      <c r="B569" s="38" t="inlineStr">
        <is>
          <t>Pont de Vilomara i Rocafort, el</t>
        </is>
      </c>
      <c r="C569" s="38" t="inlineStr">
        <is>
          <t>27,41</t>
        </is>
      </c>
      <c r="D569" s="38" t="inlineStr">
        <is>
          <t>153,3</t>
        </is>
      </c>
      <c r="E569" s="38" t="inlineStr">
        <is>
          <t>2</t>
        </is>
      </c>
    </row>
    <row r="570" ht="15" customHeight="1" s="39">
      <c r="A570" s="42" t="inlineStr">
        <is>
          <t>431418</t>
        </is>
      </c>
      <c r="B570" s="38" t="inlineStr">
        <is>
          <t>Pontils</t>
        </is>
      </c>
      <c r="C570" s="38" t="inlineStr">
        <is>
          <t>67,56</t>
        </is>
      </c>
      <c r="D570" s="38" t="inlineStr">
        <is>
          <t>1,8</t>
        </is>
      </c>
      <c r="E570" s="38" t="inlineStr">
        <is>
          <t>7</t>
        </is>
      </c>
    </row>
    <row r="571" ht="15" customHeight="1" s="39">
      <c r="A571" s="42" t="inlineStr">
        <is>
          <t>081688</t>
        </is>
      </c>
      <c r="B571" s="38" t="inlineStr">
        <is>
          <t>Pontons</t>
        </is>
      </c>
      <c r="C571" s="38" t="inlineStr">
        <is>
          <t>25,94</t>
        </is>
      </c>
      <c r="D571" s="38" t="inlineStr">
        <is>
          <t>19,9</t>
        </is>
      </c>
      <c r="E571" s="38" t="inlineStr">
        <is>
          <t>11</t>
        </is>
      </c>
    </row>
    <row r="572" ht="15" customHeight="1" s="39">
      <c r="A572" s="42" t="inlineStr">
        <is>
          <t>171365</t>
        </is>
      </c>
      <c r="B572" s="38" t="inlineStr">
        <is>
          <t>Pontós</t>
        </is>
      </c>
      <c r="C572" s="38" t="inlineStr">
        <is>
          <t>13,66</t>
        </is>
      </c>
      <c r="D572" s="38" t="inlineStr">
        <is>
          <t>21,6</t>
        </is>
      </c>
      <c r="E572" s="38" t="inlineStr">
        <is>
          <t>2</t>
        </is>
      </c>
    </row>
    <row r="573" ht="15" customHeight="1" s="39">
      <c r="A573" s="42" t="inlineStr">
        <is>
          <t>251728</t>
        </is>
      </c>
      <c r="B573" s="38" t="inlineStr">
        <is>
          <t>Ponts</t>
        </is>
      </c>
      <c r="C573" s="38" t="inlineStr">
        <is>
          <t>30,52</t>
        </is>
      </c>
      <c r="D573" s="38" t="inlineStr">
        <is>
          <t>86,5</t>
        </is>
      </c>
      <c r="E573" s="38" t="inlineStr">
        <is>
          <t>4</t>
        </is>
      </c>
    </row>
    <row r="574" ht="15" customHeight="1" s="39">
      <c r="A574" s="42" t="inlineStr">
        <is>
          <t>171371</t>
        </is>
      </c>
      <c r="B574" s="38" t="inlineStr">
        <is>
          <t>Porqueres</t>
        </is>
      </c>
      <c r="C574" s="38" t="inlineStr">
        <is>
          <t>33,52</t>
        </is>
      </c>
      <c r="D574" s="38" t="inlineStr">
        <is>
          <t>143,3</t>
        </is>
      </c>
      <c r="E574" s="38" t="inlineStr">
        <is>
          <t>6</t>
        </is>
      </c>
    </row>
    <row r="575" ht="15" customHeight="1" s="39">
      <c r="A575" s="42" t="inlineStr">
        <is>
          <t>431140</t>
        </is>
      </c>
      <c r="B575" s="38" t="inlineStr">
        <is>
          <t>Porrera</t>
        </is>
      </c>
      <c r="C575" s="38" t="inlineStr">
        <is>
          <t>28,83</t>
        </is>
      </c>
      <c r="D575" s="38" t="inlineStr">
        <is>
          <t>14,1</t>
        </is>
      </c>
      <c r="E575" s="38" t="inlineStr">
        <is>
          <t>1</t>
        </is>
      </c>
    </row>
    <row r="576" ht="15" customHeight="1" s="39">
      <c r="A576" s="42" t="inlineStr">
        <is>
          <t>171404</t>
        </is>
      </c>
      <c r="B576" s="38" t="inlineStr">
        <is>
          <t>Port de la Selva, el</t>
        </is>
      </c>
      <c r="C576" s="38" t="inlineStr">
        <is>
          <t>41,62</t>
        </is>
      </c>
      <c r="D576" s="38" t="inlineStr">
        <is>
          <t>25,3</t>
        </is>
      </c>
      <c r="E576" s="38" t="inlineStr">
        <is>
          <t>3</t>
        </is>
      </c>
    </row>
    <row r="577" ht="15" customHeight="1" s="39">
      <c r="A577" s="42" t="inlineStr">
        <is>
          <t>171387</t>
        </is>
      </c>
      <c r="B577" s="38" t="inlineStr">
        <is>
          <t>Portbou</t>
        </is>
      </c>
      <c r="C577" s="38" t="inlineStr">
        <is>
          <t>9,22</t>
        </is>
      </c>
      <c r="D577" s="38" t="inlineStr">
        <is>
          <t>122,8</t>
        </is>
      </c>
      <c r="E577" s="38" t="inlineStr">
        <is>
          <t>2</t>
        </is>
      </c>
    </row>
    <row r="578" ht="15" customHeight="1" s="39">
      <c r="A578" s="42" t="inlineStr">
        <is>
          <t>251749</t>
        </is>
      </c>
      <c r="B578" s="38" t="inlineStr">
        <is>
          <t>Portella, la</t>
        </is>
      </c>
      <c r="C578" s="38" t="inlineStr">
        <is>
          <t>12,31</t>
        </is>
      </c>
      <c r="D578" s="38" t="inlineStr">
        <is>
          <t>59,3</t>
        </is>
      </c>
      <c r="E578" s="38" t="inlineStr">
        <is>
          <t>1</t>
        </is>
      </c>
    </row>
    <row r="579" ht="15" customHeight="1" s="39">
      <c r="A579" s="42" t="inlineStr">
        <is>
          <t>431153</t>
        </is>
      </c>
      <c r="B579" s="38" t="inlineStr">
        <is>
          <t>Pradell de la Teixeta</t>
        </is>
      </c>
      <c r="C579" s="38" t="inlineStr">
        <is>
          <t>21,83</t>
        </is>
      </c>
      <c r="D579" s="38" t="inlineStr">
        <is>
          <t>8,3</t>
        </is>
      </c>
      <c r="E579" s="38" t="inlineStr">
        <is>
          <t>3</t>
        </is>
      </c>
    </row>
    <row r="580" ht="15" customHeight="1" s="39">
      <c r="A580" s="42" t="inlineStr">
        <is>
          <t>431166</t>
        </is>
      </c>
      <c r="B580" s="38" t="inlineStr">
        <is>
          <t>Prades</t>
        </is>
      </c>
      <c r="C580" s="38" t="inlineStr">
        <is>
          <t>32,58</t>
        </is>
      </c>
      <c r="D580" s="38" t="inlineStr">
        <is>
          <t>19,8</t>
        </is>
      </c>
      <c r="E580" s="38" t="inlineStr">
        <is>
          <t>1</t>
        </is>
      </c>
    </row>
    <row r="581" ht="15" customHeight="1" s="39">
      <c r="A581" s="42" t="inlineStr">
        <is>
          <t>431172</t>
        </is>
      </c>
      <c r="B581" s="38" t="inlineStr">
        <is>
          <t>Prat de Comte</t>
        </is>
      </c>
      <c r="C581" s="38" t="inlineStr">
        <is>
          <t>26,43</t>
        </is>
      </c>
      <c r="D581" s="38" t="inlineStr">
        <is>
          <t>6,8</t>
        </is>
      </c>
      <c r="E581" s="38" t="inlineStr">
        <is>
          <t>1</t>
        </is>
      </c>
    </row>
    <row r="582" ht="15" customHeight="1" s="39">
      <c r="A582" s="42" t="inlineStr">
        <is>
          <t>081691</t>
        </is>
      </c>
      <c r="B582" s="38" t="inlineStr">
        <is>
          <t>Prat de Llobregat, el</t>
        </is>
      </c>
      <c r="C582" s="38" t="inlineStr">
        <is>
          <t>31,41</t>
        </is>
      </c>
      <c r="D582" s="38" t="inlineStr">
        <is>
          <t>2109,2</t>
        </is>
      </c>
      <c r="E582" s="38" t="inlineStr">
        <is>
          <t>1</t>
        </is>
      </c>
    </row>
    <row r="583" ht="15" customHeight="1" s="39">
      <c r="A583" s="42" t="inlineStr">
        <is>
          <t>431188</t>
        </is>
      </c>
      <c r="B583" s="38" t="inlineStr">
        <is>
          <t>Pratdip</t>
        </is>
      </c>
      <c r="C583" s="38" t="inlineStr">
        <is>
          <t>36,27</t>
        </is>
      </c>
      <c r="D583" s="38" t="inlineStr">
        <is>
          <t>21,6</t>
        </is>
      </c>
      <c r="E583" s="38" t="inlineStr">
        <is>
          <t>3</t>
        </is>
      </c>
    </row>
    <row r="584" ht="15" customHeight="1" s="39">
      <c r="A584" s="42" t="inlineStr">
        <is>
          <t>081712</t>
        </is>
      </c>
      <c r="B584" s="38" t="inlineStr">
        <is>
          <t>Prats de Lluçanès</t>
        </is>
      </c>
      <c r="C584" s="38" t="inlineStr">
        <is>
          <t>13,78</t>
        </is>
      </c>
      <c r="D584" s="38" t="inlineStr">
        <is>
          <t>200,2</t>
        </is>
      </c>
      <c r="E584" s="38" t="inlineStr">
        <is>
          <t>1</t>
        </is>
      </c>
    </row>
    <row r="585" ht="15" customHeight="1" s="39">
      <c r="A585" s="42" t="inlineStr">
        <is>
          <t>081705</t>
        </is>
      </c>
      <c r="B585" s="38" t="inlineStr">
        <is>
          <t>Prats de Rei, els</t>
        </is>
      </c>
      <c r="C585" s="38" t="inlineStr">
        <is>
          <t>26,06</t>
        </is>
      </c>
      <c r="D585" s="38" t="inlineStr">
        <is>
          <t>21,2</t>
        </is>
      </c>
      <c r="E585" s="38" t="inlineStr">
        <is>
          <t>4</t>
        </is>
      </c>
    </row>
    <row r="586" ht="15" customHeight="1" s="39">
      <c r="A586" s="42" t="inlineStr">
        <is>
          <t>251752</t>
        </is>
      </c>
      <c r="B586" s="38" t="inlineStr">
        <is>
          <t>Prats i Sansor</t>
        </is>
      </c>
      <c r="C586" s="38" t="inlineStr">
        <is>
          <t>6,57</t>
        </is>
      </c>
      <c r="D586" s="38" t="inlineStr">
        <is>
          <t>38,4</t>
        </is>
      </c>
      <c r="E586" s="38" t="inlineStr">
        <is>
          <t>4</t>
        </is>
      </c>
    </row>
    <row r="587" ht="15" customHeight="1" s="39">
      <c r="A587" s="42" t="inlineStr">
        <is>
          <t>251765</t>
        </is>
      </c>
      <c r="B587" s="38" t="inlineStr">
        <is>
          <t>Preixana</t>
        </is>
      </c>
      <c r="C587" s="38" t="inlineStr">
        <is>
          <t>21,52</t>
        </is>
      </c>
      <c r="D587" s="38" t="inlineStr">
        <is>
          <t>18,6</t>
        </is>
      </c>
      <c r="E587" s="38" t="inlineStr">
        <is>
          <t>1</t>
        </is>
      </c>
    </row>
    <row r="588" ht="15" customHeight="1" s="39">
      <c r="A588" s="42" t="inlineStr">
        <is>
          <t>251771</t>
        </is>
      </c>
      <c r="B588" s="38" t="inlineStr">
        <is>
          <t>Preixens</t>
        </is>
      </c>
      <c r="C588" s="38" t="inlineStr">
        <is>
          <t>28,67</t>
        </is>
      </c>
      <c r="D588" s="38" t="inlineStr">
        <is>
          <t>13,9</t>
        </is>
      </c>
      <c r="E588" s="38" t="inlineStr">
        <is>
          <t>3</t>
        </is>
      </c>
    </row>
    <row r="589" ht="15" customHeight="1" s="39">
      <c r="A589" s="42" t="inlineStr">
        <is>
          <t>082303</t>
        </is>
      </c>
      <c r="B589" s="38" t="inlineStr">
        <is>
          <t>Premià de Dalt</t>
        </is>
      </c>
      <c r="C589" s="38" t="inlineStr">
        <is>
          <t>6,57</t>
        </is>
      </c>
      <c r="D589" s="38" t="inlineStr">
        <is>
          <t>1613,5</t>
        </is>
      </c>
      <c r="E589" s="38" t="inlineStr">
        <is>
          <t>11</t>
        </is>
      </c>
    </row>
    <row r="590" ht="15" customHeight="1" s="39">
      <c r="A590" s="42" t="inlineStr">
        <is>
          <t>081727</t>
        </is>
      </c>
      <c r="B590" s="38" t="inlineStr">
        <is>
          <t>Premià de Mar</t>
        </is>
      </c>
      <c r="C590" s="38" t="inlineStr">
        <is>
          <t>2,11</t>
        </is>
      </c>
      <c r="D590" s="38" t="inlineStr">
        <is>
          <t>13909,0</t>
        </is>
      </c>
      <c r="E590" s="38" t="inlineStr">
        <is>
          <t>1</t>
        </is>
      </c>
    </row>
    <row r="591" ht="15" customHeight="1" s="39">
      <c r="A591" s="42" t="inlineStr">
        <is>
          <t>171390</t>
        </is>
      </c>
      <c r="B591" s="38" t="inlineStr">
        <is>
          <t>Preses, les</t>
        </is>
      </c>
      <c r="C591" s="38" t="inlineStr">
        <is>
          <t>9,39</t>
        </is>
      </c>
      <c r="D591" s="38" t="inlineStr">
        <is>
          <t>207,2</t>
        </is>
      </c>
      <c r="E591" s="38" t="inlineStr">
        <is>
          <t>7</t>
        </is>
      </c>
    </row>
    <row r="592" ht="15" customHeight="1" s="39">
      <c r="A592" s="42" t="inlineStr">
        <is>
          <t>251790</t>
        </is>
      </c>
      <c r="B592" s="38" t="inlineStr">
        <is>
          <t>Prullans</t>
        </is>
      </c>
      <c r="C592" s="38" t="inlineStr">
        <is>
          <t>21,21</t>
        </is>
      </c>
      <c r="D592" s="38" t="inlineStr">
        <is>
          <t>12,7</t>
        </is>
      </c>
      <c r="E592" s="38" t="inlineStr">
        <is>
          <t>10</t>
        </is>
      </c>
    </row>
    <row r="593" ht="15" customHeight="1" s="39">
      <c r="A593" s="42" t="inlineStr">
        <is>
          <t>171411</t>
        </is>
      </c>
      <c r="B593" s="38" t="inlineStr">
        <is>
          <t>Puigcerdà</t>
        </is>
      </c>
      <c r="C593" s="38" t="inlineStr">
        <is>
          <t>18,92</t>
        </is>
      </c>
      <c r="D593" s="38" t="inlineStr">
        <is>
          <t>531,3</t>
        </is>
      </c>
      <c r="E593" s="38" t="inlineStr">
        <is>
          <t>9</t>
        </is>
      </c>
    </row>
    <row r="594" ht="15" customHeight="1" s="39">
      <c r="A594" s="42" t="inlineStr">
        <is>
          <t>081748</t>
        </is>
      </c>
      <c r="B594" s="38" t="inlineStr">
        <is>
          <t>Puigdàlber</t>
        </is>
      </c>
      <c r="C594" s="38" t="inlineStr">
        <is>
          <t>0,40</t>
        </is>
      </c>
      <c r="D594" s="38" t="inlineStr">
        <is>
          <t>1552,5</t>
        </is>
      </c>
      <c r="E594" s="38" t="inlineStr">
        <is>
          <t>3</t>
        </is>
      </c>
    </row>
    <row r="595" ht="15" customHeight="1" s="39">
      <c r="A595" s="42" t="inlineStr">
        <is>
          <t>251804</t>
        </is>
      </c>
      <c r="B595" s="38" t="inlineStr">
        <is>
          <t>Puiggròs</t>
        </is>
      </c>
      <c r="C595" s="38" t="inlineStr">
        <is>
          <t>9,90</t>
        </is>
      </c>
      <c r="D595" s="38" t="inlineStr">
        <is>
          <t>27,3</t>
        </is>
      </c>
      <c r="E595" s="38" t="inlineStr">
        <is>
          <t>1</t>
        </is>
      </c>
    </row>
    <row r="596" ht="15" customHeight="1" s="39">
      <c r="A596" s="42" t="inlineStr">
        <is>
          <t>431191</t>
        </is>
      </c>
      <c r="B596" s="38" t="inlineStr">
        <is>
          <t>Puigpelat</t>
        </is>
      </c>
      <c r="C596" s="38" t="inlineStr">
        <is>
          <t>9,48</t>
        </is>
      </c>
      <c r="D596" s="38" t="inlineStr">
        <is>
          <t>129,2</t>
        </is>
      </c>
      <c r="E596" s="38" t="inlineStr">
        <is>
          <t>7</t>
        </is>
      </c>
    </row>
    <row r="597" ht="15" customHeight="1" s="39">
      <c r="A597" s="42" t="inlineStr">
        <is>
          <t>081751</t>
        </is>
      </c>
      <c r="B597" s="38" t="inlineStr">
        <is>
          <t>Puig-reig</t>
        </is>
      </c>
      <c r="C597" s="38" t="inlineStr">
        <is>
          <t>45,75</t>
        </is>
      </c>
      <c r="D597" s="38" t="inlineStr">
        <is>
          <t>99,6</t>
        </is>
      </c>
      <c r="E597" s="38" t="inlineStr">
        <is>
          <t>7</t>
        </is>
      </c>
    </row>
    <row r="598" ht="15" customHeight="1" s="39">
      <c r="A598" s="42" t="inlineStr">
        <is>
          <t>251811</t>
        </is>
      </c>
      <c r="B598" s="38" t="inlineStr">
        <is>
          <t>Puigverd d'Agramunt</t>
        </is>
      </c>
      <c r="C598" s="38" t="inlineStr">
        <is>
          <t>17,00</t>
        </is>
      </c>
      <c r="D598" s="38" t="inlineStr">
        <is>
          <t>14,1</t>
        </is>
      </c>
      <c r="E598" s="38" t="inlineStr">
        <is>
          <t>1</t>
        </is>
      </c>
    </row>
    <row r="599" ht="15" customHeight="1" s="39">
      <c r="A599" s="42" t="inlineStr">
        <is>
          <t>251826</t>
        </is>
      </c>
      <c r="B599" s="38" t="inlineStr">
        <is>
          <t>Puigverd de Lleida</t>
        </is>
      </c>
      <c r="C599" s="38" t="inlineStr">
        <is>
          <t>12,51</t>
        </is>
      </c>
      <c r="D599" s="38" t="inlineStr">
        <is>
          <t>113,2</t>
        </is>
      </c>
      <c r="E599" s="38" t="inlineStr">
        <is>
          <t>1</t>
        </is>
      </c>
    </row>
    <row r="600" ht="15" customHeight="1" s="39">
      <c r="A600" s="42" t="inlineStr">
        <is>
          <t>081764</t>
        </is>
      </c>
      <c r="B600" s="38" t="inlineStr">
        <is>
          <t>Pujalt</t>
        </is>
      </c>
      <c r="C600" s="38" t="inlineStr">
        <is>
          <t>31,43</t>
        </is>
      </c>
      <c r="D600" s="38" t="inlineStr">
        <is>
          <t>6,5</t>
        </is>
      </c>
      <c r="E600" s="38" t="inlineStr">
        <is>
          <t>5</t>
        </is>
      </c>
    </row>
    <row r="601" ht="15" customHeight="1" s="39">
      <c r="A601" s="42" t="inlineStr">
        <is>
          <t>081770</t>
        </is>
      </c>
      <c r="B601" s="38" t="inlineStr">
        <is>
          <t>Quar, la</t>
        </is>
      </c>
      <c r="C601" s="38" t="inlineStr">
        <is>
          <t>38,25</t>
        </is>
      </c>
      <c r="D601" s="38" t="inlineStr">
        <is>
          <t>1,2</t>
        </is>
      </c>
      <c r="E601" s="38" t="inlineStr">
        <is>
          <t>1</t>
        </is>
      </c>
    </row>
    <row r="602" ht="15" customHeight="1" s="39">
      <c r="A602" s="42" t="inlineStr">
        <is>
          <t>171426</t>
        </is>
      </c>
      <c r="B602" s="38" t="inlineStr">
        <is>
          <t>Quart</t>
        </is>
      </c>
      <c r="C602" s="38" t="inlineStr">
        <is>
          <t>38,09</t>
        </is>
      </c>
      <c r="D602" s="38" t="inlineStr">
        <is>
          <t>109,2</t>
        </is>
      </c>
      <c r="E602" s="38" t="inlineStr">
        <is>
          <t>6</t>
        </is>
      </c>
    </row>
    <row r="603" ht="15" customHeight="1" s="39">
      <c r="A603" s="42" t="inlineStr">
        <is>
          <t>170433</t>
        </is>
      </c>
      <c r="B603" s="38" t="inlineStr">
        <is>
          <t>Queralbs</t>
        </is>
      </c>
      <c r="C603" s="38" t="inlineStr">
        <is>
          <t>93,47</t>
        </is>
      </c>
      <c r="D603" s="38" t="inlineStr">
        <is>
          <t>2,2</t>
        </is>
      </c>
      <c r="E603" s="38" t="inlineStr">
        <is>
          <t>7</t>
        </is>
      </c>
    </row>
    <row r="604" ht="15" customHeight="1" s="39">
      <c r="A604" s="42" t="inlineStr">
        <is>
          <t>431205</t>
        </is>
      </c>
      <c r="B604" s="38" t="inlineStr">
        <is>
          <t>Querol</t>
        </is>
      </c>
      <c r="C604" s="38" t="inlineStr">
        <is>
          <t>72,26</t>
        </is>
      </c>
      <c r="D604" s="38" t="inlineStr">
        <is>
          <t>8,5</t>
        </is>
      </c>
      <c r="E604" s="38" t="inlineStr">
        <is>
          <t>3</t>
        </is>
      </c>
    </row>
    <row r="605" ht="15" customHeight="1" s="39">
      <c r="A605" s="42" t="inlineStr">
        <is>
          <t>171432</t>
        </is>
      </c>
      <c r="B605" s="38" t="inlineStr">
        <is>
          <t>Rabós</t>
        </is>
      </c>
      <c r="C605" s="38" t="inlineStr">
        <is>
          <t>45,10</t>
        </is>
      </c>
      <c r="D605" s="38" t="inlineStr">
        <is>
          <t>5,2</t>
        </is>
      </c>
      <c r="E605" s="38" t="inlineStr">
        <is>
          <t>2</t>
        </is>
      </c>
    </row>
    <row r="606" ht="15" customHeight="1" s="39">
      <c r="A606" s="42" t="inlineStr">
        <is>
          <t>081786</t>
        </is>
      </c>
      <c r="B606" s="38" t="inlineStr">
        <is>
          <t>Rajadell</t>
        </is>
      </c>
      <c r="C606" s="38" t="inlineStr">
        <is>
          <t>45,53</t>
        </is>
      </c>
      <c r="D606" s="38" t="inlineStr">
        <is>
          <t>13,1</t>
        </is>
      </c>
      <c r="E606" s="38" t="inlineStr">
        <is>
          <t>5</t>
        </is>
      </c>
    </row>
    <row r="607" ht="15" customHeight="1" s="39">
      <c r="A607" s="42" t="inlineStr">
        <is>
          <t>431362</t>
        </is>
      </c>
      <c r="B607" s="38" t="inlineStr">
        <is>
          <t>Ràpita, la</t>
        </is>
      </c>
      <c r="C607" s="38" t="inlineStr">
        <is>
          <t>53,72</t>
        </is>
      </c>
      <c r="D607" s="38" t="inlineStr">
        <is>
          <t>302,1</t>
        </is>
      </c>
      <c r="E607" s="38" t="inlineStr">
        <is>
          <t>2</t>
        </is>
      </c>
    </row>
    <row r="608" ht="15" customHeight="1" s="39">
      <c r="A608" s="42" t="inlineStr">
        <is>
          <t>431212</t>
        </is>
      </c>
      <c r="B608" s="38" t="inlineStr">
        <is>
          <t>Rasquera</t>
        </is>
      </c>
      <c r="C608" s="38" t="inlineStr">
        <is>
          <t>51,31</t>
        </is>
      </c>
      <c r="D608" s="38" t="inlineStr">
        <is>
          <t>15,4</t>
        </is>
      </c>
      <c r="E608" s="38" t="inlineStr">
        <is>
          <t>1</t>
        </is>
      </c>
    </row>
    <row r="609" ht="15" customHeight="1" s="39">
      <c r="A609" s="42" t="inlineStr">
        <is>
          <t>171447</t>
        </is>
      </c>
      <c r="B609" s="38" t="inlineStr">
        <is>
          <t>Regencós</t>
        </is>
      </c>
      <c r="C609" s="38" t="inlineStr">
        <is>
          <t>6,27</t>
        </is>
      </c>
      <c r="D609" s="38" t="inlineStr">
        <is>
          <t>43,7</t>
        </is>
      </c>
      <c r="E609" s="38" t="inlineStr">
        <is>
          <t>1</t>
        </is>
      </c>
    </row>
    <row r="610" ht="15" customHeight="1" s="39">
      <c r="A610" s="42" t="inlineStr">
        <is>
          <t>081799</t>
        </is>
      </c>
      <c r="B610" s="38" t="inlineStr">
        <is>
          <t>Rellinars</t>
        </is>
      </c>
      <c r="C610" s="38" t="inlineStr">
        <is>
          <t>17,79</t>
        </is>
      </c>
      <c r="D610" s="38" t="inlineStr">
        <is>
          <t>52,2</t>
        </is>
      </c>
      <c r="E610" s="38" t="inlineStr">
        <is>
          <t>2</t>
        </is>
      </c>
    </row>
    <row r="611" ht="15" customHeight="1" s="39">
      <c r="A611" s="42" t="inlineStr">
        <is>
          <t>431227</t>
        </is>
      </c>
      <c r="B611" s="38" t="inlineStr">
        <is>
          <t>Renau</t>
        </is>
      </c>
      <c r="C611" s="38" t="inlineStr">
        <is>
          <t>8,22</t>
        </is>
      </c>
      <c r="D611" s="38" t="inlineStr">
        <is>
          <t>20,1</t>
        </is>
      </c>
      <c r="E611" s="38" t="inlineStr">
        <is>
          <t>1</t>
        </is>
      </c>
    </row>
    <row r="612" ht="15" customHeight="1" s="39">
      <c r="A612" s="42" t="inlineStr">
        <is>
          <t>431233</t>
        </is>
      </c>
      <c r="B612" s="38" t="inlineStr">
        <is>
          <t>Reus</t>
        </is>
      </c>
      <c r="C612" s="38" t="inlineStr">
        <is>
          <t>52,82</t>
        </is>
      </c>
      <c r="D612" s="38" t="inlineStr">
        <is>
          <t>2118,7</t>
        </is>
      </c>
      <c r="E612" s="38" t="inlineStr">
        <is>
          <t>8</t>
        </is>
      </c>
    </row>
    <row r="613" ht="15" customHeight="1" s="39">
      <c r="A613" s="42" t="inlineStr">
        <is>
          <t>251832</t>
        </is>
      </c>
      <c r="B613" s="38" t="inlineStr">
        <is>
          <t>Rialp</t>
        </is>
      </c>
      <c r="C613" s="38" t="inlineStr">
        <is>
          <t>63,30</t>
        </is>
      </c>
      <c r="D613" s="38" t="inlineStr">
        <is>
          <t>10,3</t>
        </is>
      </c>
      <c r="E613" s="38" t="inlineStr">
        <is>
          <t>7</t>
        </is>
      </c>
    </row>
    <row r="614" ht="15" customHeight="1" s="39">
      <c r="A614" s="42" t="inlineStr">
        <is>
          <t>431248</t>
        </is>
      </c>
      <c r="B614" s="38" t="inlineStr">
        <is>
          <t>Riba, la</t>
        </is>
      </c>
      <c r="C614" s="38" t="inlineStr">
        <is>
          <t>7,99</t>
        </is>
      </c>
      <c r="D614" s="38" t="inlineStr">
        <is>
          <t>71,8</t>
        </is>
      </c>
      <c r="E614" s="38" t="inlineStr">
        <is>
          <t>2</t>
        </is>
      </c>
    </row>
    <row r="615" ht="15" customHeight="1" s="39">
      <c r="A615" s="42" t="inlineStr">
        <is>
          <t>431251</t>
        </is>
      </c>
      <c r="B615" s="38" t="inlineStr">
        <is>
          <t>Riba-roja d'Ebre</t>
        </is>
      </c>
      <c r="C615" s="38" t="inlineStr">
        <is>
          <t>99,14</t>
        </is>
      </c>
      <c r="D615" s="38" t="inlineStr">
        <is>
          <t>11,4</t>
        </is>
      </c>
      <c r="E615" s="38" t="inlineStr">
        <is>
          <t>1</t>
        </is>
      </c>
    </row>
    <row r="616" ht="15" customHeight="1" s="39">
      <c r="A616" s="42" t="inlineStr">
        <is>
          <t>259059</t>
        </is>
      </c>
      <c r="B616" s="38" t="inlineStr">
        <is>
          <t>Ribera d'Ondara</t>
        </is>
      </c>
      <c r="C616" s="38" t="inlineStr">
        <is>
          <t>54,47</t>
        </is>
      </c>
      <c r="D616" s="38" t="inlineStr">
        <is>
          <t>8,0</t>
        </is>
      </c>
      <c r="E616" s="38" t="inlineStr">
        <is>
          <t>13</t>
        </is>
      </c>
    </row>
    <row r="617" ht="15" customHeight="1" s="39">
      <c r="A617" s="42" t="inlineStr">
        <is>
          <t>251850</t>
        </is>
      </c>
      <c r="B617" s="38" t="inlineStr">
        <is>
          <t>Ribera d'Urgellet</t>
        </is>
      </c>
      <c r="C617" s="38" t="inlineStr">
        <is>
          <t>106,96</t>
        </is>
      </c>
      <c r="D617" s="38" t="inlineStr">
        <is>
          <t>9,2</t>
        </is>
      </c>
      <c r="E617" s="38" t="inlineStr">
        <is>
          <t>16</t>
        </is>
      </c>
    </row>
    <row r="618" ht="15" customHeight="1" s="39">
      <c r="A618" s="42" t="inlineStr">
        <is>
          <t>171450</t>
        </is>
      </c>
      <c r="B618" s="38" t="inlineStr">
        <is>
          <t>Ribes de Freser</t>
        </is>
      </c>
      <c r="C618" s="38" t="inlineStr">
        <is>
          <t>41,87</t>
        </is>
      </c>
      <c r="D618" s="38" t="inlineStr">
        <is>
          <t>43,9</t>
        </is>
      </c>
      <c r="E618" s="38" t="inlineStr">
        <is>
          <t>6</t>
        </is>
      </c>
    </row>
    <row r="619" ht="15" customHeight="1" s="39">
      <c r="A619" s="42" t="inlineStr">
        <is>
          <t>171463</t>
        </is>
      </c>
      <c r="B619" s="38" t="inlineStr">
        <is>
          <t>Riells i Viabrea</t>
        </is>
      </c>
      <c r="C619" s="38" t="inlineStr">
        <is>
          <t>26,98</t>
        </is>
      </c>
      <c r="D619" s="38" t="inlineStr">
        <is>
          <t>171,5</t>
        </is>
      </c>
      <c r="E619" s="38" t="inlineStr">
        <is>
          <t>11</t>
        </is>
      </c>
    </row>
    <row r="620" ht="15" customHeight="1" s="39">
      <c r="A620" s="42" t="inlineStr">
        <is>
          <t>431264</t>
        </is>
      </c>
      <c r="B620" s="38" t="inlineStr">
        <is>
          <t>Riera de Gaià, la</t>
        </is>
      </c>
      <c r="C620" s="38" t="inlineStr">
        <is>
          <t>8,76</t>
        </is>
      </c>
      <c r="D620" s="38" t="inlineStr">
        <is>
          <t>209,0</t>
        </is>
      </c>
      <c r="E620" s="38" t="inlineStr">
        <is>
          <t>5</t>
        </is>
      </c>
    </row>
    <row r="621" ht="15" customHeight="1" s="39">
      <c r="A621" s="42" t="inlineStr">
        <is>
          <t>251863</t>
        </is>
      </c>
      <c r="B621" s="38" t="inlineStr">
        <is>
          <t>Riner</t>
        </is>
      </c>
      <c r="C621" s="38" t="inlineStr">
        <is>
          <t>47,10</t>
        </is>
      </c>
      <c r="D621" s="38" t="inlineStr">
        <is>
          <t>5,7</t>
        </is>
      </c>
      <c r="E621" s="38" t="inlineStr">
        <is>
          <t>5</t>
        </is>
      </c>
    </row>
    <row r="622" ht="15" customHeight="1" s="39">
      <c r="A622" s="42" t="inlineStr">
        <is>
          <t>171479</t>
        </is>
      </c>
      <c r="B622" s="38" t="inlineStr">
        <is>
          <t>Ripoll</t>
        </is>
      </c>
      <c r="C622" s="38" t="inlineStr">
        <is>
          <t>73,71</t>
        </is>
      </c>
      <c r="D622" s="38" t="inlineStr">
        <is>
          <t>146,7</t>
        </is>
      </c>
      <c r="E622" s="38" t="inlineStr">
        <is>
          <t>12</t>
        </is>
      </c>
    </row>
    <row r="623" ht="15" customHeight="1" s="39">
      <c r="A623" s="42" t="inlineStr">
        <is>
          <t>081803</t>
        </is>
      </c>
      <c r="B623" s="38" t="inlineStr">
        <is>
          <t>Ripollet</t>
        </is>
      </c>
      <c r="C623" s="38" t="inlineStr">
        <is>
          <t>4,33</t>
        </is>
      </c>
      <c r="D623" s="38" t="inlineStr">
        <is>
          <t>9185,5</t>
        </is>
      </c>
      <c r="E623" s="38" t="inlineStr">
        <is>
          <t>1</t>
        </is>
      </c>
    </row>
    <row r="624" ht="15" customHeight="1" s="39">
      <c r="A624" s="42" t="inlineStr">
        <is>
          <t>259139</t>
        </is>
      </c>
      <c r="B624" s="38" t="inlineStr">
        <is>
          <t>Riu de Cerdanya</t>
        </is>
      </c>
      <c r="C624" s="38" t="inlineStr">
        <is>
          <t>12,34</t>
        </is>
      </c>
      <c r="D624" s="38" t="inlineStr">
        <is>
          <t>7,8</t>
        </is>
      </c>
      <c r="E624" s="38" t="inlineStr">
        <is>
          <t>1</t>
        </is>
      </c>
    </row>
    <row r="625" ht="15" customHeight="1" s="39">
      <c r="A625" s="42" t="inlineStr">
        <is>
          <t>171485</t>
        </is>
      </c>
      <c r="B625" s="38" t="inlineStr">
        <is>
          <t>Riudarenes</t>
        </is>
      </c>
      <c r="C625" s="38" t="inlineStr">
        <is>
          <t>47,60</t>
        </is>
      </c>
      <c r="D625" s="38" t="inlineStr">
        <is>
          <t>53,0</t>
        </is>
      </c>
      <c r="E625" s="38" t="inlineStr">
        <is>
          <t>8</t>
        </is>
      </c>
    </row>
    <row r="626" ht="15" customHeight="1" s="39">
      <c r="A626" s="42" t="inlineStr">
        <is>
          <t>171498</t>
        </is>
      </c>
      <c r="B626" s="38" t="inlineStr">
        <is>
          <t>Riudaura</t>
        </is>
      </c>
      <c r="C626" s="38" t="inlineStr">
        <is>
          <t>23,60</t>
        </is>
      </c>
      <c r="D626" s="38" t="inlineStr">
        <is>
          <t>22,3</t>
        </is>
      </c>
      <c r="E626" s="38" t="inlineStr">
        <is>
          <t>5</t>
        </is>
      </c>
    </row>
    <row r="627" ht="15" customHeight="1" s="39">
      <c r="A627" s="42" t="inlineStr">
        <is>
          <t>431270</t>
        </is>
      </c>
      <c r="B627" s="38" t="inlineStr">
        <is>
          <t>Riudecanyes</t>
        </is>
      </c>
      <c r="C627" s="38" t="inlineStr">
        <is>
          <t>17,10</t>
        </is>
      </c>
      <c r="D627" s="38" t="inlineStr">
        <is>
          <t>80,6</t>
        </is>
      </c>
      <c r="E627" s="38" t="inlineStr">
        <is>
          <t>3</t>
        </is>
      </c>
    </row>
    <row r="628" ht="15" customHeight="1" s="39">
      <c r="A628" s="42" t="inlineStr">
        <is>
          <t>431286</t>
        </is>
      </c>
      <c r="B628" s="38" t="inlineStr">
        <is>
          <t>Riudecols</t>
        </is>
      </c>
      <c r="C628" s="38" t="inlineStr">
        <is>
          <t>19,46</t>
        </is>
      </c>
      <c r="D628" s="38" t="inlineStr">
        <is>
          <t>65,8</t>
        </is>
      </c>
      <c r="E628" s="38" t="inlineStr">
        <is>
          <t>4</t>
        </is>
      </c>
    </row>
    <row r="629" ht="15" customHeight="1" s="39">
      <c r="A629" s="42" t="inlineStr">
        <is>
          <t>171501</t>
        </is>
      </c>
      <c r="B629" s="38" t="inlineStr">
        <is>
          <t>Riudellots de la Selva</t>
        </is>
      </c>
      <c r="C629" s="38" t="inlineStr">
        <is>
          <t>13,13</t>
        </is>
      </c>
      <c r="D629" s="38" t="inlineStr">
        <is>
          <t>161,5</t>
        </is>
      </c>
      <c r="E629" s="38" t="inlineStr">
        <is>
          <t>12</t>
        </is>
      </c>
    </row>
    <row r="630" ht="15" customHeight="1" s="39">
      <c r="A630" s="42" t="inlineStr">
        <is>
          <t>431299</t>
        </is>
      </c>
      <c r="B630" s="38" t="inlineStr">
        <is>
          <t>Riudoms</t>
        </is>
      </c>
      <c r="C630" s="38" t="inlineStr">
        <is>
          <t>32,43</t>
        </is>
      </c>
      <c r="D630" s="38" t="inlineStr">
        <is>
          <t>213,6</t>
        </is>
      </c>
      <c r="E630" s="38" t="inlineStr">
        <is>
          <t>1</t>
        </is>
      </c>
    </row>
    <row r="631" ht="15" customHeight="1" s="39">
      <c r="A631" s="42" t="inlineStr">
        <is>
          <t>171518</t>
        </is>
      </c>
      <c r="B631" s="38" t="inlineStr">
        <is>
          <t>Riumors</t>
        </is>
      </c>
      <c r="C631" s="38" t="inlineStr">
        <is>
          <t>6,54</t>
        </is>
      </c>
      <c r="D631" s="38" t="inlineStr">
        <is>
          <t>39,4</t>
        </is>
      </c>
      <c r="E631" s="38" t="inlineStr">
        <is>
          <t>1</t>
        </is>
      </c>
    </row>
    <row r="632" ht="15" customHeight="1" s="39">
      <c r="A632" s="42" t="inlineStr">
        <is>
          <t>081810</t>
        </is>
      </c>
      <c r="B632" s="38" t="inlineStr">
        <is>
          <t>Roca del Vallès, la</t>
        </is>
      </c>
      <c r="C632" s="38" t="inlineStr">
        <is>
          <t>36,90</t>
        </is>
      </c>
      <c r="D632" s="38" t="inlineStr">
        <is>
          <t>298,7</t>
        </is>
      </c>
      <c r="E632" s="38" t="inlineStr">
        <is>
          <t>3</t>
        </is>
      </c>
    </row>
    <row r="633" ht="15" customHeight="1" s="39">
      <c r="A633" s="42" t="inlineStr">
        <is>
          <t>431303</t>
        </is>
      </c>
      <c r="B633" s="38" t="inlineStr">
        <is>
          <t>Rocafort de Queralt</t>
        </is>
      </c>
      <c r="C633" s="38" t="inlineStr">
        <is>
          <t>8,47</t>
        </is>
      </c>
      <c r="D633" s="38" t="inlineStr">
        <is>
          <t>29,0</t>
        </is>
      </c>
      <c r="E633" s="38" t="inlineStr">
        <is>
          <t>1</t>
        </is>
      </c>
    </row>
    <row r="634" ht="15" customHeight="1" s="39">
      <c r="A634" s="42" t="inlineStr">
        <is>
          <t>431310</t>
        </is>
      </c>
      <c r="B634" s="38" t="inlineStr">
        <is>
          <t>Roda de Berà</t>
        </is>
      </c>
      <c r="C634" s="38" t="inlineStr">
        <is>
          <t>16,50</t>
        </is>
      </c>
      <c r="D634" s="38" t="inlineStr">
        <is>
          <t>499,4</t>
        </is>
      </c>
      <c r="E634" s="38" t="inlineStr">
        <is>
          <t>6</t>
        </is>
      </c>
    </row>
    <row r="635" ht="15" customHeight="1" s="39">
      <c r="A635" s="42" t="inlineStr">
        <is>
          <t>081831</t>
        </is>
      </c>
      <c r="B635" s="38" t="inlineStr">
        <is>
          <t>Roda de Ter</t>
        </is>
      </c>
      <c r="C635" s="38" t="inlineStr">
        <is>
          <t>2,23</t>
        </is>
      </c>
      <c r="D635" s="38" t="inlineStr">
        <is>
          <t>3115,7</t>
        </is>
      </c>
      <c r="E635" s="38" t="inlineStr">
        <is>
          <t>3</t>
        </is>
      </c>
    </row>
    <row r="636" ht="15" customHeight="1" s="39">
      <c r="A636" s="42" t="inlineStr">
        <is>
          <t>431325</t>
        </is>
      </c>
      <c r="B636" s="38" t="inlineStr">
        <is>
          <t>Rodonyà</t>
        </is>
      </c>
      <c r="C636" s="38" t="inlineStr">
        <is>
          <t>8,49</t>
        </is>
      </c>
      <c r="D636" s="38" t="inlineStr">
        <is>
          <t>61,0</t>
        </is>
      </c>
      <c r="E636" s="38" t="inlineStr">
        <is>
          <t>1</t>
        </is>
      </c>
    </row>
    <row r="637" ht="15" customHeight="1" s="39">
      <c r="A637" s="42" t="inlineStr">
        <is>
          <t>431331</t>
        </is>
      </c>
      <c r="B637" s="38" t="inlineStr">
        <is>
          <t>Roquetes</t>
        </is>
      </c>
      <c r="C637" s="38" t="inlineStr">
        <is>
          <t>136,92</t>
        </is>
      </c>
      <c r="D637" s="38" t="inlineStr">
        <is>
          <t>62,9</t>
        </is>
      </c>
      <c r="E637" s="38" t="inlineStr">
        <is>
          <t>2</t>
        </is>
      </c>
    </row>
    <row r="638" ht="15" customHeight="1" s="39">
      <c r="A638" s="42" t="inlineStr">
        <is>
          <t>171523</t>
        </is>
      </c>
      <c r="B638" s="38" t="inlineStr">
        <is>
          <t>Roses</t>
        </is>
      </c>
      <c r="C638" s="38" t="inlineStr">
        <is>
          <t>45,91</t>
        </is>
      </c>
      <c r="D638" s="38" t="inlineStr">
        <is>
          <t>439,4</t>
        </is>
      </c>
      <c r="E638" s="38" t="inlineStr">
        <is>
          <t>10</t>
        </is>
      </c>
    </row>
    <row r="639" ht="15" customHeight="1" s="39">
      <c r="A639" s="42" t="inlineStr">
        <is>
          <t>251898</t>
        </is>
      </c>
      <c r="B639" s="38" t="inlineStr">
        <is>
          <t>Rosselló</t>
        </is>
      </c>
      <c r="C639" s="38" t="inlineStr">
        <is>
          <t>9,92</t>
        </is>
      </c>
      <c r="D639" s="38" t="inlineStr">
        <is>
          <t>342,5</t>
        </is>
      </c>
      <c r="E639" s="38" t="inlineStr">
        <is>
          <t>6</t>
        </is>
      </c>
    </row>
    <row r="640" ht="15" customHeight="1" s="39">
      <c r="A640" s="42" t="inlineStr">
        <is>
          <t>431346</t>
        </is>
      </c>
      <c r="B640" s="38" t="inlineStr">
        <is>
          <t>Rourell, el</t>
        </is>
      </c>
      <c r="C640" s="38" t="inlineStr">
        <is>
          <t>2,32</t>
        </is>
      </c>
      <c r="D640" s="38" t="inlineStr">
        <is>
          <t>165,9</t>
        </is>
      </c>
      <c r="E640" s="38" t="inlineStr">
        <is>
          <t>1</t>
        </is>
      </c>
    </row>
    <row r="641" ht="15" customHeight="1" s="39">
      <c r="A641" s="42" t="inlineStr">
        <is>
          <t>081846</t>
        </is>
      </c>
      <c r="B641" s="38" t="inlineStr">
        <is>
          <t>Rubí</t>
        </is>
      </c>
      <c r="C641" s="38" t="inlineStr">
        <is>
          <t>32,30</t>
        </is>
      </c>
      <c r="D641" s="38" t="inlineStr">
        <is>
          <t>2564,2</t>
        </is>
      </c>
      <c r="E641" s="38" t="inlineStr">
        <is>
          <t>1</t>
        </is>
      </c>
    </row>
    <row r="642" ht="15" customHeight="1" s="39">
      <c r="A642" s="42" t="inlineStr">
        <is>
          <t>081859</t>
        </is>
      </c>
      <c r="B642" s="38" t="inlineStr">
        <is>
          <t>Rubió</t>
        </is>
      </c>
      <c r="C642" s="38" t="inlineStr">
        <is>
          <t>48,00</t>
        </is>
      </c>
      <c r="D642" s="38" t="inlineStr">
        <is>
          <t>4,8</t>
        </is>
      </c>
      <c r="E642" s="38" t="inlineStr">
        <is>
          <t>3</t>
        </is>
      </c>
    </row>
    <row r="643" ht="15" customHeight="1" s="39">
      <c r="A643" s="42" t="inlineStr">
        <is>
          <t>171539</t>
        </is>
      </c>
      <c r="B643" s="38" t="inlineStr">
        <is>
          <t>Rupià</t>
        </is>
      </c>
      <c r="C643" s="38" t="inlineStr">
        <is>
          <t>5,29</t>
        </is>
      </c>
      <c r="D643" s="38" t="inlineStr">
        <is>
          <t>61,1</t>
        </is>
      </c>
      <c r="E643" s="38" t="inlineStr">
        <is>
          <t>3</t>
        </is>
      </c>
    </row>
    <row r="644" ht="15" customHeight="1" s="39">
      <c r="A644" s="42" t="inlineStr">
        <is>
          <t>089019</t>
        </is>
      </c>
      <c r="B644" s="38" t="inlineStr">
        <is>
          <t>Rupit i Pruit</t>
        </is>
      </c>
      <c r="C644" s="38" t="inlineStr">
        <is>
          <t>47,81</t>
        </is>
      </c>
      <c r="D644" s="38" t="inlineStr">
        <is>
          <t>5,8</t>
        </is>
      </c>
      <c r="E644" s="38" t="inlineStr">
        <is>
          <t>2</t>
        </is>
      </c>
    </row>
    <row r="645" ht="15" customHeight="1" s="39">
      <c r="A645" s="42" t="inlineStr">
        <is>
          <t>081878</t>
        </is>
      </c>
      <c r="B645" s="38" t="inlineStr">
        <is>
          <t>Sabadell</t>
        </is>
      </c>
      <c r="C645" s="38" t="inlineStr">
        <is>
          <t>37,79</t>
        </is>
      </c>
      <c r="D645" s="38" t="inlineStr">
        <is>
          <t>5943,1</t>
        </is>
      </c>
      <c r="E645" s="38" t="inlineStr">
        <is>
          <t>5</t>
        </is>
      </c>
    </row>
    <row r="646" ht="15" customHeight="1" s="39">
      <c r="A646" s="42" t="inlineStr">
        <is>
          <t>081884</t>
        </is>
      </c>
      <c r="B646" s="38" t="inlineStr">
        <is>
          <t>Sagàs</t>
        </is>
      </c>
      <c r="C646" s="38" t="inlineStr">
        <is>
          <t>44,60</t>
        </is>
      </c>
      <c r="D646" s="38" t="inlineStr">
        <is>
          <t>3,4</t>
        </is>
      </c>
      <c r="E646" s="38" t="inlineStr">
        <is>
          <t>2</t>
        </is>
      </c>
    </row>
    <row r="647" ht="15" customHeight="1" s="39">
      <c r="A647" s="42" t="inlineStr">
        <is>
          <t>251902</t>
        </is>
      </c>
      <c r="B647" s="38" t="inlineStr">
        <is>
          <t>Salàs de Pallars</t>
        </is>
      </c>
      <c r="C647" s="38" t="inlineStr">
        <is>
          <t>20,27</t>
        </is>
      </c>
      <c r="D647" s="38" t="inlineStr">
        <is>
          <t>18,2</t>
        </is>
      </c>
      <c r="E647" s="38" t="inlineStr">
        <is>
          <t>2</t>
        </is>
      </c>
    </row>
    <row r="648" ht="15" customHeight="1" s="39">
      <c r="A648" s="42" t="inlineStr">
        <is>
          <t>081901</t>
        </is>
      </c>
      <c r="B648" s="38" t="inlineStr">
        <is>
          <t>Saldes</t>
        </is>
      </c>
      <c r="C648" s="38" t="inlineStr">
        <is>
          <t>66,40</t>
        </is>
      </c>
      <c r="D648" s="38" t="inlineStr">
        <is>
          <t>4,5</t>
        </is>
      </c>
      <c r="E648" s="38" t="inlineStr">
        <is>
          <t>1</t>
        </is>
      </c>
    </row>
    <row r="649" ht="15" customHeight="1" s="39">
      <c r="A649" s="42" t="inlineStr">
        <is>
          <t>171544</t>
        </is>
      </c>
      <c r="B649" s="38" t="inlineStr">
        <is>
          <t>Sales de Llierca</t>
        </is>
      </c>
      <c r="C649" s="38" t="inlineStr">
        <is>
          <t>35,82</t>
        </is>
      </c>
      <c r="D649" s="38" t="inlineStr">
        <is>
          <t>4,6</t>
        </is>
      </c>
      <c r="E649" s="38" t="inlineStr">
        <is>
          <t>4</t>
        </is>
      </c>
    </row>
    <row r="650" ht="15" customHeight="1" s="39">
      <c r="A650" s="42" t="inlineStr">
        <is>
          <t>081918</t>
        </is>
      </c>
      <c r="B650" s="38" t="inlineStr">
        <is>
          <t>Sallent</t>
        </is>
      </c>
      <c r="C650" s="38" t="inlineStr">
        <is>
          <t>65,22</t>
        </is>
      </c>
      <c r="D650" s="38" t="inlineStr">
        <is>
          <t>108,0</t>
        </is>
      </c>
      <c r="E650" s="38" t="inlineStr">
        <is>
          <t>9</t>
        </is>
      </c>
    </row>
    <row r="651" ht="15" customHeight="1" s="39">
      <c r="A651" s="42" t="inlineStr">
        <is>
          <t>431359</t>
        </is>
      </c>
      <c r="B651" s="38" t="inlineStr">
        <is>
          <t>Salomó</t>
        </is>
      </c>
      <c r="C651" s="38" t="inlineStr">
        <is>
          <t>12,21</t>
        </is>
      </c>
      <c r="D651" s="38" t="inlineStr">
        <is>
          <t>43,0</t>
        </is>
      </c>
      <c r="E651" s="38" t="inlineStr">
        <is>
          <t>1</t>
        </is>
      </c>
    </row>
    <row r="652" ht="15" customHeight="1" s="39">
      <c r="A652" s="42" t="inlineStr">
        <is>
          <t>439057</t>
        </is>
      </c>
      <c r="B652" s="38" t="inlineStr">
        <is>
          <t>Salou</t>
        </is>
      </c>
      <c r="C652" s="38" t="inlineStr">
        <is>
          <t>15,13</t>
        </is>
      </c>
      <c r="D652" s="38" t="inlineStr">
        <is>
          <t>2050,1</t>
        </is>
      </c>
      <c r="E652" s="38" t="inlineStr">
        <is>
          <t>2</t>
        </is>
      </c>
    </row>
    <row r="653" ht="15" customHeight="1" s="39">
      <c r="A653" s="42" t="inlineStr">
        <is>
          <t>171557</t>
        </is>
      </c>
      <c r="B653" s="38" t="inlineStr">
        <is>
          <t>Salt</t>
        </is>
      </c>
      <c r="C653" s="38" t="inlineStr">
        <is>
          <t>6,64</t>
        </is>
      </c>
      <c r="D653" s="38" t="inlineStr">
        <is>
          <t>5211,3</t>
        </is>
      </c>
      <c r="E653" s="38" t="inlineStr">
        <is>
          <t>1</t>
        </is>
      </c>
    </row>
    <row r="654" ht="15" customHeight="1" s="39">
      <c r="A654" s="42" t="inlineStr">
        <is>
          <t>251919</t>
        </is>
      </c>
      <c r="B654" s="38" t="inlineStr">
        <is>
          <t>Sanaüja</t>
        </is>
      </c>
      <c r="C654" s="38" t="inlineStr">
        <is>
          <t>32,99</t>
        </is>
      </c>
      <c r="D654" s="38" t="inlineStr">
        <is>
          <t>11,8</t>
        </is>
      </c>
      <c r="E654" s="38" t="inlineStr">
        <is>
          <t>1</t>
        </is>
      </c>
    </row>
    <row r="655" ht="15" customHeight="1" s="39">
      <c r="A655" s="42" t="inlineStr">
        <is>
          <t>081944</t>
        </is>
      </c>
      <c r="B655" s="38" t="inlineStr">
        <is>
          <t>Sant Adrià de Besòs</t>
        </is>
      </c>
      <c r="C655" s="38" t="inlineStr">
        <is>
          <t>3,82</t>
        </is>
      </c>
      <c r="D655" s="38" t="inlineStr">
        <is>
          <t>10204,2</t>
        </is>
      </c>
      <c r="E655" s="38" t="inlineStr">
        <is>
          <t>1</t>
        </is>
      </c>
    </row>
    <row r="656" ht="15" customHeight="1" s="39">
      <c r="A656" s="42" t="inlineStr">
        <is>
          <t>081957</t>
        </is>
      </c>
      <c r="B656" s="38" t="inlineStr">
        <is>
          <t>Sant Agustí de Lluçanès</t>
        </is>
      </c>
      <c r="C656" s="38" t="inlineStr">
        <is>
          <t>13,26</t>
        </is>
      </c>
      <c r="D656" s="38" t="inlineStr">
        <is>
          <t>8,0</t>
        </is>
      </c>
      <c r="E656" s="38" t="inlineStr">
        <is>
          <t>1</t>
        </is>
      </c>
    </row>
    <row r="657" ht="15" customHeight="1" s="39">
      <c r="A657" s="42" t="inlineStr">
        <is>
          <t>081960</t>
        </is>
      </c>
      <c r="B657" s="38" t="inlineStr">
        <is>
          <t>Sant Andreu de la Barca</t>
        </is>
      </c>
      <c r="C657" s="38" t="inlineStr">
        <is>
          <t>5,50</t>
        </is>
      </c>
      <c r="D657" s="38" t="inlineStr">
        <is>
          <t>4921,6</t>
        </is>
      </c>
      <c r="E657" s="38" t="inlineStr">
        <is>
          <t>1</t>
        </is>
      </c>
    </row>
    <row r="658" ht="15" customHeight="1" s="39">
      <c r="A658" s="42" t="inlineStr">
        <is>
          <t>081976</t>
        </is>
      </c>
      <c r="B658" s="38" t="inlineStr">
        <is>
          <t>Sant Andreu de Llavaneres</t>
        </is>
      </c>
      <c r="C658" s="38" t="inlineStr">
        <is>
          <t>11,83</t>
        </is>
      </c>
      <c r="D658" s="38" t="inlineStr">
        <is>
          <t>1006,8</t>
        </is>
      </c>
      <c r="E658" s="38" t="inlineStr">
        <is>
          <t>1</t>
        </is>
      </c>
    </row>
    <row r="659" ht="15" customHeight="1" s="39">
      <c r="A659" s="42" t="inlineStr">
        <is>
          <t>171576</t>
        </is>
      </c>
      <c r="B659" s="38" t="inlineStr">
        <is>
          <t>Sant Andreu Salou</t>
        </is>
      </c>
      <c r="C659" s="38" t="inlineStr">
        <is>
          <t>5,96</t>
        </is>
      </c>
      <c r="D659" s="38" t="inlineStr">
        <is>
          <t>27,3</t>
        </is>
      </c>
      <c r="E659" s="38" t="inlineStr">
        <is>
          <t>4</t>
        </is>
      </c>
    </row>
    <row r="660" ht="15" customHeight="1" s="39">
      <c r="A660" s="42" t="inlineStr">
        <is>
          <t>171833</t>
        </is>
      </c>
      <c r="B660" s="38" t="inlineStr">
        <is>
          <t>Sant Aniol de Finestres</t>
        </is>
      </c>
      <c r="C660" s="38" t="inlineStr">
        <is>
          <t>47,73</t>
        </is>
      </c>
      <c r="D660" s="38" t="inlineStr">
        <is>
          <t>8,0</t>
        </is>
      </c>
      <c r="E660" s="38" t="inlineStr">
        <is>
          <t>3</t>
        </is>
      </c>
    </row>
    <row r="661" ht="15" customHeight="1" s="39">
      <c r="A661" s="42" t="inlineStr">
        <is>
          <t>081982</t>
        </is>
      </c>
      <c r="B661" s="38" t="inlineStr">
        <is>
          <t>Sant Antoni de Vilamajor</t>
        </is>
      </c>
      <c r="C661" s="38" t="inlineStr">
        <is>
          <t>13,70</t>
        </is>
      </c>
      <c r="D661" s="38" t="inlineStr">
        <is>
          <t>490,7</t>
        </is>
      </c>
      <c r="E661" s="38" t="inlineStr">
        <is>
          <t>11</t>
        </is>
      </c>
    </row>
    <row r="662" ht="15" customHeight="1" s="39">
      <c r="A662" s="42" t="inlineStr">
        <is>
          <t>081995</t>
        </is>
      </c>
      <c r="B662" s="38" t="inlineStr">
        <is>
          <t>Sant Bartomeu del Grau</t>
        </is>
      </c>
      <c r="C662" s="38" t="inlineStr">
        <is>
          <t>34,40</t>
        </is>
      </c>
      <c r="D662" s="38" t="inlineStr">
        <is>
          <t>27,1</t>
        </is>
      </c>
      <c r="E662" s="38" t="inlineStr">
        <is>
          <t>1</t>
        </is>
      </c>
    </row>
    <row r="663" ht="15" customHeight="1" s="39">
      <c r="A663" s="42" t="inlineStr">
        <is>
          <t>082009</t>
        </is>
      </c>
      <c r="B663" s="38" t="inlineStr">
        <is>
          <t>Sant Boi de Llobregat</t>
        </is>
      </c>
      <c r="C663" s="38" t="inlineStr">
        <is>
          <t>21,47</t>
        </is>
      </c>
      <c r="D663" s="38" t="inlineStr">
        <is>
          <t>3973,8</t>
        </is>
      </c>
      <c r="E663" s="38" t="inlineStr">
        <is>
          <t>1</t>
        </is>
      </c>
    </row>
    <row r="664" ht="15" customHeight="1" s="39">
      <c r="A664" s="42" t="inlineStr">
        <is>
          <t>082016</t>
        </is>
      </c>
      <c r="B664" s="38" t="inlineStr">
        <is>
          <t>Sant Boi de Lluçanès</t>
        </is>
      </c>
      <c r="C664" s="38" t="inlineStr">
        <is>
          <t>19,48</t>
        </is>
      </c>
      <c r="D664" s="38" t="inlineStr">
        <is>
          <t>30,8</t>
        </is>
      </c>
      <c r="E664" s="38" t="inlineStr">
        <is>
          <t>4</t>
        </is>
      </c>
    </row>
    <row r="665" ht="15" customHeight="1" s="39">
      <c r="A665" s="42" t="inlineStr">
        <is>
          <t>082037</t>
        </is>
      </c>
      <c r="B665" s="38" t="inlineStr">
        <is>
          <t>Sant Cebrià de Vallalta</t>
        </is>
      </c>
      <c r="C665" s="38" t="inlineStr">
        <is>
          <t>15,80</t>
        </is>
      </c>
      <c r="D665" s="38" t="inlineStr">
        <is>
          <t>244,0</t>
        </is>
      </c>
      <c r="E665" s="38" t="inlineStr">
        <is>
          <t>7</t>
        </is>
      </c>
    </row>
    <row r="666" ht="15" customHeight="1" s="39">
      <c r="A666" s="42" t="inlineStr">
        <is>
          <t>082021</t>
        </is>
      </c>
      <c r="B666" s="38" t="inlineStr">
        <is>
          <t>Sant Celoni</t>
        </is>
      </c>
      <c r="C666" s="38" t="inlineStr">
        <is>
          <t>65,23</t>
        </is>
      </c>
      <c r="D666" s="38" t="inlineStr">
        <is>
          <t>290,0</t>
        </is>
      </c>
      <c r="E666" s="38" t="inlineStr">
        <is>
          <t>7</t>
        </is>
      </c>
    </row>
    <row r="667" ht="15" customHeight="1" s="39">
      <c r="A667" s="42" t="inlineStr">
        <is>
          <t>082042</t>
        </is>
      </c>
      <c r="B667" s="38" t="inlineStr">
        <is>
          <t>Sant Climent de Llobregat</t>
        </is>
      </c>
      <c r="C667" s="38" t="inlineStr">
        <is>
          <t>10,81</t>
        </is>
      </c>
      <c r="D667" s="38" t="inlineStr">
        <is>
          <t>387,3</t>
        </is>
      </c>
      <c r="E667" s="38" t="inlineStr">
        <is>
          <t>1</t>
        </is>
      </c>
    </row>
    <row r="668" ht="15" customHeight="1" s="39">
      <c r="A668" s="42" t="inlineStr">
        <is>
          <t>171582</t>
        </is>
      </c>
      <c r="B668" s="38" t="inlineStr">
        <is>
          <t>Sant Climent Sescebes</t>
        </is>
      </c>
      <c r="C668" s="38" t="inlineStr">
        <is>
          <t>24,37</t>
        </is>
      </c>
      <c r="D668" s="38" t="inlineStr">
        <is>
          <t>28,4</t>
        </is>
      </c>
      <c r="E668" s="38" t="inlineStr">
        <is>
          <t>4</t>
        </is>
      </c>
    </row>
    <row r="669" ht="15" customHeight="1" s="39">
      <c r="A669" s="42" t="inlineStr">
        <is>
          <t>082055</t>
        </is>
      </c>
      <c r="B669" s="38" t="inlineStr">
        <is>
          <t>Sant Cugat del Vallès</t>
        </is>
      </c>
      <c r="C669" s="38" t="inlineStr">
        <is>
          <t>48,23</t>
        </is>
      </c>
      <c r="D669" s="38" t="inlineStr">
        <is>
          <t>2031,1</t>
        </is>
      </c>
      <c r="E669" s="38" t="inlineStr">
        <is>
          <t>5</t>
        </is>
      </c>
    </row>
    <row r="670" ht="15" customHeight="1" s="39">
      <c r="A670" s="42" t="inlineStr">
        <is>
          <t>082068</t>
        </is>
      </c>
      <c r="B670" s="38" t="inlineStr">
        <is>
          <t>Sant Cugat Sesgarrigues</t>
        </is>
      </c>
      <c r="C670" s="38" t="inlineStr">
        <is>
          <t>6,24</t>
        </is>
      </c>
      <c r="D670" s="38" t="inlineStr">
        <is>
          <t>166,2</t>
        </is>
      </c>
      <c r="E670" s="38" t="inlineStr">
        <is>
          <t>1</t>
        </is>
      </c>
    </row>
    <row r="671" ht="15" customHeight="1" s="39">
      <c r="A671" s="42" t="inlineStr">
        <is>
          <t>251961</t>
        </is>
      </c>
      <c r="B671" s="38" t="inlineStr">
        <is>
          <t>Sant Esteve de la Sarga</t>
        </is>
      </c>
      <c r="C671" s="38" t="inlineStr">
        <is>
          <t>92,87</t>
        </is>
      </c>
      <c r="D671" s="38" t="inlineStr">
        <is>
          <t>1,3</t>
        </is>
      </c>
      <c r="E671" s="38" t="inlineStr">
        <is>
          <t>10</t>
        </is>
      </c>
    </row>
    <row r="672" ht="15" customHeight="1" s="39">
      <c r="A672" s="42" t="inlineStr">
        <is>
          <t>082074</t>
        </is>
      </c>
      <c r="B672" s="38" t="inlineStr">
        <is>
          <t>Sant Esteve de Palautordera</t>
        </is>
      </c>
      <c r="C672" s="38" t="inlineStr">
        <is>
          <t>10,64</t>
        </is>
      </c>
      <c r="D672" s="38" t="inlineStr">
        <is>
          <t>291,3</t>
        </is>
      </c>
      <c r="E672" s="38" t="inlineStr">
        <is>
          <t>2</t>
        </is>
      </c>
    </row>
    <row r="673" ht="15" customHeight="1" s="39">
      <c r="A673" s="42" t="inlineStr">
        <is>
          <t>082080</t>
        </is>
      </c>
      <c r="B673" s="38" t="inlineStr">
        <is>
          <t>Sant Esteve Sesrovires</t>
        </is>
      </c>
      <c r="C673" s="38" t="inlineStr">
        <is>
          <t>18,56</t>
        </is>
      </c>
      <c r="D673" s="38" t="inlineStr">
        <is>
          <t>437,1</t>
        </is>
      </c>
      <c r="E673" s="38" t="inlineStr">
        <is>
          <t>9</t>
        </is>
      </c>
    </row>
    <row r="674" ht="15" customHeight="1" s="39">
      <c r="A674" s="42" t="inlineStr">
        <is>
          <t>171595</t>
        </is>
      </c>
      <c r="B674" s="38" t="inlineStr">
        <is>
          <t>Sant Feliu de Buixalleu</t>
        </is>
      </c>
      <c r="C674" s="38" t="inlineStr">
        <is>
          <t>61,94</t>
        </is>
      </c>
      <c r="D674" s="38" t="inlineStr">
        <is>
          <t>14,3</t>
        </is>
      </c>
      <c r="E674" s="38" t="inlineStr">
        <is>
          <t>3</t>
        </is>
      </c>
    </row>
    <row r="675" ht="15" customHeight="1" s="39">
      <c r="A675" s="42" t="inlineStr">
        <is>
          <t>082107</t>
        </is>
      </c>
      <c r="B675" s="38" t="inlineStr">
        <is>
          <t>Sant Feliu de Codines</t>
        </is>
      </c>
      <c r="C675" s="38" t="inlineStr">
        <is>
          <t>15,00</t>
        </is>
      </c>
      <c r="D675" s="38" t="inlineStr">
        <is>
          <t>454,7</t>
        </is>
      </c>
      <c r="E675" s="38" t="inlineStr">
        <is>
          <t>1</t>
        </is>
      </c>
    </row>
    <row r="676" ht="15" customHeight="1" s="39">
      <c r="A676" s="42" t="inlineStr">
        <is>
          <t>171609</t>
        </is>
      </c>
      <c r="B676" s="38" t="inlineStr">
        <is>
          <t>Sant Feliu de Guíxols</t>
        </is>
      </c>
      <c r="C676" s="38" t="inlineStr">
        <is>
          <t>16,23</t>
        </is>
      </c>
      <c r="D676" s="38" t="inlineStr">
        <is>
          <t>1420,8</t>
        </is>
      </c>
      <c r="E676" s="38" t="inlineStr">
        <is>
          <t>8</t>
        </is>
      </c>
    </row>
    <row r="677" ht="15" customHeight="1" s="39">
      <c r="A677" s="42" t="inlineStr">
        <is>
          <t>082114</t>
        </is>
      </c>
      <c r="B677" s="38" t="inlineStr">
        <is>
          <t>Sant Feliu de Llobregat</t>
        </is>
      </c>
      <c r="C677" s="38" t="inlineStr">
        <is>
          <t>11,82</t>
        </is>
      </c>
      <c r="D677" s="38" t="inlineStr">
        <is>
          <t>3949,9</t>
        </is>
      </c>
      <c r="E677" s="38" t="inlineStr">
        <is>
          <t>1</t>
        </is>
      </c>
    </row>
    <row r="678" ht="15" customHeight="1" s="39">
      <c r="A678" s="42" t="inlineStr">
        <is>
          <t>171616</t>
        </is>
      </c>
      <c r="B678" s="38" t="inlineStr">
        <is>
          <t>Sant Feliu de Pallerols</t>
        </is>
      </c>
      <c r="C678" s="38" t="inlineStr">
        <is>
          <t>34,86</t>
        </is>
      </c>
      <c r="D678" s="38" t="inlineStr">
        <is>
          <t>47,6</t>
        </is>
      </c>
      <c r="E678" s="38" t="inlineStr">
        <is>
          <t>8</t>
        </is>
      </c>
    </row>
    <row r="679" ht="15" customHeight="1" s="39">
      <c r="A679" s="42" t="inlineStr">
        <is>
          <t>082129</t>
        </is>
      </c>
      <c r="B679" s="38" t="inlineStr">
        <is>
          <t>Sant Feliu Sasserra</t>
        </is>
      </c>
      <c r="C679" s="38" t="inlineStr">
        <is>
          <t>22,36</t>
        </is>
      </c>
      <c r="D679" s="38" t="inlineStr">
        <is>
          <t>28,4</t>
        </is>
      </c>
      <c r="E679" s="38" t="inlineStr">
        <is>
          <t>1</t>
        </is>
      </c>
    </row>
    <row r="680" ht="15" customHeight="1" s="39">
      <c r="A680" s="42" t="inlineStr">
        <is>
          <t>171621</t>
        </is>
      </c>
      <c r="B680" s="38" t="inlineStr">
        <is>
          <t>Sant Ferriol</t>
        </is>
      </c>
      <c r="C680" s="38" t="inlineStr">
        <is>
          <t>42,24</t>
        </is>
      </c>
      <c r="D680" s="38" t="inlineStr">
        <is>
          <t>5,9</t>
        </is>
      </c>
      <c r="E680" s="38" t="inlineStr">
        <is>
          <t>7</t>
        </is>
      </c>
    </row>
    <row r="681" ht="15" customHeight="1" s="39">
      <c r="A681" s="42" t="inlineStr">
        <is>
          <t>082093</t>
        </is>
      </c>
      <c r="B681" s="38" t="inlineStr">
        <is>
          <t>Sant Fost de Campsentelles</t>
        </is>
      </c>
      <c r="C681" s="38" t="inlineStr">
        <is>
          <t>13,15</t>
        </is>
      </c>
      <c r="D681" s="38" t="inlineStr">
        <is>
          <t>714,8</t>
        </is>
      </c>
      <c r="E681" s="38" t="inlineStr">
        <is>
          <t>4</t>
        </is>
      </c>
    </row>
    <row r="682" ht="15" customHeight="1" s="39">
      <c r="A682" s="42" t="inlineStr">
        <is>
          <t>082135</t>
        </is>
      </c>
      <c r="B682" s="38" t="inlineStr">
        <is>
          <t>Sant Fruitós de Bages</t>
        </is>
      </c>
      <c r="C682" s="38" t="inlineStr">
        <is>
          <t>22,29</t>
        </is>
      </c>
      <c r="D682" s="38" t="inlineStr">
        <is>
          <t>418,3</t>
        </is>
      </c>
      <c r="E682" s="38" t="inlineStr">
        <is>
          <t>8</t>
        </is>
      </c>
    </row>
    <row r="683" ht="15" customHeight="1" s="39">
      <c r="A683" s="42" t="inlineStr">
        <is>
          <t>171637</t>
        </is>
      </c>
      <c r="B683" s="38" t="inlineStr">
        <is>
          <t>Sant Gregori</t>
        </is>
      </c>
      <c r="C683" s="38" t="inlineStr">
        <is>
          <t>49,17</t>
        </is>
      </c>
      <c r="D683" s="38" t="inlineStr">
        <is>
          <t>85,2</t>
        </is>
      </c>
      <c r="E683" s="38" t="inlineStr">
        <is>
          <t>7</t>
        </is>
      </c>
    </row>
    <row r="684" ht="15" customHeight="1" s="39">
      <c r="A684" s="42" t="inlineStr">
        <is>
          <t>251924</t>
        </is>
      </c>
      <c r="B684" s="38" t="inlineStr">
        <is>
          <t>Sant Guim de Freixenet</t>
        </is>
      </c>
      <c r="C684" s="38" t="inlineStr">
        <is>
          <t>25,10</t>
        </is>
      </c>
      <c r="D684" s="38" t="inlineStr">
        <is>
          <t>49,1</t>
        </is>
      </c>
      <c r="E684" s="38" t="inlineStr">
        <is>
          <t>11</t>
        </is>
      </c>
    </row>
    <row r="685" ht="15" customHeight="1" s="39">
      <c r="A685" s="42" t="inlineStr">
        <is>
          <t>251977</t>
        </is>
      </c>
      <c r="B685" s="38" t="inlineStr">
        <is>
          <t>Sant Guim de la Plana</t>
        </is>
      </c>
      <c r="C685" s="38" t="inlineStr">
        <is>
          <t>12,45</t>
        </is>
      </c>
      <c r="D685" s="38" t="inlineStr">
        <is>
          <t>15,4</t>
        </is>
      </c>
      <c r="E685" s="38" t="inlineStr">
        <is>
          <t>3</t>
        </is>
      </c>
    </row>
    <row r="686" ht="15" customHeight="1" s="39">
      <c r="A686" s="42" t="inlineStr">
        <is>
          <t>171642</t>
        </is>
      </c>
      <c r="B686" s="38" t="inlineStr">
        <is>
          <t>Sant Hilari Sacalm</t>
        </is>
      </c>
      <c r="C686" s="38" t="inlineStr">
        <is>
          <t>83,28</t>
        </is>
      </c>
      <c r="D686" s="38" t="inlineStr">
        <is>
          <t>72,9</t>
        </is>
      </c>
      <c r="E686" s="38" t="inlineStr">
        <is>
          <t>1</t>
        </is>
      </c>
    </row>
    <row r="687" ht="15" customHeight="1" s="39">
      <c r="A687" s="42" t="inlineStr">
        <is>
          <t>082153</t>
        </is>
      </c>
      <c r="B687" s="38" t="inlineStr">
        <is>
          <t>Sant Hipòlit de Voltregà</t>
        </is>
      </c>
      <c r="C687" s="38" t="inlineStr">
        <is>
          <t>0,92</t>
        </is>
      </c>
      <c r="D687" s="38" t="inlineStr">
        <is>
          <t>3966,3</t>
        </is>
      </c>
      <c r="E687" s="38" t="inlineStr">
        <is>
          <t>1</t>
        </is>
      </c>
    </row>
    <row r="688" ht="15" customHeight="1" s="39">
      <c r="A688" s="42" t="inlineStr">
        <is>
          <t>081939</t>
        </is>
      </c>
      <c r="B688" s="38" t="inlineStr">
        <is>
          <t>Sant Iscle de Vallalta</t>
        </is>
      </c>
      <c r="C688" s="38" t="inlineStr">
        <is>
          <t>17,77</t>
        </is>
      </c>
      <c r="D688" s="38" t="inlineStr">
        <is>
          <t>83,4</t>
        </is>
      </c>
      <c r="E688" s="38" t="inlineStr">
        <is>
          <t>3</t>
        </is>
      </c>
    </row>
    <row r="689" ht="15" customHeight="1" s="39">
      <c r="A689" s="42" t="inlineStr">
        <is>
          <t>439023</t>
        </is>
      </c>
      <c r="B689" s="38" t="inlineStr">
        <is>
          <t>Sant Jaume d'Enveja</t>
        </is>
      </c>
      <c r="C689" s="38" t="inlineStr">
        <is>
          <t>60,79</t>
        </is>
      </c>
      <c r="D689" s="38" t="inlineStr">
        <is>
          <t>61,8</t>
        </is>
      </c>
      <c r="E689" s="38" t="inlineStr">
        <is>
          <t>3</t>
        </is>
      </c>
    </row>
    <row r="690" ht="15" customHeight="1" s="39">
      <c r="A690" s="42" t="inlineStr">
        <is>
          <t>082166</t>
        </is>
      </c>
      <c r="B690" s="38" t="inlineStr">
        <is>
          <t>Sant Jaume de Frontanyà</t>
        </is>
      </c>
      <c r="C690" s="38" t="inlineStr">
        <is>
          <t>21,26</t>
        </is>
      </c>
      <c r="D690" s="38" t="inlineStr">
        <is>
          <t>1,2</t>
        </is>
      </c>
      <c r="E690" s="38" t="inlineStr">
        <is>
          <t>1</t>
        </is>
      </c>
    </row>
    <row r="691" ht="15" customHeight="1" s="39">
      <c r="A691" s="42" t="inlineStr">
        <is>
          <t>171655</t>
        </is>
      </c>
      <c r="B691" s="38" t="inlineStr">
        <is>
          <t>Sant Jaume de Llierca</t>
        </is>
      </c>
      <c r="C691" s="38" t="inlineStr">
        <is>
          <t>6,75</t>
        </is>
      </c>
      <c r="D691" s="38" t="inlineStr">
        <is>
          <t>127,6</t>
        </is>
      </c>
      <c r="E691" s="38" t="inlineStr">
        <is>
          <t>3</t>
        </is>
      </c>
    </row>
    <row r="692" ht="15" customHeight="1" s="39">
      <c r="A692" s="42" t="inlineStr">
        <is>
          <t>431378</t>
        </is>
      </c>
      <c r="B692" s="38" t="inlineStr">
        <is>
          <t>Sant Jaume dels Domenys</t>
        </is>
      </c>
      <c r="C692" s="38" t="inlineStr">
        <is>
          <t>24,45</t>
        </is>
      </c>
      <c r="D692" s="38" t="inlineStr">
        <is>
          <t>115,3</t>
        </is>
      </c>
      <c r="E692" s="38" t="inlineStr">
        <is>
          <t>10</t>
        </is>
      </c>
    </row>
    <row r="693" ht="15" customHeight="1" s="39">
      <c r="A693" s="42" t="inlineStr">
        <is>
          <t>171674</t>
        </is>
      </c>
      <c r="B693" s="38" t="inlineStr">
        <is>
          <t>Sant Joan de les Abadesses</t>
        </is>
      </c>
      <c r="C693" s="38" t="inlineStr">
        <is>
          <t>53,67</t>
        </is>
      </c>
      <c r="D693" s="38" t="inlineStr">
        <is>
          <t>63,2</t>
        </is>
      </c>
      <c r="E693" s="38" t="inlineStr">
        <is>
          <t>9</t>
        </is>
      </c>
    </row>
    <row r="694" ht="15" customHeight="1" s="39">
      <c r="A694" s="42" t="inlineStr">
        <is>
          <t>171680</t>
        </is>
      </c>
      <c r="B694" s="38" t="inlineStr">
        <is>
          <t>Sant Joan de Mollet</t>
        </is>
      </c>
      <c r="C694" s="38" t="inlineStr">
        <is>
          <t>3,15</t>
        </is>
      </c>
      <c r="D694" s="38" t="inlineStr">
        <is>
          <t>170,2</t>
        </is>
      </c>
      <c r="E694" s="38" t="inlineStr">
        <is>
          <t>1</t>
        </is>
      </c>
    </row>
    <row r="695" ht="15" customHeight="1" s="39">
      <c r="A695" s="42" t="inlineStr">
        <is>
          <t>082188</t>
        </is>
      </c>
      <c r="B695" s="38" t="inlineStr">
        <is>
          <t>Sant Joan de Vilatorrada</t>
        </is>
      </c>
      <c r="C695" s="38" t="inlineStr">
        <is>
          <t>16,43</t>
        </is>
      </c>
      <c r="D695" s="38" t="inlineStr">
        <is>
          <t>676,1</t>
        </is>
      </c>
      <c r="E695" s="38" t="inlineStr">
        <is>
          <t>3</t>
        </is>
      </c>
    </row>
    <row r="696" ht="15" customHeight="1" s="39">
      <c r="A696" s="42" t="inlineStr">
        <is>
          <t>082172</t>
        </is>
      </c>
      <c r="B696" s="38" t="inlineStr">
        <is>
          <t>Sant Joan Despí</t>
        </is>
      </c>
      <c r="C696" s="38" t="inlineStr">
        <is>
          <t>6,17</t>
        </is>
      </c>
      <c r="D696" s="38" t="inlineStr">
        <is>
          <t>5804,1</t>
        </is>
      </c>
      <c r="E696" s="38" t="inlineStr">
        <is>
          <t>1</t>
        </is>
      </c>
    </row>
    <row r="697" ht="15" customHeight="1" s="39">
      <c r="A697" s="42" t="inlineStr">
        <is>
          <t>171851</t>
        </is>
      </c>
      <c r="B697" s="38" t="inlineStr">
        <is>
          <t>Sant Joan les Fonts</t>
        </is>
      </c>
      <c r="C697" s="38" t="inlineStr">
        <is>
          <t>31,94</t>
        </is>
      </c>
      <c r="D697" s="38" t="inlineStr">
        <is>
          <t>98,9</t>
        </is>
      </c>
      <c r="E697" s="38" t="inlineStr">
        <is>
          <t>5</t>
        </is>
      </c>
    </row>
    <row r="698" ht="15" customHeight="1" s="39">
      <c r="A698" s="42" t="inlineStr">
        <is>
          <t>171668</t>
        </is>
      </c>
      <c r="B698" s="38" t="inlineStr">
        <is>
          <t>Sant Jordi Desvalls</t>
        </is>
      </c>
      <c r="C698" s="38" t="inlineStr">
        <is>
          <t>11,72</t>
        </is>
      </c>
      <c r="D698" s="38" t="inlineStr">
        <is>
          <t>75,2</t>
        </is>
      </c>
      <c r="E698" s="38" t="inlineStr">
        <is>
          <t>5</t>
        </is>
      </c>
    </row>
    <row r="699" ht="15" customHeight="1" s="39">
      <c r="A699" s="42" t="inlineStr">
        <is>
          <t>089030</t>
        </is>
      </c>
      <c r="B699" s="38" t="inlineStr">
        <is>
          <t>Sant Julià de Cerdanyola</t>
        </is>
      </c>
      <c r="C699" s="38" t="inlineStr">
        <is>
          <t>11,79</t>
        </is>
      </c>
      <c r="D699" s="38" t="inlineStr">
        <is>
          <t>19,8</t>
        </is>
      </c>
      <c r="E699" s="38" t="inlineStr">
        <is>
          <t>1</t>
        </is>
      </c>
    </row>
    <row r="700" ht="15" customHeight="1" s="39">
      <c r="A700" s="42" t="inlineStr">
        <is>
          <t>171693</t>
        </is>
      </c>
      <c r="B700" s="38" t="inlineStr">
        <is>
          <t>Sant Julià de Ramis</t>
        </is>
      </c>
      <c r="C700" s="38" t="inlineStr">
        <is>
          <t>18,80</t>
        </is>
      </c>
      <c r="D700" s="38" t="inlineStr">
        <is>
          <t>196,9</t>
        </is>
      </c>
      <c r="E700" s="38" t="inlineStr">
        <is>
          <t>6</t>
        </is>
      </c>
    </row>
    <row r="701" ht="15" customHeight="1" s="39">
      <c r="A701" s="42" t="inlineStr">
        <is>
          <t>082205</t>
        </is>
      </c>
      <c r="B701" s="38" t="inlineStr">
        <is>
          <t>Sant Julià de Vilatorta</t>
        </is>
      </c>
      <c r="C701" s="38" t="inlineStr">
        <is>
          <t>15,94</t>
        </is>
      </c>
      <c r="D701" s="38" t="inlineStr">
        <is>
          <t>209,3</t>
        </is>
      </c>
      <c r="E701" s="38" t="inlineStr">
        <is>
          <t>2</t>
        </is>
      </c>
    </row>
    <row r="702" ht="15" customHeight="1" s="39">
      <c r="A702" s="42" t="inlineStr">
        <is>
          <t>179032</t>
        </is>
      </c>
      <c r="B702" s="38" t="inlineStr">
        <is>
          <t>Sant Julià del Llor i Bonmatí</t>
        </is>
      </c>
      <c r="C702" s="38" t="inlineStr">
        <is>
          <t>9,73</t>
        </is>
      </c>
      <c r="D702" s="38" t="inlineStr">
        <is>
          <t>150,3</t>
        </is>
      </c>
      <c r="E702" s="38" t="inlineStr">
        <is>
          <t>2</t>
        </is>
      </c>
    </row>
    <row r="703" ht="15" customHeight="1" s="39">
      <c r="A703" s="42" t="inlineStr">
        <is>
          <t>082212</t>
        </is>
      </c>
      <c r="B703" s="38" t="inlineStr">
        <is>
          <t>Sant Just Desvern</t>
        </is>
      </c>
      <c r="C703" s="38" t="inlineStr">
        <is>
          <t>7,81</t>
        </is>
      </c>
      <c r="D703" s="38" t="inlineStr">
        <is>
          <t>2694,6</t>
        </is>
      </c>
      <c r="E703" s="38" t="inlineStr">
        <is>
          <t>1</t>
        </is>
      </c>
    </row>
    <row r="704" ht="15" customHeight="1" s="39">
      <c r="A704" s="42" t="inlineStr">
        <is>
          <t>082227</t>
        </is>
      </c>
      <c r="B704" s="38" t="inlineStr">
        <is>
          <t>Sant Llorenç d'Hortons</t>
        </is>
      </c>
      <c r="C704" s="38" t="inlineStr">
        <is>
          <t>19,72</t>
        </is>
      </c>
      <c r="D704" s="38" t="inlineStr">
        <is>
          <t>132,9</t>
        </is>
      </c>
      <c r="E704" s="38" t="inlineStr">
        <is>
          <t>8</t>
        </is>
      </c>
    </row>
    <row r="705" ht="15" customHeight="1" s="39">
      <c r="A705" s="42" t="inlineStr">
        <is>
          <t>171714</t>
        </is>
      </c>
      <c r="B705" s="38" t="inlineStr">
        <is>
          <t>Sant Llorenç de la Muga</t>
        </is>
      </c>
      <c r="C705" s="38" t="inlineStr">
        <is>
          <t>31,84</t>
        </is>
      </c>
      <c r="D705" s="38" t="inlineStr">
        <is>
          <t>7,8</t>
        </is>
      </c>
      <c r="E705" s="38" t="inlineStr">
        <is>
          <t>1</t>
        </is>
      </c>
    </row>
    <row r="706" ht="15" customHeight="1" s="39">
      <c r="A706" s="42" t="inlineStr">
        <is>
          <t>251930</t>
        </is>
      </c>
      <c r="B706" s="38" t="inlineStr">
        <is>
          <t>Sant Llorenç de Morunys</t>
        </is>
      </c>
      <c r="C706" s="38" t="inlineStr">
        <is>
          <t>4,34</t>
        </is>
      </c>
      <c r="D706" s="38" t="inlineStr">
        <is>
          <t>226,3</t>
        </is>
      </c>
      <c r="E706" s="38" t="inlineStr">
        <is>
          <t>1</t>
        </is>
      </c>
    </row>
    <row r="707" ht="15" customHeight="1" s="39">
      <c r="A707" s="42" t="inlineStr">
        <is>
          <t>082233</t>
        </is>
      </c>
      <c r="B707" s="38" t="inlineStr">
        <is>
          <t>Sant Llorenç Savall</t>
        </is>
      </c>
      <c r="C707" s="38" t="inlineStr">
        <is>
          <t>41,11</t>
        </is>
      </c>
      <c r="D707" s="38" t="inlineStr">
        <is>
          <t>63,0</t>
        </is>
      </c>
      <c r="E707" s="38" t="inlineStr">
        <is>
          <t>1</t>
        </is>
      </c>
    </row>
    <row r="708" ht="15" customHeight="1" s="39">
      <c r="A708" s="42" t="inlineStr">
        <is>
          <t>082251</t>
        </is>
      </c>
      <c r="B708" s="38" t="inlineStr">
        <is>
          <t>Sant Martí d'Albars</t>
        </is>
      </c>
      <c r="C708" s="38" t="inlineStr">
        <is>
          <t>14,73</t>
        </is>
      </c>
      <c r="D708" s="38" t="inlineStr">
        <is>
          <t>9,2</t>
        </is>
      </c>
      <c r="E708" s="38" t="inlineStr">
        <is>
          <t>1</t>
        </is>
      </c>
    </row>
    <row r="709" ht="15" customHeight="1" s="39">
      <c r="A709" s="42" t="inlineStr">
        <is>
          <t>082248</t>
        </is>
      </c>
      <c r="B709" s="38" t="inlineStr">
        <is>
          <t>Sant Martí de Centelles</t>
        </is>
      </c>
      <c r="C709" s="38" t="inlineStr">
        <is>
          <t>25,55</t>
        </is>
      </c>
      <c r="D709" s="38" t="inlineStr">
        <is>
          <t>49,4</t>
        </is>
      </c>
      <c r="E709" s="38" t="inlineStr">
        <is>
          <t>4</t>
        </is>
      </c>
    </row>
    <row r="710" ht="15" customHeight="1" s="39">
      <c r="A710" s="42" t="inlineStr">
        <is>
          <t>171729</t>
        </is>
      </c>
      <c r="B710" s="38" t="inlineStr">
        <is>
          <t>Sant Martí de Llémena</t>
        </is>
      </c>
      <c r="C710" s="38" t="inlineStr">
        <is>
          <t>43,13</t>
        </is>
      </c>
      <c r="D710" s="38" t="inlineStr">
        <is>
          <t>16,9</t>
        </is>
      </c>
      <c r="E710" s="38" t="inlineStr">
        <is>
          <t>4</t>
        </is>
      </c>
    </row>
    <row r="711" ht="15" customHeight="1" s="39">
      <c r="A711" s="42" t="inlineStr">
        <is>
          <t>259025</t>
        </is>
      </c>
      <c r="B711" s="38" t="inlineStr">
        <is>
          <t>Sant Martí de Riucorb</t>
        </is>
      </c>
      <c r="C711" s="38" t="inlineStr">
        <is>
          <t>34,90</t>
        </is>
      </c>
      <c r="D711" s="38" t="inlineStr">
        <is>
          <t>19,3</t>
        </is>
      </c>
      <c r="E711" s="38" t="inlineStr">
        <is>
          <t>4</t>
        </is>
      </c>
    </row>
    <row r="712" ht="15" customHeight="1" s="39">
      <c r="A712" s="42" t="inlineStr">
        <is>
          <t>082264</t>
        </is>
      </c>
      <c r="B712" s="38" t="inlineStr">
        <is>
          <t>Sant Martí de Tous</t>
        </is>
      </c>
      <c r="C712" s="38" t="inlineStr">
        <is>
          <t>39,21</t>
        </is>
      </c>
      <c r="D712" s="38" t="inlineStr">
        <is>
          <t>32,4</t>
        </is>
      </c>
      <c r="E712" s="38" t="inlineStr">
        <is>
          <t>9</t>
        </is>
      </c>
    </row>
    <row r="713" ht="15" customHeight="1" s="39">
      <c r="A713" s="42" t="inlineStr">
        <is>
          <t>082270</t>
        </is>
      </c>
      <c r="B713" s="38" t="inlineStr">
        <is>
          <t>Sant Martí Sarroca</t>
        </is>
      </c>
      <c r="C713" s="38" t="inlineStr">
        <is>
          <t>35,27</t>
        </is>
      </c>
      <c r="D713" s="38" t="inlineStr">
        <is>
          <t>98,6</t>
        </is>
      </c>
      <c r="E713" s="38" t="inlineStr">
        <is>
          <t>20</t>
        </is>
      </c>
    </row>
    <row r="714" ht="15" customHeight="1" s="39">
      <c r="A714" s="42" t="inlineStr">
        <is>
          <t>082286</t>
        </is>
      </c>
      <c r="B714" s="38" t="inlineStr">
        <is>
          <t>Sant Martí Sesgueioles</t>
        </is>
      </c>
      <c r="C714" s="38" t="inlineStr">
        <is>
          <t>3,87</t>
        </is>
      </c>
      <c r="D714" s="38" t="inlineStr">
        <is>
          <t>91,2</t>
        </is>
      </c>
      <c r="E714" s="38" t="inlineStr">
        <is>
          <t>1</t>
        </is>
      </c>
    </row>
    <row r="715" ht="15" customHeight="1" s="39">
      <c r="A715" s="42" t="inlineStr">
        <is>
          <t>171735</t>
        </is>
      </c>
      <c r="B715" s="38" t="inlineStr">
        <is>
          <t>Sant Martí Vell</t>
        </is>
      </c>
      <c r="C715" s="38" t="inlineStr">
        <is>
          <t>17,52</t>
        </is>
      </c>
      <c r="D715" s="38" t="inlineStr">
        <is>
          <t>15,4</t>
        </is>
      </c>
      <c r="E715" s="38" t="inlineStr">
        <is>
          <t>7</t>
        </is>
      </c>
    </row>
    <row r="716" ht="15" customHeight="1" s="39">
      <c r="A716" s="42" t="inlineStr">
        <is>
          <t>082299</t>
        </is>
      </c>
      <c r="B716" s="38" t="inlineStr">
        <is>
          <t>Sant Mateu de Bages</t>
        </is>
      </c>
      <c r="C716" s="38" t="inlineStr">
        <is>
          <t>102,92</t>
        </is>
      </c>
      <c r="D716" s="38" t="inlineStr">
        <is>
          <t>6,2</t>
        </is>
      </c>
      <c r="E716" s="38" t="inlineStr">
        <is>
          <t>5</t>
        </is>
      </c>
    </row>
    <row r="717" ht="15" customHeight="1" s="39">
      <c r="A717" s="42" t="inlineStr">
        <is>
          <t>171740</t>
        </is>
      </c>
      <c r="B717" s="38" t="inlineStr">
        <is>
          <t>Sant Miquel de Campmajor</t>
        </is>
      </c>
      <c r="C717" s="38" t="inlineStr">
        <is>
          <t>33,22</t>
        </is>
      </c>
      <c r="D717" s="38" t="inlineStr">
        <is>
          <t>7,7</t>
        </is>
      </c>
      <c r="E717" s="38" t="inlineStr">
        <is>
          <t>5</t>
        </is>
      </c>
    </row>
    <row r="718" ht="15" customHeight="1" s="39">
      <c r="A718" s="42" t="inlineStr">
        <is>
          <t>171753</t>
        </is>
      </c>
      <c r="B718" s="38" t="inlineStr">
        <is>
          <t>Sant Miquel de Fluvià</t>
        </is>
      </c>
      <c r="C718" s="38" t="inlineStr">
        <is>
          <t>3,51</t>
        </is>
      </c>
      <c r="D718" s="38" t="inlineStr">
        <is>
          <t>244,4</t>
        </is>
      </c>
      <c r="E718" s="38" t="inlineStr">
        <is>
          <t>1</t>
        </is>
      </c>
    </row>
    <row r="719" ht="15" customHeight="1" s="39">
      <c r="A719" s="42" t="inlineStr">
        <is>
          <t>171766</t>
        </is>
      </c>
      <c r="B719" s="38" t="inlineStr">
        <is>
          <t>Sant Mori</t>
        </is>
      </c>
      <c r="C719" s="38" t="inlineStr">
        <is>
          <t>7,53</t>
        </is>
      </c>
      <c r="D719" s="38" t="inlineStr">
        <is>
          <t>22,2</t>
        </is>
      </c>
      <c r="E719" s="38" t="inlineStr">
        <is>
          <t>1</t>
        </is>
      </c>
    </row>
    <row r="720" ht="15" customHeight="1" s="39">
      <c r="A720" s="42" t="inlineStr">
        <is>
          <t>171772</t>
        </is>
      </c>
      <c r="B720" s="38" t="inlineStr">
        <is>
          <t>Sant Pau de Segúries</t>
        </is>
      </c>
      <c r="C720" s="38" t="inlineStr">
        <is>
          <t>8,74</t>
        </is>
      </c>
      <c r="D720" s="38" t="inlineStr">
        <is>
          <t>82,3</t>
        </is>
      </c>
      <c r="E720" s="38" t="inlineStr">
        <is>
          <t>2</t>
        </is>
      </c>
    </row>
    <row r="721" ht="15" customHeight="1" s="39">
      <c r="A721" s="42" t="inlineStr">
        <is>
          <t>082310</t>
        </is>
      </c>
      <c r="B721" s="38" t="inlineStr">
        <is>
          <t>Sant Pere de Ribes</t>
        </is>
      </c>
      <c r="C721" s="38" t="inlineStr">
        <is>
          <t>40,80</t>
        </is>
      </c>
      <c r="D721" s="38" t="inlineStr">
        <is>
          <t>799,3</t>
        </is>
      </c>
      <c r="E721" s="38" t="inlineStr">
        <is>
          <t>18</t>
        </is>
      </c>
    </row>
    <row r="722" ht="15" customHeight="1" s="39">
      <c r="A722" s="42" t="inlineStr">
        <is>
          <t>082325</t>
        </is>
      </c>
      <c r="B722" s="38" t="inlineStr">
        <is>
          <t>Sant Pere de Riudebitlles</t>
        </is>
      </c>
      <c r="C722" s="38" t="inlineStr">
        <is>
          <t>5,38</t>
        </is>
      </c>
      <c r="D722" s="38" t="inlineStr">
        <is>
          <t>466,9</t>
        </is>
      </c>
      <c r="E722" s="38" t="inlineStr">
        <is>
          <t>1</t>
        </is>
      </c>
    </row>
    <row r="723" ht="15" customHeight="1" s="39">
      <c r="A723" s="42" t="inlineStr">
        <is>
          <t>082331</t>
        </is>
      </c>
      <c r="B723" s="38" t="inlineStr">
        <is>
          <t>Sant Pere de Torelló</t>
        </is>
      </c>
      <c r="C723" s="38" t="inlineStr">
        <is>
          <t>55,13</t>
        </is>
      </c>
      <c r="D723" s="38" t="inlineStr">
        <is>
          <t>47,3</t>
        </is>
      </c>
      <c r="E723" s="38" t="inlineStr">
        <is>
          <t>2</t>
        </is>
      </c>
    </row>
    <row r="724" ht="15" customHeight="1" s="39">
      <c r="A724" s="42" t="inlineStr">
        <is>
          <t>082346</t>
        </is>
      </c>
      <c r="B724" s="38" t="inlineStr">
        <is>
          <t>Sant Pere de Vilamajor</t>
        </is>
      </c>
      <c r="C724" s="38" t="inlineStr">
        <is>
          <t>34,72</t>
        </is>
      </c>
      <c r="D724" s="38" t="inlineStr">
        <is>
          <t>146,0</t>
        </is>
      </c>
      <c r="E724" s="38" t="inlineStr">
        <is>
          <t>8</t>
        </is>
      </c>
    </row>
    <row r="725" ht="15" customHeight="1" s="39">
      <c r="A725" s="42" t="inlineStr">
        <is>
          <t>171788</t>
        </is>
      </c>
      <c r="B725" s="38" t="inlineStr">
        <is>
          <t>Sant Pere Pescador</t>
        </is>
      </c>
      <c r="C725" s="38" t="inlineStr">
        <is>
          <t>18,45</t>
        </is>
      </c>
      <c r="D725" s="38" t="inlineStr">
        <is>
          <t>123,8</t>
        </is>
      </c>
      <c r="E725" s="38" t="inlineStr">
        <is>
          <t>3</t>
        </is>
      </c>
    </row>
    <row r="726" ht="15" customHeight="1" s="39">
      <c r="A726" s="42" t="inlineStr">
        <is>
          <t>081897</t>
        </is>
      </c>
      <c r="B726" s="38" t="inlineStr">
        <is>
          <t>Sant Pere Sallavinera</t>
        </is>
      </c>
      <c r="C726" s="38" t="inlineStr">
        <is>
          <t>22,02</t>
        </is>
      </c>
      <c r="D726" s="38" t="inlineStr">
        <is>
          <t>8,0</t>
        </is>
      </c>
      <c r="E726" s="38" t="inlineStr">
        <is>
          <t>5</t>
        </is>
      </c>
    </row>
    <row r="727" ht="15" customHeight="1" s="39">
      <c r="A727" s="42" t="inlineStr">
        <is>
          <t>082359</t>
        </is>
      </c>
      <c r="B727" s="38" t="inlineStr">
        <is>
          <t>Sant Pol de Mar</t>
        </is>
      </c>
      <c r="C727" s="38" t="inlineStr">
        <is>
          <t>7,53</t>
        </is>
      </c>
      <c r="D727" s="38" t="inlineStr">
        <is>
          <t>767,3</t>
        </is>
      </c>
      <c r="E727" s="38" t="inlineStr">
        <is>
          <t>14</t>
        </is>
      </c>
    </row>
    <row r="728" ht="15" customHeight="1" s="39">
      <c r="A728" s="42" t="inlineStr">
        <is>
          <t>082362</t>
        </is>
      </c>
      <c r="B728" s="38" t="inlineStr">
        <is>
          <t>Sant Quintí de Mediona</t>
        </is>
      </c>
      <c r="C728" s="38" t="inlineStr">
        <is>
          <t>13,84</t>
        </is>
      </c>
      <c r="D728" s="38" t="inlineStr">
        <is>
          <t>186,8</t>
        </is>
      </c>
      <c r="E728" s="38" t="inlineStr">
        <is>
          <t>1</t>
        </is>
      </c>
    </row>
    <row r="729" ht="15" customHeight="1" s="39">
      <c r="A729" s="42" t="inlineStr">
        <is>
          <t>082378</t>
        </is>
      </c>
      <c r="B729" s="38" t="inlineStr">
        <is>
          <t>Sant Quirze de Besora</t>
        </is>
      </c>
      <c r="C729" s="38" t="inlineStr">
        <is>
          <t>8,12</t>
        </is>
      </c>
      <c r="D729" s="38" t="inlineStr">
        <is>
          <t>266,4</t>
        </is>
      </c>
      <c r="E729" s="38" t="inlineStr">
        <is>
          <t>1</t>
        </is>
      </c>
    </row>
    <row r="730" ht="15" customHeight="1" s="39">
      <c r="A730" s="42" t="inlineStr">
        <is>
          <t>082384</t>
        </is>
      </c>
      <c r="B730" s="38" t="inlineStr">
        <is>
          <t>Sant Quirze del Vallès</t>
        </is>
      </c>
      <c r="C730" s="38" t="inlineStr">
        <is>
          <t>14,07</t>
        </is>
      </c>
      <c r="D730" s="38" t="inlineStr">
        <is>
          <t>1433,9</t>
        </is>
      </c>
      <c r="E730" s="38" t="inlineStr">
        <is>
          <t>12</t>
        </is>
      </c>
    </row>
    <row r="731" ht="15" customHeight="1" s="39">
      <c r="A731" s="42" t="inlineStr">
        <is>
          <t>082397</t>
        </is>
      </c>
      <c r="B731" s="38" t="inlineStr">
        <is>
          <t>Sant Quirze Safaja</t>
        </is>
      </c>
      <c r="C731" s="38" t="inlineStr">
        <is>
          <t>26,21</t>
        </is>
      </c>
      <c r="D731" s="38" t="inlineStr">
        <is>
          <t>25,3</t>
        </is>
      </c>
      <c r="E731" s="38" t="inlineStr">
        <is>
          <t>1</t>
        </is>
      </c>
    </row>
    <row r="732" ht="15" customHeight="1" s="39">
      <c r="A732" s="42" t="inlineStr">
        <is>
          <t>251945</t>
        </is>
      </c>
      <c r="B732" s="38" t="inlineStr">
        <is>
          <t>Sant Ramon</t>
        </is>
      </c>
      <c r="C732" s="38" t="inlineStr">
        <is>
          <t>18,53</t>
        </is>
      </c>
      <c r="D732" s="38" t="inlineStr">
        <is>
          <t>26,1</t>
        </is>
      </c>
      <c r="E732" s="38" t="inlineStr">
        <is>
          <t>4</t>
        </is>
      </c>
    </row>
    <row r="733" ht="15" customHeight="1" s="39">
      <c r="A733" s="42" t="inlineStr">
        <is>
          <t>082401</t>
        </is>
      </c>
      <c r="B733" s="38" t="inlineStr">
        <is>
          <t>Sant Sadurní d'Anoia</t>
        </is>
      </c>
      <c r="C733" s="38" t="inlineStr">
        <is>
          <t>18,96</t>
        </is>
      </c>
      <c r="D733" s="38" t="inlineStr">
        <is>
          <t>682,0</t>
        </is>
      </c>
      <c r="E733" s="38" t="inlineStr">
        <is>
          <t>5</t>
        </is>
      </c>
    </row>
    <row r="734" ht="15" customHeight="1" s="39">
      <c r="A734" s="42" t="inlineStr">
        <is>
          <t>082418</t>
        </is>
      </c>
      <c r="B734" s="38" t="inlineStr">
        <is>
          <t>Sant Sadurní d'Osormort</t>
        </is>
      </c>
      <c r="C734" s="38" t="inlineStr">
        <is>
          <t>30,60</t>
        </is>
      </c>
      <c r="D734" s="38" t="inlineStr">
        <is>
          <t>2,8</t>
        </is>
      </c>
      <c r="E734" s="38" t="inlineStr">
        <is>
          <t>1</t>
        </is>
      </c>
    </row>
    <row r="735" ht="15" customHeight="1" s="39">
      <c r="A735" s="42" t="inlineStr">
        <is>
          <t>080983</t>
        </is>
      </c>
      <c r="B735" s="38" t="inlineStr">
        <is>
          <t>Sant Salvador de Guardiola</t>
        </is>
      </c>
      <c r="C735" s="38" t="inlineStr">
        <is>
          <t>37,15</t>
        </is>
      </c>
      <c r="D735" s="38" t="inlineStr">
        <is>
          <t>96,8</t>
        </is>
      </c>
      <c r="E735" s="38" t="inlineStr">
        <is>
          <t>10</t>
        </is>
      </c>
    </row>
    <row r="736" ht="15" customHeight="1" s="39">
      <c r="A736" s="42" t="inlineStr">
        <is>
          <t>082628</t>
        </is>
      </c>
      <c r="B736" s="38" t="inlineStr">
        <is>
          <t>Sant Vicenç de Castellet</t>
        </is>
      </c>
      <c r="C736" s="38" t="inlineStr">
        <is>
          <t>17,13</t>
        </is>
      </c>
      <c r="D736" s="38" t="inlineStr">
        <is>
          <t>593,5</t>
        </is>
      </c>
      <c r="E736" s="38" t="inlineStr">
        <is>
          <t>6</t>
        </is>
      </c>
    </row>
    <row r="737" ht="15" customHeight="1" s="39">
      <c r="A737" s="42" t="inlineStr">
        <is>
          <t>082649</t>
        </is>
      </c>
      <c r="B737" s="38" t="inlineStr">
        <is>
          <t>Sant Vicenç de Montalt</t>
        </is>
      </c>
      <c r="C737" s="38" t="inlineStr">
        <is>
          <t>8,05</t>
        </is>
      </c>
      <c r="D737" s="38" t="inlineStr">
        <is>
          <t>848,3</t>
        </is>
      </c>
      <c r="E737" s="38" t="inlineStr">
        <is>
          <t>10</t>
        </is>
      </c>
    </row>
    <row r="738" ht="15" customHeight="1" s="39">
      <c r="A738" s="42" t="inlineStr">
        <is>
          <t>082652</t>
        </is>
      </c>
      <c r="B738" s="38" t="inlineStr">
        <is>
          <t>Sant Vicenç de Torelló</t>
        </is>
      </c>
      <c r="C738" s="38" t="inlineStr">
        <is>
          <t>7,04</t>
        </is>
      </c>
      <c r="D738" s="38" t="inlineStr">
        <is>
          <t>300,9</t>
        </is>
      </c>
      <c r="E738" s="38" t="inlineStr">
        <is>
          <t>3</t>
        </is>
      </c>
    </row>
    <row r="739" ht="15" customHeight="1" s="39">
      <c r="A739" s="42" t="inlineStr">
        <is>
          <t>082634</t>
        </is>
      </c>
      <c r="B739" s="38" t="inlineStr">
        <is>
          <t>Sant Vicenç dels Horts</t>
        </is>
      </c>
      <c r="C739" s="38" t="inlineStr">
        <is>
          <t>9,12</t>
        </is>
      </c>
      <c r="D739" s="38" t="inlineStr">
        <is>
          <t>3153,5</t>
        </is>
      </c>
      <c r="E739" s="38" t="inlineStr">
        <is>
          <t>1</t>
        </is>
      </c>
    </row>
    <row r="740" ht="15" customHeight="1" s="39">
      <c r="A740" s="42" t="inlineStr">
        <is>
          <t>431384</t>
        </is>
      </c>
      <c r="B740" s="38" t="inlineStr">
        <is>
          <t>Santa Bàrbara</t>
        </is>
      </c>
      <c r="C740" s="38" t="inlineStr">
        <is>
          <t>28,15</t>
        </is>
      </c>
      <c r="D740" s="38" t="inlineStr">
        <is>
          <t>137,3</t>
        </is>
      </c>
      <c r="E740" s="38" t="inlineStr">
        <is>
          <t>1</t>
        </is>
      </c>
    </row>
    <row r="741" ht="15" customHeight="1" s="39">
      <c r="A741" s="42" t="inlineStr">
        <is>
          <t>082439</t>
        </is>
      </c>
      <c r="B741" s="38" t="inlineStr">
        <is>
          <t>Santa Cecília de Voltregà</t>
        </is>
      </c>
      <c r="C741" s="38" t="inlineStr">
        <is>
          <t>8,63</t>
        </is>
      </c>
      <c r="D741" s="38" t="inlineStr">
        <is>
          <t>22,8</t>
        </is>
      </c>
      <c r="E741" s="38" t="inlineStr">
        <is>
          <t>1</t>
        </is>
      </c>
    </row>
    <row r="742" ht="15" customHeight="1" s="39">
      <c r="A742" s="42" t="inlineStr">
        <is>
          <t>082444</t>
        </is>
      </c>
      <c r="B742" s="38" t="inlineStr">
        <is>
          <t>Santa Coloma de Cervelló</t>
        </is>
      </c>
      <c r="C742" s="38" t="inlineStr">
        <is>
          <t>7,49</t>
        </is>
      </c>
      <c r="D742" s="38" t="inlineStr">
        <is>
          <t>1104,8</t>
        </is>
      </c>
      <c r="E742" s="38" t="inlineStr">
        <is>
          <t>2</t>
        </is>
      </c>
    </row>
    <row r="743" ht="15" customHeight="1" s="39">
      <c r="A743" s="42" t="inlineStr">
        <is>
          <t>171805</t>
        </is>
      </c>
      <c r="B743" s="38" t="inlineStr">
        <is>
          <t>Santa Coloma de Farners</t>
        </is>
      </c>
      <c r="C743" s="38" t="inlineStr">
        <is>
          <t>70,64</t>
        </is>
      </c>
      <c r="D743" s="38" t="inlineStr">
        <is>
          <t>201,3</t>
        </is>
      </c>
      <c r="E743" s="38" t="inlineStr">
        <is>
          <t>8</t>
        </is>
      </c>
    </row>
    <row r="744" ht="15" customHeight="1" s="39">
      <c r="A744" s="42" t="inlineStr">
        <is>
          <t>082457</t>
        </is>
      </c>
      <c r="B744" s="38" t="inlineStr">
        <is>
          <t>Santa Coloma de Gramenet</t>
        </is>
      </c>
      <c r="C744" s="38" t="inlineStr">
        <is>
          <t>7,00</t>
        </is>
      </c>
      <c r="D744" s="38" t="inlineStr">
        <is>
          <t>17607,1</t>
        </is>
      </c>
      <c r="E744" s="38" t="inlineStr">
        <is>
          <t>1</t>
        </is>
      </c>
    </row>
    <row r="745" ht="15" customHeight="1" s="39">
      <c r="A745" s="42" t="inlineStr">
        <is>
          <t>431397</t>
        </is>
      </c>
      <c r="B745" s="38" t="inlineStr">
        <is>
          <t>Santa Coloma de Queralt</t>
        </is>
      </c>
      <c r="C745" s="38" t="inlineStr">
        <is>
          <t>33,85</t>
        </is>
      </c>
      <c r="D745" s="38" t="inlineStr">
        <is>
          <t>83,7</t>
        </is>
      </c>
      <c r="E745" s="38" t="inlineStr">
        <is>
          <t>4</t>
        </is>
      </c>
    </row>
    <row r="746" ht="15" customHeight="1" s="39">
      <c r="A746" s="42" t="inlineStr">
        <is>
          <t>171812</t>
        </is>
      </c>
      <c r="B746" s="38" t="inlineStr">
        <is>
          <t>Santa Cristina d'Aro</t>
        </is>
      </c>
      <c r="C746" s="38" t="inlineStr">
        <is>
          <t>67,55</t>
        </is>
      </c>
      <c r="D746" s="38" t="inlineStr">
        <is>
          <t>88,4</t>
        </is>
      </c>
      <c r="E746" s="38" t="inlineStr">
        <is>
          <t>10</t>
        </is>
      </c>
    </row>
    <row r="747" ht="15" customHeight="1" s="39">
      <c r="A747" s="42" t="inlineStr">
        <is>
          <t>082460</t>
        </is>
      </c>
      <c r="B747" s="38" t="inlineStr">
        <is>
          <t>Santa Eugènia de Berga</t>
        </is>
      </c>
      <c r="C747" s="38" t="inlineStr">
        <is>
          <t>7,01</t>
        </is>
      </c>
      <c r="D747" s="38" t="inlineStr">
        <is>
          <t>335,2</t>
        </is>
      </c>
      <c r="E747" s="38" t="inlineStr">
        <is>
          <t>2</t>
        </is>
      </c>
    </row>
    <row r="748" ht="15" customHeight="1" s="39">
      <c r="A748" s="42" t="inlineStr">
        <is>
          <t>082476</t>
        </is>
      </c>
      <c r="B748" s="38" t="inlineStr">
        <is>
          <t>Santa Eulàlia de Riuprimer</t>
        </is>
      </c>
      <c r="C748" s="38" t="inlineStr">
        <is>
          <t>13,82</t>
        </is>
      </c>
      <c r="D748" s="38" t="inlineStr">
        <is>
          <t>109,7</t>
        </is>
      </c>
      <c r="E748" s="38" t="inlineStr">
        <is>
          <t>1</t>
        </is>
      </c>
    </row>
    <row r="749" ht="15" customHeight="1" s="39">
      <c r="A749" s="42" t="inlineStr">
        <is>
          <t>082482</t>
        </is>
      </c>
      <c r="B749" s="38" t="inlineStr">
        <is>
          <t>Santa Eulàlia de Ronçana</t>
        </is>
      </c>
      <c r="C749" s="38" t="inlineStr">
        <is>
          <t>14,23</t>
        </is>
      </c>
      <c r="D749" s="38" t="inlineStr">
        <is>
          <t>559,0</t>
        </is>
      </c>
      <c r="E749" s="38" t="inlineStr">
        <is>
          <t>7</t>
        </is>
      </c>
    </row>
    <row r="750" ht="15" customHeight="1" s="39">
      <c r="A750" s="42" t="inlineStr">
        <is>
          <t>082495</t>
        </is>
      </c>
      <c r="B750" s="38" t="inlineStr">
        <is>
          <t>Santa Fe del Penedès</t>
        </is>
      </c>
      <c r="C750" s="38" t="inlineStr">
        <is>
          <t>3,41</t>
        </is>
      </c>
      <c r="D750" s="38" t="inlineStr">
        <is>
          <t>107,6</t>
        </is>
      </c>
      <c r="E750" s="38" t="inlineStr">
        <is>
          <t>1</t>
        </is>
      </c>
    </row>
    <row r="751" ht="15" customHeight="1" s="39">
      <c r="A751" s="42" t="inlineStr">
        <is>
          <t>171827</t>
        </is>
      </c>
      <c r="B751" s="38" t="inlineStr">
        <is>
          <t>Santa Llogaia d'Àlguema</t>
        </is>
      </c>
      <c r="C751" s="38" t="inlineStr">
        <is>
          <t>1,94</t>
        </is>
      </c>
      <c r="D751" s="38" t="inlineStr">
        <is>
          <t>206,2</t>
        </is>
      </c>
      <c r="E751" s="38" t="inlineStr">
        <is>
          <t>1</t>
        </is>
      </c>
    </row>
    <row r="752" ht="15" customHeight="1" s="39">
      <c r="A752" s="42" t="inlineStr">
        <is>
          <t>082508</t>
        </is>
      </c>
      <c r="B752" s="38" t="inlineStr">
        <is>
          <t>Santa Margarida de Montbui</t>
        </is>
      </c>
      <c r="C752" s="38" t="inlineStr">
        <is>
          <t>27,59</t>
        </is>
      </c>
      <c r="D752" s="38" t="inlineStr">
        <is>
          <t>384,2</t>
        </is>
      </c>
      <c r="E752" s="38" t="inlineStr">
        <is>
          <t>6</t>
        </is>
      </c>
    </row>
    <row r="753" ht="15" customHeight="1" s="39">
      <c r="A753" s="42" t="inlineStr">
        <is>
          <t>082515</t>
        </is>
      </c>
      <c r="B753" s="38" t="inlineStr">
        <is>
          <t>Santa Margarida i els Monjos</t>
        </is>
      </c>
      <c r="C753" s="38" t="inlineStr">
        <is>
          <t>17,16</t>
        </is>
      </c>
      <c r="D753" s="38" t="inlineStr">
        <is>
          <t>453,1</t>
        </is>
      </c>
      <c r="E753" s="38" t="inlineStr">
        <is>
          <t>3</t>
        </is>
      </c>
    </row>
    <row r="754" ht="15" customHeight="1" s="39">
      <c r="A754" s="42" t="inlineStr">
        <is>
          <t>082589</t>
        </is>
      </c>
      <c r="B754" s="38" t="inlineStr">
        <is>
          <t>Santa Maria d'Oló</t>
        </is>
      </c>
      <c r="C754" s="38" t="inlineStr">
        <is>
          <t>66,21</t>
        </is>
      </c>
      <c r="D754" s="38" t="inlineStr">
        <is>
          <t>16,6</t>
        </is>
      </c>
      <c r="E754" s="38" t="inlineStr">
        <is>
          <t>8</t>
        </is>
      </c>
    </row>
    <row r="755" ht="15" customHeight="1" s="39">
      <c r="A755" s="42" t="inlineStr">
        <is>
          <t>082536</t>
        </is>
      </c>
      <c r="B755" s="38" t="inlineStr">
        <is>
          <t>Santa Maria de Besora</t>
        </is>
      </c>
      <c r="C755" s="38" t="inlineStr">
        <is>
          <t>24,73</t>
        </is>
      </c>
      <c r="D755" s="38" t="inlineStr">
        <is>
          <t>6,6</t>
        </is>
      </c>
      <c r="E755" s="38" t="inlineStr">
        <is>
          <t>1</t>
        </is>
      </c>
    </row>
    <row r="756" ht="15" customHeight="1" s="39">
      <c r="A756" s="42" t="inlineStr">
        <is>
          <t>082567</t>
        </is>
      </c>
      <c r="B756" s="38" t="inlineStr">
        <is>
          <t>Santa Maria de Martorelles</t>
        </is>
      </c>
      <c r="C756" s="38" t="inlineStr">
        <is>
          <t>4,51</t>
        </is>
      </c>
      <c r="D756" s="38" t="inlineStr">
        <is>
          <t>192,2</t>
        </is>
      </c>
      <c r="E756" s="38" t="inlineStr">
        <is>
          <t>1</t>
        </is>
      </c>
    </row>
    <row r="757" ht="15" customHeight="1" s="39">
      <c r="A757" s="42" t="inlineStr">
        <is>
          <t>082554</t>
        </is>
      </c>
      <c r="B757" s="38" t="inlineStr">
        <is>
          <t>Santa Maria de Merlès</t>
        </is>
      </c>
      <c r="C757" s="38" t="inlineStr">
        <is>
          <t>52,08</t>
        </is>
      </c>
      <c r="D757" s="38" t="inlineStr">
        <is>
          <t>3,4</t>
        </is>
      </c>
      <c r="E757" s="38" t="inlineStr">
        <is>
          <t>5</t>
        </is>
      </c>
    </row>
    <row r="758" ht="15" customHeight="1" s="39">
      <c r="A758" s="42" t="inlineStr">
        <is>
          <t>082573</t>
        </is>
      </c>
      <c r="B758" s="38" t="inlineStr">
        <is>
          <t>Santa Maria de Miralles</t>
        </is>
      </c>
      <c r="C758" s="38" t="inlineStr">
        <is>
          <t>25,04</t>
        </is>
      </c>
      <c r="D758" s="38" t="inlineStr">
        <is>
          <t>5,8</t>
        </is>
      </c>
      <c r="E758" s="38" t="inlineStr">
        <is>
          <t>1</t>
        </is>
      </c>
    </row>
    <row r="759" ht="15" customHeight="1" s="39">
      <c r="A759" s="42" t="inlineStr">
        <is>
          <t>082592</t>
        </is>
      </c>
      <c r="B759" s="38" t="inlineStr">
        <is>
          <t>Santa Maria de Palautordera</t>
        </is>
      </c>
      <c r="C759" s="38" t="inlineStr">
        <is>
          <t>16,94</t>
        </is>
      </c>
      <c r="D759" s="38" t="inlineStr">
        <is>
          <t>593,9</t>
        </is>
      </c>
      <c r="E759" s="38" t="inlineStr">
        <is>
          <t>5</t>
        </is>
      </c>
    </row>
    <row r="760" ht="15" customHeight="1" s="39">
      <c r="A760" s="42" t="inlineStr">
        <is>
          <t>431401</t>
        </is>
      </c>
      <c r="B760" s="38" t="inlineStr">
        <is>
          <t>Santa Oliva</t>
        </is>
      </c>
      <c r="C760" s="38" t="inlineStr">
        <is>
          <t>9,65</t>
        </is>
      </c>
      <c r="D760" s="38" t="inlineStr">
        <is>
          <t>384,6</t>
        </is>
      </c>
      <c r="E760" s="38" t="inlineStr">
        <is>
          <t>7</t>
        </is>
      </c>
    </row>
    <row r="761" ht="15" customHeight="1" s="39">
      <c r="A761" s="42" t="inlineStr">
        <is>
          <t>171848</t>
        </is>
      </c>
      <c r="B761" s="38" t="inlineStr">
        <is>
          <t>Santa Pau</t>
        </is>
      </c>
      <c r="C761" s="38" t="inlineStr">
        <is>
          <t>49,01</t>
        </is>
      </c>
      <c r="D761" s="38" t="inlineStr">
        <is>
          <t>32,2</t>
        </is>
      </c>
      <c r="E761" s="38" t="inlineStr">
        <is>
          <t>13</t>
        </is>
      </c>
    </row>
    <row r="762" ht="15" customHeight="1" s="39">
      <c r="A762" s="42" t="inlineStr">
        <is>
          <t>082606</t>
        </is>
      </c>
      <c r="B762" s="38" t="inlineStr">
        <is>
          <t>Santa Perpètua de Mogoda</t>
        </is>
      </c>
      <c r="C762" s="38" t="inlineStr">
        <is>
          <t>15,83</t>
        </is>
      </c>
      <c r="D762" s="38" t="inlineStr">
        <is>
          <t>1648,8</t>
        </is>
      </c>
      <c r="E762" s="38" t="inlineStr">
        <is>
          <t>4</t>
        </is>
      </c>
    </row>
    <row r="763" ht="15" customHeight="1" s="39">
      <c r="A763" s="42" t="inlineStr">
        <is>
          <t>082613</t>
        </is>
      </c>
      <c r="B763" s="38" t="inlineStr">
        <is>
          <t>Santa Susanna</t>
        </is>
      </c>
      <c r="C763" s="38" t="inlineStr">
        <is>
          <t>12,63</t>
        </is>
      </c>
      <c r="D763" s="38" t="inlineStr">
        <is>
          <t>320,6</t>
        </is>
      </c>
      <c r="E763" s="38" t="inlineStr">
        <is>
          <t>7</t>
        </is>
      </c>
    </row>
    <row r="764" ht="15" customHeight="1" s="39">
      <c r="A764" s="42" t="inlineStr">
        <is>
          <t>081923</t>
        </is>
      </c>
      <c r="B764" s="38" t="inlineStr">
        <is>
          <t>Santpedor</t>
        </is>
      </c>
      <c r="C764" s="38" t="inlineStr">
        <is>
          <t>16,50</t>
        </is>
      </c>
      <c r="D764" s="38" t="inlineStr">
        <is>
          <t>469,0</t>
        </is>
      </c>
      <c r="E764" s="38" t="inlineStr">
        <is>
          <t>2</t>
        </is>
      </c>
    </row>
    <row r="765" ht="15" customHeight="1" s="39">
      <c r="A765" s="42" t="inlineStr">
        <is>
          <t>431423</t>
        </is>
      </c>
      <c r="B765" s="38" t="inlineStr">
        <is>
          <t>Sarral</t>
        </is>
      </c>
      <c r="C765" s="38" t="inlineStr">
        <is>
          <t>52,39</t>
        </is>
      </c>
      <c r="D765" s="38" t="inlineStr">
        <is>
          <t>31,4</t>
        </is>
      </c>
      <c r="E765" s="38" t="inlineStr">
        <is>
          <t>3</t>
        </is>
      </c>
    </row>
    <row r="766" ht="15" customHeight="1" s="39">
      <c r="A766" s="42" t="inlineStr">
        <is>
          <t>171864</t>
        </is>
      </c>
      <c r="B766" s="38" t="inlineStr">
        <is>
          <t>Sarrià de Ter</t>
        </is>
      </c>
      <c r="C766" s="38" t="inlineStr">
        <is>
          <t>4,16</t>
        </is>
      </c>
      <c r="D766" s="38" t="inlineStr">
        <is>
          <t>1299,0</t>
        </is>
      </c>
      <c r="E766" s="38" t="inlineStr">
        <is>
          <t>1</t>
        </is>
      </c>
    </row>
    <row r="767" ht="15" customHeight="1" s="39">
      <c r="A767" s="42" t="inlineStr">
        <is>
          <t>252017</t>
        </is>
      </c>
      <c r="B767" s="38" t="inlineStr">
        <is>
          <t>Sarroca de Bellera</t>
        </is>
      </c>
      <c r="C767" s="38" t="inlineStr">
        <is>
          <t>87,51</t>
        </is>
      </c>
      <c r="D767" s="38" t="inlineStr">
        <is>
          <t>1,3</t>
        </is>
      </c>
      <c r="E767" s="38" t="inlineStr">
        <is>
          <t>17</t>
        </is>
      </c>
    </row>
    <row r="768" ht="15" customHeight="1" s="39">
      <c r="A768" s="42" t="inlineStr">
        <is>
          <t>252000</t>
        </is>
      </c>
      <c r="B768" s="38" t="inlineStr">
        <is>
          <t>Sarroca de Lleida</t>
        </is>
      </c>
      <c r="C768" s="38" t="inlineStr">
        <is>
          <t>42,18</t>
        </is>
      </c>
      <c r="D768" s="38" t="inlineStr">
        <is>
          <t>9,1</t>
        </is>
      </c>
      <c r="E768" s="38" t="inlineStr">
        <is>
          <t>1</t>
        </is>
      </c>
    </row>
    <row r="769" ht="15" customHeight="1" s="39">
      <c r="A769" s="42" t="inlineStr">
        <is>
          <t>171870</t>
        </is>
      </c>
      <c r="B769" s="38" t="inlineStr">
        <is>
          <t>Saus, Camallera i Llampaies</t>
        </is>
      </c>
      <c r="C769" s="38" t="inlineStr">
        <is>
          <t>11,36</t>
        </is>
      </c>
      <c r="D769" s="38" t="inlineStr">
        <is>
          <t>79,9</t>
        </is>
      </c>
      <c r="E769" s="38" t="inlineStr">
        <is>
          <t>3</t>
        </is>
      </c>
    </row>
    <row r="770" ht="15" customHeight="1" s="39">
      <c r="A770" s="42" t="inlineStr">
        <is>
          <t>431439</t>
        </is>
      </c>
      <c r="B770" s="38" t="inlineStr">
        <is>
          <t>Savallà del Comtat</t>
        </is>
      </c>
      <c r="C770" s="38" t="inlineStr">
        <is>
          <t>14,80</t>
        </is>
      </c>
      <c r="D770" s="38" t="inlineStr">
        <is>
          <t>3,3</t>
        </is>
      </c>
      <c r="E770" s="38" t="inlineStr">
        <is>
          <t>2</t>
        </is>
      </c>
    </row>
    <row r="771" ht="15" customHeight="1" s="39">
      <c r="A771" s="42" t="inlineStr">
        <is>
          <t>431444</t>
        </is>
      </c>
      <c r="B771" s="38" t="inlineStr">
        <is>
          <t>Secuita, la</t>
        </is>
      </c>
      <c r="C771" s="38" t="inlineStr">
        <is>
          <t>17,77</t>
        </is>
      </c>
      <c r="D771" s="38" t="inlineStr">
        <is>
          <t>104,0</t>
        </is>
      </c>
      <c r="E771" s="38" t="inlineStr">
        <is>
          <t>5</t>
        </is>
      </c>
    </row>
    <row r="772" ht="15" customHeight="1" s="39">
      <c r="A772" s="42" t="inlineStr">
        <is>
          <t>171886</t>
        </is>
      </c>
      <c r="B772" s="38" t="inlineStr">
        <is>
          <t>Selva de Mar, la</t>
        </is>
      </c>
      <c r="C772" s="38" t="inlineStr">
        <is>
          <t>7,19</t>
        </is>
      </c>
      <c r="D772" s="38" t="inlineStr">
        <is>
          <t>31,0</t>
        </is>
      </c>
      <c r="E772" s="38" t="inlineStr">
        <is>
          <t>1</t>
        </is>
      </c>
    </row>
    <row r="773" ht="15" customHeight="1" s="39">
      <c r="A773" s="42" t="inlineStr">
        <is>
          <t>431457</t>
        </is>
      </c>
      <c r="B773" s="38" t="inlineStr">
        <is>
          <t>Selva del Camp, la</t>
        </is>
      </c>
      <c r="C773" s="38" t="inlineStr">
        <is>
          <t>35,31</t>
        </is>
      </c>
      <c r="D773" s="38" t="inlineStr">
        <is>
          <t>162,9</t>
        </is>
      </c>
      <c r="E773" s="38" t="inlineStr">
        <is>
          <t>3</t>
        </is>
      </c>
    </row>
    <row r="774" ht="15" customHeight="1" s="39">
      <c r="A774" s="42" t="inlineStr">
        <is>
          <t>431460</t>
        </is>
      </c>
      <c r="B774" s="38" t="inlineStr">
        <is>
          <t>Senan</t>
        </is>
      </c>
      <c r="C774" s="38" t="inlineStr">
        <is>
          <t>11,70</t>
        </is>
      </c>
      <c r="D774" s="38" t="inlineStr">
        <is>
          <t>4,0</t>
        </is>
      </c>
      <c r="E774" s="38" t="inlineStr">
        <is>
          <t>1</t>
        </is>
      </c>
    </row>
    <row r="775" ht="15" customHeight="1" s="39">
      <c r="A775" s="42" t="inlineStr">
        <is>
          <t>430445</t>
        </is>
      </c>
      <c r="B775" s="38" t="inlineStr">
        <is>
          <t>Sénia, la</t>
        </is>
      </c>
      <c r="C775" s="38" t="inlineStr">
        <is>
          <t>108,41</t>
        </is>
      </c>
      <c r="D775" s="38" t="inlineStr">
        <is>
          <t>51,7</t>
        </is>
      </c>
      <c r="E775" s="38" t="inlineStr">
        <is>
          <t>2</t>
        </is>
      </c>
    </row>
    <row r="776" ht="15" customHeight="1" s="39">
      <c r="A776" s="42" t="inlineStr">
        <is>
          <t>252022</t>
        </is>
      </c>
      <c r="B776" s="38" t="inlineStr">
        <is>
          <t>Senterada</t>
        </is>
      </c>
      <c r="C776" s="38" t="inlineStr">
        <is>
          <t>34,45</t>
        </is>
      </c>
      <c r="D776" s="38" t="inlineStr">
        <is>
          <t>4,7</t>
        </is>
      </c>
      <c r="E776" s="38" t="inlineStr">
        <is>
          <t>9</t>
        </is>
      </c>
    </row>
    <row r="777" ht="15" customHeight="1" s="39">
      <c r="A777" s="42" t="inlineStr">
        <is>
          <t>250352</t>
        </is>
      </c>
      <c r="B777" s="38" t="inlineStr">
        <is>
          <t>Sentiu de Sió, la</t>
        </is>
      </c>
      <c r="C777" s="38" t="inlineStr">
        <is>
          <t>29,62</t>
        </is>
      </c>
      <c r="D777" s="38" t="inlineStr">
        <is>
          <t>15,1</t>
        </is>
      </c>
      <c r="E777" s="38" t="inlineStr">
        <is>
          <t>4</t>
        </is>
      </c>
    </row>
    <row r="778" ht="15" customHeight="1" s="39">
      <c r="A778" s="42" t="inlineStr">
        <is>
          <t>082671</t>
        </is>
      </c>
      <c r="B778" s="38" t="inlineStr">
        <is>
          <t>Sentmenat</t>
        </is>
      </c>
      <c r="C778" s="38" t="inlineStr">
        <is>
          <t>28,80</t>
        </is>
      </c>
      <c r="D778" s="38" t="inlineStr">
        <is>
          <t>330,8</t>
        </is>
      </c>
      <c r="E778" s="38" t="inlineStr">
        <is>
          <t>4</t>
        </is>
      </c>
    </row>
    <row r="779" ht="15" customHeight="1" s="39">
      <c r="A779" s="42" t="inlineStr">
        <is>
          <t>171903</t>
        </is>
      </c>
      <c r="B779" s="38" t="inlineStr">
        <is>
          <t>Serinyà</t>
        </is>
      </c>
      <c r="C779" s="38" t="inlineStr">
        <is>
          <t>17,38</t>
        </is>
      </c>
      <c r="D779" s="38" t="inlineStr">
        <is>
          <t>70,6</t>
        </is>
      </c>
      <c r="E779" s="38" t="inlineStr">
        <is>
          <t>5</t>
        </is>
      </c>
    </row>
    <row r="780" ht="15" customHeight="1" s="39">
      <c r="A780" s="42" t="inlineStr">
        <is>
          <t>252043</t>
        </is>
      </c>
      <c r="B780" s="38" t="inlineStr">
        <is>
          <t>Seròs</t>
        </is>
      </c>
      <c r="C780" s="38" t="inlineStr">
        <is>
          <t>85,75</t>
        </is>
      </c>
      <c r="D780" s="38" t="inlineStr">
        <is>
          <t>22,4</t>
        </is>
      </c>
      <c r="E780" s="38" t="inlineStr">
        <is>
          <t>1</t>
        </is>
      </c>
    </row>
    <row r="781" ht="15" customHeight="1" s="39">
      <c r="A781" s="42" t="inlineStr">
        <is>
          <t>171910</t>
        </is>
      </c>
      <c r="B781" s="38" t="inlineStr">
        <is>
          <t>Serra de Daró</t>
        </is>
      </c>
      <c r="C781" s="38" t="inlineStr">
        <is>
          <t>7,91</t>
        </is>
      </c>
      <c r="D781" s="38" t="inlineStr">
        <is>
          <t>30,5</t>
        </is>
      </c>
      <c r="E781" s="38" t="inlineStr">
        <is>
          <t>2</t>
        </is>
      </c>
    </row>
    <row r="782" ht="15" customHeight="1" s="39">
      <c r="A782" s="42" t="inlineStr">
        <is>
          <t>171925</t>
        </is>
      </c>
      <c r="B782" s="38" t="inlineStr">
        <is>
          <t>Setcases</t>
        </is>
      </c>
      <c r="C782" s="38" t="inlineStr">
        <is>
          <t>49,12</t>
        </is>
      </c>
      <c r="D782" s="38" t="inlineStr">
        <is>
          <t>4,0</t>
        </is>
      </c>
      <c r="E782" s="38" t="inlineStr">
        <is>
          <t>3</t>
        </is>
      </c>
    </row>
    <row r="783" ht="15" customHeight="1" s="39">
      <c r="A783" s="42" t="inlineStr">
        <is>
          <t>252038</t>
        </is>
      </c>
      <c r="B783" s="38" t="inlineStr">
        <is>
          <t>Seu d'Urgell, la</t>
        </is>
      </c>
      <c r="C783" s="38" t="inlineStr">
        <is>
          <t>15,45</t>
        </is>
      </c>
      <c r="D783" s="38" t="inlineStr">
        <is>
          <t>841,6</t>
        </is>
      </c>
      <c r="E783" s="38" t="inlineStr">
        <is>
          <t>7</t>
        </is>
      </c>
    </row>
    <row r="784" ht="15" customHeight="1" s="39">
      <c r="A784" s="42" t="inlineStr">
        <is>
          <t>082690</t>
        </is>
      </c>
      <c r="B784" s="38" t="inlineStr">
        <is>
          <t>Seva</t>
        </is>
      </c>
      <c r="C784" s="38" t="inlineStr">
        <is>
          <t>30,40</t>
        </is>
      </c>
      <c r="D784" s="38" t="inlineStr">
        <is>
          <t>125,6</t>
        </is>
      </c>
      <c r="E784" s="38" t="inlineStr">
        <is>
          <t>2</t>
        </is>
      </c>
    </row>
    <row r="785" ht="15" customHeight="1" s="39">
      <c r="A785" s="42" t="inlineStr">
        <is>
          <t>252056</t>
        </is>
      </c>
      <c r="B785" s="38" t="inlineStr">
        <is>
          <t>Sidamon</t>
        </is>
      </c>
      <c r="C785" s="38" t="inlineStr">
        <is>
          <t>8,12</t>
        </is>
      </c>
      <c r="D785" s="38" t="inlineStr">
        <is>
          <t>93,2</t>
        </is>
      </c>
      <c r="E785" s="38" t="inlineStr">
        <is>
          <t>1</t>
        </is>
      </c>
    </row>
    <row r="786" ht="15" customHeight="1" s="39">
      <c r="A786" s="42" t="inlineStr">
        <is>
          <t>171931</t>
        </is>
      </c>
      <c r="B786" s="38" t="inlineStr">
        <is>
          <t>Sils</t>
        </is>
      </c>
      <c r="C786" s="38" t="inlineStr">
        <is>
          <t>29,91</t>
        </is>
      </c>
      <c r="D786" s="38" t="inlineStr">
        <is>
          <t>231,5</t>
        </is>
      </c>
      <c r="E786" s="38" t="inlineStr">
        <is>
          <t>10</t>
        </is>
      </c>
    </row>
    <row r="787" ht="15" customHeight="1" s="39">
      <c r="A787" s="42" t="inlineStr">
        <is>
          <t>082704</t>
        </is>
      </c>
      <c r="B787" s="38" t="inlineStr">
        <is>
          <t>Sitges</t>
        </is>
      </c>
      <c r="C787" s="38" t="inlineStr">
        <is>
          <t>43,85</t>
        </is>
      </c>
      <c r="D787" s="38" t="inlineStr">
        <is>
          <t>745,5</t>
        </is>
      </c>
      <c r="E787" s="38" t="inlineStr">
        <is>
          <t>4</t>
        </is>
      </c>
    </row>
    <row r="788" ht="15" customHeight="1" s="39">
      <c r="A788" s="42" t="inlineStr">
        <is>
          <t>170524</t>
        </is>
      </c>
      <c r="B788" s="38" t="inlineStr">
        <is>
          <t>Siurana</t>
        </is>
      </c>
      <c r="C788" s="38" t="inlineStr">
        <is>
          <t>10,53</t>
        </is>
      </c>
      <c r="D788" s="38" t="inlineStr">
        <is>
          <t>17,9</t>
        </is>
      </c>
      <c r="E788" s="38" t="inlineStr">
        <is>
          <t>1</t>
        </is>
      </c>
    </row>
    <row r="789" ht="15" customHeight="1" s="39">
      <c r="A789" s="42" t="inlineStr">
        <is>
          <t>082711</t>
        </is>
      </c>
      <c r="B789" s="38" t="inlineStr">
        <is>
          <t>Sobremunt</t>
        </is>
      </c>
      <c r="C789" s="38" t="inlineStr">
        <is>
          <t>13,80</t>
        </is>
      </c>
      <c r="D789" s="38" t="inlineStr">
        <is>
          <t>6,4</t>
        </is>
      </c>
      <c r="E789" s="38" t="inlineStr">
        <is>
          <t>3</t>
        </is>
      </c>
    </row>
    <row r="790" ht="15" customHeight="1" s="39">
      <c r="A790" s="42" t="inlineStr">
        <is>
          <t>252069</t>
        </is>
      </c>
      <c r="B790" s="38" t="inlineStr">
        <is>
          <t>Soleràs, el</t>
        </is>
      </c>
      <c r="C790" s="38" t="inlineStr">
        <is>
          <t>12,23</t>
        </is>
      </c>
      <c r="D790" s="38" t="inlineStr">
        <is>
          <t>25,6</t>
        </is>
      </c>
      <c r="E790" s="38" t="inlineStr">
        <is>
          <t>1</t>
        </is>
      </c>
    </row>
    <row r="791" ht="15" customHeight="1" s="39">
      <c r="A791" s="42" t="inlineStr">
        <is>
          <t>431476</t>
        </is>
      </c>
      <c r="B791" s="38" t="inlineStr">
        <is>
          <t>Solivella</t>
        </is>
      </c>
      <c r="C791" s="38" t="inlineStr">
        <is>
          <t>21,37</t>
        </is>
      </c>
      <c r="D791" s="38" t="inlineStr">
        <is>
          <t>29,9</t>
        </is>
      </c>
      <c r="E791" s="38" t="inlineStr">
        <is>
          <t>1</t>
        </is>
      </c>
    </row>
    <row r="792" ht="15" customHeight="1" s="39">
      <c r="A792" s="42" t="inlineStr">
        <is>
          <t>252075</t>
        </is>
      </c>
      <c r="B792" s="38" t="inlineStr">
        <is>
          <t>Solsona</t>
        </is>
      </c>
      <c r="C792" s="38" t="inlineStr">
        <is>
          <t>17,70</t>
        </is>
      </c>
      <c r="D792" s="38" t="inlineStr">
        <is>
          <t>550,3</t>
        </is>
      </c>
      <c r="E792" s="38" t="inlineStr">
        <is>
          <t>1</t>
        </is>
      </c>
    </row>
    <row r="793" ht="15" customHeight="1" s="39">
      <c r="A793" s="42" t="inlineStr">
        <is>
          <t>082726</t>
        </is>
      </c>
      <c r="B793" s="38" t="inlineStr">
        <is>
          <t>Sora</t>
        </is>
      </c>
      <c r="C793" s="38" t="inlineStr">
        <is>
          <t>31,71</t>
        </is>
      </c>
      <c r="D793" s="38" t="inlineStr">
        <is>
          <t>7,1</t>
        </is>
      </c>
      <c r="E793" s="38" t="inlineStr">
        <is>
          <t>3</t>
        </is>
      </c>
    </row>
    <row r="794" ht="15" customHeight="1" s="39">
      <c r="A794" s="42" t="inlineStr">
        <is>
          <t>252081</t>
        </is>
      </c>
      <c r="B794" s="38" t="inlineStr">
        <is>
          <t>Soriguera</t>
        </is>
      </c>
      <c r="C794" s="38" t="inlineStr">
        <is>
          <t>106,39</t>
        </is>
      </c>
      <c r="D794" s="38" t="inlineStr">
        <is>
          <t>4,2</t>
        </is>
      </c>
      <c r="E794" s="38" t="inlineStr">
        <is>
          <t>16</t>
        </is>
      </c>
    </row>
    <row r="795" ht="15" customHeight="1" s="39">
      <c r="A795" s="42" t="inlineStr">
        <is>
          <t>252094</t>
        </is>
      </c>
      <c r="B795" s="38" t="inlineStr">
        <is>
          <t>Sort</t>
        </is>
      </c>
      <c r="C795" s="38" t="inlineStr">
        <is>
          <t>105,05</t>
        </is>
      </c>
      <c r="D795" s="38" t="inlineStr">
        <is>
          <t>21,8</t>
        </is>
      </c>
      <c r="E795" s="38" t="inlineStr">
        <is>
          <t>15</t>
        </is>
      </c>
    </row>
    <row r="796" ht="15" customHeight="1" s="39">
      <c r="A796" s="42" t="inlineStr">
        <is>
          <t>252108</t>
        </is>
      </c>
      <c r="B796" s="38" t="inlineStr">
        <is>
          <t>Soses</t>
        </is>
      </c>
      <c r="C796" s="38" t="inlineStr">
        <is>
          <t>30,16</t>
        </is>
      </c>
      <c r="D796" s="38" t="inlineStr">
        <is>
          <t>62,5</t>
        </is>
      </c>
      <c r="E796" s="38" t="inlineStr">
        <is>
          <t>1</t>
        </is>
      </c>
    </row>
    <row r="797" ht="15" customHeight="1" s="39">
      <c r="A797" s="42" t="inlineStr">
        <is>
          <t>082732</t>
        </is>
      </c>
      <c r="B797" s="38" t="inlineStr">
        <is>
          <t>Subirats</t>
        </is>
      </c>
      <c r="C797" s="38" t="inlineStr">
        <is>
          <t>55,89</t>
        </is>
      </c>
      <c r="D797" s="38" t="inlineStr">
        <is>
          <t>58,8</t>
        </is>
      </c>
      <c r="E797" s="38" t="inlineStr">
        <is>
          <t>15</t>
        </is>
      </c>
    </row>
    <row r="798" ht="15" customHeight="1" s="39">
      <c r="A798" s="42" t="inlineStr">
        <is>
          <t>252115</t>
        </is>
      </c>
      <c r="B798" s="38" t="inlineStr">
        <is>
          <t>Sudanell</t>
        </is>
      </c>
      <c r="C798" s="38" t="inlineStr">
        <is>
          <t>8,69</t>
        </is>
      </c>
      <c r="D798" s="38" t="inlineStr">
        <is>
          <t>105,9</t>
        </is>
      </c>
      <c r="E798" s="38" t="inlineStr">
        <is>
          <t>1</t>
        </is>
      </c>
    </row>
    <row r="799" ht="15" customHeight="1" s="39">
      <c r="A799" s="42" t="inlineStr">
        <is>
          <t>252120</t>
        </is>
      </c>
      <c r="B799" s="38" t="inlineStr">
        <is>
          <t>Sunyer</t>
        </is>
      </c>
      <c r="C799" s="38" t="inlineStr">
        <is>
          <t>12,66</t>
        </is>
      </c>
      <c r="D799" s="38" t="inlineStr">
        <is>
          <t>24,5</t>
        </is>
      </c>
      <c r="E799" s="38" t="inlineStr">
        <is>
          <t>1</t>
        </is>
      </c>
    </row>
    <row r="800" ht="15" customHeight="1" s="39">
      <c r="A800" s="42" t="inlineStr">
        <is>
          <t>082747</t>
        </is>
      </c>
      <c r="B800" s="38" t="inlineStr">
        <is>
          <t>Súria</t>
        </is>
      </c>
      <c r="C800" s="38" t="inlineStr">
        <is>
          <t>23,60</t>
        </is>
      </c>
      <c r="D800" s="38" t="inlineStr">
        <is>
          <t>262,5</t>
        </is>
      </c>
      <c r="E800" s="38" t="inlineStr">
        <is>
          <t>2</t>
        </is>
      </c>
    </row>
    <row r="801" ht="15" customHeight="1" s="39">
      <c r="A801" s="42" t="inlineStr">
        <is>
          <t>171946</t>
        </is>
      </c>
      <c r="B801" s="38" t="inlineStr">
        <is>
          <t>Susqueda</t>
        </is>
      </c>
      <c r="C801" s="38" t="inlineStr">
        <is>
          <t>50,61</t>
        </is>
      </c>
      <c r="D801" s="38" t="inlineStr">
        <is>
          <t>2,0</t>
        </is>
      </c>
      <c r="E801" s="38" t="inlineStr">
        <is>
          <t>4</t>
        </is>
      </c>
    </row>
    <row r="802" ht="15" customHeight="1" s="39">
      <c r="A802" s="42" t="inlineStr">
        <is>
          <t>082763</t>
        </is>
      </c>
      <c r="B802" s="38" t="inlineStr">
        <is>
          <t>Tagamanent</t>
        </is>
      </c>
      <c r="C802" s="38" t="inlineStr">
        <is>
          <t>43,31</t>
        </is>
      </c>
      <c r="D802" s="38" t="inlineStr">
        <is>
          <t>7,6</t>
        </is>
      </c>
      <c r="E802" s="38" t="inlineStr">
        <is>
          <t>4</t>
        </is>
      </c>
    </row>
    <row r="803" ht="15" customHeight="1" s="39">
      <c r="A803" s="42" t="inlineStr">
        <is>
          <t>082779</t>
        </is>
      </c>
      <c r="B803" s="38" t="inlineStr">
        <is>
          <t>Talamanca</t>
        </is>
      </c>
      <c r="C803" s="38" t="inlineStr">
        <is>
          <t>29,43</t>
        </is>
      </c>
      <c r="D803" s="38" t="inlineStr">
        <is>
          <t>7,1</t>
        </is>
      </c>
      <c r="E803" s="38" t="inlineStr">
        <is>
          <t>1</t>
        </is>
      </c>
    </row>
    <row r="804" ht="15" customHeight="1" s="39">
      <c r="A804" s="42" t="inlineStr">
        <is>
          <t>252154</t>
        </is>
      </c>
      <c r="B804" s="38" t="inlineStr">
        <is>
          <t>Talarn</t>
        </is>
      </c>
      <c r="C804" s="38" t="inlineStr">
        <is>
          <t>27,95</t>
        </is>
      </c>
      <c r="D804" s="38" t="inlineStr">
        <is>
          <t>20,0</t>
        </is>
      </c>
      <c r="E804" s="38" t="inlineStr">
        <is>
          <t>3</t>
        </is>
      </c>
    </row>
    <row r="805" ht="15" customHeight="1" s="39">
      <c r="A805" s="42" t="inlineStr">
        <is>
          <t>252167</t>
        </is>
      </c>
      <c r="B805" s="38" t="inlineStr">
        <is>
          <t>Talavera</t>
        </is>
      </c>
      <c r="C805" s="38" t="inlineStr">
        <is>
          <t>30,11</t>
        </is>
      </c>
      <c r="D805" s="38" t="inlineStr">
        <is>
          <t>9,3</t>
        </is>
      </c>
      <c r="E805" s="38" t="inlineStr">
        <is>
          <t>6</t>
        </is>
      </c>
    </row>
    <row r="806" ht="15" customHeight="1" s="39">
      <c r="A806" s="42" t="inlineStr">
        <is>
          <t>171959</t>
        </is>
      </c>
      <c r="B806" s="38" t="inlineStr">
        <is>
          <t>Tallada d'Empordà, la</t>
        </is>
      </c>
      <c r="C806" s="38" t="inlineStr">
        <is>
          <t>16,56</t>
        </is>
      </c>
      <c r="D806" s="38" t="inlineStr">
        <is>
          <t>29,3</t>
        </is>
      </c>
      <c r="E806" s="38" t="inlineStr">
        <is>
          <t>4</t>
        </is>
      </c>
    </row>
    <row r="807" ht="15" customHeight="1" s="39">
      <c r="A807" s="42" t="inlineStr">
        <is>
          <t>082785</t>
        </is>
      </c>
      <c r="B807" s="38" t="inlineStr">
        <is>
          <t>Taradell</t>
        </is>
      </c>
      <c r="C807" s="38" t="inlineStr">
        <is>
          <t>26,48</t>
        </is>
      </c>
      <c r="D807" s="38" t="inlineStr">
        <is>
          <t>258,2</t>
        </is>
      </c>
      <c r="E807" s="38" t="inlineStr">
        <is>
          <t>3</t>
        </is>
      </c>
    </row>
    <row r="808" ht="15" customHeight="1" s="39">
      <c r="A808" s="42" t="inlineStr">
        <is>
          <t>431482</t>
        </is>
      </c>
      <c r="B808" s="38" t="inlineStr">
        <is>
          <t>Tarragona</t>
        </is>
      </c>
      <c r="C808" s="38" t="inlineStr">
        <is>
          <t>57,89</t>
        </is>
      </c>
      <c r="D808" s="38" t="inlineStr">
        <is>
          <t>2474,7</t>
        </is>
      </c>
      <c r="E808" s="38" t="inlineStr">
        <is>
          <t>15</t>
        </is>
      </c>
    </row>
    <row r="809" ht="15" customHeight="1" s="39">
      <c r="A809" s="42" t="inlineStr">
        <is>
          <t>252173</t>
        </is>
      </c>
      <c r="B809" s="38" t="inlineStr">
        <is>
          <t>Tàrrega</t>
        </is>
      </c>
      <c r="C809" s="38" t="inlineStr">
        <is>
          <t>88,36</t>
        </is>
      </c>
      <c r="D809" s="38" t="inlineStr">
        <is>
          <t>214,9</t>
        </is>
      </c>
      <c r="E809" s="38" t="inlineStr">
        <is>
          <t>7</t>
        </is>
      </c>
    </row>
    <row r="810" ht="15" customHeight="1" s="39">
      <c r="A810" s="42" t="inlineStr">
        <is>
          <t>252189</t>
        </is>
      </c>
      <c r="B810" s="38" t="inlineStr">
        <is>
          <t>Tarrés</t>
        </is>
      </c>
      <c r="C810" s="38" t="inlineStr">
        <is>
          <t>13,01</t>
        </is>
      </c>
      <c r="D810" s="38" t="inlineStr">
        <is>
          <t>9,6</t>
        </is>
      </c>
      <c r="E810" s="38" t="inlineStr">
        <is>
          <t>1</t>
        </is>
      </c>
    </row>
    <row r="811" ht="15" customHeight="1" s="39">
      <c r="A811" s="42" t="inlineStr">
        <is>
          <t>252192</t>
        </is>
      </c>
      <c r="B811" s="38" t="inlineStr">
        <is>
          <t>Tarroja de Segarra</t>
        </is>
      </c>
      <c r="C811" s="38" t="inlineStr">
        <is>
          <t>7,61</t>
        </is>
      </c>
      <c r="D811" s="38" t="inlineStr">
        <is>
          <t>21,4</t>
        </is>
      </c>
      <c r="E811" s="38" t="inlineStr">
        <is>
          <t>1</t>
        </is>
      </c>
    </row>
    <row r="812" ht="15" customHeight="1" s="39">
      <c r="A812" s="42" t="inlineStr">
        <is>
          <t>082750</t>
        </is>
      </c>
      <c r="B812" s="38" t="inlineStr">
        <is>
          <t>Tavèrnoles</t>
        </is>
      </c>
      <c r="C812" s="38" t="inlineStr">
        <is>
          <t>18,78</t>
        </is>
      </c>
      <c r="D812" s="38" t="inlineStr">
        <is>
          <t>18,8</t>
        </is>
      </c>
      <c r="E812" s="38" t="inlineStr">
        <is>
          <t>1</t>
        </is>
      </c>
    </row>
    <row r="813" ht="15" customHeight="1" s="39">
      <c r="A813" s="42" t="inlineStr">
        <is>
          <t>082802</t>
        </is>
      </c>
      <c r="B813" s="38" t="inlineStr">
        <is>
          <t>Tavertet</t>
        </is>
      </c>
      <c r="C813" s="38" t="inlineStr">
        <is>
          <t>32,49</t>
        </is>
      </c>
      <c r="D813" s="38" t="inlineStr">
        <is>
          <t>3,9</t>
        </is>
      </c>
      <c r="E813" s="38" t="inlineStr">
        <is>
          <t>2</t>
        </is>
      </c>
    </row>
    <row r="814" ht="15" customHeight="1" s="39">
      <c r="A814" s="42" t="inlineStr">
        <is>
          <t>082819</t>
        </is>
      </c>
      <c r="B814" s="38" t="inlineStr">
        <is>
          <t>Teià</t>
        </is>
      </c>
      <c r="C814" s="38" t="inlineStr">
        <is>
          <t>6,63</t>
        </is>
      </c>
      <c r="D814" s="38" t="inlineStr">
        <is>
          <t>1039,8</t>
        </is>
      </c>
      <c r="E814" s="38" t="inlineStr">
        <is>
          <t>8</t>
        </is>
      </c>
    </row>
    <row r="815" ht="15" customHeight="1" s="39">
      <c r="A815" s="42" t="inlineStr">
        <is>
          <t>252206</t>
        </is>
      </c>
      <c r="B815" s="38" t="inlineStr">
        <is>
          <t>Térmens</t>
        </is>
      </c>
      <c r="C815" s="38" t="inlineStr">
        <is>
          <t>27,54</t>
        </is>
      </c>
      <c r="D815" s="38" t="inlineStr">
        <is>
          <t>48,8</t>
        </is>
      </c>
      <c r="E815" s="38" t="inlineStr">
        <is>
          <t>1</t>
        </is>
      </c>
    </row>
    <row r="816" ht="15" customHeight="1" s="39">
      <c r="A816" s="42" t="inlineStr">
        <is>
          <t>171962</t>
        </is>
      </c>
      <c r="B816" s="38" t="inlineStr">
        <is>
          <t>Terrades</t>
        </is>
      </c>
      <c r="C816" s="38" t="inlineStr">
        <is>
          <t>20,96</t>
        </is>
      </c>
      <c r="D816" s="38" t="inlineStr">
        <is>
          <t>16,1</t>
        </is>
      </c>
      <c r="E816" s="38" t="inlineStr">
        <is>
          <t>3</t>
        </is>
      </c>
    </row>
    <row r="817" ht="15" customHeight="1" s="39">
      <c r="A817" s="42" t="inlineStr">
        <is>
          <t>082798</t>
        </is>
      </c>
      <c r="B817" s="38" t="inlineStr">
        <is>
          <t>Terrassa</t>
        </is>
      </c>
      <c r="C817" s="38" t="inlineStr">
        <is>
          <t>70,16</t>
        </is>
      </c>
      <c r="D817" s="38" t="inlineStr">
        <is>
          <t>3316,4</t>
        </is>
      </c>
      <c r="E817" s="38" t="inlineStr">
        <is>
          <t>5</t>
        </is>
      </c>
    </row>
    <row r="818" ht="15" customHeight="1" s="39">
      <c r="A818" s="42" t="inlineStr">
        <is>
          <t>082824</t>
        </is>
      </c>
      <c r="B818" s="38" t="inlineStr">
        <is>
          <t>Tiana</t>
        </is>
      </c>
      <c r="C818" s="38" t="inlineStr">
        <is>
          <t>7,95</t>
        </is>
      </c>
      <c r="D818" s="38" t="inlineStr">
        <is>
          <t>1177,6</t>
        </is>
      </c>
      <c r="E818" s="38" t="inlineStr">
        <is>
          <t>2</t>
        </is>
      </c>
    </row>
    <row r="819" ht="15" customHeight="1" s="39">
      <c r="A819" s="42" t="inlineStr">
        <is>
          <t>252213</t>
        </is>
      </c>
      <c r="B819" s="38" t="inlineStr">
        <is>
          <t>Tírvia</t>
        </is>
      </c>
      <c r="C819" s="38" t="inlineStr">
        <is>
          <t>8,50</t>
        </is>
      </c>
      <c r="D819" s="38" t="inlineStr">
        <is>
          <t>16,4</t>
        </is>
      </c>
      <c r="E819" s="38" t="inlineStr">
        <is>
          <t>3</t>
        </is>
      </c>
    </row>
    <row r="820" ht="15" customHeight="1" s="39">
      <c r="A820" s="42" t="inlineStr">
        <is>
          <t>252228</t>
        </is>
      </c>
      <c r="B820" s="38" t="inlineStr">
        <is>
          <t>Tiurana</t>
        </is>
      </c>
      <c r="C820" s="38" t="inlineStr">
        <is>
          <t>15,86</t>
        </is>
      </c>
      <c r="D820" s="38" t="inlineStr">
        <is>
          <t>4,4</t>
        </is>
      </c>
      <c r="E820" s="38" t="inlineStr">
        <is>
          <t>2</t>
        </is>
      </c>
    </row>
    <row r="821" ht="15" customHeight="1" s="39">
      <c r="A821" s="42" t="inlineStr">
        <is>
          <t>431495</t>
        </is>
      </c>
      <c r="B821" s="38" t="inlineStr">
        <is>
          <t>Tivenys</t>
        </is>
      </c>
      <c r="C821" s="38" t="inlineStr">
        <is>
          <t>53,54</t>
        </is>
      </c>
      <c r="D821" s="38" t="inlineStr">
        <is>
          <t>17,8</t>
        </is>
      </c>
      <c r="E821" s="38" t="inlineStr">
        <is>
          <t>1</t>
        </is>
      </c>
    </row>
    <row r="822" ht="15" customHeight="1" s="39">
      <c r="A822" s="42" t="inlineStr">
        <is>
          <t>431508</t>
        </is>
      </c>
      <c r="B822" s="38" t="inlineStr">
        <is>
          <t>Tivissa</t>
        </is>
      </c>
      <c r="C822" s="38" t="inlineStr">
        <is>
          <t>209,43</t>
        </is>
      </c>
      <c r="D822" s="38" t="inlineStr">
        <is>
          <t>7,9</t>
        </is>
      </c>
      <c r="E822" s="38" t="inlineStr">
        <is>
          <t>4</t>
        </is>
      </c>
    </row>
    <row r="823" ht="15" customHeight="1" s="39">
      <c r="A823" s="42" t="inlineStr">
        <is>
          <t>082830</t>
        </is>
      </c>
      <c r="B823" s="38" t="inlineStr">
        <is>
          <t>Tona</t>
        </is>
      </c>
      <c r="C823" s="38" t="inlineStr">
        <is>
          <t>16,54</t>
        </is>
      </c>
      <c r="D823" s="38" t="inlineStr">
        <is>
          <t>514,7</t>
        </is>
      </c>
      <c r="E823" s="38" t="inlineStr">
        <is>
          <t>1</t>
        </is>
      </c>
    </row>
    <row r="824" ht="15" customHeight="1" s="39">
      <c r="A824" s="42" t="inlineStr">
        <is>
          <t>252234</t>
        </is>
      </c>
      <c r="B824" s="38" t="inlineStr">
        <is>
          <t>Torà</t>
        </is>
      </c>
      <c r="C824" s="38" t="inlineStr">
        <is>
          <t>93,31</t>
        </is>
      </c>
      <c r="D824" s="38" t="inlineStr">
        <is>
          <t>13,2</t>
        </is>
      </c>
      <c r="E824" s="38" t="inlineStr">
        <is>
          <t>8</t>
        </is>
      </c>
    </row>
    <row r="825" ht="15" customHeight="1" s="39">
      <c r="A825" s="42" t="inlineStr">
        <is>
          <t>082845</t>
        </is>
      </c>
      <c r="B825" s="38" t="inlineStr">
        <is>
          <t>Tordera</t>
        </is>
      </c>
      <c r="C825" s="38" t="inlineStr">
        <is>
          <t>83,97</t>
        </is>
      </c>
      <c r="D825" s="38" t="inlineStr">
        <is>
          <t>226,8</t>
        </is>
      </c>
      <c r="E825" s="38" t="inlineStr">
        <is>
          <t>1</t>
        </is>
      </c>
    </row>
    <row r="826" ht="15" customHeight="1" s="39">
      <c r="A826" s="42" t="inlineStr">
        <is>
          <t>082858</t>
        </is>
      </c>
      <c r="B826" s="38" t="inlineStr">
        <is>
          <t>Torelló</t>
        </is>
      </c>
      <c r="C826" s="38" t="inlineStr">
        <is>
          <t>13,00</t>
        </is>
      </c>
      <c r="D826" s="38" t="inlineStr">
        <is>
          <t>1179,5</t>
        </is>
      </c>
      <c r="E826" s="38" t="inlineStr">
        <is>
          <t>1</t>
        </is>
      </c>
    </row>
    <row r="827" ht="15" customHeight="1" s="39">
      <c r="A827" s="42" t="inlineStr">
        <is>
          <t>252249</t>
        </is>
      </c>
      <c r="B827" s="38" t="inlineStr">
        <is>
          <t>Torms, els</t>
        </is>
      </c>
      <c r="C827" s="38" t="inlineStr">
        <is>
          <t>13,75</t>
        </is>
      </c>
      <c r="D827" s="38" t="inlineStr">
        <is>
          <t>9,8</t>
        </is>
      </c>
      <c r="E827" s="38" t="inlineStr">
        <is>
          <t>1</t>
        </is>
      </c>
    </row>
    <row r="828" ht="15" customHeight="1" s="39">
      <c r="A828" s="42" t="inlineStr">
        <is>
          <t>252252</t>
        </is>
      </c>
      <c r="B828" s="38" t="inlineStr">
        <is>
          <t>Tornabous</t>
        </is>
      </c>
      <c r="C828" s="38" t="inlineStr">
        <is>
          <t>24,17</t>
        </is>
      </c>
      <c r="D828" s="38" t="inlineStr">
        <is>
          <t>34,3</t>
        </is>
      </c>
      <c r="E828" s="38" t="inlineStr">
        <is>
          <t>3</t>
        </is>
      </c>
    </row>
    <row r="829" ht="15" customHeight="1" s="39">
      <c r="A829" s="42" t="inlineStr">
        <is>
          <t>252271</t>
        </is>
      </c>
      <c r="B829" s="38" t="inlineStr">
        <is>
          <t>Torre de Cabdella, la</t>
        </is>
      </c>
      <c r="C829" s="38" t="inlineStr">
        <is>
          <t>165,27</t>
        </is>
      </c>
      <c r="D829" s="38" t="inlineStr">
        <is>
          <t>4,6</t>
        </is>
      </c>
      <c r="E829" s="38" t="inlineStr">
        <is>
          <t>19</t>
        </is>
      </c>
    </row>
    <row r="830" ht="15" customHeight="1" s="39">
      <c r="A830" s="42" t="inlineStr">
        <is>
          <t>082861</t>
        </is>
      </c>
      <c r="B830" s="38" t="inlineStr">
        <is>
          <t>Torre de Claramunt, la</t>
        </is>
      </c>
      <c r="C830" s="38" t="inlineStr">
        <is>
          <t>15,02</t>
        </is>
      </c>
      <c r="D830" s="38" t="inlineStr">
        <is>
          <t>276,6</t>
        </is>
      </c>
      <c r="E830" s="38" t="inlineStr">
        <is>
          <t>9</t>
        </is>
      </c>
    </row>
    <row r="831" ht="15" customHeight="1" s="39">
      <c r="A831" s="42" t="inlineStr">
        <is>
          <t>431515</t>
        </is>
      </c>
      <c r="B831" s="38" t="inlineStr">
        <is>
          <t>Torre de Fontaubella, la</t>
        </is>
      </c>
      <c r="C831" s="38" t="inlineStr">
        <is>
          <t>7,11</t>
        </is>
      </c>
      <c r="D831" s="38" t="inlineStr">
        <is>
          <t>16,9</t>
        </is>
      </c>
      <c r="E831" s="38" t="inlineStr">
        <is>
          <t>1</t>
        </is>
      </c>
    </row>
    <row r="832" ht="15" customHeight="1" s="39">
      <c r="A832" s="42" t="inlineStr">
        <is>
          <t>431520</t>
        </is>
      </c>
      <c r="B832" s="38" t="inlineStr">
        <is>
          <t>Torre de l'Espanyol, la</t>
        </is>
      </c>
      <c r="C832" s="38" t="inlineStr">
        <is>
          <t>27,90</t>
        </is>
      </c>
      <c r="D832" s="38" t="inlineStr">
        <is>
          <t>23,0</t>
        </is>
      </c>
      <c r="E832" s="38" t="inlineStr">
        <is>
          <t>1</t>
        </is>
      </c>
    </row>
    <row r="833" ht="15" customHeight="1" s="39">
      <c r="A833" s="42" t="inlineStr">
        <is>
          <t>252265</t>
        </is>
      </c>
      <c r="B833" s="38" t="inlineStr">
        <is>
          <t>Torrebesses</t>
        </is>
      </c>
      <c r="C833" s="38" t="inlineStr">
        <is>
          <t>27,45</t>
        </is>
      </c>
      <c r="D833" s="38" t="inlineStr">
        <is>
          <t>10,2</t>
        </is>
      </c>
      <c r="E833" s="38" t="inlineStr">
        <is>
          <t>1</t>
        </is>
      </c>
    </row>
    <row r="834" ht="15" customHeight="1" s="39">
      <c r="A834" s="42" t="inlineStr">
        <is>
          <t>431536</t>
        </is>
      </c>
      <c r="B834" s="38" t="inlineStr">
        <is>
          <t>Torredembarra</t>
        </is>
      </c>
      <c r="C834" s="38" t="inlineStr">
        <is>
          <t>8,71</t>
        </is>
      </c>
      <c r="D834" s="38" t="inlineStr">
        <is>
          <t>2088,4</t>
        </is>
      </c>
      <c r="E834" s="38" t="inlineStr">
        <is>
          <t>3</t>
        </is>
      </c>
    </row>
    <row r="835" ht="15" customHeight="1" s="39">
      <c r="A835" s="42" t="inlineStr">
        <is>
          <t>252287</t>
        </is>
      </c>
      <c r="B835" s="38" t="inlineStr">
        <is>
          <t>Torrefarrera</t>
        </is>
      </c>
      <c r="C835" s="38" t="inlineStr">
        <is>
          <t>23,49</t>
        </is>
      </c>
      <c r="D835" s="38" t="inlineStr">
        <is>
          <t>210,7</t>
        </is>
      </c>
      <c r="E835" s="38" t="inlineStr">
        <is>
          <t>8</t>
        </is>
      </c>
    </row>
    <row r="836" ht="15" customHeight="1" s="39">
      <c r="A836" s="42" t="inlineStr">
        <is>
          <t>259078</t>
        </is>
      </c>
      <c r="B836" s="38" t="inlineStr">
        <is>
          <t>Torrefeta i Florejacs</t>
        </is>
      </c>
      <c r="C836" s="38" t="inlineStr">
        <is>
          <t>88,91</t>
        </is>
      </c>
      <c r="D836" s="38" t="inlineStr">
        <is>
          <t>6,7</t>
        </is>
      </c>
      <c r="E836" s="38" t="inlineStr">
        <is>
          <t>15</t>
        </is>
      </c>
    </row>
    <row r="837" ht="15" customHeight="1" s="39">
      <c r="A837" s="42" t="inlineStr">
        <is>
          <t>252304</t>
        </is>
      </c>
      <c r="B837" s="38" t="inlineStr">
        <is>
          <t>Torregrossa</t>
        </is>
      </c>
      <c r="C837" s="38" t="inlineStr">
        <is>
          <t>40,52</t>
        </is>
      </c>
      <c r="D837" s="38" t="inlineStr">
        <is>
          <t>56,4</t>
        </is>
      </c>
      <c r="E837" s="38" t="inlineStr">
        <is>
          <t>1</t>
        </is>
      </c>
    </row>
    <row r="838" ht="15" customHeight="1" s="39">
      <c r="A838" s="42" t="inlineStr">
        <is>
          <t>252311</t>
        </is>
      </c>
      <c r="B838" s="38" t="inlineStr">
        <is>
          <t>Torrelameu</t>
        </is>
      </c>
      <c r="C838" s="38" t="inlineStr">
        <is>
          <t>10,93</t>
        </is>
      </c>
      <c r="D838" s="38" t="inlineStr">
        <is>
          <t>74,7</t>
        </is>
      </c>
      <c r="E838" s="38" t="inlineStr">
        <is>
          <t>1</t>
        </is>
      </c>
    </row>
    <row r="839" ht="15" customHeight="1" s="39">
      <c r="A839" s="42" t="inlineStr">
        <is>
          <t>082877</t>
        </is>
      </c>
      <c r="B839" s="38" t="inlineStr">
        <is>
          <t>Torrelavit</t>
        </is>
      </c>
      <c r="C839" s="38" t="inlineStr">
        <is>
          <t>23,65</t>
        </is>
      </c>
      <c r="D839" s="38" t="inlineStr">
        <is>
          <t>66,6</t>
        </is>
      </c>
      <c r="E839" s="38" t="inlineStr">
        <is>
          <t>10</t>
        </is>
      </c>
    </row>
    <row r="840" ht="15" customHeight="1" s="39">
      <c r="A840" s="42" t="inlineStr">
        <is>
          <t>082883</t>
        </is>
      </c>
      <c r="B840" s="38" t="inlineStr">
        <is>
          <t>Torrelles de Foix</t>
        </is>
      </c>
      <c r="C840" s="38" t="inlineStr">
        <is>
          <t>36,72</t>
        </is>
      </c>
      <c r="D840" s="38" t="inlineStr">
        <is>
          <t>74,9</t>
        </is>
      </c>
      <c r="E840" s="38" t="inlineStr">
        <is>
          <t>10</t>
        </is>
      </c>
    </row>
    <row r="841" ht="15" customHeight="1" s="39">
      <c r="A841" s="42" t="inlineStr">
        <is>
          <t>082896</t>
        </is>
      </c>
      <c r="B841" s="38" t="inlineStr">
        <is>
          <t>Torrelles de Llobregat</t>
        </is>
      </c>
      <c r="C841" s="38" t="inlineStr">
        <is>
          <t>13,56</t>
        </is>
      </c>
      <c r="D841" s="38" t="inlineStr">
        <is>
          <t>454,4</t>
        </is>
      </c>
      <c r="E841" s="38" t="inlineStr">
        <is>
          <t>1</t>
        </is>
      </c>
    </row>
    <row r="842" ht="15" customHeight="1" s="39">
      <c r="A842" s="42" t="inlineStr">
        <is>
          <t>171978</t>
        </is>
      </c>
      <c r="B842" s="38" t="inlineStr">
        <is>
          <t>Torrent</t>
        </is>
      </c>
      <c r="C842" s="38" t="inlineStr">
        <is>
          <t>7,96</t>
        </is>
      </c>
      <c r="D842" s="38" t="inlineStr">
        <is>
          <t>22,7</t>
        </is>
      </c>
      <c r="E842" s="38" t="inlineStr">
        <is>
          <t>1</t>
        </is>
      </c>
    </row>
    <row r="843" ht="15" customHeight="1" s="39">
      <c r="A843" s="42" t="inlineStr">
        <is>
          <t>252326</t>
        </is>
      </c>
      <c r="B843" s="38" t="inlineStr">
        <is>
          <t>Torres de Segre</t>
        </is>
      </c>
      <c r="C843" s="38" t="inlineStr">
        <is>
          <t>50,61</t>
        </is>
      </c>
      <c r="D843" s="38" t="inlineStr">
        <is>
          <t>45,3</t>
        </is>
      </c>
      <c r="E843" s="38" t="inlineStr">
        <is>
          <t>2</t>
        </is>
      </c>
    </row>
    <row r="844" ht="15" customHeight="1" s="39">
      <c r="A844" s="42" t="inlineStr">
        <is>
          <t>252332</t>
        </is>
      </c>
      <c r="B844" s="38" t="inlineStr">
        <is>
          <t>Torre-serona</t>
        </is>
      </c>
      <c r="C844" s="38" t="inlineStr">
        <is>
          <t>5,89</t>
        </is>
      </c>
      <c r="D844" s="38" t="inlineStr">
        <is>
          <t>71,1</t>
        </is>
      </c>
      <c r="E844" s="38" t="inlineStr">
        <is>
          <t>1</t>
        </is>
      </c>
    </row>
    <row r="845" ht="15" customHeight="1" s="39">
      <c r="A845" s="42" t="inlineStr">
        <is>
          <t>171984</t>
        </is>
      </c>
      <c r="B845" s="38" t="inlineStr">
        <is>
          <t>Torroella de Fluvià</t>
        </is>
      </c>
      <c r="C845" s="38" t="inlineStr">
        <is>
          <t>16,85</t>
        </is>
      </c>
      <c r="D845" s="38" t="inlineStr">
        <is>
          <t>45,9</t>
        </is>
      </c>
      <c r="E845" s="38" t="inlineStr">
        <is>
          <t>6</t>
        </is>
      </c>
    </row>
    <row r="846" ht="15" customHeight="1" s="39">
      <c r="A846" s="42" t="inlineStr">
        <is>
          <t>171997</t>
        </is>
      </c>
      <c r="B846" s="38" t="inlineStr">
        <is>
          <t>Torroella de Montgrí</t>
        </is>
      </c>
      <c r="C846" s="38" t="inlineStr">
        <is>
          <t>65,93</t>
        </is>
      </c>
      <c r="D846" s="38" t="inlineStr">
        <is>
          <t>189,7</t>
        </is>
      </c>
      <c r="E846" s="38" t="inlineStr">
        <is>
          <t>2</t>
        </is>
      </c>
    </row>
    <row r="847" ht="15" customHeight="1" s="39">
      <c r="A847" s="42" t="inlineStr">
        <is>
          <t>431541</t>
        </is>
      </c>
      <c r="B847" s="38" t="inlineStr">
        <is>
          <t>Torroja del Priorat</t>
        </is>
      </c>
      <c r="C847" s="38" t="inlineStr">
        <is>
          <t>13,16</t>
        </is>
      </c>
      <c r="D847" s="38" t="inlineStr">
        <is>
          <t>9,7</t>
        </is>
      </c>
      <c r="E847" s="38" t="inlineStr">
        <is>
          <t>1</t>
        </is>
      </c>
    </row>
    <row r="848" ht="15" customHeight="1" s="39">
      <c r="A848" s="42" t="inlineStr">
        <is>
          <t>172001</t>
        </is>
      </c>
      <c r="B848" s="38" t="inlineStr">
        <is>
          <t>Tortellà</t>
        </is>
      </c>
      <c r="C848" s="38" t="inlineStr">
        <is>
          <t>11,07</t>
        </is>
      </c>
      <c r="D848" s="38" t="inlineStr">
        <is>
          <t>76,6</t>
        </is>
      </c>
      <c r="E848" s="38" t="inlineStr">
        <is>
          <t>2</t>
        </is>
      </c>
    </row>
    <row r="849" ht="15" customHeight="1" s="39">
      <c r="A849" s="42" t="inlineStr">
        <is>
          <t>431554</t>
        </is>
      </c>
      <c r="B849" s="38" t="inlineStr">
        <is>
          <t>Tortosa</t>
        </is>
      </c>
      <c r="C849" s="38" t="inlineStr">
        <is>
          <t>218,51</t>
        </is>
      </c>
      <c r="D849" s="38" t="inlineStr">
        <is>
          <t>165,9</t>
        </is>
      </c>
      <c r="E849" s="38" t="inlineStr">
        <is>
          <t>6</t>
        </is>
      </c>
    </row>
    <row r="850" ht="15" customHeight="1" s="39">
      <c r="A850" s="42" t="inlineStr">
        <is>
          <t>172018</t>
        </is>
      </c>
      <c r="B850" s="38" t="inlineStr">
        <is>
          <t>Toses</t>
        </is>
      </c>
      <c r="C850" s="38" t="inlineStr">
        <is>
          <t>57,88</t>
        </is>
      </c>
      <c r="D850" s="38" t="inlineStr">
        <is>
          <t>3,4</t>
        </is>
      </c>
      <c r="E850" s="38" t="inlineStr">
        <is>
          <t>5</t>
        </is>
      </c>
    </row>
    <row r="851" ht="15" customHeight="1" s="39">
      <c r="A851" s="42" t="inlineStr">
        <is>
          <t>172023</t>
        </is>
      </c>
      <c r="B851" s="38" t="inlineStr">
        <is>
          <t>Tossa de Mar</t>
        </is>
      </c>
      <c r="C851" s="38" t="inlineStr">
        <is>
          <t>38,58</t>
        </is>
      </c>
      <c r="D851" s="38" t="inlineStr">
        <is>
          <t>163,1</t>
        </is>
      </c>
      <c r="E851" s="38" t="inlineStr">
        <is>
          <t>10</t>
        </is>
      </c>
    </row>
    <row r="852" ht="15" customHeight="1" s="39">
      <c r="A852" s="42" t="inlineStr">
        <is>
          <t>252347</t>
        </is>
      </c>
      <c r="B852" s="38" t="inlineStr">
        <is>
          <t>Tremp</t>
        </is>
      </c>
      <c r="C852" s="38" t="inlineStr">
        <is>
          <t>302,82</t>
        </is>
      </c>
      <c r="D852" s="38" t="inlineStr">
        <is>
          <t>20,3</t>
        </is>
      </c>
      <c r="E852" s="38" t="inlineStr">
        <is>
          <t>29</t>
        </is>
      </c>
    </row>
    <row r="853" ht="15" customHeight="1" s="39">
      <c r="A853" s="42" t="inlineStr">
        <is>
          <t>172044</t>
        </is>
      </c>
      <c r="B853" s="38" t="inlineStr">
        <is>
          <t>Ullà</t>
        </is>
      </c>
      <c r="C853" s="38" t="inlineStr">
        <is>
          <t>7,29</t>
        </is>
      </c>
      <c r="D853" s="38" t="inlineStr">
        <is>
          <t>172,3</t>
        </is>
      </c>
      <c r="E853" s="38" t="inlineStr">
        <is>
          <t>2</t>
        </is>
      </c>
    </row>
    <row r="854" ht="15" customHeight="1" s="39">
      <c r="A854" s="42" t="inlineStr">
        <is>
          <t>082900</t>
        </is>
      </c>
      <c r="B854" s="38" t="inlineStr">
        <is>
          <t>Ullastrell</t>
        </is>
      </c>
      <c r="C854" s="38" t="inlineStr">
        <is>
          <t>7,31</t>
        </is>
      </c>
      <c r="D854" s="38" t="inlineStr">
        <is>
          <t>296,9</t>
        </is>
      </c>
      <c r="E854" s="38" t="inlineStr">
        <is>
          <t>4</t>
        </is>
      </c>
    </row>
    <row r="855" ht="15" customHeight="1" s="39">
      <c r="A855" s="42" t="inlineStr">
        <is>
          <t>172057</t>
        </is>
      </c>
      <c r="B855" s="38" t="inlineStr">
        <is>
          <t>Ullastret</t>
        </is>
      </c>
      <c r="C855" s="38" t="inlineStr">
        <is>
          <t>11,09</t>
        </is>
      </c>
      <c r="D855" s="38" t="inlineStr">
        <is>
          <t>22,7</t>
        </is>
      </c>
      <c r="E855" s="38" t="inlineStr">
        <is>
          <t>1</t>
        </is>
      </c>
    </row>
    <row r="856" ht="15" customHeight="1" s="39">
      <c r="A856" s="42" t="inlineStr">
        <is>
          <t>431567</t>
        </is>
      </c>
      <c r="B856" s="38" t="inlineStr">
        <is>
          <t>Ulldecona</t>
        </is>
      </c>
      <c r="C856" s="38" t="inlineStr">
        <is>
          <t>126,88</t>
        </is>
      </c>
      <c r="D856" s="38" t="inlineStr">
        <is>
          <t>53,7</t>
        </is>
      </c>
      <c r="E856" s="38" t="inlineStr">
        <is>
          <t>6</t>
        </is>
      </c>
    </row>
    <row r="857" ht="15" customHeight="1" s="39">
      <c r="A857" s="42" t="inlineStr">
        <is>
          <t>431573</t>
        </is>
      </c>
      <c r="B857" s="38" t="inlineStr">
        <is>
          <t>Ulldemolins</t>
        </is>
      </c>
      <c r="C857" s="38" t="inlineStr">
        <is>
          <t>38,17</t>
        </is>
      </c>
      <c r="D857" s="38" t="inlineStr">
        <is>
          <t>10,2</t>
        </is>
      </c>
      <c r="E857" s="38" t="inlineStr">
        <is>
          <t>1</t>
        </is>
      </c>
    </row>
    <row r="858" ht="15" customHeight="1" s="39">
      <c r="A858" s="42" t="inlineStr">
        <is>
          <t>172039</t>
        </is>
      </c>
      <c r="B858" s="38" t="inlineStr">
        <is>
          <t>Ultramort</t>
        </is>
      </c>
      <c r="C858" s="38" t="inlineStr">
        <is>
          <t>4,35</t>
        </is>
      </c>
      <c r="D858" s="38" t="inlineStr">
        <is>
          <t>50,1</t>
        </is>
      </c>
      <c r="E858" s="38" t="inlineStr">
        <is>
          <t>1</t>
        </is>
      </c>
    </row>
    <row r="859" ht="15" customHeight="1" s="39">
      <c r="A859" s="42" t="inlineStr">
        <is>
          <t>172060</t>
        </is>
      </c>
      <c r="B859" s="38" t="inlineStr">
        <is>
          <t>Urús</t>
        </is>
      </c>
      <c r="C859" s="38" t="inlineStr">
        <is>
          <t>17,42</t>
        </is>
      </c>
      <c r="D859" s="38" t="inlineStr">
        <is>
          <t>11,5</t>
        </is>
      </c>
      <c r="E859" s="38" t="inlineStr">
        <is>
          <t>2</t>
        </is>
      </c>
    </row>
    <row r="860" ht="15" customHeight="1" s="39">
      <c r="A860" s="42" t="inlineStr">
        <is>
          <t>082917</t>
        </is>
      </c>
      <c r="B860" s="38" t="inlineStr">
        <is>
          <t>Vacarisses</t>
        </is>
      </c>
      <c r="C860" s="38" t="inlineStr">
        <is>
          <t>40,70</t>
        </is>
      </c>
      <c r="D860" s="38" t="inlineStr">
        <is>
          <t>189,4</t>
        </is>
      </c>
      <c r="E860" s="38" t="inlineStr">
        <is>
          <t>17</t>
        </is>
      </c>
    </row>
    <row r="861" ht="15" customHeight="1" s="39">
      <c r="A861" s="42" t="inlineStr">
        <is>
          <t>170144</t>
        </is>
      </c>
      <c r="B861" s="38" t="inlineStr">
        <is>
          <t>Vajol, la</t>
        </is>
      </c>
      <c r="C861" s="38" t="inlineStr">
        <is>
          <t>4,71</t>
        </is>
      </c>
      <c r="D861" s="38" t="inlineStr">
        <is>
          <t>23,4</t>
        </is>
      </c>
      <c r="E861" s="38" t="inlineStr">
        <is>
          <t>1</t>
        </is>
      </c>
    </row>
    <row r="862" ht="15" customHeight="1" s="39">
      <c r="A862" s="42" t="inlineStr">
        <is>
          <t>172076</t>
        </is>
      </c>
      <c r="B862" s="38" t="inlineStr">
        <is>
          <t>Vall d'en Bas, la</t>
        </is>
      </c>
      <c r="C862" s="38" t="inlineStr">
        <is>
          <t>90,67</t>
        </is>
      </c>
      <c r="D862" s="38" t="inlineStr">
        <is>
          <t>36,0</t>
        </is>
      </c>
      <c r="E862" s="38" t="inlineStr">
        <is>
          <t>13</t>
        </is>
      </c>
    </row>
    <row r="863" ht="15" customHeight="1" s="39">
      <c r="A863" s="42" t="inlineStr">
        <is>
          <t>172082</t>
        </is>
      </c>
      <c r="B863" s="38" t="inlineStr">
        <is>
          <t>Vall de Bianya, la</t>
        </is>
      </c>
      <c r="C863" s="38" t="inlineStr">
        <is>
          <t>93,62</t>
        </is>
      </c>
      <c r="D863" s="38" t="inlineStr">
        <is>
          <t>14,3</t>
        </is>
      </c>
      <c r="E863" s="38" t="inlineStr">
        <is>
          <t>11</t>
        </is>
      </c>
    </row>
    <row r="864" ht="15" customHeight="1" s="39">
      <c r="A864" s="42" t="inlineStr">
        <is>
          <t>250432</t>
        </is>
      </c>
      <c r="B864" s="38" t="inlineStr">
        <is>
          <t>Vall de Boí, la</t>
        </is>
      </c>
      <c r="C864" s="38" t="inlineStr">
        <is>
          <t>219,49</t>
        </is>
      </c>
      <c r="D864" s="38" t="inlineStr">
        <is>
          <t>5,1</t>
        </is>
      </c>
      <c r="E864" s="38" t="inlineStr">
        <is>
          <t>10</t>
        </is>
      </c>
    </row>
    <row r="865" ht="15" customHeight="1" s="39">
      <c r="A865" s="42" t="inlineStr">
        <is>
          <t>259010</t>
        </is>
      </c>
      <c r="B865" s="38" t="inlineStr">
        <is>
          <t>Vall de Cardós</t>
        </is>
      </c>
      <c r="C865" s="38" t="inlineStr">
        <is>
          <t>56,20</t>
        </is>
      </c>
      <c r="D865" s="38" t="inlineStr">
        <is>
          <t>7,0</t>
        </is>
      </c>
      <c r="E865" s="38" t="inlineStr">
        <is>
          <t>8</t>
        </is>
      </c>
    </row>
    <row r="866" ht="15" customHeight="1" s="39">
      <c r="A866" s="42" t="inlineStr">
        <is>
          <t>082922</t>
        </is>
      </c>
      <c r="B866" s="38" t="inlineStr">
        <is>
          <t>Vallbona d'Anoia</t>
        </is>
      </c>
      <c r="C866" s="38" t="inlineStr">
        <is>
          <t>6,45</t>
        </is>
      </c>
      <c r="D866" s="38" t="inlineStr">
        <is>
          <t>220,2</t>
        </is>
      </c>
      <c r="E866" s="38" t="inlineStr">
        <is>
          <t>1</t>
        </is>
      </c>
    </row>
    <row r="867" ht="15" customHeight="1" s="39">
      <c r="A867" s="42" t="inlineStr">
        <is>
          <t>252385</t>
        </is>
      </c>
      <c r="B867" s="38" t="inlineStr">
        <is>
          <t>Vallbona de les Monges</t>
        </is>
      </c>
      <c r="C867" s="38" t="inlineStr">
        <is>
          <t>34,14</t>
        </is>
      </c>
      <c r="D867" s="38" t="inlineStr">
        <is>
          <t>6,6</t>
        </is>
      </c>
      <c r="E867" s="38" t="inlineStr">
        <is>
          <t>3</t>
        </is>
      </c>
    </row>
    <row r="868" ht="15" customHeight="1" s="39">
      <c r="A868" s="42" t="inlineStr">
        <is>
          <t>082938</t>
        </is>
      </c>
      <c r="B868" s="38" t="inlineStr">
        <is>
          <t>Vallcebre</t>
        </is>
      </c>
      <c r="C868" s="38" t="inlineStr">
        <is>
          <t>27,99</t>
        </is>
      </c>
      <c r="D868" s="38" t="inlineStr">
        <is>
          <t>9,3</t>
        </is>
      </c>
      <c r="E868" s="38" t="inlineStr">
        <is>
          <t>2</t>
        </is>
      </c>
    </row>
    <row r="869" ht="15" customHeight="1" s="39">
      <c r="A869" s="42" t="inlineStr">
        <is>
          <t>431589</t>
        </is>
      </c>
      <c r="B869" s="38" t="inlineStr">
        <is>
          <t>Vallclara</t>
        </is>
      </c>
      <c r="C869" s="38" t="inlineStr">
        <is>
          <t>13,63</t>
        </is>
      </c>
      <c r="D869" s="38" t="inlineStr">
        <is>
          <t>6,7</t>
        </is>
      </c>
      <c r="E869" s="38" t="inlineStr">
        <is>
          <t>1</t>
        </is>
      </c>
    </row>
    <row r="870" ht="15" customHeight="1" s="39">
      <c r="A870" s="42" t="inlineStr">
        <is>
          <t>252402</t>
        </is>
      </c>
      <c r="B870" s="38" t="inlineStr">
        <is>
          <t>Vallfogona de Balaguer</t>
        </is>
      </c>
      <c r="C870" s="38" t="inlineStr">
        <is>
          <t>26,97</t>
        </is>
      </c>
      <c r="D870" s="38" t="inlineStr">
        <is>
          <t>74,5</t>
        </is>
      </c>
      <c r="E870" s="38" t="inlineStr">
        <is>
          <t>3</t>
        </is>
      </c>
    </row>
    <row r="871" ht="15" customHeight="1" s="39">
      <c r="A871" s="42" t="inlineStr">
        <is>
          <t>171707</t>
        </is>
      </c>
      <c r="B871" s="38" t="inlineStr">
        <is>
          <t>Vallfogona de Ripollès</t>
        </is>
      </c>
      <c r="C871" s="38" t="inlineStr">
        <is>
          <t>39,20</t>
        </is>
      </c>
      <c r="D871" s="38" t="inlineStr">
        <is>
          <t>5,7</t>
        </is>
      </c>
      <c r="E871" s="38" t="inlineStr">
        <is>
          <t>8</t>
        </is>
      </c>
    </row>
    <row r="872" ht="15" customHeight="1" s="39">
      <c r="A872" s="42" t="inlineStr">
        <is>
          <t>431592</t>
        </is>
      </c>
      <c r="B872" s="38" t="inlineStr">
        <is>
          <t>Vallfogona de Riucorb</t>
        </is>
      </c>
      <c r="C872" s="38" t="inlineStr">
        <is>
          <t>10,94</t>
        </is>
      </c>
      <c r="D872" s="38" t="inlineStr">
        <is>
          <t>8,9</t>
        </is>
      </c>
      <c r="E872" s="38" t="inlineStr">
        <is>
          <t>1</t>
        </is>
      </c>
    </row>
    <row r="873" ht="15" customHeight="1" s="39">
      <c r="A873" s="42" t="inlineStr">
        <is>
          <t>082943</t>
        </is>
      </c>
      <c r="B873" s="38" t="inlineStr">
        <is>
          <t>Vallgorguina</t>
        </is>
      </c>
      <c r="C873" s="38" t="inlineStr">
        <is>
          <t>22,13</t>
        </is>
      </c>
      <c r="D873" s="38" t="inlineStr">
        <is>
          <t>147,9</t>
        </is>
      </c>
      <c r="E873" s="38" t="inlineStr">
        <is>
          <t>5</t>
        </is>
      </c>
    </row>
    <row r="874" ht="15" customHeight="1" s="39">
      <c r="A874" s="42" t="inlineStr">
        <is>
          <t>082956</t>
        </is>
      </c>
      <c r="B874" s="38" t="inlineStr">
        <is>
          <t>Vallirana</t>
        </is>
      </c>
      <c r="C874" s="38" t="inlineStr">
        <is>
          <t>23,88</t>
        </is>
      </c>
      <c r="D874" s="38" t="inlineStr">
        <is>
          <t>680,0</t>
        </is>
      </c>
      <c r="E874" s="38" t="inlineStr">
        <is>
          <t>23</t>
        </is>
      </c>
    </row>
    <row r="875" ht="15" customHeight="1" s="39">
      <c r="A875" s="42" t="inlineStr">
        <is>
          <t>172095</t>
        </is>
      </c>
      <c r="B875" s="38" t="inlineStr">
        <is>
          <t>Vall-llobrega</t>
        </is>
      </c>
      <c r="C875" s="38" t="inlineStr">
        <is>
          <t>5,45</t>
        </is>
      </c>
      <c r="D875" s="38" t="inlineStr">
        <is>
          <t>165,5</t>
        </is>
      </c>
      <c r="E875" s="38" t="inlineStr">
        <is>
          <t>4</t>
        </is>
      </c>
    </row>
    <row r="876" ht="15" customHeight="1" s="39">
      <c r="A876" s="42" t="inlineStr">
        <is>
          <t>431606</t>
        </is>
      </c>
      <c r="B876" s="38" t="inlineStr">
        <is>
          <t>Vallmoll</t>
        </is>
      </c>
      <c r="C876" s="38" t="inlineStr">
        <is>
          <t>16,68</t>
        </is>
      </c>
      <c r="D876" s="38" t="inlineStr">
        <is>
          <t>119,7</t>
        </is>
      </c>
      <c r="E876" s="38" t="inlineStr">
        <is>
          <t>3</t>
        </is>
      </c>
    </row>
    <row r="877" ht="15" customHeight="1" s="39">
      <c r="A877" s="42" t="inlineStr">
        <is>
          <t>082969</t>
        </is>
      </c>
      <c r="B877" s="38" t="inlineStr">
        <is>
          <t>Vallromanes</t>
        </is>
      </c>
      <c r="C877" s="38" t="inlineStr">
        <is>
          <t>10,65</t>
        </is>
      </c>
      <c r="D877" s="38" t="inlineStr">
        <is>
          <t>261,2</t>
        </is>
      </c>
      <c r="E877" s="38" t="inlineStr">
        <is>
          <t>1</t>
        </is>
      </c>
    </row>
    <row r="878" ht="15" customHeight="1" s="39">
      <c r="A878" s="42" t="inlineStr">
        <is>
          <t>431613</t>
        </is>
      </c>
      <c r="B878" s="38" t="inlineStr">
        <is>
          <t>Valls</t>
        </is>
      </c>
      <c r="C878" s="38" t="inlineStr">
        <is>
          <t>55,28</t>
        </is>
      </c>
      <c r="D878" s="38" t="inlineStr">
        <is>
          <t>462,0</t>
        </is>
      </c>
      <c r="E878" s="38" t="inlineStr">
        <is>
          <t>4</t>
        </is>
      </c>
    </row>
    <row r="879" ht="15" customHeight="1" s="39">
      <c r="A879" s="42" t="inlineStr">
        <is>
          <t>259062</t>
        </is>
      </c>
      <c r="B879" s="38" t="inlineStr">
        <is>
          <t>Valls d'Aguilar, les</t>
        </is>
      </c>
      <c r="C879" s="38" t="inlineStr">
        <is>
          <t>123,81</t>
        </is>
      </c>
      <c r="D879" s="38" t="inlineStr">
        <is>
          <t>2,1</t>
        </is>
      </c>
      <c r="E879" s="38" t="inlineStr">
        <is>
          <t>13</t>
        </is>
      </c>
    </row>
    <row r="880" ht="15" customHeight="1" s="39">
      <c r="A880" s="42" t="inlineStr">
        <is>
          <t>252398</t>
        </is>
      </c>
      <c r="B880" s="38" t="inlineStr">
        <is>
          <t>Valls de Valira, les</t>
        </is>
      </c>
      <c r="C880" s="38" t="inlineStr">
        <is>
          <t>171,25</t>
        </is>
      </c>
      <c r="D880" s="38" t="inlineStr">
        <is>
          <t>5,0</t>
        </is>
      </c>
      <c r="E880" s="38" t="inlineStr">
        <is>
          <t>15</t>
        </is>
      </c>
    </row>
    <row r="881" ht="15" customHeight="1" s="39">
      <c r="A881" s="42" t="inlineStr">
        <is>
          <t>431628</t>
        </is>
      </c>
      <c r="B881" s="38" t="inlineStr">
        <is>
          <t>Vandellòs i l'Hospitalet de l'Infant</t>
        </is>
      </c>
      <c r="C881" s="38" t="inlineStr">
        <is>
          <t>102,67</t>
        </is>
      </c>
      <c r="D881" s="38" t="inlineStr">
        <is>
          <t>69,7</t>
        </is>
      </c>
      <c r="E881" s="38" t="inlineStr">
        <is>
          <t>5</t>
        </is>
      </c>
    </row>
    <row r="882" ht="15" customHeight="1" s="39">
      <c r="A882" s="42" t="inlineStr">
        <is>
          <t>259097</t>
        </is>
      </c>
      <c r="B882" s="38" t="inlineStr">
        <is>
          <t>Vansa i Fórnols, la</t>
        </is>
      </c>
      <c r="C882" s="38" t="inlineStr">
        <is>
          <t>106,08</t>
        </is>
      </c>
      <c r="D882" s="38" t="inlineStr">
        <is>
          <t>1,8</t>
        </is>
      </c>
      <c r="E882" s="38" t="inlineStr">
        <is>
          <t>11</t>
        </is>
      </c>
    </row>
    <row r="883" ht="15" customHeight="1" s="39">
      <c r="A883" s="42" t="inlineStr">
        <is>
          <t>082975</t>
        </is>
      </c>
      <c r="B883" s="38" t="inlineStr">
        <is>
          <t>Veciana</t>
        </is>
      </c>
      <c r="C883" s="38" t="inlineStr">
        <is>
          <t>38,90</t>
        </is>
      </c>
      <c r="D883" s="38" t="inlineStr">
        <is>
          <t>4,4</t>
        </is>
      </c>
      <c r="E883" s="38" t="inlineStr">
        <is>
          <t>5</t>
        </is>
      </c>
    </row>
    <row r="884" ht="15" customHeight="1" s="39">
      <c r="A884" s="42" t="inlineStr">
        <is>
          <t>431634</t>
        </is>
      </c>
      <c r="B884" s="38" t="inlineStr">
        <is>
          <t>Vendrell, el</t>
        </is>
      </c>
      <c r="C884" s="38" t="inlineStr">
        <is>
          <t>36,80</t>
        </is>
      </c>
      <c r="D884" s="38" t="inlineStr">
        <is>
          <t>1119,4</t>
        </is>
      </c>
      <c r="E884" s="38" t="inlineStr">
        <is>
          <t>10</t>
        </is>
      </c>
    </row>
    <row r="885" ht="15" customHeight="1" s="39">
      <c r="A885" s="42" t="inlineStr">
        <is>
          <t>172109</t>
        </is>
      </c>
      <c r="B885" s="38" t="inlineStr">
        <is>
          <t>Ventalló</t>
        </is>
      </c>
      <c r="C885" s="38" t="inlineStr">
        <is>
          <t>25,05</t>
        </is>
      </c>
      <c r="D885" s="38" t="inlineStr">
        <is>
          <t>36,8</t>
        </is>
      </c>
      <c r="E885" s="38" t="inlineStr">
        <is>
          <t>8</t>
        </is>
      </c>
    </row>
    <row r="886" ht="15" customHeight="1" s="39">
      <c r="A886" s="42" t="inlineStr">
        <is>
          <t>252424</t>
        </is>
      </c>
      <c r="B886" s="38" t="inlineStr">
        <is>
          <t>Verdú</t>
        </is>
      </c>
      <c r="C886" s="38" t="inlineStr">
        <is>
          <t>35,79</t>
        </is>
      </c>
      <c r="D886" s="38" t="inlineStr">
        <is>
          <t>24,4</t>
        </is>
      </c>
      <c r="E886" s="38" t="inlineStr">
        <is>
          <t>1</t>
        </is>
      </c>
    </row>
    <row r="887" ht="15" customHeight="1" s="39">
      <c r="A887" s="42" t="inlineStr">
        <is>
          <t>172116</t>
        </is>
      </c>
      <c r="B887" s="38" t="inlineStr">
        <is>
          <t>Verges</t>
        </is>
      </c>
      <c r="C887" s="38" t="inlineStr">
        <is>
          <t>9,70</t>
        </is>
      </c>
      <c r="D887" s="38" t="inlineStr">
        <is>
          <t>119,6</t>
        </is>
      </c>
      <c r="E887" s="38" t="inlineStr">
        <is>
          <t>1</t>
        </is>
      </c>
    </row>
    <row r="888" ht="15" customHeight="1" s="39">
      <c r="A888" s="42" t="inlineStr">
        <is>
          <t>431649</t>
        </is>
      </c>
      <c r="B888" s="38" t="inlineStr">
        <is>
          <t>Vespella de Gaià</t>
        </is>
      </c>
      <c r="C888" s="38" t="inlineStr">
        <is>
          <t>18,04</t>
        </is>
      </c>
      <c r="D888" s="38" t="inlineStr">
        <is>
          <t>27,8</t>
        </is>
      </c>
      <c r="E888" s="38" t="inlineStr">
        <is>
          <t>4</t>
        </is>
      </c>
    </row>
    <row r="889" ht="15" customHeight="1" s="39">
      <c r="A889" s="42" t="inlineStr">
        <is>
          <t>082981</t>
        </is>
      </c>
      <c r="B889" s="38" t="inlineStr">
        <is>
          <t>Vic</t>
        </is>
      </c>
      <c r="C889" s="38" t="inlineStr">
        <is>
          <t>30,58</t>
        </is>
      </c>
      <c r="D889" s="38" t="inlineStr">
        <is>
          <t>1648,3</t>
        </is>
      </c>
      <c r="E889" s="38" t="inlineStr">
        <is>
          <t>1</t>
        </is>
      </c>
    </row>
    <row r="890" ht="15" customHeight="1" s="39">
      <c r="A890" s="42" t="inlineStr">
        <is>
          <t>172121</t>
        </is>
      </c>
      <c r="B890" s="38" t="inlineStr">
        <is>
          <t>Vidrà</t>
        </is>
      </c>
      <c r="C890" s="38" t="inlineStr">
        <is>
          <t>34,39</t>
        </is>
      </c>
      <c r="D890" s="38" t="inlineStr">
        <is>
          <t>4,9</t>
        </is>
      </c>
      <c r="E890" s="38" t="inlineStr">
        <is>
          <t>3</t>
        </is>
      </c>
    </row>
    <row r="891" ht="15" customHeight="1" s="39">
      <c r="A891" s="42" t="inlineStr">
        <is>
          <t>172137</t>
        </is>
      </c>
      <c r="B891" s="38" t="inlineStr">
        <is>
          <t>Vidreres</t>
        </is>
      </c>
      <c r="C891" s="38" t="inlineStr">
        <is>
          <t>48,05</t>
        </is>
      </c>
      <c r="D891" s="38" t="inlineStr">
        <is>
          <t>184,2</t>
        </is>
      </c>
      <c r="E891" s="38" t="inlineStr">
        <is>
          <t>12</t>
        </is>
      </c>
    </row>
    <row r="892" ht="15" customHeight="1" s="39">
      <c r="A892" s="42" t="inlineStr">
        <is>
          <t>252430</t>
        </is>
      </c>
      <c r="B892" s="38" t="inlineStr">
        <is>
          <t>Vielha e Mijaran</t>
        </is>
      </c>
      <c r="C892" s="38" t="inlineStr">
        <is>
          <t>211,74</t>
        </is>
      </c>
      <c r="D892" s="38" t="inlineStr">
        <is>
          <t>27,7</t>
        </is>
      </c>
      <c r="E892" s="38" t="inlineStr">
        <is>
          <t>13</t>
        </is>
      </c>
    </row>
    <row r="893" ht="15" customHeight="1" s="39">
      <c r="A893" s="42" t="inlineStr">
        <is>
          <t>431652</t>
        </is>
      </c>
      <c r="B893" s="38" t="inlineStr">
        <is>
          <t>Vilabella</t>
        </is>
      </c>
      <c r="C893" s="38" t="inlineStr">
        <is>
          <t>18,19</t>
        </is>
      </c>
      <c r="D893" s="38" t="inlineStr">
        <is>
          <t>40,2</t>
        </is>
      </c>
      <c r="E893" s="38" t="inlineStr">
        <is>
          <t>1</t>
        </is>
      </c>
    </row>
    <row r="894" ht="15" customHeight="1" s="39">
      <c r="A894" s="42" t="inlineStr">
        <is>
          <t>172142</t>
        </is>
      </c>
      <c r="B894" s="38" t="inlineStr">
        <is>
          <t>Vilabertran</t>
        </is>
      </c>
      <c r="C894" s="38" t="inlineStr">
        <is>
          <t>2,29</t>
        </is>
      </c>
      <c r="D894" s="38" t="inlineStr">
        <is>
          <t>420,1</t>
        </is>
      </c>
      <c r="E894" s="38" t="inlineStr">
        <is>
          <t>1</t>
        </is>
      </c>
    </row>
    <row r="895" ht="15" customHeight="1" s="39">
      <c r="A895" s="42" t="inlineStr">
        <is>
          <t>172155</t>
        </is>
      </c>
      <c r="B895" s="38" t="inlineStr">
        <is>
          <t>Vilablareix</t>
        </is>
      </c>
      <c r="C895" s="38" t="inlineStr">
        <is>
          <t>6,17</t>
        </is>
      </c>
      <c r="D895" s="38" t="inlineStr">
        <is>
          <t>661,1</t>
        </is>
      </c>
      <c r="E895" s="38" t="inlineStr">
        <is>
          <t>2</t>
        </is>
      </c>
    </row>
    <row r="896" ht="15" customHeight="1" s="39">
      <c r="A896" s="42" t="inlineStr">
        <is>
          <t>082994</t>
        </is>
      </c>
      <c r="B896" s="38" t="inlineStr">
        <is>
          <t>Vilada</t>
        </is>
      </c>
      <c r="C896" s="38" t="inlineStr">
        <is>
          <t>22,34</t>
        </is>
      </c>
      <c r="D896" s="38" t="inlineStr">
        <is>
          <t>19,2</t>
        </is>
      </c>
      <c r="E896" s="38" t="inlineStr">
        <is>
          <t>1</t>
        </is>
      </c>
    </row>
    <row r="897" ht="15" customHeight="1" s="39">
      <c r="A897" s="42" t="inlineStr">
        <is>
          <t>172174</t>
        </is>
      </c>
      <c r="B897" s="38" t="inlineStr">
        <is>
          <t>Viladamat</t>
        </is>
      </c>
      <c r="C897" s="38" t="inlineStr">
        <is>
          <t>11,73</t>
        </is>
      </c>
      <c r="D897" s="38" t="inlineStr">
        <is>
          <t>42,5</t>
        </is>
      </c>
      <c r="E897" s="38" t="inlineStr">
        <is>
          <t>2</t>
        </is>
      </c>
    </row>
    <row r="898" ht="15" customHeight="1" s="39">
      <c r="A898" s="42" t="inlineStr">
        <is>
          <t>172168</t>
        </is>
      </c>
      <c r="B898" s="38" t="inlineStr">
        <is>
          <t>Viladasens</t>
        </is>
      </c>
      <c r="C898" s="38" t="inlineStr">
        <is>
          <t>15,74</t>
        </is>
      </c>
      <c r="D898" s="38" t="inlineStr">
        <is>
          <t>13,0</t>
        </is>
      </c>
      <c r="E898" s="38" t="inlineStr">
        <is>
          <t>5</t>
        </is>
      </c>
    </row>
    <row r="899" ht="15" customHeight="1" s="39">
      <c r="A899" s="42" t="inlineStr">
        <is>
          <t>083015</t>
        </is>
      </c>
      <c r="B899" s="38" t="inlineStr">
        <is>
          <t>Viladecans</t>
        </is>
      </c>
      <c r="C899" s="38" t="inlineStr">
        <is>
          <t>20,40</t>
        </is>
      </c>
      <c r="D899" s="38" t="inlineStr">
        <is>
          <t>3310,6</t>
        </is>
      </c>
      <c r="E899" s="38" t="inlineStr">
        <is>
          <t>1</t>
        </is>
      </c>
    </row>
    <row r="900" ht="15" customHeight="1" s="39">
      <c r="A900" s="42" t="inlineStr">
        <is>
          <t>083008</t>
        </is>
      </c>
      <c r="B900" s="38" t="inlineStr">
        <is>
          <t>Viladecavalls</t>
        </is>
      </c>
      <c r="C900" s="38" t="inlineStr">
        <is>
          <t>20,09</t>
        </is>
      </c>
      <c r="D900" s="38" t="inlineStr">
        <is>
          <t>389,0</t>
        </is>
      </c>
      <c r="E900" s="38" t="inlineStr">
        <is>
          <t>10</t>
        </is>
      </c>
    </row>
    <row r="901" ht="15" customHeight="1" s="39">
      <c r="A901" s="42" t="inlineStr">
        <is>
          <t>172180</t>
        </is>
      </c>
      <c r="B901" s="38" t="inlineStr">
        <is>
          <t>Vilademuls</t>
        </is>
      </c>
      <c r="C901" s="38" t="inlineStr">
        <is>
          <t>61,54</t>
        </is>
      </c>
      <c r="D901" s="38" t="inlineStr">
        <is>
          <t>14,6</t>
        </is>
      </c>
      <c r="E901" s="38" t="inlineStr">
        <is>
          <t>12</t>
        </is>
      </c>
    </row>
    <row r="902" ht="15" customHeight="1" s="39">
      <c r="A902" s="42" t="inlineStr">
        <is>
          <t>172207</t>
        </is>
      </c>
      <c r="B902" s="38" t="inlineStr">
        <is>
          <t>Viladrau</t>
        </is>
      </c>
      <c r="C902" s="38" t="inlineStr">
        <is>
          <t>50,73</t>
        </is>
      </c>
      <c r="D902" s="38" t="inlineStr">
        <is>
          <t>23,3</t>
        </is>
      </c>
      <c r="E902" s="38" t="inlineStr">
        <is>
          <t>9</t>
        </is>
      </c>
    </row>
    <row r="903" ht="15" customHeight="1" s="39">
      <c r="A903" s="42" t="inlineStr">
        <is>
          <t>172214</t>
        </is>
      </c>
      <c r="B903" s="38" t="inlineStr">
        <is>
          <t>Vilafant</t>
        </is>
      </c>
      <c r="C903" s="38" t="inlineStr">
        <is>
          <t>8,36</t>
        </is>
      </c>
      <c r="D903" s="38" t="inlineStr">
        <is>
          <t>677,5</t>
        </is>
      </c>
      <c r="E903" s="38" t="inlineStr">
        <is>
          <t>3</t>
        </is>
      </c>
    </row>
    <row r="904" ht="15" customHeight="1" s="39">
      <c r="A904" s="42" t="inlineStr">
        <is>
          <t>083054</t>
        </is>
      </c>
      <c r="B904" s="38" t="inlineStr">
        <is>
          <t>Vilafranca del Penedès</t>
        </is>
      </c>
      <c r="C904" s="38" t="inlineStr">
        <is>
          <t>19,65</t>
        </is>
      </c>
      <c r="D904" s="38" t="inlineStr">
        <is>
          <t>2166,0</t>
        </is>
      </c>
      <c r="E904" s="38" t="inlineStr">
        <is>
          <t>6</t>
        </is>
      </c>
    </row>
    <row r="905" ht="15" customHeight="1" s="39">
      <c r="A905" s="42" t="inlineStr">
        <is>
          <t>252445</t>
        </is>
      </c>
      <c r="B905" s="38" t="inlineStr">
        <is>
          <t>Vilagrassa</t>
        </is>
      </c>
      <c r="C905" s="38" t="inlineStr">
        <is>
          <t>19,87</t>
        </is>
      </c>
      <c r="D905" s="38" t="inlineStr">
        <is>
          <t>31,6</t>
        </is>
      </c>
      <c r="E905" s="38" t="inlineStr">
        <is>
          <t>1</t>
        </is>
      </c>
    </row>
    <row r="906" ht="15" customHeight="1" s="39">
      <c r="A906" s="42" t="inlineStr">
        <is>
          <t>172235</t>
        </is>
      </c>
      <c r="B906" s="38" t="inlineStr">
        <is>
          <t>Vilajuïga</t>
        </is>
      </c>
      <c r="C906" s="38" t="inlineStr">
        <is>
          <t>13,13</t>
        </is>
      </c>
      <c r="D906" s="38" t="inlineStr">
        <is>
          <t>89,9</t>
        </is>
      </c>
      <c r="E906" s="38" t="inlineStr">
        <is>
          <t>7</t>
        </is>
      </c>
    </row>
    <row r="907" ht="15" customHeight="1" s="39">
      <c r="A907" s="42" t="inlineStr">
        <is>
          <t>431750</t>
        </is>
      </c>
      <c r="B907" s="38" t="inlineStr">
        <is>
          <t>Vilalba dels Arcs</t>
        </is>
      </c>
      <c r="C907" s="38" t="inlineStr">
        <is>
          <t>67,25</t>
        </is>
      </c>
      <c r="D907" s="38" t="inlineStr">
        <is>
          <t>9,1</t>
        </is>
      </c>
      <c r="E907" s="38" t="inlineStr">
        <is>
          <t>1</t>
        </is>
      </c>
    </row>
    <row r="908" ht="15" customHeight="1" s="39">
      <c r="A908" s="42" t="inlineStr">
        <is>
          <t>083067</t>
        </is>
      </c>
      <c r="B908" s="38" t="inlineStr">
        <is>
          <t>Vilalba Sasserra</t>
        </is>
      </c>
      <c r="C908" s="38" t="inlineStr">
        <is>
          <t>6,05</t>
        </is>
      </c>
      <c r="D908" s="38" t="inlineStr">
        <is>
          <t>130,6</t>
        </is>
      </c>
      <c r="E908" s="38" t="inlineStr">
        <is>
          <t>1</t>
        </is>
      </c>
    </row>
    <row r="909" ht="15" customHeight="1" s="39">
      <c r="A909" s="42" t="inlineStr">
        <is>
          <t>252458</t>
        </is>
      </c>
      <c r="B909" s="38" t="inlineStr">
        <is>
          <t>Vilaller</t>
        </is>
      </c>
      <c r="C909" s="38" t="inlineStr">
        <is>
          <t>59,23</t>
        </is>
      </c>
      <c r="D909" s="38" t="inlineStr">
        <is>
          <t>8,4</t>
        </is>
      </c>
      <c r="E909" s="38" t="inlineStr">
        <is>
          <t>2</t>
        </is>
      </c>
    </row>
    <row r="910" ht="15" customHeight="1" s="39">
      <c r="A910" s="42" t="inlineStr">
        <is>
          <t>172240</t>
        </is>
      </c>
      <c r="B910" s="38" t="inlineStr">
        <is>
          <t>Vilallonga de Ter</t>
        </is>
      </c>
      <c r="C910" s="38" t="inlineStr">
        <is>
          <t>64,20</t>
        </is>
      </c>
      <c r="D910" s="38" t="inlineStr">
        <is>
          <t>6,2</t>
        </is>
      </c>
      <c r="E910" s="38" t="inlineStr">
        <is>
          <t>10</t>
        </is>
      </c>
    </row>
    <row r="911" ht="15" customHeight="1" s="39">
      <c r="A911" s="42" t="inlineStr">
        <is>
          <t>431665</t>
        </is>
      </c>
      <c r="B911" s="38" t="inlineStr">
        <is>
          <t>Vilallonga del Camp</t>
        </is>
      </c>
      <c r="C911" s="38" t="inlineStr">
        <is>
          <t>9,04</t>
        </is>
      </c>
      <c r="D911" s="38" t="inlineStr">
        <is>
          <t>275,9</t>
        </is>
      </c>
      <c r="E911" s="38" t="inlineStr">
        <is>
          <t>1</t>
        </is>
      </c>
    </row>
    <row r="912" ht="15" customHeight="1" s="39">
      <c r="A912" s="42" t="inlineStr">
        <is>
          <t>172253</t>
        </is>
      </c>
      <c r="B912" s="38" t="inlineStr">
        <is>
          <t>Vilamacolum</t>
        </is>
      </c>
      <c r="C912" s="38" t="inlineStr">
        <is>
          <t>5,57</t>
        </is>
      </c>
      <c r="D912" s="38" t="inlineStr">
        <is>
          <t>72,0</t>
        </is>
      </c>
      <c r="E912" s="38" t="inlineStr">
        <is>
          <t>1</t>
        </is>
      </c>
    </row>
    <row r="913" ht="15" customHeight="1" s="39">
      <c r="A913" s="42" t="inlineStr">
        <is>
          <t>172266</t>
        </is>
      </c>
      <c r="B913" s="38" t="inlineStr">
        <is>
          <t>Vilamalla</t>
        </is>
      </c>
      <c r="C913" s="38" t="inlineStr">
        <is>
          <t>8,77</t>
        </is>
      </c>
      <c r="D913" s="38" t="inlineStr">
        <is>
          <t>137,1</t>
        </is>
      </c>
      <c r="E913" s="38" t="inlineStr">
        <is>
          <t>4</t>
        </is>
      </c>
    </row>
    <row r="914" ht="15" customHeight="1" s="39">
      <c r="A914" s="42" t="inlineStr">
        <is>
          <t>172272</t>
        </is>
      </c>
      <c r="B914" s="38" t="inlineStr">
        <is>
          <t>Vilamaniscle</t>
        </is>
      </c>
      <c r="C914" s="38" t="inlineStr">
        <is>
          <t>5,46</t>
        </is>
      </c>
      <c r="D914" s="38" t="inlineStr">
        <is>
          <t>33,9</t>
        </is>
      </c>
      <c r="E914" s="38" t="inlineStr">
        <is>
          <t>1</t>
        </is>
      </c>
    </row>
    <row r="915" ht="15" customHeight="1" s="39">
      <c r="A915" s="42" t="inlineStr">
        <is>
          <t>252477</t>
        </is>
      </c>
      <c r="B915" s="38" t="inlineStr">
        <is>
          <t>Vilamòs</t>
        </is>
      </c>
      <c r="C915" s="38" t="inlineStr">
        <is>
          <t>15,44</t>
        </is>
      </c>
      <c r="D915" s="38" t="inlineStr">
        <is>
          <t>11,3</t>
        </is>
      </c>
      <c r="E915" s="38" t="inlineStr">
        <is>
          <t>2</t>
        </is>
      </c>
    </row>
    <row r="916" ht="15" customHeight="1" s="39">
      <c r="A916" s="42" t="inlineStr">
        <is>
          <t>172288</t>
        </is>
      </c>
      <c r="B916" s="38" t="inlineStr">
        <is>
          <t>Vilanant</t>
        </is>
      </c>
      <c r="C916" s="38" t="inlineStr">
        <is>
          <t>16,87</t>
        </is>
      </c>
      <c r="D916" s="38" t="inlineStr">
        <is>
          <t>24,0</t>
        </is>
      </c>
      <c r="E916" s="38" t="inlineStr">
        <is>
          <t>2</t>
        </is>
      </c>
    </row>
    <row r="917" ht="15" customHeight="1" s="39">
      <c r="A917" s="42" t="inlineStr">
        <is>
          <t>431671</t>
        </is>
      </c>
      <c r="B917" s="38" t="inlineStr">
        <is>
          <t>Vilanova d'Escornalbou</t>
        </is>
      </c>
      <c r="C917" s="38" t="inlineStr">
        <is>
          <t>17,16</t>
        </is>
      </c>
      <c r="D917" s="38" t="inlineStr">
        <is>
          <t>35,8</t>
        </is>
      </c>
      <c r="E917" s="38" t="inlineStr">
        <is>
          <t>2</t>
        </is>
      </c>
    </row>
    <row r="918" ht="15" customHeight="1" s="39">
      <c r="A918" s="42" t="inlineStr">
        <is>
          <t>252483</t>
        </is>
      </c>
      <c r="B918" s="38" t="inlineStr">
        <is>
          <t>Vilanova de Bellpuig</t>
        </is>
      </c>
      <c r="C918" s="38" t="inlineStr">
        <is>
          <t>13,98</t>
        </is>
      </c>
      <c r="D918" s="38" t="inlineStr">
        <is>
          <t>82,2</t>
        </is>
      </c>
      <c r="E918" s="38" t="inlineStr">
        <is>
          <t>1</t>
        </is>
      </c>
    </row>
    <row r="919" ht="15" customHeight="1" s="39">
      <c r="A919" s="42" t="inlineStr">
        <is>
          <t>252496</t>
        </is>
      </c>
      <c r="B919" s="38" t="inlineStr">
        <is>
          <t>Vilanova de l'Aguda</t>
        </is>
      </c>
      <c r="C919" s="38" t="inlineStr">
        <is>
          <t>53,68</t>
        </is>
      </c>
      <c r="D919" s="38" t="inlineStr">
        <is>
          <t>3,6</t>
        </is>
      </c>
      <c r="E919" s="38" t="inlineStr">
        <is>
          <t>5</t>
        </is>
      </c>
    </row>
    <row r="920" ht="15" customHeight="1" s="39">
      <c r="A920" s="42" t="inlineStr">
        <is>
          <t>252542</t>
        </is>
      </c>
      <c r="B920" s="38" t="inlineStr">
        <is>
          <t>Vilanova de la Barca</t>
        </is>
      </c>
      <c r="C920" s="38" t="inlineStr">
        <is>
          <t>21,55</t>
        </is>
      </c>
      <c r="D920" s="38" t="inlineStr">
        <is>
          <t>53,8</t>
        </is>
      </c>
      <c r="E920" s="38" t="inlineStr">
        <is>
          <t>1</t>
        </is>
      </c>
    </row>
    <row r="921" ht="15" customHeight="1" s="39">
      <c r="A921" s="42" t="inlineStr">
        <is>
          <t>252509</t>
        </is>
      </c>
      <c r="B921" s="38" t="inlineStr">
        <is>
          <t>Vilanova de Meià</t>
        </is>
      </c>
      <c r="C921" s="38" t="inlineStr">
        <is>
          <t>105,24</t>
        </is>
      </c>
      <c r="D921" s="38" t="inlineStr">
        <is>
          <t>4,5</t>
        </is>
      </c>
      <c r="E921" s="38" t="inlineStr">
        <is>
          <t>7</t>
        </is>
      </c>
    </row>
    <row r="922" ht="15" customHeight="1" s="39">
      <c r="A922" s="42" t="inlineStr">
        <is>
          <t>431687</t>
        </is>
      </c>
      <c r="B922" s="38" t="inlineStr">
        <is>
          <t>Vilanova de Prades</t>
        </is>
      </c>
      <c r="C922" s="38" t="inlineStr">
        <is>
          <t>21,51</t>
        </is>
      </c>
      <c r="D922" s="38" t="inlineStr">
        <is>
          <t>5,1</t>
        </is>
      </c>
      <c r="E922" s="38" t="inlineStr">
        <is>
          <t>1</t>
        </is>
      </c>
    </row>
    <row r="923" ht="15" customHeight="1" s="39">
      <c r="A923" s="42" t="inlineStr">
        <is>
          <t>083036</t>
        </is>
      </c>
      <c r="B923" s="38" t="inlineStr">
        <is>
          <t>Vilanova de Sau</t>
        </is>
      </c>
      <c r="C923" s="38" t="inlineStr">
        <is>
          <t>58,84</t>
        </is>
      </c>
      <c r="D923" s="38" t="inlineStr">
        <is>
          <t>5,5</t>
        </is>
      </c>
      <c r="E923" s="38" t="inlineStr">
        <is>
          <t>4</t>
        </is>
      </c>
    </row>
    <row r="924" ht="15" customHeight="1" s="39">
      <c r="A924" s="42" t="inlineStr">
        <is>
          <t>252516</t>
        </is>
      </c>
      <c r="B924" s="38" t="inlineStr">
        <is>
          <t>Vilanova de Segrià</t>
        </is>
      </c>
      <c r="C924" s="38" t="inlineStr">
        <is>
          <t>8,51</t>
        </is>
      </c>
      <c r="D924" s="38" t="inlineStr">
        <is>
          <t>127,8</t>
        </is>
      </c>
      <c r="E924" s="38" t="inlineStr">
        <is>
          <t>4</t>
        </is>
      </c>
    </row>
    <row r="925" ht="15" customHeight="1" s="39">
      <c r="A925" s="42" t="inlineStr">
        <is>
          <t>083020</t>
        </is>
      </c>
      <c r="B925" s="38" t="inlineStr">
        <is>
          <t>Vilanova del Camí</t>
        </is>
      </c>
      <c r="C925" s="38" t="inlineStr">
        <is>
          <t>10,28</t>
        </is>
      </c>
      <c r="D925" s="38" t="inlineStr">
        <is>
          <t>1253,5</t>
        </is>
      </c>
      <c r="E925" s="38" t="inlineStr">
        <is>
          <t>1</t>
        </is>
      </c>
    </row>
    <row r="926" ht="15" customHeight="1" s="39">
      <c r="A926" s="42" t="inlineStr">
        <is>
          <t>089024</t>
        </is>
      </c>
      <c r="B926" s="38" t="inlineStr">
        <is>
          <t>Vilanova del Vallès</t>
        </is>
      </c>
      <c r="C926" s="38" t="inlineStr">
        <is>
          <t>15,20</t>
        </is>
      </c>
      <c r="D926" s="38" t="inlineStr">
        <is>
          <t>374,8</t>
        </is>
      </c>
      <c r="E926" s="38" t="inlineStr">
        <is>
          <t>16</t>
        </is>
      </c>
    </row>
    <row r="927" ht="15" customHeight="1" s="39">
      <c r="A927" s="42" t="inlineStr">
        <is>
          <t>083073</t>
        </is>
      </c>
      <c r="B927" s="38" t="inlineStr">
        <is>
          <t>Vilanova i la Geltrú</t>
        </is>
      </c>
      <c r="C927" s="38" t="inlineStr">
        <is>
          <t>33,99</t>
        </is>
      </c>
      <c r="D927" s="38" t="inlineStr">
        <is>
          <t>2097,8</t>
        </is>
      </c>
      <c r="E927" s="38" t="inlineStr">
        <is>
          <t>1</t>
        </is>
      </c>
    </row>
    <row r="928" ht="15" customHeight="1" s="39">
      <c r="A928" s="42" t="inlineStr">
        <is>
          <t>431690</t>
        </is>
      </c>
      <c r="B928" s="38" t="inlineStr">
        <is>
          <t>Vilaplana</t>
        </is>
      </c>
      <c r="C928" s="38" t="inlineStr">
        <is>
          <t>23,20</t>
        </is>
      </c>
      <c r="D928" s="38" t="inlineStr">
        <is>
          <t>24,1</t>
        </is>
      </c>
      <c r="E928" s="38" t="inlineStr">
        <is>
          <t>1</t>
        </is>
      </c>
    </row>
    <row r="929" ht="15" customHeight="1" s="39">
      <c r="A929" s="42" t="inlineStr">
        <is>
          <t>431704</t>
        </is>
      </c>
      <c r="B929" s="38" t="inlineStr">
        <is>
          <t>Vila-rodona</t>
        </is>
      </c>
      <c r="C929" s="38" t="inlineStr">
        <is>
          <t>33,11</t>
        </is>
      </c>
      <c r="D929" s="38" t="inlineStr">
        <is>
          <t>41,9</t>
        </is>
      </c>
      <c r="E929" s="38" t="inlineStr">
        <is>
          <t>3</t>
        </is>
      </c>
    </row>
    <row r="930" ht="15" customHeight="1" s="39">
      <c r="A930" s="42" t="inlineStr">
        <is>
          <t>172305</t>
        </is>
      </c>
      <c r="B930" s="38" t="inlineStr">
        <is>
          <t>Vila-sacra</t>
        </is>
      </c>
      <c r="C930" s="38" t="inlineStr">
        <is>
          <t>6,03</t>
        </is>
      </c>
      <c r="D930" s="38" t="inlineStr">
        <is>
          <t>145,8</t>
        </is>
      </c>
      <c r="E930" s="38" t="inlineStr">
        <is>
          <t>1</t>
        </is>
      </c>
    </row>
    <row r="931" ht="15" customHeight="1" s="39">
      <c r="A931" s="42" t="inlineStr">
        <is>
          <t>252521</t>
        </is>
      </c>
      <c r="B931" s="38" t="inlineStr">
        <is>
          <t>Vila-sana</t>
        </is>
      </c>
      <c r="C931" s="38" t="inlineStr">
        <is>
          <t>19,10</t>
        </is>
      </c>
      <c r="D931" s="38" t="inlineStr">
        <is>
          <t>39,5</t>
        </is>
      </c>
      <c r="E931" s="38" t="inlineStr">
        <is>
          <t>1</t>
        </is>
      </c>
    </row>
    <row r="932" ht="15" customHeight="1" s="39">
      <c r="A932" s="42" t="inlineStr">
        <is>
          <t>431711</t>
        </is>
      </c>
      <c r="B932" s="38" t="inlineStr">
        <is>
          <t>Vila-seca</t>
        </is>
      </c>
      <c r="C932" s="38" t="inlineStr">
        <is>
          <t>21,64</t>
        </is>
      </c>
      <c r="D932" s="38" t="inlineStr">
        <is>
          <t>1116,4</t>
        </is>
      </c>
      <c r="E932" s="38" t="inlineStr">
        <is>
          <t>3</t>
        </is>
      </c>
    </row>
    <row r="933" ht="15" customHeight="1" s="39">
      <c r="A933" s="42" t="inlineStr">
        <is>
          <t>082140</t>
        </is>
      </c>
      <c r="B933" s="38" t="inlineStr">
        <is>
          <t>Vilassar de Dalt</t>
        </is>
      </c>
      <c r="C933" s="38" t="inlineStr">
        <is>
          <t>8,86</t>
        </is>
      </c>
      <c r="D933" s="38" t="inlineStr">
        <is>
          <t>1064,7</t>
        </is>
      </c>
      <c r="E933" s="38" t="inlineStr">
        <is>
          <t>1</t>
        </is>
      </c>
    </row>
    <row r="934" ht="15" customHeight="1" s="39">
      <c r="A934" s="42" t="inlineStr">
        <is>
          <t>082191</t>
        </is>
      </c>
      <c r="B934" s="38" t="inlineStr">
        <is>
          <t>Vilassar de Mar</t>
        </is>
      </c>
      <c r="C934" s="38" t="inlineStr">
        <is>
          <t>4,00</t>
        </is>
      </c>
      <c r="D934" s="38" t="inlineStr">
        <is>
          <t>5308,5</t>
        </is>
      </c>
      <c r="E934" s="38" t="inlineStr">
        <is>
          <t>1</t>
        </is>
      </c>
    </row>
    <row r="935" ht="15" customHeight="1" s="39">
      <c r="A935" s="42" t="inlineStr">
        <is>
          <t>172229</t>
        </is>
      </c>
      <c r="B935" s="38" t="inlineStr">
        <is>
          <t>Vilaür</t>
        </is>
      </c>
      <c r="C935" s="38" t="inlineStr">
        <is>
          <t>5,49</t>
        </is>
      </c>
      <c r="D935" s="38" t="inlineStr">
        <is>
          <t>29,7</t>
        </is>
      </c>
      <c r="E935" s="38" t="inlineStr">
        <is>
          <t>2</t>
        </is>
      </c>
    </row>
    <row r="936" ht="15" customHeight="1" s="39">
      <c r="A936" s="42" t="inlineStr">
        <is>
          <t>431726</t>
        </is>
      </c>
      <c r="B936" s="38" t="inlineStr">
        <is>
          <t>Vilaverd</t>
        </is>
      </c>
      <c r="C936" s="38" t="inlineStr">
        <is>
          <t>12,61</t>
        </is>
      </c>
      <c r="D936" s="38" t="inlineStr">
        <is>
          <t>39,2</t>
        </is>
      </c>
      <c r="E936" s="38" t="inlineStr">
        <is>
          <t>1</t>
        </is>
      </c>
    </row>
    <row r="937" ht="15" customHeight="1" s="39">
      <c r="A937" s="42" t="inlineStr">
        <is>
          <t>431732</t>
        </is>
      </c>
      <c r="B937" s="38" t="inlineStr">
        <is>
          <t>Vilella Alta, la</t>
        </is>
      </c>
      <c r="C937" s="38" t="inlineStr">
        <is>
          <t>5,15</t>
        </is>
      </c>
      <c r="D937" s="38" t="inlineStr">
        <is>
          <t>25,2</t>
        </is>
      </c>
      <c r="E937" s="38" t="inlineStr">
        <is>
          <t>1</t>
        </is>
      </c>
    </row>
    <row r="938" ht="15" customHeight="1" s="39">
      <c r="A938" s="42" t="inlineStr">
        <is>
          <t>431747</t>
        </is>
      </c>
      <c r="B938" s="38" t="inlineStr">
        <is>
          <t>Vilella Baixa, la</t>
        </is>
      </c>
      <c r="C938" s="38" t="inlineStr">
        <is>
          <t>5,62</t>
        </is>
      </c>
      <c r="D938" s="38" t="inlineStr">
        <is>
          <t>35,9</t>
        </is>
      </c>
      <c r="E938" s="38" t="inlineStr">
        <is>
          <t>1</t>
        </is>
      </c>
    </row>
    <row r="939" ht="15" customHeight="1" s="39">
      <c r="A939" s="42" t="inlineStr">
        <is>
          <t>172333</t>
        </is>
      </c>
      <c r="B939" s="38" t="inlineStr">
        <is>
          <t>Vilobí d'Onyar</t>
        </is>
      </c>
      <c r="C939" s="38" t="inlineStr">
        <is>
          <t>32,59</t>
        </is>
      </c>
      <c r="D939" s="38" t="inlineStr">
        <is>
          <t>101,2</t>
        </is>
      </c>
      <c r="E939" s="38" t="inlineStr">
        <is>
          <t>3</t>
        </is>
      </c>
    </row>
    <row r="940" ht="15" customHeight="1" s="39">
      <c r="A940" s="42" t="inlineStr">
        <is>
          <t>083041</t>
        </is>
      </c>
      <c r="B940" s="38" t="inlineStr">
        <is>
          <t>Vilobí del Penedès</t>
        </is>
      </c>
      <c r="C940" s="38" t="inlineStr">
        <is>
          <t>9,34</t>
        </is>
      </c>
      <c r="D940" s="38" t="inlineStr">
        <is>
          <t>123,9</t>
        </is>
      </c>
      <c r="E940" s="38" t="inlineStr">
        <is>
          <t>4</t>
        </is>
      </c>
    </row>
    <row r="941" ht="15" customHeight="1" s="39">
      <c r="A941" s="42" t="inlineStr">
        <is>
          <t>172327</t>
        </is>
      </c>
      <c r="B941" s="38" t="inlineStr">
        <is>
          <t>Vilopriu</t>
        </is>
      </c>
      <c r="C941" s="38" t="inlineStr">
        <is>
          <t>16,38</t>
        </is>
      </c>
      <c r="D941" s="38" t="inlineStr">
        <is>
          <t>13,4</t>
        </is>
      </c>
      <c r="E941" s="38" t="inlineStr">
        <is>
          <t>4</t>
        </is>
      </c>
    </row>
    <row r="942" ht="15" customHeight="1" s="39">
      <c r="A942" s="42" t="inlineStr">
        <is>
          <t>252537</t>
        </is>
      </c>
      <c r="B942" s="38" t="inlineStr">
        <is>
          <t>Vilosell, el</t>
        </is>
      </c>
      <c r="C942" s="38" t="inlineStr">
        <is>
          <t>18,88</t>
        </is>
      </c>
      <c r="D942" s="38" t="inlineStr">
        <is>
          <t>9,4</t>
        </is>
      </c>
      <c r="E942" s="38" t="inlineStr">
        <is>
          <t>1</t>
        </is>
      </c>
    </row>
    <row r="943" ht="15" customHeight="1" s="39">
      <c r="A943" s="42" t="inlineStr">
        <is>
          <t>431763</t>
        </is>
      </c>
      <c r="B943" s="38" t="inlineStr">
        <is>
          <t>Vimbodí i Poblet</t>
        </is>
      </c>
      <c r="C943" s="38" t="inlineStr">
        <is>
          <t>66,09</t>
        </is>
      </c>
      <c r="D943" s="38" t="inlineStr">
        <is>
          <t>13,5</t>
        </is>
      </c>
      <c r="E943" s="38" t="inlineStr">
        <is>
          <t>1</t>
        </is>
      </c>
    </row>
    <row r="944" ht="15" customHeight="1" s="39">
      <c r="A944" s="42" t="inlineStr">
        <is>
          <t>252555</t>
        </is>
      </c>
      <c r="B944" s="38" t="inlineStr">
        <is>
          <t>Vinaixa</t>
        </is>
      </c>
      <c r="C944" s="38" t="inlineStr">
        <is>
          <t>37,59</t>
        </is>
      </c>
      <c r="D944" s="38" t="inlineStr">
        <is>
          <t>11,6</t>
        </is>
      </c>
      <c r="E944" s="38" t="inlineStr">
        <is>
          <t>1</t>
        </is>
      </c>
    </row>
    <row r="945" ht="15" customHeight="1" s="39">
      <c r="A945" s="42" t="inlineStr">
        <is>
          <t>431779</t>
        </is>
      </c>
      <c r="B945" s="38" t="inlineStr">
        <is>
          <t>Vinebre</t>
        </is>
      </c>
      <c r="C945" s="38" t="inlineStr">
        <is>
          <t>26,44</t>
        </is>
      </c>
      <c r="D945" s="38" t="inlineStr">
        <is>
          <t>16,2</t>
        </is>
      </c>
      <c r="E945" s="38" t="inlineStr">
        <is>
          <t>1</t>
        </is>
      </c>
    </row>
    <row r="946" ht="15" customHeight="1" s="39">
      <c r="A946" s="42" t="inlineStr">
        <is>
          <t>431785</t>
        </is>
      </c>
      <c r="B946" s="38" t="inlineStr">
        <is>
          <t>Vinyols i els Arcs</t>
        </is>
      </c>
      <c r="C946" s="38" t="inlineStr">
        <is>
          <t>10,83</t>
        </is>
      </c>
      <c r="D946" s="38" t="inlineStr">
        <is>
          <t>228,1</t>
        </is>
      </c>
      <c r="E946" s="38" t="inlineStr">
        <is>
          <t>3</t>
        </is>
      </c>
    </row>
    <row r="947" ht="15" customHeight="1" s="39">
      <c r="A947" s="42" t="inlineStr">
        <is>
          <t>083089</t>
        </is>
      </c>
      <c r="B947" s="38" t="inlineStr">
        <is>
          <t>Viver i Serrateix</t>
        </is>
      </c>
      <c r="C947" s="38" t="inlineStr">
        <is>
          <t>66,80</t>
        </is>
      </c>
      <c r="D947" s="38" t="inlineStr">
        <is>
          <t>2,7</t>
        </is>
      </c>
      <c r="E947" s="38" t="inlineStr">
        <is>
          <t>3</t>
        </is>
      </c>
    </row>
    <row r="948" ht="15" customHeight="1" s="39">
      <c r="A948" s="42" t="inlineStr">
        <is>
          <t>430521</t>
        </is>
      </c>
      <c r="B948" s="38" t="inlineStr">
        <is>
          <t>Xerta</t>
        </is>
      </c>
      <c r="C948" s="38" t="inlineStr">
        <is>
          <t>32,39</t>
        </is>
      </c>
      <c r="D948" s="38" t="inlineStr">
        <is>
          <t>36,6</t>
        </is>
      </c>
      <c r="E948" s="38" t="inlineStr">
        <is>
          <t>1</t>
        </is>
      </c>
    </row>
  </sheetData>
  <autoFilter ref="A1:E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2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7"/>
  </cols>
  <sheetData>
    <row r="1" ht="15.75" customHeight="1" s="39">
      <c r="A1" s="40" t="inlineStr">
        <is>
          <t>YEAR</t>
        </is>
      </c>
      <c r="B1" s="41" t="inlineStr">
        <is>
          <t>MUN</t>
        </is>
      </c>
      <c r="C1" s="40" t="inlineStr">
        <is>
          <t>AGE</t>
        </is>
      </c>
      <c r="D1" s="40" t="inlineStr">
        <is>
          <t>SEX</t>
        </is>
      </c>
      <c r="E1" s="40" t="inlineStr">
        <is>
          <t>CONCEPT</t>
        </is>
      </c>
      <c r="F1" s="40" t="inlineStr">
        <is>
          <t>value</t>
        </is>
      </c>
      <c r="G1" s="40" t="inlineStr">
        <is>
          <t>status</t>
        </is>
      </c>
    </row>
    <row r="2" ht="15" customHeight="1" s="39">
      <c r="A2" s="38" t="inlineStr">
        <is>
          <t>2021</t>
        </is>
      </c>
      <c r="B2" s="42" t="inlineStr">
        <is>
          <t>430120</t>
        </is>
      </c>
      <c r="C2" s="38" t="inlineStr">
        <is>
          <t>Y000</t>
        </is>
      </c>
      <c r="D2" s="38" t="inlineStr">
        <is>
          <t>TOTAL</t>
        </is>
      </c>
      <c r="E2" s="38" t="inlineStr">
        <is>
          <t>POP</t>
        </is>
      </c>
      <c r="F2" s="38" t="n">
        <v>40</v>
      </c>
    </row>
    <row r="3" ht="15" customHeight="1" s="39">
      <c r="A3" s="38" t="inlineStr">
        <is>
          <t>2021</t>
        </is>
      </c>
      <c r="B3" s="42" t="inlineStr">
        <is>
          <t>430120</t>
        </is>
      </c>
      <c r="C3" s="38" t="inlineStr">
        <is>
          <t>Y001</t>
        </is>
      </c>
      <c r="D3" s="38" t="inlineStr">
        <is>
          <t>TOTAL</t>
        </is>
      </c>
      <c r="E3" s="38" t="inlineStr">
        <is>
          <t>POP</t>
        </is>
      </c>
      <c r="F3" s="38" t="n">
        <v>50</v>
      </c>
    </row>
    <row r="4" ht="15" customHeight="1" s="39">
      <c r="A4" s="38" t="inlineStr">
        <is>
          <t>2021</t>
        </is>
      </c>
      <c r="B4" s="42" t="inlineStr">
        <is>
          <t>430120</t>
        </is>
      </c>
      <c r="C4" s="38" t="inlineStr">
        <is>
          <t>Y002</t>
        </is>
      </c>
      <c r="D4" s="38" t="inlineStr">
        <is>
          <t>TOTAL</t>
        </is>
      </c>
      <c r="E4" s="38" t="inlineStr">
        <is>
          <t>POP</t>
        </is>
      </c>
      <c r="F4" s="38" t="n">
        <v>44</v>
      </c>
    </row>
    <row r="5" ht="15" customHeight="1" s="39">
      <c r="A5" s="38" t="inlineStr">
        <is>
          <t>2021</t>
        </is>
      </c>
      <c r="B5" s="42" t="inlineStr">
        <is>
          <t>430120</t>
        </is>
      </c>
      <c r="C5" s="38" t="inlineStr">
        <is>
          <t>Y003</t>
        </is>
      </c>
      <c r="D5" s="38" t="inlineStr">
        <is>
          <t>TOTAL</t>
        </is>
      </c>
      <c r="E5" s="38" t="inlineStr">
        <is>
          <t>POP</t>
        </is>
      </c>
      <c r="F5" s="38" t="n">
        <v>58</v>
      </c>
    </row>
    <row r="6" ht="15" customHeight="1" s="39">
      <c r="A6" s="38" t="inlineStr">
        <is>
          <t>2021</t>
        </is>
      </c>
      <c r="B6" s="42" t="inlineStr">
        <is>
          <t>430120</t>
        </is>
      </c>
      <c r="C6" s="38" t="inlineStr">
        <is>
          <t>Y004</t>
        </is>
      </c>
      <c r="D6" s="38" t="inlineStr">
        <is>
          <t>TOTAL</t>
        </is>
      </c>
      <c r="E6" s="38" t="inlineStr">
        <is>
          <t>POP</t>
        </is>
      </c>
      <c r="F6" s="38" t="n">
        <v>73</v>
      </c>
    </row>
    <row r="7" ht="15" customHeight="1" s="39">
      <c r="A7" s="38" t="inlineStr">
        <is>
          <t>2021</t>
        </is>
      </c>
      <c r="B7" s="42" t="inlineStr">
        <is>
          <t>430120</t>
        </is>
      </c>
      <c r="C7" s="38" t="inlineStr">
        <is>
          <t>Y005</t>
        </is>
      </c>
      <c r="D7" s="38" t="inlineStr">
        <is>
          <t>TOTAL</t>
        </is>
      </c>
      <c r="E7" s="38" t="inlineStr">
        <is>
          <t>POP</t>
        </is>
      </c>
      <c r="F7" s="38" t="n">
        <v>55</v>
      </c>
    </row>
    <row r="8" ht="15" customHeight="1" s="39">
      <c r="A8" s="38" t="inlineStr">
        <is>
          <t>2021</t>
        </is>
      </c>
      <c r="B8" s="42" t="inlineStr">
        <is>
          <t>430120</t>
        </is>
      </c>
      <c r="C8" s="38" t="inlineStr">
        <is>
          <t>Y006</t>
        </is>
      </c>
      <c r="D8" s="38" t="inlineStr">
        <is>
          <t>TOTAL</t>
        </is>
      </c>
      <c r="E8" s="38" t="inlineStr">
        <is>
          <t>POP</t>
        </is>
      </c>
      <c r="F8" s="38" t="n">
        <v>68</v>
      </c>
    </row>
    <row r="9" ht="15" customHeight="1" s="39">
      <c r="A9" s="38" t="inlineStr">
        <is>
          <t>2021</t>
        </is>
      </c>
      <c r="B9" s="42" t="inlineStr">
        <is>
          <t>430120</t>
        </is>
      </c>
      <c r="C9" s="38" t="inlineStr">
        <is>
          <t>Y007</t>
        </is>
      </c>
      <c r="D9" s="38" t="inlineStr">
        <is>
          <t>TOTAL</t>
        </is>
      </c>
      <c r="E9" s="38" t="inlineStr">
        <is>
          <t>POP</t>
        </is>
      </c>
      <c r="F9" s="38" t="n">
        <v>69</v>
      </c>
    </row>
    <row r="10" ht="15" customHeight="1" s="39">
      <c r="A10" s="38" t="inlineStr">
        <is>
          <t>2021</t>
        </is>
      </c>
      <c r="B10" s="42" t="inlineStr">
        <is>
          <t>430120</t>
        </is>
      </c>
      <c r="C10" s="38" t="inlineStr">
        <is>
          <t>Y008</t>
        </is>
      </c>
      <c r="D10" s="38" t="inlineStr">
        <is>
          <t>TOTAL</t>
        </is>
      </c>
      <c r="E10" s="38" t="inlineStr">
        <is>
          <t>POP</t>
        </is>
      </c>
      <c r="F10" s="38" t="n">
        <v>68</v>
      </c>
    </row>
    <row r="11" ht="15" customHeight="1" s="39">
      <c r="A11" s="38" t="inlineStr">
        <is>
          <t>2021</t>
        </is>
      </c>
      <c r="B11" s="42" t="inlineStr">
        <is>
          <t>430120</t>
        </is>
      </c>
      <c r="C11" s="38" t="inlineStr">
        <is>
          <t>Y009</t>
        </is>
      </c>
      <c r="D11" s="38" t="inlineStr">
        <is>
          <t>TOTAL</t>
        </is>
      </c>
      <c r="E11" s="38" t="inlineStr">
        <is>
          <t>POP</t>
        </is>
      </c>
      <c r="F11" s="38" t="n">
        <v>60</v>
      </c>
    </row>
    <row r="12" ht="15" customHeight="1" s="39">
      <c r="A12" s="38" t="inlineStr">
        <is>
          <t>2021</t>
        </is>
      </c>
      <c r="B12" s="42" t="inlineStr">
        <is>
          <t>430120</t>
        </is>
      </c>
      <c r="C12" s="38" t="inlineStr">
        <is>
          <t>Y010</t>
        </is>
      </c>
      <c r="D12" s="38" t="inlineStr">
        <is>
          <t>TOTAL</t>
        </is>
      </c>
      <c r="E12" s="38" t="inlineStr">
        <is>
          <t>POP</t>
        </is>
      </c>
      <c r="F12" s="38" t="n">
        <v>81</v>
      </c>
    </row>
    <row r="13" ht="15" customHeight="1" s="39">
      <c r="A13" s="38" t="inlineStr">
        <is>
          <t>2021</t>
        </is>
      </c>
      <c r="B13" s="42" t="inlineStr">
        <is>
          <t>430120</t>
        </is>
      </c>
      <c r="C13" s="38" t="inlineStr">
        <is>
          <t>Y011</t>
        </is>
      </c>
      <c r="D13" s="38" t="inlineStr">
        <is>
          <t>TOTAL</t>
        </is>
      </c>
      <c r="E13" s="38" t="inlineStr">
        <is>
          <t>POP</t>
        </is>
      </c>
      <c r="F13" s="38" t="n">
        <v>70</v>
      </c>
    </row>
    <row r="14" ht="15" customHeight="1" s="39">
      <c r="A14" s="38" t="inlineStr">
        <is>
          <t>2021</t>
        </is>
      </c>
      <c r="B14" s="42" t="inlineStr">
        <is>
          <t>430120</t>
        </is>
      </c>
      <c r="C14" s="38" t="inlineStr">
        <is>
          <t>Y012</t>
        </is>
      </c>
      <c r="D14" s="38" t="inlineStr">
        <is>
          <t>TOTAL</t>
        </is>
      </c>
      <c r="E14" s="38" t="inlineStr">
        <is>
          <t>POP</t>
        </is>
      </c>
      <c r="F14" s="38" t="n">
        <v>79</v>
      </c>
    </row>
    <row r="15" ht="15" customHeight="1" s="39">
      <c r="A15" s="38" t="inlineStr">
        <is>
          <t>2021</t>
        </is>
      </c>
      <c r="B15" s="42" t="inlineStr">
        <is>
          <t>430120</t>
        </is>
      </c>
      <c r="C15" s="38" t="inlineStr">
        <is>
          <t>Y013</t>
        </is>
      </c>
      <c r="D15" s="38" t="inlineStr">
        <is>
          <t>TOTAL</t>
        </is>
      </c>
      <c r="E15" s="38" t="inlineStr">
        <is>
          <t>POP</t>
        </is>
      </c>
      <c r="F15" s="38" t="n">
        <v>60</v>
      </c>
    </row>
    <row r="16" ht="15" customHeight="1" s="39">
      <c r="A16" s="38" t="inlineStr">
        <is>
          <t>2021</t>
        </is>
      </c>
      <c r="B16" s="42" t="inlineStr">
        <is>
          <t>430120</t>
        </is>
      </c>
      <c r="C16" s="38" t="inlineStr">
        <is>
          <t>Y014</t>
        </is>
      </c>
      <c r="D16" s="38" t="inlineStr">
        <is>
          <t>TOTAL</t>
        </is>
      </c>
      <c r="E16" s="38" t="inlineStr">
        <is>
          <t>POP</t>
        </is>
      </c>
      <c r="F16" s="38" t="n">
        <v>59</v>
      </c>
    </row>
    <row r="17" ht="15" customHeight="1" s="39">
      <c r="A17" s="38" t="inlineStr">
        <is>
          <t>2021</t>
        </is>
      </c>
      <c r="B17" s="42" t="inlineStr">
        <is>
          <t>430120</t>
        </is>
      </c>
      <c r="C17" s="38" t="inlineStr">
        <is>
          <t>Y015</t>
        </is>
      </c>
      <c r="D17" s="38" t="inlineStr">
        <is>
          <t>TOTAL</t>
        </is>
      </c>
      <c r="E17" s="38" t="inlineStr">
        <is>
          <t>POP</t>
        </is>
      </c>
      <c r="F17" s="38" t="n">
        <v>72</v>
      </c>
    </row>
    <row r="18" ht="15" customHeight="1" s="39">
      <c r="A18" s="38" t="inlineStr">
        <is>
          <t>2021</t>
        </is>
      </c>
      <c r="B18" s="42" t="inlineStr">
        <is>
          <t>430120</t>
        </is>
      </c>
      <c r="C18" s="38" t="inlineStr">
        <is>
          <t>Y016</t>
        </is>
      </c>
      <c r="D18" s="38" t="inlineStr">
        <is>
          <t>TOTAL</t>
        </is>
      </c>
      <c r="E18" s="38" t="inlineStr">
        <is>
          <t>POP</t>
        </is>
      </c>
      <c r="F18" s="38" t="n">
        <v>61</v>
      </c>
    </row>
    <row r="19" ht="15" customHeight="1" s="39">
      <c r="A19" s="38" t="inlineStr">
        <is>
          <t>2021</t>
        </is>
      </c>
      <c r="B19" s="42" t="inlineStr">
        <is>
          <t>430120</t>
        </is>
      </c>
      <c r="C19" s="38" t="inlineStr">
        <is>
          <t>Y017</t>
        </is>
      </c>
      <c r="D19" s="38" t="inlineStr">
        <is>
          <t>TOTAL</t>
        </is>
      </c>
      <c r="E19" s="38" t="inlineStr">
        <is>
          <t>POP</t>
        </is>
      </c>
      <c r="F19" s="38" t="n">
        <v>61</v>
      </c>
    </row>
    <row r="20" ht="15" customHeight="1" s="39">
      <c r="A20" s="38" t="inlineStr">
        <is>
          <t>2021</t>
        </is>
      </c>
      <c r="B20" s="42" t="inlineStr">
        <is>
          <t>430120</t>
        </is>
      </c>
      <c r="C20" s="38" t="inlineStr">
        <is>
          <t>Y018</t>
        </is>
      </c>
      <c r="D20" s="38" t="inlineStr">
        <is>
          <t>TOTAL</t>
        </is>
      </c>
      <c r="E20" s="38" t="inlineStr">
        <is>
          <t>POP</t>
        </is>
      </c>
      <c r="F20" s="38" t="n">
        <v>47</v>
      </c>
    </row>
    <row r="21" ht="15" customHeight="1" s="39">
      <c r="A21" s="38" t="inlineStr">
        <is>
          <t>2021</t>
        </is>
      </c>
      <c r="B21" s="42" t="inlineStr">
        <is>
          <t>430120</t>
        </is>
      </c>
      <c r="C21" s="38" t="inlineStr">
        <is>
          <t>Y019</t>
        </is>
      </c>
      <c r="D21" s="38" t="inlineStr">
        <is>
          <t>TOTAL</t>
        </is>
      </c>
      <c r="E21" s="38" t="inlineStr">
        <is>
          <t>POP</t>
        </is>
      </c>
      <c r="F21" s="38" t="n">
        <v>58</v>
      </c>
    </row>
    <row r="22" ht="15" customHeight="1" s="39">
      <c r="A22" s="38" t="inlineStr">
        <is>
          <t>2021</t>
        </is>
      </c>
      <c r="B22" s="42" t="inlineStr">
        <is>
          <t>430120</t>
        </is>
      </c>
      <c r="C22" s="38" t="inlineStr">
        <is>
          <t>Y020</t>
        </is>
      </c>
      <c r="D22" s="38" t="inlineStr">
        <is>
          <t>TOTAL</t>
        </is>
      </c>
      <c r="E22" s="38" t="inlineStr">
        <is>
          <t>POP</t>
        </is>
      </c>
      <c r="F22" s="38" t="n">
        <v>48</v>
      </c>
    </row>
    <row r="23" ht="15" customHeight="1" s="39">
      <c r="A23" s="38" t="inlineStr">
        <is>
          <t>2021</t>
        </is>
      </c>
      <c r="B23" s="42" t="inlineStr">
        <is>
          <t>430120</t>
        </is>
      </c>
      <c r="C23" s="38" t="inlineStr">
        <is>
          <t>Y021</t>
        </is>
      </c>
      <c r="D23" s="38" t="inlineStr">
        <is>
          <t>TOTAL</t>
        </is>
      </c>
      <c r="E23" s="38" t="inlineStr">
        <is>
          <t>POP</t>
        </is>
      </c>
      <c r="F23" s="38" t="n">
        <v>61</v>
      </c>
    </row>
    <row r="24" ht="15" customHeight="1" s="39">
      <c r="A24" s="38" t="inlineStr">
        <is>
          <t>2021</t>
        </is>
      </c>
      <c r="B24" s="42" t="inlineStr">
        <is>
          <t>430120</t>
        </is>
      </c>
      <c r="C24" s="38" t="inlineStr">
        <is>
          <t>Y022</t>
        </is>
      </c>
      <c r="D24" s="38" t="inlineStr">
        <is>
          <t>TOTAL</t>
        </is>
      </c>
      <c r="E24" s="38" t="inlineStr">
        <is>
          <t>POP</t>
        </is>
      </c>
      <c r="F24" s="38" t="n">
        <v>56</v>
      </c>
    </row>
    <row r="25" ht="15" customHeight="1" s="39">
      <c r="A25" s="38" t="inlineStr">
        <is>
          <t>2021</t>
        </is>
      </c>
      <c r="B25" s="42" t="inlineStr">
        <is>
          <t>430120</t>
        </is>
      </c>
      <c r="C25" s="38" t="inlineStr">
        <is>
          <t>Y023</t>
        </is>
      </c>
      <c r="D25" s="38" t="inlineStr">
        <is>
          <t>TOTAL</t>
        </is>
      </c>
      <c r="E25" s="38" t="inlineStr">
        <is>
          <t>POP</t>
        </is>
      </c>
      <c r="F25" s="38" t="n">
        <v>48</v>
      </c>
    </row>
    <row r="26" ht="15" customHeight="1" s="39">
      <c r="A26" s="38" t="inlineStr">
        <is>
          <t>2021</t>
        </is>
      </c>
      <c r="B26" s="42" t="inlineStr">
        <is>
          <t>430120</t>
        </is>
      </c>
      <c r="C26" s="38" t="inlineStr">
        <is>
          <t>Y024</t>
        </is>
      </c>
      <c r="D26" s="38" t="inlineStr">
        <is>
          <t>TOTAL</t>
        </is>
      </c>
      <c r="E26" s="38" t="inlineStr">
        <is>
          <t>POP</t>
        </is>
      </c>
      <c r="F26" s="38" t="n">
        <v>52</v>
      </c>
    </row>
    <row r="27" ht="15" customHeight="1" s="39">
      <c r="A27" s="38" t="inlineStr">
        <is>
          <t>2021</t>
        </is>
      </c>
      <c r="B27" s="42" t="inlineStr">
        <is>
          <t>430120</t>
        </is>
      </c>
      <c r="C27" s="38" t="inlineStr">
        <is>
          <t>Y025</t>
        </is>
      </c>
      <c r="D27" s="38" t="inlineStr">
        <is>
          <t>TOTAL</t>
        </is>
      </c>
      <c r="E27" s="38" t="inlineStr">
        <is>
          <t>POP</t>
        </is>
      </c>
      <c r="F27" s="38" t="n">
        <v>48</v>
      </c>
    </row>
    <row r="28" ht="15" customHeight="1" s="39">
      <c r="A28" s="38" t="inlineStr">
        <is>
          <t>2021</t>
        </is>
      </c>
      <c r="B28" s="42" t="inlineStr">
        <is>
          <t>430120</t>
        </is>
      </c>
      <c r="C28" s="38" t="inlineStr">
        <is>
          <t>Y026</t>
        </is>
      </c>
      <c r="D28" s="38" t="inlineStr">
        <is>
          <t>TOTAL</t>
        </is>
      </c>
      <c r="E28" s="38" t="inlineStr">
        <is>
          <t>POP</t>
        </is>
      </c>
      <c r="F28" s="38" t="n">
        <v>34</v>
      </c>
    </row>
    <row r="29" ht="15" customHeight="1" s="39">
      <c r="A29" s="38" t="inlineStr">
        <is>
          <t>2021</t>
        </is>
      </c>
      <c r="B29" s="42" t="inlineStr">
        <is>
          <t>430120</t>
        </is>
      </c>
      <c r="C29" s="38" t="inlineStr">
        <is>
          <t>Y027</t>
        </is>
      </c>
      <c r="D29" s="38" t="inlineStr">
        <is>
          <t>TOTAL</t>
        </is>
      </c>
      <c r="E29" s="38" t="inlineStr">
        <is>
          <t>POP</t>
        </is>
      </c>
      <c r="F29" s="38" t="n">
        <v>32</v>
      </c>
    </row>
    <row r="30" ht="15" customHeight="1" s="39">
      <c r="A30" s="38" t="inlineStr">
        <is>
          <t>2021</t>
        </is>
      </c>
      <c r="B30" s="42" t="inlineStr">
        <is>
          <t>430120</t>
        </is>
      </c>
      <c r="C30" s="38" t="inlineStr">
        <is>
          <t>Y028</t>
        </is>
      </c>
      <c r="D30" s="38" t="inlineStr">
        <is>
          <t>TOTAL</t>
        </is>
      </c>
      <c r="E30" s="38" t="inlineStr">
        <is>
          <t>POP</t>
        </is>
      </c>
      <c r="F30" s="38" t="n">
        <v>58</v>
      </c>
    </row>
    <row r="31" ht="15" customHeight="1" s="39">
      <c r="A31" s="38" t="inlineStr">
        <is>
          <t>2021</t>
        </is>
      </c>
      <c r="B31" s="42" t="inlineStr">
        <is>
          <t>430120</t>
        </is>
      </c>
      <c r="C31" s="38" t="inlineStr">
        <is>
          <t>Y029</t>
        </is>
      </c>
      <c r="D31" s="38" t="inlineStr">
        <is>
          <t>TOTAL</t>
        </is>
      </c>
      <c r="E31" s="38" t="inlineStr">
        <is>
          <t>POP</t>
        </is>
      </c>
      <c r="F31" s="38" t="n">
        <v>43</v>
      </c>
    </row>
    <row r="32" ht="15" customHeight="1" s="39">
      <c r="A32" s="38" t="inlineStr">
        <is>
          <t>2021</t>
        </is>
      </c>
      <c r="B32" s="42" t="inlineStr">
        <is>
          <t>430120</t>
        </is>
      </c>
      <c r="C32" s="38" t="inlineStr">
        <is>
          <t>Y030</t>
        </is>
      </c>
      <c r="D32" s="38" t="inlineStr">
        <is>
          <t>TOTAL</t>
        </is>
      </c>
      <c r="E32" s="38" t="inlineStr">
        <is>
          <t>POP</t>
        </is>
      </c>
      <c r="F32" s="38" t="n">
        <v>50</v>
      </c>
    </row>
    <row r="33" ht="15" customHeight="1" s="39">
      <c r="A33" s="38" t="inlineStr">
        <is>
          <t>2021</t>
        </is>
      </c>
      <c r="B33" s="42" t="inlineStr">
        <is>
          <t>430120</t>
        </is>
      </c>
      <c r="C33" s="38" t="inlineStr">
        <is>
          <t>Y031</t>
        </is>
      </c>
      <c r="D33" s="38" t="inlineStr">
        <is>
          <t>TOTAL</t>
        </is>
      </c>
      <c r="E33" s="38" t="inlineStr">
        <is>
          <t>POP</t>
        </is>
      </c>
      <c r="F33" s="38" t="n">
        <v>56</v>
      </c>
    </row>
    <row r="34" ht="15" customHeight="1" s="39">
      <c r="A34" s="38" t="inlineStr">
        <is>
          <t>2021</t>
        </is>
      </c>
      <c r="B34" s="42" t="inlineStr">
        <is>
          <t>430120</t>
        </is>
      </c>
      <c r="C34" s="38" t="inlineStr">
        <is>
          <t>Y032</t>
        </is>
      </c>
      <c r="D34" s="38" t="inlineStr">
        <is>
          <t>TOTAL</t>
        </is>
      </c>
      <c r="E34" s="38" t="inlineStr">
        <is>
          <t>POP</t>
        </is>
      </c>
      <c r="F34" s="38" t="n">
        <v>51</v>
      </c>
    </row>
    <row r="35" ht="15" customHeight="1" s="39">
      <c r="A35" s="38" t="inlineStr">
        <is>
          <t>2021</t>
        </is>
      </c>
      <c r="B35" s="42" t="inlineStr">
        <is>
          <t>430120</t>
        </is>
      </c>
      <c r="C35" s="38" t="inlineStr">
        <is>
          <t>Y033</t>
        </is>
      </c>
      <c r="D35" s="38" t="inlineStr">
        <is>
          <t>TOTAL</t>
        </is>
      </c>
      <c r="E35" s="38" t="inlineStr">
        <is>
          <t>POP</t>
        </is>
      </c>
      <c r="F35" s="38" t="n">
        <v>41</v>
      </c>
    </row>
    <row r="36" ht="15" customHeight="1" s="39">
      <c r="A36" s="38" t="inlineStr">
        <is>
          <t>2021</t>
        </is>
      </c>
      <c r="B36" s="42" t="inlineStr">
        <is>
          <t>430120</t>
        </is>
      </c>
      <c r="C36" s="38" t="inlineStr">
        <is>
          <t>Y034</t>
        </is>
      </c>
      <c r="D36" s="38" t="inlineStr">
        <is>
          <t>TOTAL</t>
        </is>
      </c>
      <c r="E36" s="38" t="inlineStr">
        <is>
          <t>POP</t>
        </is>
      </c>
      <c r="F36" s="38" t="n">
        <v>52</v>
      </c>
    </row>
    <row r="37" ht="15" customHeight="1" s="39">
      <c r="A37" s="38" t="inlineStr">
        <is>
          <t>2021</t>
        </is>
      </c>
      <c r="B37" s="42" t="inlineStr">
        <is>
          <t>430120</t>
        </is>
      </c>
      <c r="C37" s="38" t="inlineStr">
        <is>
          <t>Y035</t>
        </is>
      </c>
      <c r="D37" s="38" t="inlineStr">
        <is>
          <t>TOTAL</t>
        </is>
      </c>
      <c r="E37" s="38" t="inlineStr">
        <is>
          <t>POP</t>
        </is>
      </c>
      <c r="F37" s="38" t="n">
        <v>55</v>
      </c>
    </row>
    <row r="38" ht="15" customHeight="1" s="39">
      <c r="A38" s="38" t="inlineStr">
        <is>
          <t>2021</t>
        </is>
      </c>
      <c r="B38" s="42" t="inlineStr">
        <is>
          <t>430120</t>
        </is>
      </c>
      <c r="C38" s="38" t="inlineStr">
        <is>
          <t>Y036</t>
        </is>
      </c>
      <c r="D38" s="38" t="inlineStr">
        <is>
          <t>TOTAL</t>
        </is>
      </c>
      <c r="E38" s="38" t="inlineStr">
        <is>
          <t>POP</t>
        </is>
      </c>
      <c r="F38" s="38" t="n">
        <v>75</v>
      </c>
    </row>
    <row r="39" ht="15" customHeight="1" s="39">
      <c r="A39" s="38" t="inlineStr">
        <is>
          <t>2021</t>
        </is>
      </c>
      <c r="B39" s="42" t="inlineStr">
        <is>
          <t>430120</t>
        </is>
      </c>
      <c r="C39" s="38" t="inlineStr">
        <is>
          <t>Y037</t>
        </is>
      </c>
      <c r="D39" s="38" t="inlineStr">
        <is>
          <t>TOTAL</t>
        </is>
      </c>
      <c r="E39" s="38" t="inlineStr">
        <is>
          <t>POP</t>
        </is>
      </c>
      <c r="F39" s="38" t="n">
        <v>73</v>
      </c>
    </row>
    <row r="40" ht="15" customHeight="1" s="39">
      <c r="A40" s="38" t="inlineStr">
        <is>
          <t>2021</t>
        </is>
      </c>
      <c r="B40" s="42" t="inlineStr">
        <is>
          <t>430120</t>
        </is>
      </c>
      <c r="C40" s="38" t="inlineStr">
        <is>
          <t>Y038</t>
        </is>
      </c>
      <c r="D40" s="38" t="inlineStr">
        <is>
          <t>TOTAL</t>
        </is>
      </c>
      <c r="E40" s="38" t="inlineStr">
        <is>
          <t>POP</t>
        </is>
      </c>
      <c r="F40" s="38" t="n">
        <v>86</v>
      </c>
    </row>
    <row r="41" ht="15" customHeight="1" s="39">
      <c r="A41" s="38" t="inlineStr">
        <is>
          <t>2021</t>
        </is>
      </c>
      <c r="B41" s="42" t="inlineStr">
        <is>
          <t>430120</t>
        </is>
      </c>
      <c r="C41" s="38" t="inlineStr">
        <is>
          <t>Y039</t>
        </is>
      </c>
      <c r="D41" s="38" t="inlineStr">
        <is>
          <t>TOTAL</t>
        </is>
      </c>
      <c r="E41" s="38" t="inlineStr">
        <is>
          <t>POP</t>
        </is>
      </c>
      <c r="F41" s="38" t="n">
        <v>91</v>
      </c>
    </row>
    <row r="42" ht="15" customHeight="1" s="39">
      <c r="A42" s="38" t="inlineStr">
        <is>
          <t>2021</t>
        </is>
      </c>
      <c r="B42" s="42" t="inlineStr">
        <is>
          <t>430120</t>
        </is>
      </c>
      <c r="C42" s="38" t="inlineStr">
        <is>
          <t>Y040</t>
        </is>
      </c>
      <c r="D42" s="38" t="inlineStr">
        <is>
          <t>TOTAL</t>
        </is>
      </c>
      <c r="E42" s="38" t="inlineStr">
        <is>
          <t>POP</t>
        </is>
      </c>
      <c r="F42" s="38" t="n">
        <v>92</v>
      </c>
    </row>
    <row r="43" ht="15" customHeight="1" s="39">
      <c r="A43" s="38" t="inlineStr">
        <is>
          <t>2021</t>
        </is>
      </c>
      <c r="B43" s="42" t="inlineStr">
        <is>
          <t>430120</t>
        </is>
      </c>
      <c r="C43" s="38" t="inlineStr">
        <is>
          <t>Y041</t>
        </is>
      </c>
      <c r="D43" s="38" t="inlineStr">
        <is>
          <t>TOTAL</t>
        </is>
      </c>
      <c r="E43" s="38" t="inlineStr">
        <is>
          <t>POP</t>
        </is>
      </c>
      <c r="F43" s="38" t="n">
        <v>79</v>
      </c>
    </row>
    <row r="44" ht="15" customHeight="1" s="39">
      <c r="A44" s="38" t="inlineStr">
        <is>
          <t>2021</t>
        </is>
      </c>
      <c r="B44" s="42" t="inlineStr">
        <is>
          <t>430120</t>
        </is>
      </c>
      <c r="C44" s="38" t="inlineStr">
        <is>
          <t>Y042</t>
        </is>
      </c>
      <c r="D44" s="38" t="inlineStr">
        <is>
          <t>TOTAL</t>
        </is>
      </c>
      <c r="E44" s="38" t="inlineStr">
        <is>
          <t>POP</t>
        </is>
      </c>
      <c r="F44" s="38" t="n">
        <v>104</v>
      </c>
    </row>
    <row r="45" ht="15" customHeight="1" s="39">
      <c r="A45" s="38" t="inlineStr">
        <is>
          <t>2021</t>
        </is>
      </c>
      <c r="B45" s="42" t="inlineStr">
        <is>
          <t>430120</t>
        </is>
      </c>
      <c r="C45" s="38" t="inlineStr">
        <is>
          <t>Y043</t>
        </is>
      </c>
      <c r="D45" s="38" t="inlineStr">
        <is>
          <t>TOTAL</t>
        </is>
      </c>
      <c r="E45" s="38" t="inlineStr">
        <is>
          <t>POP</t>
        </is>
      </c>
      <c r="F45" s="38" t="n">
        <v>103</v>
      </c>
    </row>
    <row r="46" ht="15" customHeight="1" s="39">
      <c r="A46" s="38" t="inlineStr">
        <is>
          <t>2021</t>
        </is>
      </c>
      <c r="B46" s="42" t="inlineStr">
        <is>
          <t>430120</t>
        </is>
      </c>
      <c r="C46" s="38" t="inlineStr">
        <is>
          <t>Y044</t>
        </is>
      </c>
      <c r="D46" s="38" t="inlineStr">
        <is>
          <t>TOTAL</t>
        </is>
      </c>
      <c r="E46" s="38" t="inlineStr">
        <is>
          <t>POP</t>
        </is>
      </c>
      <c r="F46" s="38" t="n">
        <v>90</v>
      </c>
    </row>
    <row r="47" ht="15" customHeight="1" s="39">
      <c r="A47" s="38" t="inlineStr">
        <is>
          <t>2021</t>
        </is>
      </c>
      <c r="B47" s="42" t="inlineStr">
        <is>
          <t>430120</t>
        </is>
      </c>
      <c r="C47" s="38" t="inlineStr">
        <is>
          <t>Y045</t>
        </is>
      </c>
      <c r="D47" s="38" t="inlineStr">
        <is>
          <t>TOTAL</t>
        </is>
      </c>
      <c r="E47" s="38" t="inlineStr">
        <is>
          <t>POP</t>
        </is>
      </c>
      <c r="F47" s="38" t="n">
        <v>116</v>
      </c>
    </row>
    <row r="48" ht="15" customHeight="1" s="39">
      <c r="A48" s="38" t="inlineStr">
        <is>
          <t>2021</t>
        </is>
      </c>
      <c r="B48" s="42" t="inlineStr">
        <is>
          <t>430120</t>
        </is>
      </c>
      <c r="C48" s="38" t="inlineStr">
        <is>
          <t>Y046</t>
        </is>
      </c>
      <c r="D48" s="38" t="inlineStr">
        <is>
          <t>TOTAL</t>
        </is>
      </c>
      <c r="E48" s="38" t="inlineStr">
        <is>
          <t>POP</t>
        </is>
      </c>
      <c r="F48" s="38" t="n">
        <v>108</v>
      </c>
    </row>
    <row r="49" ht="15" customHeight="1" s="39">
      <c r="A49" s="38" t="inlineStr">
        <is>
          <t>2021</t>
        </is>
      </c>
      <c r="B49" s="42" t="inlineStr">
        <is>
          <t>430120</t>
        </is>
      </c>
      <c r="C49" s="38" t="inlineStr">
        <is>
          <t>Y047</t>
        </is>
      </c>
      <c r="D49" s="38" t="inlineStr">
        <is>
          <t>TOTAL</t>
        </is>
      </c>
      <c r="E49" s="38" t="inlineStr">
        <is>
          <t>POP</t>
        </is>
      </c>
      <c r="F49" s="38" t="n">
        <v>74</v>
      </c>
    </row>
    <row r="50" ht="15" customHeight="1" s="39">
      <c r="A50" s="38" t="inlineStr">
        <is>
          <t>2021</t>
        </is>
      </c>
      <c r="B50" s="42" t="inlineStr">
        <is>
          <t>430120</t>
        </is>
      </c>
      <c r="C50" s="38" t="inlineStr">
        <is>
          <t>Y048</t>
        </is>
      </c>
      <c r="D50" s="38" t="inlineStr">
        <is>
          <t>TOTAL</t>
        </is>
      </c>
      <c r="E50" s="38" t="inlineStr">
        <is>
          <t>POP</t>
        </is>
      </c>
      <c r="F50" s="38" t="n">
        <v>93</v>
      </c>
    </row>
    <row r="51" ht="15" customHeight="1" s="39">
      <c r="A51" s="38" t="inlineStr">
        <is>
          <t>2021</t>
        </is>
      </c>
      <c r="B51" s="42" t="inlineStr">
        <is>
          <t>430120</t>
        </is>
      </c>
      <c r="C51" s="38" t="inlineStr">
        <is>
          <t>Y049</t>
        </is>
      </c>
      <c r="D51" s="38" t="inlineStr">
        <is>
          <t>TOTAL</t>
        </is>
      </c>
      <c r="E51" s="38" t="inlineStr">
        <is>
          <t>POP</t>
        </is>
      </c>
      <c r="F51" s="38" t="n">
        <v>89</v>
      </c>
    </row>
    <row r="52" ht="15" customHeight="1" s="39">
      <c r="A52" s="38" t="inlineStr">
        <is>
          <t>2021</t>
        </is>
      </c>
      <c r="B52" s="42" t="inlineStr">
        <is>
          <t>430120</t>
        </is>
      </c>
      <c r="C52" s="38" t="inlineStr">
        <is>
          <t>Y050</t>
        </is>
      </c>
      <c r="D52" s="38" t="inlineStr">
        <is>
          <t>TOTAL</t>
        </is>
      </c>
      <c r="E52" s="38" t="inlineStr">
        <is>
          <t>POP</t>
        </is>
      </c>
      <c r="F52" s="38" t="n">
        <v>82</v>
      </c>
    </row>
    <row r="53" ht="15" customHeight="1" s="39">
      <c r="A53" s="38" t="inlineStr">
        <is>
          <t>2021</t>
        </is>
      </c>
      <c r="B53" s="42" t="inlineStr">
        <is>
          <t>430120</t>
        </is>
      </c>
      <c r="C53" s="38" t="inlineStr">
        <is>
          <t>Y051</t>
        </is>
      </c>
      <c r="D53" s="38" t="inlineStr">
        <is>
          <t>TOTAL</t>
        </is>
      </c>
      <c r="E53" s="38" t="inlineStr">
        <is>
          <t>POP</t>
        </is>
      </c>
      <c r="F53" s="38" t="n">
        <v>82</v>
      </c>
    </row>
    <row r="54" ht="15" customHeight="1" s="39">
      <c r="A54" s="38" t="inlineStr">
        <is>
          <t>2021</t>
        </is>
      </c>
      <c r="B54" s="42" t="inlineStr">
        <is>
          <t>430120</t>
        </is>
      </c>
      <c r="C54" s="38" t="inlineStr">
        <is>
          <t>Y052</t>
        </is>
      </c>
      <c r="D54" s="38" t="inlineStr">
        <is>
          <t>TOTAL</t>
        </is>
      </c>
      <c r="E54" s="38" t="inlineStr">
        <is>
          <t>POP</t>
        </is>
      </c>
      <c r="F54" s="38" t="n">
        <v>93</v>
      </c>
    </row>
    <row r="55" ht="15" customHeight="1" s="39">
      <c r="A55" s="38" t="inlineStr">
        <is>
          <t>2021</t>
        </is>
      </c>
      <c r="B55" s="42" t="inlineStr">
        <is>
          <t>430120</t>
        </is>
      </c>
      <c r="C55" s="38" t="inlineStr">
        <is>
          <t>Y053</t>
        </is>
      </c>
      <c r="D55" s="38" t="inlineStr">
        <is>
          <t>TOTAL</t>
        </is>
      </c>
      <c r="E55" s="38" t="inlineStr">
        <is>
          <t>POP</t>
        </is>
      </c>
      <c r="F55" s="38" t="n">
        <v>75</v>
      </c>
    </row>
    <row r="56" ht="15" customHeight="1" s="39">
      <c r="A56" s="38" t="inlineStr">
        <is>
          <t>2021</t>
        </is>
      </c>
      <c r="B56" s="42" t="inlineStr">
        <is>
          <t>430120</t>
        </is>
      </c>
      <c r="C56" s="38" t="inlineStr">
        <is>
          <t>Y054</t>
        </is>
      </c>
      <c r="D56" s="38" t="inlineStr">
        <is>
          <t>TOTAL</t>
        </is>
      </c>
      <c r="E56" s="38" t="inlineStr">
        <is>
          <t>POP</t>
        </is>
      </c>
      <c r="F56" s="38" t="n">
        <v>80</v>
      </c>
    </row>
    <row r="57" ht="15" customHeight="1" s="39">
      <c r="A57" s="38" t="inlineStr">
        <is>
          <t>2021</t>
        </is>
      </c>
      <c r="B57" s="42" t="inlineStr">
        <is>
          <t>430120</t>
        </is>
      </c>
      <c r="C57" s="38" t="inlineStr">
        <is>
          <t>Y055</t>
        </is>
      </c>
      <c r="D57" s="38" t="inlineStr">
        <is>
          <t>TOTAL</t>
        </is>
      </c>
      <c r="E57" s="38" t="inlineStr">
        <is>
          <t>POP</t>
        </is>
      </c>
      <c r="F57" s="38" t="n">
        <v>90</v>
      </c>
    </row>
    <row r="58" ht="15" customHeight="1" s="39">
      <c r="A58" s="38" t="inlineStr">
        <is>
          <t>2021</t>
        </is>
      </c>
      <c r="B58" s="42" t="inlineStr">
        <is>
          <t>430120</t>
        </is>
      </c>
      <c r="C58" s="38" t="inlineStr">
        <is>
          <t>Y056</t>
        </is>
      </c>
      <c r="D58" s="38" t="inlineStr">
        <is>
          <t>TOTAL</t>
        </is>
      </c>
      <c r="E58" s="38" t="inlineStr">
        <is>
          <t>POP</t>
        </is>
      </c>
      <c r="F58" s="38" t="n">
        <v>93</v>
      </c>
    </row>
    <row r="59" ht="15" customHeight="1" s="39">
      <c r="A59" s="38" t="inlineStr">
        <is>
          <t>2021</t>
        </is>
      </c>
      <c r="B59" s="42" t="inlineStr">
        <is>
          <t>430120</t>
        </is>
      </c>
      <c r="C59" s="38" t="inlineStr">
        <is>
          <t>Y057</t>
        </is>
      </c>
      <c r="D59" s="38" t="inlineStr">
        <is>
          <t>TOTAL</t>
        </is>
      </c>
      <c r="E59" s="38" t="inlineStr">
        <is>
          <t>POP</t>
        </is>
      </c>
      <c r="F59" s="38" t="n">
        <v>79</v>
      </c>
    </row>
    <row r="60" ht="15" customHeight="1" s="39">
      <c r="A60" s="38" t="inlineStr">
        <is>
          <t>2021</t>
        </is>
      </c>
      <c r="B60" s="42" t="inlineStr">
        <is>
          <t>430120</t>
        </is>
      </c>
      <c r="C60" s="38" t="inlineStr">
        <is>
          <t>Y058</t>
        </is>
      </c>
      <c r="D60" s="38" t="inlineStr">
        <is>
          <t>TOTAL</t>
        </is>
      </c>
      <c r="E60" s="38" t="inlineStr">
        <is>
          <t>POP</t>
        </is>
      </c>
      <c r="F60" s="38" t="n">
        <v>85</v>
      </c>
    </row>
    <row r="61" ht="15" customHeight="1" s="39">
      <c r="A61" s="38" t="inlineStr">
        <is>
          <t>2021</t>
        </is>
      </c>
      <c r="B61" s="42" t="inlineStr">
        <is>
          <t>430120</t>
        </is>
      </c>
      <c r="C61" s="38" t="inlineStr">
        <is>
          <t>Y059</t>
        </is>
      </c>
      <c r="D61" s="38" t="inlineStr">
        <is>
          <t>TOTAL</t>
        </is>
      </c>
      <c r="E61" s="38" t="inlineStr">
        <is>
          <t>POP</t>
        </is>
      </c>
      <c r="F61" s="38" t="n">
        <v>82</v>
      </c>
    </row>
    <row r="62" ht="15" customHeight="1" s="39">
      <c r="A62" s="38" t="inlineStr">
        <is>
          <t>2021</t>
        </is>
      </c>
      <c r="B62" s="42" t="inlineStr">
        <is>
          <t>430120</t>
        </is>
      </c>
      <c r="C62" s="38" t="inlineStr">
        <is>
          <t>Y060</t>
        </is>
      </c>
      <c r="D62" s="38" t="inlineStr">
        <is>
          <t>TOTAL</t>
        </is>
      </c>
      <c r="E62" s="38" t="inlineStr">
        <is>
          <t>POP</t>
        </is>
      </c>
      <c r="F62" s="38" t="n">
        <v>90</v>
      </c>
    </row>
    <row r="63" ht="15" customHeight="1" s="39">
      <c r="A63" s="38" t="inlineStr">
        <is>
          <t>2021</t>
        </is>
      </c>
      <c r="B63" s="42" t="inlineStr">
        <is>
          <t>430120</t>
        </is>
      </c>
      <c r="C63" s="38" t="inlineStr">
        <is>
          <t>Y061</t>
        </is>
      </c>
      <c r="D63" s="38" t="inlineStr">
        <is>
          <t>TOTAL</t>
        </is>
      </c>
      <c r="E63" s="38" t="inlineStr">
        <is>
          <t>POP</t>
        </is>
      </c>
      <c r="F63" s="38" t="n">
        <v>61</v>
      </c>
    </row>
    <row r="64" ht="15" customHeight="1" s="39">
      <c r="A64" s="38" t="inlineStr">
        <is>
          <t>2021</t>
        </is>
      </c>
      <c r="B64" s="42" t="inlineStr">
        <is>
          <t>430120</t>
        </is>
      </c>
      <c r="C64" s="38" t="inlineStr">
        <is>
          <t>Y062</t>
        </is>
      </c>
      <c r="D64" s="38" t="inlineStr">
        <is>
          <t>TOTAL</t>
        </is>
      </c>
      <c r="E64" s="38" t="inlineStr">
        <is>
          <t>POP</t>
        </is>
      </c>
      <c r="F64" s="38" t="n">
        <v>68</v>
      </c>
    </row>
    <row r="65" ht="15" customHeight="1" s="39">
      <c r="A65" s="38" t="inlineStr">
        <is>
          <t>2021</t>
        </is>
      </c>
      <c r="B65" s="42" t="inlineStr">
        <is>
          <t>430120</t>
        </is>
      </c>
      <c r="C65" s="38" t="inlineStr">
        <is>
          <t>Y063</t>
        </is>
      </c>
      <c r="D65" s="38" t="inlineStr">
        <is>
          <t>TOTAL</t>
        </is>
      </c>
      <c r="E65" s="38" t="inlineStr">
        <is>
          <t>POP</t>
        </is>
      </c>
      <c r="F65" s="38" t="n">
        <v>83</v>
      </c>
    </row>
    <row r="66" ht="15" customHeight="1" s="39">
      <c r="A66" s="38" t="inlineStr">
        <is>
          <t>2021</t>
        </is>
      </c>
      <c r="B66" s="42" t="inlineStr">
        <is>
          <t>430120</t>
        </is>
      </c>
      <c r="C66" s="38" t="inlineStr">
        <is>
          <t>Y064</t>
        </is>
      </c>
      <c r="D66" s="38" t="inlineStr">
        <is>
          <t>TOTAL</t>
        </is>
      </c>
      <c r="E66" s="38" t="inlineStr">
        <is>
          <t>POP</t>
        </is>
      </c>
      <c r="F66" s="38" t="n">
        <v>55</v>
      </c>
    </row>
    <row r="67" ht="15" customHeight="1" s="39">
      <c r="A67" s="38" t="inlineStr">
        <is>
          <t>2021</t>
        </is>
      </c>
      <c r="B67" s="42" t="inlineStr">
        <is>
          <t>430120</t>
        </is>
      </c>
      <c r="C67" s="38" t="inlineStr">
        <is>
          <t>Y065</t>
        </is>
      </c>
      <c r="D67" s="38" t="inlineStr">
        <is>
          <t>TOTAL</t>
        </is>
      </c>
      <c r="E67" s="38" t="inlineStr">
        <is>
          <t>POP</t>
        </is>
      </c>
      <c r="F67" s="38" t="n">
        <v>65</v>
      </c>
    </row>
    <row r="68" ht="15" customHeight="1" s="39">
      <c r="A68" s="38" t="inlineStr">
        <is>
          <t>2021</t>
        </is>
      </c>
      <c r="B68" s="42" t="inlineStr">
        <is>
          <t>430120</t>
        </is>
      </c>
      <c r="C68" s="38" t="inlineStr">
        <is>
          <t>Y066</t>
        </is>
      </c>
      <c r="D68" s="38" t="inlineStr">
        <is>
          <t>TOTAL</t>
        </is>
      </c>
      <c r="E68" s="38" t="inlineStr">
        <is>
          <t>POP</t>
        </is>
      </c>
      <c r="F68" s="38" t="n">
        <v>77</v>
      </c>
    </row>
    <row r="69" ht="15" customHeight="1" s="39">
      <c r="A69" s="38" t="inlineStr">
        <is>
          <t>2021</t>
        </is>
      </c>
      <c r="B69" s="42" t="inlineStr">
        <is>
          <t>430120</t>
        </is>
      </c>
      <c r="C69" s="38" t="inlineStr">
        <is>
          <t>Y067</t>
        </is>
      </c>
      <c r="D69" s="38" t="inlineStr">
        <is>
          <t>TOTAL</t>
        </is>
      </c>
      <c r="E69" s="38" t="inlineStr">
        <is>
          <t>POP</t>
        </is>
      </c>
      <c r="F69" s="38" t="n">
        <v>66</v>
      </c>
    </row>
    <row r="70" ht="15" customHeight="1" s="39">
      <c r="A70" s="38" t="inlineStr">
        <is>
          <t>2021</t>
        </is>
      </c>
      <c r="B70" s="42" t="inlineStr">
        <is>
          <t>430120</t>
        </is>
      </c>
      <c r="C70" s="38" t="inlineStr">
        <is>
          <t>Y068</t>
        </is>
      </c>
      <c r="D70" s="38" t="inlineStr">
        <is>
          <t>TOTAL</t>
        </is>
      </c>
      <c r="E70" s="38" t="inlineStr">
        <is>
          <t>POP</t>
        </is>
      </c>
      <c r="F70" s="38" t="n">
        <v>71</v>
      </c>
    </row>
    <row r="71" ht="15" customHeight="1" s="39">
      <c r="A71" s="38" t="inlineStr">
        <is>
          <t>2021</t>
        </is>
      </c>
      <c r="B71" s="42" t="inlineStr">
        <is>
          <t>430120</t>
        </is>
      </c>
      <c r="C71" s="38" t="inlineStr">
        <is>
          <t>Y069</t>
        </is>
      </c>
      <c r="D71" s="38" t="inlineStr">
        <is>
          <t>TOTAL</t>
        </is>
      </c>
      <c r="E71" s="38" t="inlineStr">
        <is>
          <t>POP</t>
        </is>
      </c>
      <c r="F71" s="38" t="n">
        <v>60</v>
      </c>
    </row>
    <row r="72" ht="15" customHeight="1" s="39">
      <c r="A72" s="38" t="inlineStr">
        <is>
          <t>2021</t>
        </is>
      </c>
      <c r="B72" s="42" t="inlineStr">
        <is>
          <t>430120</t>
        </is>
      </c>
      <c r="C72" s="38" t="inlineStr">
        <is>
          <t>Y070</t>
        </is>
      </c>
      <c r="D72" s="38" t="inlineStr">
        <is>
          <t>TOTAL</t>
        </is>
      </c>
      <c r="E72" s="38" t="inlineStr">
        <is>
          <t>POP</t>
        </is>
      </c>
      <c r="F72" s="38" t="n">
        <v>60</v>
      </c>
    </row>
    <row r="73" ht="15" customHeight="1" s="39">
      <c r="A73" s="38" t="inlineStr">
        <is>
          <t>2021</t>
        </is>
      </c>
      <c r="B73" s="42" t="inlineStr">
        <is>
          <t>430120</t>
        </is>
      </c>
      <c r="C73" s="38" t="inlineStr">
        <is>
          <t>Y071</t>
        </is>
      </c>
      <c r="D73" s="38" t="inlineStr">
        <is>
          <t>TOTAL</t>
        </is>
      </c>
      <c r="E73" s="38" t="inlineStr">
        <is>
          <t>POP</t>
        </is>
      </c>
      <c r="F73" s="38" t="n">
        <v>48</v>
      </c>
    </row>
    <row r="74" ht="15" customHeight="1" s="39">
      <c r="A74" s="38" t="inlineStr">
        <is>
          <t>2021</t>
        </is>
      </c>
      <c r="B74" s="42" t="inlineStr">
        <is>
          <t>430120</t>
        </is>
      </c>
      <c r="C74" s="38" t="inlineStr">
        <is>
          <t>Y072</t>
        </is>
      </c>
      <c r="D74" s="38" t="inlineStr">
        <is>
          <t>TOTAL</t>
        </is>
      </c>
      <c r="E74" s="38" t="inlineStr">
        <is>
          <t>POP</t>
        </is>
      </c>
      <c r="F74" s="38" t="n">
        <v>50</v>
      </c>
    </row>
    <row r="75" ht="15" customHeight="1" s="39">
      <c r="A75" s="38" t="inlineStr">
        <is>
          <t>2021</t>
        </is>
      </c>
      <c r="B75" s="42" t="inlineStr">
        <is>
          <t>430120</t>
        </is>
      </c>
      <c r="C75" s="38" t="inlineStr">
        <is>
          <t>Y073</t>
        </is>
      </c>
      <c r="D75" s="38" t="inlineStr">
        <is>
          <t>TOTAL</t>
        </is>
      </c>
      <c r="E75" s="38" t="inlineStr">
        <is>
          <t>POP</t>
        </is>
      </c>
      <c r="F75" s="38" t="n">
        <v>52</v>
      </c>
    </row>
    <row r="76" ht="15" customHeight="1" s="39">
      <c r="A76" s="38" t="inlineStr">
        <is>
          <t>2021</t>
        </is>
      </c>
      <c r="B76" s="42" t="inlineStr">
        <is>
          <t>430120</t>
        </is>
      </c>
      <c r="C76" s="38" t="inlineStr">
        <is>
          <t>Y074</t>
        </is>
      </c>
      <c r="D76" s="38" t="inlineStr">
        <is>
          <t>TOTAL</t>
        </is>
      </c>
      <c r="E76" s="38" t="inlineStr">
        <is>
          <t>POP</t>
        </is>
      </c>
      <c r="F76" s="38" t="n">
        <v>60</v>
      </c>
    </row>
    <row r="77" ht="15" customHeight="1" s="39">
      <c r="A77" s="38" t="inlineStr">
        <is>
          <t>2021</t>
        </is>
      </c>
      <c r="B77" s="42" t="inlineStr">
        <is>
          <t>430120</t>
        </is>
      </c>
      <c r="C77" s="38" t="inlineStr">
        <is>
          <t>Y075</t>
        </is>
      </c>
      <c r="D77" s="38" t="inlineStr">
        <is>
          <t>TOTAL</t>
        </is>
      </c>
      <c r="E77" s="38" t="inlineStr">
        <is>
          <t>POP</t>
        </is>
      </c>
      <c r="F77" s="38" t="n">
        <v>31</v>
      </c>
    </row>
    <row r="78" ht="15" customHeight="1" s="39">
      <c r="A78" s="38" t="inlineStr">
        <is>
          <t>2021</t>
        </is>
      </c>
      <c r="B78" s="42" t="inlineStr">
        <is>
          <t>430120</t>
        </is>
      </c>
      <c r="C78" s="38" t="inlineStr">
        <is>
          <t>Y076</t>
        </is>
      </c>
      <c r="D78" s="38" t="inlineStr">
        <is>
          <t>TOTAL</t>
        </is>
      </c>
      <c r="E78" s="38" t="inlineStr">
        <is>
          <t>POP</t>
        </is>
      </c>
      <c r="F78" s="38" t="n">
        <v>35</v>
      </c>
    </row>
    <row r="79" ht="15" customHeight="1" s="39">
      <c r="A79" s="38" t="inlineStr">
        <is>
          <t>2021</t>
        </is>
      </c>
      <c r="B79" s="42" t="inlineStr">
        <is>
          <t>430120</t>
        </is>
      </c>
      <c r="C79" s="38" t="inlineStr">
        <is>
          <t>Y077</t>
        </is>
      </c>
      <c r="D79" s="38" t="inlineStr">
        <is>
          <t>TOTAL</t>
        </is>
      </c>
      <c r="E79" s="38" t="inlineStr">
        <is>
          <t>POP</t>
        </is>
      </c>
      <c r="F79" s="38" t="n">
        <v>51</v>
      </c>
    </row>
    <row r="80" ht="15" customHeight="1" s="39">
      <c r="A80" s="38" t="inlineStr">
        <is>
          <t>2021</t>
        </is>
      </c>
      <c r="B80" s="42" t="inlineStr">
        <is>
          <t>430120</t>
        </is>
      </c>
      <c r="C80" s="38" t="inlineStr">
        <is>
          <t>Y078</t>
        </is>
      </c>
      <c r="D80" s="38" t="inlineStr">
        <is>
          <t>TOTAL</t>
        </is>
      </c>
      <c r="E80" s="38" t="inlineStr">
        <is>
          <t>POP</t>
        </is>
      </c>
      <c r="F80" s="38" t="n">
        <v>26</v>
      </c>
    </row>
    <row r="81" ht="15" customHeight="1" s="39">
      <c r="A81" s="38" t="inlineStr">
        <is>
          <t>2021</t>
        </is>
      </c>
      <c r="B81" s="42" t="inlineStr">
        <is>
          <t>430120</t>
        </is>
      </c>
      <c r="C81" s="38" t="inlineStr">
        <is>
          <t>Y079</t>
        </is>
      </c>
      <c r="D81" s="38" t="inlineStr">
        <is>
          <t>TOTAL</t>
        </is>
      </c>
      <c r="E81" s="38" t="inlineStr">
        <is>
          <t>POP</t>
        </is>
      </c>
      <c r="F81" s="38" t="n">
        <v>26</v>
      </c>
    </row>
    <row r="82" ht="15" customHeight="1" s="39">
      <c r="A82" s="38" t="inlineStr">
        <is>
          <t>2021</t>
        </is>
      </c>
      <c r="B82" s="42" t="inlineStr">
        <is>
          <t>430120</t>
        </is>
      </c>
      <c r="C82" s="38" t="inlineStr">
        <is>
          <t>Y080</t>
        </is>
      </c>
      <c r="D82" s="38" t="inlineStr">
        <is>
          <t>TOTAL</t>
        </is>
      </c>
      <c r="E82" s="38" t="inlineStr">
        <is>
          <t>POP</t>
        </is>
      </c>
      <c r="F82" s="38" t="n">
        <v>31</v>
      </c>
    </row>
    <row r="83" ht="15" customHeight="1" s="39">
      <c r="A83" s="38" t="inlineStr">
        <is>
          <t>2021</t>
        </is>
      </c>
      <c r="B83" s="42" t="inlineStr">
        <is>
          <t>430120</t>
        </is>
      </c>
      <c r="C83" s="38" t="inlineStr">
        <is>
          <t>Y081</t>
        </is>
      </c>
      <c r="D83" s="38" t="inlineStr">
        <is>
          <t>TOTAL</t>
        </is>
      </c>
      <c r="E83" s="38" t="inlineStr">
        <is>
          <t>POP</t>
        </is>
      </c>
      <c r="F83" s="38" t="n">
        <v>13</v>
      </c>
    </row>
    <row r="84" ht="15" customHeight="1" s="39">
      <c r="A84" s="38" t="inlineStr">
        <is>
          <t>2021</t>
        </is>
      </c>
      <c r="B84" s="42" t="inlineStr">
        <is>
          <t>430120</t>
        </is>
      </c>
      <c r="C84" s="38" t="inlineStr">
        <is>
          <t>Y082</t>
        </is>
      </c>
      <c r="D84" s="38" t="inlineStr">
        <is>
          <t>TOTAL</t>
        </is>
      </c>
      <c r="E84" s="38" t="inlineStr">
        <is>
          <t>POP</t>
        </is>
      </c>
      <c r="F84" s="38" t="n">
        <v>16</v>
      </c>
    </row>
    <row r="85" ht="15" customHeight="1" s="39">
      <c r="A85" s="38" t="inlineStr">
        <is>
          <t>2021</t>
        </is>
      </c>
      <c r="B85" s="42" t="inlineStr">
        <is>
          <t>430120</t>
        </is>
      </c>
      <c r="C85" s="38" t="inlineStr">
        <is>
          <t>Y083</t>
        </is>
      </c>
      <c r="D85" s="38" t="inlineStr">
        <is>
          <t>TOTAL</t>
        </is>
      </c>
      <c r="E85" s="38" t="inlineStr">
        <is>
          <t>POP</t>
        </is>
      </c>
      <c r="F85" s="38" t="n">
        <v>22</v>
      </c>
    </row>
    <row r="86" ht="15" customHeight="1" s="39">
      <c r="A86" s="38" t="inlineStr">
        <is>
          <t>2021</t>
        </is>
      </c>
      <c r="B86" s="42" t="inlineStr">
        <is>
          <t>430120</t>
        </is>
      </c>
      <c r="C86" s="38" t="inlineStr">
        <is>
          <t>Y084</t>
        </is>
      </c>
      <c r="D86" s="38" t="inlineStr">
        <is>
          <t>TOTAL</t>
        </is>
      </c>
      <c r="E86" s="38" t="inlineStr">
        <is>
          <t>POP</t>
        </is>
      </c>
      <c r="F86" s="38" t="n">
        <v>13</v>
      </c>
    </row>
    <row r="87" ht="15" customHeight="1" s="39">
      <c r="A87" s="38" t="inlineStr">
        <is>
          <t>2021</t>
        </is>
      </c>
      <c r="B87" s="42" t="inlineStr">
        <is>
          <t>430120</t>
        </is>
      </c>
      <c r="C87" s="38" t="inlineStr">
        <is>
          <t>Y085</t>
        </is>
      </c>
      <c r="D87" s="38" t="inlineStr">
        <is>
          <t>TOTAL</t>
        </is>
      </c>
      <c r="E87" s="38" t="inlineStr">
        <is>
          <t>POP</t>
        </is>
      </c>
      <c r="F87" s="38" t="n">
        <v>20</v>
      </c>
    </row>
    <row r="88" ht="15" customHeight="1" s="39">
      <c r="A88" s="38" t="inlineStr">
        <is>
          <t>2021</t>
        </is>
      </c>
      <c r="B88" s="42" t="inlineStr">
        <is>
          <t>430120</t>
        </is>
      </c>
      <c r="C88" s="38" t="inlineStr">
        <is>
          <t>Y086</t>
        </is>
      </c>
      <c r="D88" s="38" t="inlineStr">
        <is>
          <t>TOTAL</t>
        </is>
      </c>
      <c r="E88" s="38" t="inlineStr">
        <is>
          <t>POP</t>
        </is>
      </c>
      <c r="F88" s="38" t="n">
        <v>26</v>
      </c>
    </row>
    <row r="89" ht="15" customHeight="1" s="39">
      <c r="A89" s="38" t="inlineStr">
        <is>
          <t>2021</t>
        </is>
      </c>
      <c r="B89" s="42" t="inlineStr">
        <is>
          <t>430120</t>
        </is>
      </c>
      <c r="C89" s="38" t="inlineStr">
        <is>
          <t>Y087</t>
        </is>
      </c>
      <c r="D89" s="38" t="inlineStr">
        <is>
          <t>TOTAL</t>
        </is>
      </c>
      <c r="E89" s="38" t="inlineStr">
        <is>
          <t>POP</t>
        </is>
      </c>
      <c r="F89" s="38" t="n">
        <v>20</v>
      </c>
    </row>
    <row r="90" ht="15" customHeight="1" s="39">
      <c r="A90" s="38" t="inlineStr">
        <is>
          <t>2021</t>
        </is>
      </c>
      <c r="B90" s="42" t="inlineStr">
        <is>
          <t>430120</t>
        </is>
      </c>
      <c r="C90" s="38" t="inlineStr">
        <is>
          <t>Y088</t>
        </is>
      </c>
      <c r="D90" s="38" t="inlineStr">
        <is>
          <t>TOTAL</t>
        </is>
      </c>
      <c r="E90" s="38" t="inlineStr">
        <is>
          <t>POP</t>
        </is>
      </c>
      <c r="F90" s="38" t="n">
        <v>12</v>
      </c>
    </row>
    <row r="91" ht="15" customHeight="1" s="39">
      <c r="A91" s="38" t="inlineStr">
        <is>
          <t>2021</t>
        </is>
      </c>
      <c r="B91" s="42" t="inlineStr">
        <is>
          <t>430120</t>
        </is>
      </c>
      <c r="C91" s="38" t="inlineStr">
        <is>
          <t>Y089</t>
        </is>
      </c>
      <c r="D91" s="38" t="inlineStr">
        <is>
          <t>TOTAL</t>
        </is>
      </c>
      <c r="E91" s="38" t="inlineStr">
        <is>
          <t>POP</t>
        </is>
      </c>
      <c r="F91" s="38" t="n">
        <v>11</v>
      </c>
    </row>
    <row r="92" ht="15" customHeight="1" s="39">
      <c r="A92" s="38" t="inlineStr">
        <is>
          <t>2021</t>
        </is>
      </c>
      <c r="B92" s="42" t="inlineStr">
        <is>
          <t>430120</t>
        </is>
      </c>
      <c r="C92" s="38" t="inlineStr">
        <is>
          <t>Y090</t>
        </is>
      </c>
      <c r="D92" s="38" t="inlineStr">
        <is>
          <t>TOTAL</t>
        </is>
      </c>
      <c r="E92" s="38" t="inlineStr">
        <is>
          <t>POP</t>
        </is>
      </c>
      <c r="F92" s="38" t="n">
        <v>11</v>
      </c>
    </row>
    <row r="93" ht="15" customHeight="1" s="39">
      <c r="A93" s="38" t="inlineStr">
        <is>
          <t>2021</t>
        </is>
      </c>
      <c r="B93" s="42" t="inlineStr">
        <is>
          <t>430120</t>
        </is>
      </c>
      <c r="C93" s="38" t="inlineStr">
        <is>
          <t>Y091</t>
        </is>
      </c>
      <c r="D93" s="38" t="inlineStr">
        <is>
          <t>TOTAL</t>
        </is>
      </c>
      <c r="E93" s="38" t="inlineStr">
        <is>
          <t>POP</t>
        </is>
      </c>
      <c r="F93" s="38" t="n">
        <v>9</v>
      </c>
    </row>
    <row r="94" ht="15" customHeight="1" s="39">
      <c r="A94" s="38" t="inlineStr">
        <is>
          <t>2021</t>
        </is>
      </c>
      <c r="B94" s="42" t="inlineStr">
        <is>
          <t>430120</t>
        </is>
      </c>
      <c r="C94" s="38" t="inlineStr">
        <is>
          <t>Y092</t>
        </is>
      </c>
      <c r="D94" s="38" t="inlineStr">
        <is>
          <t>TOTAL</t>
        </is>
      </c>
      <c r="E94" s="38" t="inlineStr">
        <is>
          <t>POP</t>
        </is>
      </c>
      <c r="F94" s="38" t="n">
        <v>10</v>
      </c>
    </row>
    <row r="95" ht="15" customHeight="1" s="39">
      <c r="A95" s="38" t="inlineStr">
        <is>
          <t>2021</t>
        </is>
      </c>
      <c r="B95" s="42" t="inlineStr">
        <is>
          <t>430120</t>
        </is>
      </c>
      <c r="C95" s="38" t="inlineStr">
        <is>
          <t>Y093</t>
        </is>
      </c>
      <c r="D95" s="38" t="inlineStr">
        <is>
          <t>TOTAL</t>
        </is>
      </c>
      <c r="E95" s="38" t="inlineStr">
        <is>
          <t>POP</t>
        </is>
      </c>
      <c r="F95" s="38" t="n">
        <v>2</v>
      </c>
    </row>
    <row r="96" ht="15" customHeight="1" s="39">
      <c r="A96" s="38" t="inlineStr">
        <is>
          <t>2021</t>
        </is>
      </c>
      <c r="B96" s="42" t="inlineStr">
        <is>
          <t>430120</t>
        </is>
      </c>
      <c r="C96" s="38" t="inlineStr">
        <is>
          <t>Y094</t>
        </is>
      </c>
      <c r="D96" s="38" t="inlineStr">
        <is>
          <t>TOTAL</t>
        </is>
      </c>
      <c r="E96" s="38" t="inlineStr">
        <is>
          <t>POP</t>
        </is>
      </c>
      <c r="F96" s="38" t="n">
        <v>2</v>
      </c>
    </row>
    <row r="97" ht="15" customHeight="1" s="39">
      <c r="A97" s="38" t="inlineStr">
        <is>
          <t>2021</t>
        </is>
      </c>
      <c r="B97" s="42" t="inlineStr">
        <is>
          <t>430120</t>
        </is>
      </c>
      <c r="C97" s="38" t="inlineStr">
        <is>
          <t>Y095</t>
        </is>
      </c>
      <c r="D97" s="38" t="inlineStr">
        <is>
          <t>TOTAL</t>
        </is>
      </c>
      <c r="E97" s="38" t="inlineStr">
        <is>
          <t>POP</t>
        </is>
      </c>
      <c r="F97" s="38" t="n">
        <v>2</v>
      </c>
    </row>
    <row r="98" ht="15" customHeight="1" s="39">
      <c r="A98" s="38" t="inlineStr">
        <is>
          <t>2021</t>
        </is>
      </c>
      <c r="B98" s="42" t="inlineStr">
        <is>
          <t>430120</t>
        </is>
      </c>
      <c r="C98" s="38" t="inlineStr">
        <is>
          <t>Y096</t>
        </is>
      </c>
      <c r="D98" s="38" t="inlineStr">
        <is>
          <t>TOTAL</t>
        </is>
      </c>
      <c r="E98" s="38" t="inlineStr">
        <is>
          <t>POP</t>
        </is>
      </c>
      <c r="F98" s="38" t="n">
        <v>2</v>
      </c>
    </row>
    <row r="99" ht="15" customHeight="1" s="39">
      <c r="A99" s="38" t="inlineStr">
        <is>
          <t>2021</t>
        </is>
      </c>
      <c r="B99" s="42" t="inlineStr">
        <is>
          <t>430120</t>
        </is>
      </c>
      <c r="C99" s="38" t="inlineStr">
        <is>
          <t>Y097</t>
        </is>
      </c>
      <c r="D99" s="38" t="inlineStr">
        <is>
          <t>TOTAL</t>
        </is>
      </c>
      <c r="E99" s="38" t="inlineStr">
        <is>
          <t>POP</t>
        </is>
      </c>
      <c r="F99" s="38" t="n">
        <v>2</v>
      </c>
    </row>
    <row r="100" ht="15" customHeight="1" s="39">
      <c r="A100" s="38" t="inlineStr">
        <is>
          <t>2021</t>
        </is>
      </c>
      <c r="B100" s="42" t="inlineStr">
        <is>
          <t>430120</t>
        </is>
      </c>
      <c r="C100" s="38" t="inlineStr">
        <is>
          <t>Y098</t>
        </is>
      </c>
      <c r="D100" s="38" t="inlineStr">
        <is>
          <t>TOTAL</t>
        </is>
      </c>
      <c r="E100" s="38" t="inlineStr">
        <is>
          <t>POP</t>
        </is>
      </c>
      <c r="F100" s="38" t="n">
        <v>2</v>
      </c>
    </row>
    <row r="101" ht="15" customHeight="1" s="39">
      <c r="A101" s="38" t="inlineStr">
        <is>
          <t>2021</t>
        </is>
      </c>
      <c r="B101" s="42" t="inlineStr">
        <is>
          <t>430120</t>
        </is>
      </c>
      <c r="C101" s="38" t="inlineStr">
        <is>
          <t>Y099</t>
        </is>
      </c>
      <c r="D101" s="38" t="inlineStr">
        <is>
          <t>TOTAL</t>
        </is>
      </c>
      <c r="E101" s="38" t="inlineStr">
        <is>
          <t>POP</t>
        </is>
      </c>
      <c r="F101" s="38" t="n">
        <v>1</v>
      </c>
    </row>
    <row r="102" ht="15" customHeight="1" s="39">
      <c r="A102" s="38" t="inlineStr">
        <is>
          <t>2021</t>
        </is>
      </c>
      <c r="B102" s="42" t="inlineStr">
        <is>
          <t>430120</t>
        </is>
      </c>
      <c r="C102" s="38" t="inlineStr">
        <is>
          <t>Y_GE100</t>
        </is>
      </c>
      <c r="D102" s="38" t="inlineStr">
        <is>
          <t>TOTAL</t>
        </is>
      </c>
      <c r="E102" s="38" t="inlineStr">
        <is>
          <t>POP</t>
        </is>
      </c>
      <c r="F102" s="38" t="n">
        <v>2</v>
      </c>
    </row>
    <row r="103" ht="15" customHeight="1" s="39">
      <c r="A103" s="38" t="inlineStr">
        <is>
          <t>2021</t>
        </is>
      </c>
      <c r="B103" s="42" t="inlineStr">
        <is>
          <t>430120</t>
        </is>
      </c>
      <c r="C103" s="38" t="inlineStr">
        <is>
          <t>TOTAL</t>
        </is>
      </c>
      <c r="D103" s="38" t="inlineStr">
        <is>
          <t>TOTAL</t>
        </is>
      </c>
      <c r="E103" s="38" t="inlineStr">
        <is>
          <t>POP</t>
        </is>
      </c>
      <c r="F103" s="38" t="n">
        <v>5496</v>
      </c>
    </row>
    <row r="104" ht="15" customHeight="1" s="39">
      <c r="A104" s="38" t="inlineStr">
        <is>
          <t>2021</t>
        </is>
      </c>
      <c r="B104" s="42" t="inlineStr">
        <is>
          <t>439076</t>
        </is>
      </c>
      <c r="C104" s="38" t="inlineStr">
        <is>
          <t>Y000</t>
        </is>
      </c>
      <c r="D104" s="38" t="inlineStr">
        <is>
          <t>TOTAL</t>
        </is>
      </c>
      <c r="E104" s="38" t="inlineStr">
        <is>
          <t>POP</t>
        </is>
      </c>
      <c r="F104" s="38" t="n">
        <v>48</v>
      </c>
    </row>
    <row r="105" ht="15" customHeight="1" s="39">
      <c r="A105" s="38" t="inlineStr">
        <is>
          <t>2021</t>
        </is>
      </c>
      <c r="B105" s="42" t="inlineStr">
        <is>
          <t>439076</t>
        </is>
      </c>
      <c r="C105" s="38" t="inlineStr">
        <is>
          <t>Y001</t>
        </is>
      </c>
      <c r="D105" s="38" t="inlineStr">
        <is>
          <t>TOTAL</t>
        </is>
      </c>
      <c r="E105" s="38" t="inlineStr">
        <is>
          <t>POP</t>
        </is>
      </c>
      <c r="F105" s="38" t="n">
        <v>55</v>
      </c>
    </row>
    <row r="106" ht="15" customHeight="1" s="39">
      <c r="A106" s="38" t="inlineStr">
        <is>
          <t>2021</t>
        </is>
      </c>
      <c r="B106" s="42" t="inlineStr">
        <is>
          <t>439076</t>
        </is>
      </c>
      <c r="C106" s="38" t="inlineStr">
        <is>
          <t>Y002</t>
        </is>
      </c>
      <c r="D106" s="38" t="inlineStr">
        <is>
          <t>TOTAL</t>
        </is>
      </c>
      <c r="E106" s="38" t="inlineStr">
        <is>
          <t>POP</t>
        </is>
      </c>
      <c r="F106" s="38" t="n">
        <v>56</v>
      </c>
    </row>
    <row r="107" ht="15" customHeight="1" s="39">
      <c r="A107" s="38" t="inlineStr">
        <is>
          <t>2021</t>
        </is>
      </c>
      <c r="B107" s="42" t="inlineStr">
        <is>
          <t>439076</t>
        </is>
      </c>
      <c r="C107" s="38" t="inlineStr">
        <is>
          <t>Y003</t>
        </is>
      </c>
      <c r="D107" s="38" t="inlineStr">
        <is>
          <t>TOTAL</t>
        </is>
      </c>
      <c r="E107" s="38" t="inlineStr">
        <is>
          <t>POP</t>
        </is>
      </c>
      <c r="F107" s="38" t="n">
        <v>53</v>
      </c>
    </row>
    <row r="108" ht="15" customHeight="1" s="39">
      <c r="A108" s="38" t="inlineStr">
        <is>
          <t>2021</t>
        </is>
      </c>
      <c r="B108" s="42" t="inlineStr">
        <is>
          <t>439076</t>
        </is>
      </c>
      <c r="C108" s="38" t="inlineStr">
        <is>
          <t>Y004</t>
        </is>
      </c>
      <c r="D108" s="38" t="inlineStr">
        <is>
          <t>TOTAL</t>
        </is>
      </c>
      <c r="E108" s="38" t="inlineStr">
        <is>
          <t>POP</t>
        </is>
      </c>
      <c r="F108" s="38" t="n">
        <v>67</v>
      </c>
    </row>
    <row r="109" ht="15" customHeight="1" s="39">
      <c r="A109" s="38" t="inlineStr">
        <is>
          <t>2021</t>
        </is>
      </c>
      <c r="B109" s="42" t="inlineStr">
        <is>
          <t>439076</t>
        </is>
      </c>
      <c r="C109" s="38" t="inlineStr">
        <is>
          <t>Y005</t>
        </is>
      </c>
      <c r="D109" s="38" t="inlineStr">
        <is>
          <t>TOTAL</t>
        </is>
      </c>
      <c r="E109" s="38" t="inlineStr">
        <is>
          <t>POP</t>
        </is>
      </c>
      <c r="F109" s="38" t="n">
        <v>55</v>
      </c>
    </row>
    <row r="110" ht="15" customHeight="1" s="39">
      <c r="A110" s="38" t="inlineStr">
        <is>
          <t>2021</t>
        </is>
      </c>
      <c r="B110" s="42" t="inlineStr">
        <is>
          <t>439076</t>
        </is>
      </c>
      <c r="C110" s="38" t="inlineStr">
        <is>
          <t>Y006</t>
        </is>
      </c>
      <c r="D110" s="38" t="inlineStr">
        <is>
          <t>TOTAL</t>
        </is>
      </c>
      <c r="E110" s="38" t="inlineStr">
        <is>
          <t>POP</t>
        </is>
      </c>
      <c r="F110" s="38" t="n">
        <v>65</v>
      </c>
    </row>
    <row r="111" ht="15" customHeight="1" s="39">
      <c r="A111" s="38" t="inlineStr">
        <is>
          <t>2021</t>
        </is>
      </c>
      <c r="B111" s="42" t="inlineStr">
        <is>
          <t>439076</t>
        </is>
      </c>
      <c r="C111" s="38" t="inlineStr">
        <is>
          <t>Y007</t>
        </is>
      </c>
      <c r="D111" s="38" t="inlineStr">
        <is>
          <t>TOTAL</t>
        </is>
      </c>
      <c r="E111" s="38" t="inlineStr">
        <is>
          <t>POP</t>
        </is>
      </c>
      <c r="F111" s="38" t="n">
        <v>64</v>
      </c>
    </row>
    <row r="112" ht="15" customHeight="1" s="39">
      <c r="A112" s="38" t="inlineStr">
        <is>
          <t>2021</t>
        </is>
      </c>
      <c r="B112" s="42" t="inlineStr">
        <is>
          <t>439076</t>
        </is>
      </c>
      <c r="C112" s="38" t="inlineStr">
        <is>
          <t>Y008</t>
        </is>
      </c>
      <c r="D112" s="38" t="inlineStr">
        <is>
          <t>TOTAL</t>
        </is>
      </c>
      <c r="E112" s="38" t="inlineStr">
        <is>
          <t>POP</t>
        </is>
      </c>
      <c r="F112" s="38" t="n">
        <v>64</v>
      </c>
    </row>
    <row r="113" ht="15" customHeight="1" s="39">
      <c r="A113" s="38" t="inlineStr">
        <is>
          <t>2021</t>
        </is>
      </c>
      <c r="B113" s="42" t="inlineStr">
        <is>
          <t>439076</t>
        </is>
      </c>
      <c r="C113" s="38" t="inlineStr">
        <is>
          <t>Y009</t>
        </is>
      </c>
      <c r="D113" s="38" t="inlineStr">
        <is>
          <t>TOTAL</t>
        </is>
      </c>
      <c r="E113" s="38" t="inlineStr">
        <is>
          <t>POP</t>
        </is>
      </c>
      <c r="F113" s="38" t="n">
        <v>76</v>
      </c>
    </row>
    <row r="114" ht="15" customHeight="1" s="39">
      <c r="A114" s="38" t="inlineStr">
        <is>
          <t>2021</t>
        </is>
      </c>
      <c r="B114" s="42" t="inlineStr">
        <is>
          <t>439076</t>
        </is>
      </c>
      <c r="C114" s="38" t="inlineStr">
        <is>
          <t>Y010</t>
        </is>
      </c>
      <c r="D114" s="38" t="inlineStr">
        <is>
          <t>TOTAL</t>
        </is>
      </c>
      <c r="E114" s="38" t="inlineStr">
        <is>
          <t>POP</t>
        </is>
      </c>
      <c r="F114" s="38" t="n">
        <v>81</v>
      </c>
    </row>
    <row r="115" ht="15" customHeight="1" s="39">
      <c r="A115" s="38" t="inlineStr">
        <is>
          <t>2021</t>
        </is>
      </c>
      <c r="B115" s="42" t="inlineStr">
        <is>
          <t>439076</t>
        </is>
      </c>
      <c r="C115" s="38" t="inlineStr">
        <is>
          <t>Y011</t>
        </is>
      </c>
      <c r="D115" s="38" t="inlineStr">
        <is>
          <t>TOTAL</t>
        </is>
      </c>
      <c r="E115" s="38" t="inlineStr">
        <is>
          <t>POP</t>
        </is>
      </c>
      <c r="F115" s="38" t="n">
        <v>86</v>
      </c>
    </row>
    <row r="116" ht="15" customHeight="1" s="39">
      <c r="A116" s="38" t="inlineStr">
        <is>
          <t>2021</t>
        </is>
      </c>
      <c r="B116" s="42" t="inlineStr">
        <is>
          <t>439076</t>
        </is>
      </c>
      <c r="C116" s="38" t="inlineStr">
        <is>
          <t>Y012</t>
        </is>
      </c>
      <c r="D116" s="38" t="inlineStr">
        <is>
          <t>TOTAL</t>
        </is>
      </c>
      <c r="E116" s="38" t="inlineStr">
        <is>
          <t>POP</t>
        </is>
      </c>
      <c r="F116" s="38" t="n">
        <v>83</v>
      </c>
    </row>
    <row r="117" ht="15" customHeight="1" s="39">
      <c r="A117" s="38" t="inlineStr">
        <is>
          <t>2021</t>
        </is>
      </c>
      <c r="B117" s="42" t="inlineStr">
        <is>
          <t>439076</t>
        </is>
      </c>
      <c r="C117" s="38" t="inlineStr">
        <is>
          <t>Y013</t>
        </is>
      </c>
      <c r="D117" s="38" t="inlineStr">
        <is>
          <t>TOTAL</t>
        </is>
      </c>
      <c r="E117" s="38" t="inlineStr">
        <is>
          <t>POP</t>
        </is>
      </c>
      <c r="F117" s="38" t="n">
        <v>74</v>
      </c>
    </row>
    <row r="118" ht="15" customHeight="1" s="39">
      <c r="A118" s="38" t="inlineStr">
        <is>
          <t>2021</t>
        </is>
      </c>
      <c r="B118" s="42" t="inlineStr">
        <is>
          <t>439076</t>
        </is>
      </c>
      <c r="C118" s="38" t="inlineStr">
        <is>
          <t>Y014</t>
        </is>
      </c>
      <c r="D118" s="38" t="inlineStr">
        <is>
          <t>TOTAL</t>
        </is>
      </c>
      <c r="E118" s="38" t="inlineStr">
        <is>
          <t>POP</t>
        </is>
      </c>
      <c r="F118" s="38" t="n">
        <v>90</v>
      </c>
    </row>
    <row r="119" ht="15" customHeight="1" s="39">
      <c r="A119" s="38" t="inlineStr">
        <is>
          <t>2021</t>
        </is>
      </c>
      <c r="B119" s="42" t="inlineStr">
        <is>
          <t>439076</t>
        </is>
      </c>
      <c r="C119" s="38" t="inlineStr">
        <is>
          <t>Y015</t>
        </is>
      </c>
      <c r="D119" s="38" t="inlineStr">
        <is>
          <t>TOTAL</t>
        </is>
      </c>
      <c r="E119" s="38" t="inlineStr">
        <is>
          <t>POP</t>
        </is>
      </c>
      <c r="F119" s="38" t="n">
        <v>78</v>
      </c>
    </row>
    <row r="120" ht="15" customHeight="1" s="39">
      <c r="A120" s="38" t="inlineStr">
        <is>
          <t>2021</t>
        </is>
      </c>
      <c r="B120" s="42" t="inlineStr">
        <is>
          <t>439076</t>
        </is>
      </c>
      <c r="C120" s="38" t="inlineStr">
        <is>
          <t>Y016</t>
        </is>
      </c>
      <c r="D120" s="38" t="inlineStr">
        <is>
          <t>TOTAL</t>
        </is>
      </c>
      <c r="E120" s="38" t="inlineStr">
        <is>
          <t>POP</t>
        </is>
      </c>
      <c r="F120" s="38" t="n">
        <v>73</v>
      </c>
    </row>
    <row r="121" ht="15" customHeight="1" s="39">
      <c r="A121" s="38" t="inlineStr">
        <is>
          <t>2021</t>
        </is>
      </c>
      <c r="B121" s="42" t="inlineStr">
        <is>
          <t>439076</t>
        </is>
      </c>
      <c r="C121" s="38" t="inlineStr">
        <is>
          <t>Y017</t>
        </is>
      </c>
      <c r="D121" s="38" t="inlineStr">
        <is>
          <t>TOTAL</t>
        </is>
      </c>
      <c r="E121" s="38" t="inlineStr">
        <is>
          <t>POP</t>
        </is>
      </c>
      <c r="F121" s="38" t="n">
        <v>64</v>
      </c>
    </row>
    <row r="122" ht="15" customHeight="1" s="39">
      <c r="A122" s="38" t="inlineStr">
        <is>
          <t>2021</t>
        </is>
      </c>
      <c r="B122" s="42" t="inlineStr">
        <is>
          <t>439076</t>
        </is>
      </c>
      <c r="C122" s="38" t="inlineStr">
        <is>
          <t>Y018</t>
        </is>
      </c>
      <c r="D122" s="38" t="inlineStr">
        <is>
          <t>TOTAL</t>
        </is>
      </c>
      <c r="E122" s="38" t="inlineStr">
        <is>
          <t>POP</t>
        </is>
      </c>
      <c r="F122" s="38" t="n">
        <v>66</v>
      </c>
    </row>
    <row r="123" ht="15" customHeight="1" s="39">
      <c r="A123" s="38" t="inlineStr">
        <is>
          <t>2021</t>
        </is>
      </c>
      <c r="B123" s="42" t="inlineStr">
        <is>
          <t>439076</t>
        </is>
      </c>
      <c r="C123" s="38" t="inlineStr">
        <is>
          <t>Y019</t>
        </is>
      </c>
      <c r="D123" s="38" t="inlineStr">
        <is>
          <t>TOTAL</t>
        </is>
      </c>
      <c r="E123" s="38" t="inlineStr">
        <is>
          <t>POP</t>
        </is>
      </c>
      <c r="F123" s="38" t="n">
        <v>63</v>
      </c>
    </row>
    <row r="124" ht="15" customHeight="1" s="39">
      <c r="A124" s="38" t="inlineStr">
        <is>
          <t>2021</t>
        </is>
      </c>
      <c r="B124" s="42" t="inlineStr">
        <is>
          <t>439076</t>
        </is>
      </c>
      <c r="C124" s="38" t="inlineStr">
        <is>
          <t>Y020</t>
        </is>
      </c>
      <c r="D124" s="38" t="inlineStr">
        <is>
          <t>TOTAL</t>
        </is>
      </c>
      <c r="E124" s="38" t="inlineStr">
        <is>
          <t>POP</t>
        </is>
      </c>
      <c r="F124" s="38" t="n">
        <v>72</v>
      </c>
    </row>
    <row r="125" ht="15" customHeight="1" s="39">
      <c r="A125" s="38" t="inlineStr">
        <is>
          <t>2021</t>
        </is>
      </c>
      <c r="B125" s="42" t="inlineStr">
        <is>
          <t>439076</t>
        </is>
      </c>
      <c r="C125" s="38" t="inlineStr">
        <is>
          <t>Y021</t>
        </is>
      </c>
      <c r="D125" s="38" t="inlineStr">
        <is>
          <t>TOTAL</t>
        </is>
      </c>
      <c r="E125" s="38" t="inlineStr">
        <is>
          <t>POP</t>
        </is>
      </c>
      <c r="F125" s="38" t="n">
        <v>49</v>
      </c>
    </row>
    <row r="126" ht="15" customHeight="1" s="39">
      <c r="A126" s="38" t="inlineStr">
        <is>
          <t>2021</t>
        </is>
      </c>
      <c r="B126" s="42" t="inlineStr">
        <is>
          <t>439076</t>
        </is>
      </c>
      <c r="C126" s="38" t="inlineStr">
        <is>
          <t>Y022</t>
        </is>
      </c>
      <c r="D126" s="38" t="inlineStr">
        <is>
          <t>TOTAL</t>
        </is>
      </c>
      <c r="E126" s="38" t="inlineStr">
        <is>
          <t>POP</t>
        </is>
      </c>
      <c r="F126" s="38" t="n">
        <v>65</v>
      </c>
    </row>
    <row r="127" ht="15" customHeight="1" s="39">
      <c r="A127" s="38" t="inlineStr">
        <is>
          <t>2021</t>
        </is>
      </c>
      <c r="B127" s="42" t="inlineStr">
        <is>
          <t>439076</t>
        </is>
      </c>
      <c r="C127" s="38" t="inlineStr">
        <is>
          <t>Y023</t>
        </is>
      </c>
      <c r="D127" s="38" t="inlineStr">
        <is>
          <t>TOTAL</t>
        </is>
      </c>
      <c r="E127" s="38" t="inlineStr">
        <is>
          <t>POP</t>
        </is>
      </c>
      <c r="F127" s="38" t="n">
        <v>57</v>
      </c>
    </row>
    <row r="128" ht="15" customHeight="1" s="39">
      <c r="A128" s="38" t="inlineStr">
        <is>
          <t>2021</t>
        </is>
      </c>
      <c r="B128" s="42" t="inlineStr">
        <is>
          <t>439076</t>
        </is>
      </c>
      <c r="C128" s="38" t="inlineStr">
        <is>
          <t>Y024</t>
        </is>
      </c>
      <c r="D128" s="38" t="inlineStr">
        <is>
          <t>TOTAL</t>
        </is>
      </c>
      <c r="E128" s="38" t="inlineStr">
        <is>
          <t>POP</t>
        </is>
      </c>
      <c r="F128" s="38" t="n">
        <v>68</v>
      </c>
    </row>
    <row r="129" ht="15" customHeight="1" s="39">
      <c r="A129" s="38" t="inlineStr">
        <is>
          <t>2021</t>
        </is>
      </c>
      <c r="B129" s="42" t="inlineStr">
        <is>
          <t>439076</t>
        </is>
      </c>
      <c r="C129" s="38" t="inlineStr">
        <is>
          <t>Y025</t>
        </is>
      </c>
      <c r="D129" s="38" t="inlineStr">
        <is>
          <t>TOTAL</t>
        </is>
      </c>
      <c r="E129" s="38" t="inlineStr">
        <is>
          <t>POP</t>
        </is>
      </c>
      <c r="F129" s="38" t="n">
        <v>69</v>
      </c>
    </row>
    <row r="130" ht="15" customHeight="1" s="39">
      <c r="A130" s="38" t="inlineStr">
        <is>
          <t>2021</t>
        </is>
      </c>
      <c r="B130" s="42" t="inlineStr">
        <is>
          <t>439076</t>
        </is>
      </c>
      <c r="C130" s="38" t="inlineStr">
        <is>
          <t>Y026</t>
        </is>
      </c>
      <c r="D130" s="38" t="inlineStr">
        <is>
          <t>TOTAL</t>
        </is>
      </c>
      <c r="E130" s="38" t="inlineStr">
        <is>
          <t>POP</t>
        </is>
      </c>
      <c r="F130" s="38" t="n">
        <v>66</v>
      </c>
    </row>
    <row r="131" ht="15" customHeight="1" s="39">
      <c r="A131" s="38" t="inlineStr">
        <is>
          <t>2021</t>
        </is>
      </c>
      <c r="B131" s="42" t="inlineStr">
        <is>
          <t>439076</t>
        </is>
      </c>
      <c r="C131" s="38" t="inlineStr">
        <is>
          <t>Y027</t>
        </is>
      </c>
      <c r="D131" s="38" t="inlineStr">
        <is>
          <t>TOTAL</t>
        </is>
      </c>
      <c r="E131" s="38" t="inlineStr">
        <is>
          <t>POP</t>
        </is>
      </c>
      <c r="F131" s="38" t="n">
        <v>73</v>
      </c>
    </row>
    <row r="132" ht="15" customHeight="1" s="39">
      <c r="A132" s="38" t="inlineStr">
        <is>
          <t>2021</t>
        </is>
      </c>
      <c r="B132" s="42" t="inlineStr">
        <is>
          <t>439076</t>
        </is>
      </c>
      <c r="C132" s="38" t="inlineStr">
        <is>
          <t>Y028</t>
        </is>
      </c>
      <c r="D132" s="38" t="inlineStr">
        <is>
          <t>TOTAL</t>
        </is>
      </c>
      <c r="E132" s="38" t="inlineStr">
        <is>
          <t>POP</t>
        </is>
      </c>
      <c r="F132" s="38" t="n">
        <v>66</v>
      </c>
    </row>
    <row r="133" ht="15" customHeight="1" s="39">
      <c r="A133" s="38" t="inlineStr">
        <is>
          <t>2021</t>
        </is>
      </c>
      <c r="B133" s="42" t="inlineStr">
        <is>
          <t>439076</t>
        </is>
      </c>
      <c r="C133" s="38" t="inlineStr">
        <is>
          <t>Y029</t>
        </is>
      </c>
      <c r="D133" s="38" t="inlineStr">
        <is>
          <t>TOTAL</t>
        </is>
      </c>
      <c r="E133" s="38" t="inlineStr">
        <is>
          <t>POP</t>
        </is>
      </c>
      <c r="F133" s="38" t="n">
        <v>78</v>
      </c>
    </row>
    <row r="134" ht="15" customHeight="1" s="39">
      <c r="A134" s="38" t="inlineStr">
        <is>
          <t>2021</t>
        </is>
      </c>
      <c r="B134" s="42" t="inlineStr">
        <is>
          <t>439076</t>
        </is>
      </c>
      <c r="C134" s="38" t="inlineStr">
        <is>
          <t>Y030</t>
        </is>
      </c>
      <c r="D134" s="38" t="inlineStr">
        <is>
          <t>TOTAL</t>
        </is>
      </c>
      <c r="E134" s="38" t="inlineStr">
        <is>
          <t>POP</t>
        </is>
      </c>
      <c r="F134" s="38" t="n">
        <v>67</v>
      </c>
    </row>
    <row r="135" ht="15" customHeight="1" s="39">
      <c r="A135" s="38" t="inlineStr">
        <is>
          <t>2021</t>
        </is>
      </c>
      <c r="B135" s="42" t="inlineStr">
        <is>
          <t>439076</t>
        </is>
      </c>
      <c r="C135" s="38" t="inlineStr">
        <is>
          <t>Y031</t>
        </is>
      </c>
      <c r="D135" s="38" t="inlineStr">
        <is>
          <t>TOTAL</t>
        </is>
      </c>
      <c r="E135" s="38" t="inlineStr">
        <is>
          <t>POP</t>
        </is>
      </c>
      <c r="F135" s="38" t="n">
        <v>63</v>
      </c>
    </row>
    <row r="136" ht="15" customHeight="1" s="39">
      <c r="A136" s="38" t="inlineStr">
        <is>
          <t>2021</t>
        </is>
      </c>
      <c r="B136" s="42" t="inlineStr">
        <is>
          <t>439076</t>
        </is>
      </c>
      <c r="C136" s="38" t="inlineStr">
        <is>
          <t>Y032</t>
        </is>
      </c>
      <c r="D136" s="38" t="inlineStr">
        <is>
          <t>TOTAL</t>
        </is>
      </c>
      <c r="E136" s="38" t="inlineStr">
        <is>
          <t>POP</t>
        </is>
      </c>
      <c r="F136" s="38" t="n">
        <v>84</v>
      </c>
    </row>
    <row r="137" ht="15" customHeight="1" s="39">
      <c r="A137" s="38" t="inlineStr">
        <is>
          <t>2021</t>
        </is>
      </c>
      <c r="B137" s="42" t="inlineStr">
        <is>
          <t>439076</t>
        </is>
      </c>
      <c r="C137" s="38" t="inlineStr">
        <is>
          <t>Y033</t>
        </is>
      </c>
      <c r="D137" s="38" t="inlineStr">
        <is>
          <t>TOTAL</t>
        </is>
      </c>
      <c r="E137" s="38" t="inlineStr">
        <is>
          <t>POP</t>
        </is>
      </c>
      <c r="F137" s="38" t="n">
        <v>83</v>
      </c>
    </row>
    <row r="138" ht="15" customHeight="1" s="39">
      <c r="A138" s="38" t="inlineStr">
        <is>
          <t>2021</t>
        </is>
      </c>
      <c r="B138" s="42" t="inlineStr">
        <is>
          <t>439076</t>
        </is>
      </c>
      <c r="C138" s="38" t="inlineStr">
        <is>
          <t>Y034</t>
        </is>
      </c>
      <c r="D138" s="38" t="inlineStr">
        <is>
          <t>TOTAL</t>
        </is>
      </c>
      <c r="E138" s="38" t="inlineStr">
        <is>
          <t>POP</t>
        </is>
      </c>
      <c r="F138" s="38" t="n">
        <v>87</v>
      </c>
    </row>
    <row r="139" ht="15" customHeight="1" s="39">
      <c r="A139" s="38" t="inlineStr">
        <is>
          <t>2021</t>
        </is>
      </c>
      <c r="B139" s="42" t="inlineStr">
        <is>
          <t>439076</t>
        </is>
      </c>
      <c r="C139" s="38" t="inlineStr">
        <is>
          <t>Y035</t>
        </is>
      </c>
      <c r="D139" s="38" t="inlineStr">
        <is>
          <t>TOTAL</t>
        </is>
      </c>
      <c r="E139" s="38" t="inlineStr">
        <is>
          <t>POP</t>
        </is>
      </c>
      <c r="F139" s="38" t="n">
        <v>59</v>
      </c>
    </row>
    <row r="140" ht="15" customHeight="1" s="39">
      <c r="A140" s="38" t="inlineStr">
        <is>
          <t>2021</t>
        </is>
      </c>
      <c r="B140" s="42" t="inlineStr">
        <is>
          <t>439076</t>
        </is>
      </c>
      <c r="C140" s="38" t="inlineStr">
        <is>
          <t>Y036</t>
        </is>
      </c>
      <c r="D140" s="38" t="inlineStr">
        <is>
          <t>TOTAL</t>
        </is>
      </c>
      <c r="E140" s="38" t="inlineStr">
        <is>
          <t>POP</t>
        </is>
      </c>
      <c r="F140" s="38" t="n">
        <v>81</v>
      </c>
    </row>
    <row r="141" ht="15" customHeight="1" s="39">
      <c r="A141" s="38" t="inlineStr">
        <is>
          <t>2021</t>
        </is>
      </c>
      <c r="B141" s="42" t="inlineStr">
        <is>
          <t>439076</t>
        </is>
      </c>
      <c r="C141" s="38" t="inlineStr">
        <is>
          <t>Y037</t>
        </is>
      </c>
      <c r="D141" s="38" t="inlineStr">
        <is>
          <t>TOTAL</t>
        </is>
      </c>
      <c r="E141" s="38" t="inlineStr">
        <is>
          <t>POP</t>
        </is>
      </c>
      <c r="F141" s="38" t="n">
        <v>89</v>
      </c>
    </row>
    <row r="142" ht="15" customHeight="1" s="39">
      <c r="A142" s="38" t="inlineStr">
        <is>
          <t>2021</t>
        </is>
      </c>
      <c r="B142" s="42" t="inlineStr">
        <is>
          <t>439076</t>
        </is>
      </c>
      <c r="C142" s="38" t="inlineStr">
        <is>
          <t>Y038</t>
        </is>
      </c>
      <c r="D142" s="38" t="inlineStr">
        <is>
          <t>TOTAL</t>
        </is>
      </c>
      <c r="E142" s="38" t="inlineStr">
        <is>
          <t>POP</t>
        </is>
      </c>
      <c r="F142" s="38" t="n">
        <v>90</v>
      </c>
    </row>
    <row r="143" ht="15" customHeight="1" s="39">
      <c r="A143" s="38" t="inlineStr">
        <is>
          <t>2021</t>
        </is>
      </c>
      <c r="B143" s="42" t="inlineStr">
        <is>
          <t>439076</t>
        </is>
      </c>
      <c r="C143" s="38" t="inlineStr">
        <is>
          <t>Y039</t>
        </is>
      </c>
      <c r="D143" s="38" t="inlineStr">
        <is>
          <t>TOTAL</t>
        </is>
      </c>
      <c r="E143" s="38" t="inlineStr">
        <is>
          <t>POP</t>
        </is>
      </c>
      <c r="F143" s="38" t="n">
        <v>83</v>
      </c>
    </row>
    <row r="144" ht="15" customHeight="1" s="39">
      <c r="A144" s="38" t="inlineStr">
        <is>
          <t>2021</t>
        </is>
      </c>
      <c r="B144" s="42" t="inlineStr">
        <is>
          <t>439076</t>
        </is>
      </c>
      <c r="C144" s="38" t="inlineStr">
        <is>
          <t>Y040</t>
        </is>
      </c>
      <c r="D144" s="38" t="inlineStr">
        <is>
          <t>TOTAL</t>
        </is>
      </c>
      <c r="E144" s="38" t="inlineStr">
        <is>
          <t>POP</t>
        </is>
      </c>
      <c r="F144" s="38" t="n">
        <v>116</v>
      </c>
    </row>
    <row r="145" ht="15" customHeight="1" s="39">
      <c r="A145" s="38" t="inlineStr">
        <is>
          <t>2021</t>
        </is>
      </c>
      <c r="B145" s="42" t="inlineStr">
        <is>
          <t>439076</t>
        </is>
      </c>
      <c r="C145" s="38" t="inlineStr">
        <is>
          <t>Y041</t>
        </is>
      </c>
      <c r="D145" s="38" t="inlineStr">
        <is>
          <t>TOTAL</t>
        </is>
      </c>
      <c r="E145" s="38" t="inlineStr">
        <is>
          <t>POP</t>
        </is>
      </c>
      <c r="F145" s="38" t="n">
        <v>103</v>
      </c>
    </row>
    <row r="146" ht="15" customHeight="1" s="39">
      <c r="A146" s="38" t="inlineStr">
        <is>
          <t>2021</t>
        </is>
      </c>
      <c r="B146" s="42" t="inlineStr">
        <is>
          <t>439076</t>
        </is>
      </c>
      <c r="C146" s="38" t="inlineStr">
        <is>
          <t>Y042</t>
        </is>
      </c>
      <c r="D146" s="38" t="inlineStr">
        <is>
          <t>TOTAL</t>
        </is>
      </c>
      <c r="E146" s="38" t="inlineStr">
        <is>
          <t>POP</t>
        </is>
      </c>
      <c r="F146" s="38" t="n">
        <v>105</v>
      </c>
    </row>
    <row r="147" ht="15" customHeight="1" s="39">
      <c r="A147" s="38" t="inlineStr">
        <is>
          <t>2021</t>
        </is>
      </c>
      <c r="B147" s="42" t="inlineStr">
        <is>
          <t>439076</t>
        </is>
      </c>
      <c r="C147" s="38" t="inlineStr">
        <is>
          <t>Y043</t>
        </is>
      </c>
      <c r="D147" s="38" t="inlineStr">
        <is>
          <t>TOTAL</t>
        </is>
      </c>
      <c r="E147" s="38" t="inlineStr">
        <is>
          <t>POP</t>
        </is>
      </c>
      <c r="F147" s="38" t="n">
        <v>109</v>
      </c>
    </row>
    <row r="148" ht="15" customHeight="1" s="39">
      <c r="A148" s="38" t="inlineStr">
        <is>
          <t>2021</t>
        </is>
      </c>
      <c r="B148" s="42" t="inlineStr">
        <is>
          <t>439076</t>
        </is>
      </c>
      <c r="C148" s="38" t="inlineStr">
        <is>
          <t>Y044</t>
        </is>
      </c>
      <c r="D148" s="38" t="inlineStr">
        <is>
          <t>TOTAL</t>
        </is>
      </c>
      <c r="E148" s="38" t="inlineStr">
        <is>
          <t>POP</t>
        </is>
      </c>
      <c r="F148" s="38" t="n">
        <v>99</v>
      </c>
    </row>
    <row r="149" ht="15" customHeight="1" s="39">
      <c r="A149" s="38" t="inlineStr">
        <is>
          <t>2021</t>
        </is>
      </c>
      <c r="B149" s="42" t="inlineStr">
        <is>
          <t>439076</t>
        </is>
      </c>
      <c r="C149" s="38" t="inlineStr">
        <is>
          <t>Y045</t>
        </is>
      </c>
      <c r="D149" s="38" t="inlineStr">
        <is>
          <t>TOTAL</t>
        </is>
      </c>
      <c r="E149" s="38" t="inlineStr">
        <is>
          <t>POP</t>
        </is>
      </c>
      <c r="F149" s="38" t="n">
        <v>124</v>
      </c>
    </row>
    <row r="150" ht="15" customHeight="1" s="39">
      <c r="A150" s="38" t="inlineStr">
        <is>
          <t>2021</t>
        </is>
      </c>
      <c r="B150" s="42" t="inlineStr">
        <is>
          <t>439076</t>
        </is>
      </c>
      <c r="C150" s="38" t="inlineStr">
        <is>
          <t>Y046</t>
        </is>
      </c>
      <c r="D150" s="38" t="inlineStr">
        <is>
          <t>TOTAL</t>
        </is>
      </c>
      <c r="E150" s="38" t="inlineStr">
        <is>
          <t>POP</t>
        </is>
      </c>
      <c r="F150" s="38" t="n">
        <v>99</v>
      </c>
    </row>
    <row r="151" ht="15" customHeight="1" s="39">
      <c r="A151" s="38" t="inlineStr">
        <is>
          <t>2021</t>
        </is>
      </c>
      <c r="B151" s="42" t="inlineStr">
        <is>
          <t>439076</t>
        </is>
      </c>
      <c r="C151" s="38" t="inlineStr">
        <is>
          <t>Y047</t>
        </is>
      </c>
      <c r="D151" s="38" t="inlineStr">
        <is>
          <t>TOTAL</t>
        </is>
      </c>
      <c r="E151" s="38" t="inlineStr">
        <is>
          <t>POP</t>
        </is>
      </c>
      <c r="F151" s="38" t="n">
        <v>97</v>
      </c>
    </row>
    <row r="152" ht="15" customHeight="1" s="39">
      <c r="A152" s="38" t="inlineStr">
        <is>
          <t>2021</t>
        </is>
      </c>
      <c r="B152" s="42" t="inlineStr">
        <is>
          <t>439076</t>
        </is>
      </c>
      <c r="C152" s="38" t="inlineStr">
        <is>
          <t>Y048</t>
        </is>
      </c>
      <c r="D152" s="38" t="inlineStr">
        <is>
          <t>TOTAL</t>
        </is>
      </c>
      <c r="E152" s="38" t="inlineStr">
        <is>
          <t>POP</t>
        </is>
      </c>
      <c r="F152" s="38" t="n">
        <v>91</v>
      </c>
    </row>
    <row r="153" ht="15" customHeight="1" s="39">
      <c r="A153" s="38" t="inlineStr">
        <is>
          <t>2021</t>
        </is>
      </c>
      <c r="B153" s="42" t="inlineStr">
        <is>
          <t>439076</t>
        </is>
      </c>
      <c r="C153" s="38" t="inlineStr">
        <is>
          <t>Y049</t>
        </is>
      </c>
      <c r="D153" s="38" t="inlineStr">
        <is>
          <t>TOTAL</t>
        </is>
      </c>
      <c r="E153" s="38" t="inlineStr">
        <is>
          <t>POP</t>
        </is>
      </c>
      <c r="F153" s="38" t="n">
        <v>91</v>
      </c>
    </row>
    <row r="154" ht="15" customHeight="1" s="39">
      <c r="A154" s="38" t="inlineStr">
        <is>
          <t>2021</t>
        </is>
      </c>
      <c r="B154" s="42" t="inlineStr">
        <is>
          <t>439076</t>
        </is>
      </c>
      <c r="C154" s="38" t="inlineStr">
        <is>
          <t>Y050</t>
        </is>
      </c>
      <c r="D154" s="38" t="inlineStr">
        <is>
          <t>TOTAL</t>
        </is>
      </c>
      <c r="E154" s="38" t="inlineStr">
        <is>
          <t>POP</t>
        </is>
      </c>
      <c r="F154" s="38" t="n">
        <v>95</v>
      </c>
    </row>
    <row r="155" ht="15" customHeight="1" s="39">
      <c r="A155" s="38" t="inlineStr">
        <is>
          <t>2021</t>
        </is>
      </c>
      <c r="B155" s="42" t="inlineStr">
        <is>
          <t>439076</t>
        </is>
      </c>
      <c r="C155" s="38" t="inlineStr">
        <is>
          <t>Y051</t>
        </is>
      </c>
      <c r="D155" s="38" t="inlineStr">
        <is>
          <t>TOTAL</t>
        </is>
      </c>
      <c r="E155" s="38" t="inlineStr">
        <is>
          <t>POP</t>
        </is>
      </c>
      <c r="F155" s="38" t="n">
        <v>80</v>
      </c>
    </row>
    <row r="156" ht="15" customHeight="1" s="39">
      <c r="A156" s="38" t="inlineStr">
        <is>
          <t>2021</t>
        </is>
      </c>
      <c r="B156" s="42" t="inlineStr">
        <is>
          <t>439076</t>
        </is>
      </c>
      <c r="C156" s="38" t="inlineStr">
        <is>
          <t>Y052</t>
        </is>
      </c>
      <c r="D156" s="38" t="inlineStr">
        <is>
          <t>TOTAL</t>
        </is>
      </c>
      <c r="E156" s="38" t="inlineStr">
        <is>
          <t>POP</t>
        </is>
      </c>
      <c r="F156" s="38" t="n">
        <v>91</v>
      </c>
    </row>
    <row r="157" ht="15" customHeight="1" s="39">
      <c r="A157" s="38" t="inlineStr">
        <is>
          <t>2021</t>
        </is>
      </c>
      <c r="B157" s="42" t="inlineStr">
        <is>
          <t>439076</t>
        </is>
      </c>
      <c r="C157" s="38" t="inlineStr">
        <is>
          <t>Y053</t>
        </is>
      </c>
      <c r="D157" s="38" t="inlineStr">
        <is>
          <t>TOTAL</t>
        </is>
      </c>
      <c r="E157" s="38" t="inlineStr">
        <is>
          <t>POP</t>
        </is>
      </c>
      <c r="F157" s="38" t="n">
        <v>79</v>
      </c>
    </row>
    <row r="158" ht="15" customHeight="1" s="39">
      <c r="A158" s="38" t="inlineStr">
        <is>
          <t>2021</t>
        </is>
      </c>
      <c r="B158" s="42" t="inlineStr">
        <is>
          <t>439076</t>
        </is>
      </c>
      <c r="C158" s="38" t="inlineStr">
        <is>
          <t>Y054</t>
        </is>
      </c>
      <c r="D158" s="38" t="inlineStr">
        <is>
          <t>TOTAL</t>
        </is>
      </c>
      <c r="E158" s="38" t="inlineStr">
        <is>
          <t>POP</t>
        </is>
      </c>
      <c r="F158" s="38" t="n">
        <v>83</v>
      </c>
    </row>
    <row r="159" ht="15" customHeight="1" s="39">
      <c r="A159" s="38" t="inlineStr">
        <is>
          <t>2021</t>
        </is>
      </c>
      <c r="B159" s="42" t="inlineStr">
        <is>
          <t>439076</t>
        </is>
      </c>
      <c r="C159" s="38" t="inlineStr">
        <is>
          <t>Y055</t>
        </is>
      </c>
      <c r="D159" s="38" t="inlineStr">
        <is>
          <t>TOTAL</t>
        </is>
      </c>
      <c r="E159" s="38" t="inlineStr">
        <is>
          <t>POP</t>
        </is>
      </c>
      <c r="F159" s="38" t="n">
        <v>91</v>
      </c>
    </row>
    <row r="160" ht="15" customHeight="1" s="39">
      <c r="A160" s="38" t="inlineStr">
        <is>
          <t>2021</t>
        </is>
      </c>
      <c r="B160" s="42" t="inlineStr">
        <is>
          <t>439076</t>
        </is>
      </c>
      <c r="C160" s="38" t="inlineStr">
        <is>
          <t>Y056</t>
        </is>
      </c>
      <c r="D160" s="38" t="inlineStr">
        <is>
          <t>TOTAL</t>
        </is>
      </c>
      <c r="E160" s="38" t="inlineStr">
        <is>
          <t>POP</t>
        </is>
      </c>
      <c r="F160" s="38" t="n">
        <v>97</v>
      </c>
    </row>
    <row r="161" ht="15" customHeight="1" s="39">
      <c r="A161" s="38" t="inlineStr">
        <is>
          <t>2021</t>
        </is>
      </c>
      <c r="B161" s="42" t="inlineStr">
        <is>
          <t>439076</t>
        </is>
      </c>
      <c r="C161" s="38" t="inlineStr">
        <is>
          <t>Y057</t>
        </is>
      </c>
      <c r="D161" s="38" t="inlineStr">
        <is>
          <t>TOTAL</t>
        </is>
      </c>
      <c r="E161" s="38" t="inlineStr">
        <is>
          <t>POP</t>
        </is>
      </c>
      <c r="F161" s="38" t="n">
        <v>79</v>
      </c>
    </row>
    <row r="162" ht="15" customHeight="1" s="39">
      <c r="A162" s="38" t="inlineStr">
        <is>
          <t>2021</t>
        </is>
      </c>
      <c r="B162" s="42" t="inlineStr">
        <is>
          <t>439076</t>
        </is>
      </c>
      <c r="C162" s="38" t="inlineStr">
        <is>
          <t>Y058</t>
        </is>
      </c>
      <c r="D162" s="38" t="inlineStr">
        <is>
          <t>TOTAL</t>
        </is>
      </c>
      <c r="E162" s="38" t="inlineStr">
        <is>
          <t>POP</t>
        </is>
      </c>
      <c r="F162" s="38" t="n">
        <v>62</v>
      </c>
    </row>
    <row r="163" ht="15" customHeight="1" s="39">
      <c r="A163" s="38" t="inlineStr">
        <is>
          <t>2021</t>
        </is>
      </c>
      <c r="B163" s="42" t="inlineStr">
        <is>
          <t>439076</t>
        </is>
      </c>
      <c r="C163" s="38" t="inlineStr">
        <is>
          <t>Y059</t>
        </is>
      </c>
      <c r="D163" s="38" t="inlineStr">
        <is>
          <t>TOTAL</t>
        </is>
      </c>
      <c r="E163" s="38" t="inlineStr">
        <is>
          <t>POP</t>
        </is>
      </c>
      <c r="F163" s="38" t="n">
        <v>77</v>
      </c>
    </row>
    <row r="164" ht="15" customHeight="1" s="39">
      <c r="A164" s="38" t="inlineStr">
        <is>
          <t>2021</t>
        </is>
      </c>
      <c r="B164" s="42" t="inlineStr">
        <is>
          <t>439076</t>
        </is>
      </c>
      <c r="C164" s="38" t="inlineStr">
        <is>
          <t>Y060</t>
        </is>
      </c>
      <c r="D164" s="38" t="inlineStr">
        <is>
          <t>TOTAL</t>
        </is>
      </c>
      <c r="E164" s="38" t="inlineStr">
        <is>
          <t>POP</t>
        </is>
      </c>
      <c r="F164" s="38" t="n">
        <v>69</v>
      </c>
    </row>
    <row r="165" ht="15" customHeight="1" s="39">
      <c r="A165" s="38" t="inlineStr">
        <is>
          <t>2021</t>
        </is>
      </c>
      <c r="B165" s="42" t="inlineStr">
        <is>
          <t>439076</t>
        </is>
      </c>
      <c r="C165" s="38" t="inlineStr">
        <is>
          <t>Y061</t>
        </is>
      </c>
      <c r="D165" s="38" t="inlineStr">
        <is>
          <t>TOTAL</t>
        </is>
      </c>
      <c r="E165" s="38" t="inlineStr">
        <is>
          <t>POP</t>
        </is>
      </c>
      <c r="F165" s="38" t="n">
        <v>61</v>
      </c>
    </row>
    <row r="166" ht="15" customHeight="1" s="39">
      <c r="A166" s="38" t="inlineStr">
        <is>
          <t>2021</t>
        </is>
      </c>
      <c r="B166" s="42" t="inlineStr">
        <is>
          <t>439076</t>
        </is>
      </c>
      <c r="C166" s="38" t="inlineStr">
        <is>
          <t>Y062</t>
        </is>
      </c>
      <c r="D166" s="38" t="inlineStr">
        <is>
          <t>TOTAL</t>
        </is>
      </c>
      <c r="E166" s="38" t="inlineStr">
        <is>
          <t>POP</t>
        </is>
      </c>
      <c r="F166" s="38" t="n">
        <v>79</v>
      </c>
    </row>
    <row r="167" ht="15" customHeight="1" s="39">
      <c r="A167" s="38" t="inlineStr">
        <is>
          <t>2021</t>
        </is>
      </c>
      <c r="B167" s="42" t="inlineStr">
        <is>
          <t>439076</t>
        </is>
      </c>
      <c r="C167" s="38" t="inlineStr">
        <is>
          <t>Y063</t>
        </is>
      </c>
      <c r="D167" s="38" t="inlineStr">
        <is>
          <t>TOTAL</t>
        </is>
      </c>
      <c r="E167" s="38" t="inlineStr">
        <is>
          <t>POP</t>
        </is>
      </c>
      <c r="F167" s="38" t="n">
        <v>70</v>
      </c>
    </row>
    <row r="168" ht="15" customHeight="1" s="39">
      <c r="A168" s="38" t="inlineStr">
        <is>
          <t>2021</t>
        </is>
      </c>
      <c r="B168" s="42" t="inlineStr">
        <is>
          <t>439076</t>
        </is>
      </c>
      <c r="C168" s="38" t="inlineStr">
        <is>
          <t>Y064</t>
        </is>
      </c>
      <c r="D168" s="38" t="inlineStr">
        <is>
          <t>TOTAL</t>
        </is>
      </c>
      <c r="E168" s="38" t="inlineStr">
        <is>
          <t>POP</t>
        </is>
      </c>
      <c r="F168" s="38" t="n">
        <v>57</v>
      </c>
    </row>
    <row r="169" ht="15" customHeight="1" s="39">
      <c r="A169" s="38" t="inlineStr">
        <is>
          <t>2021</t>
        </is>
      </c>
      <c r="B169" s="42" t="inlineStr">
        <is>
          <t>439076</t>
        </is>
      </c>
      <c r="C169" s="38" t="inlineStr">
        <is>
          <t>Y065</t>
        </is>
      </c>
      <c r="D169" s="38" t="inlineStr">
        <is>
          <t>TOTAL</t>
        </is>
      </c>
      <c r="E169" s="38" t="inlineStr">
        <is>
          <t>POP</t>
        </is>
      </c>
      <c r="F169" s="38" t="n">
        <v>66</v>
      </c>
    </row>
    <row r="170" ht="15" customHeight="1" s="39">
      <c r="A170" s="38" t="inlineStr">
        <is>
          <t>2021</t>
        </is>
      </c>
      <c r="B170" s="42" t="inlineStr">
        <is>
          <t>439076</t>
        </is>
      </c>
      <c r="C170" s="38" t="inlineStr">
        <is>
          <t>Y066</t>
        </is>
      </c>
      <c r="D170" s="38" t="inlineStr">
        <is>
          <t>TOTAL</t>
        </is>
      </c>
      <c r="E170" s="38" t="inlineStr">
        <is>
          <t>POP</t>
        </is>
      </c>
      <c r="F170" s="38" t="n">
        <v>54</v>
      </c>
    </row>
    <row r="171" ht="15" customHeight="1" s="39">
      <c r="A171" s="38" t="inlineStr">
        <is>
          <t>2021</t>
        </is>
      </c>
      <c r="B171" s="42" t="inlineStr">
        <is>
          <t>439076</t>
        </is>
      </c>
      <c r="C171" s="38" t="inlineStr">
        <is>
          <t>Y067</t>
        </is>
      </c>
      <c r="D171" s="38" t="inlineStr">
        <is>
          <t>TOTAL</t>
        </is>
      </c>
      <c r="E171" s="38" t="inlineStr">
        <is>
          <t>POP</t>
        </is>
      </c>
      <c r="F171" s="38" t="n">
        <v>61</v>
      </c>
    </row>
    <row r="172" ht="15" customHeight="1" s="39">
      <c r="A172" s="38" t="inlineStr">
        <is>
          <t>2021</t>
        </is>
      </c>
      <c r="B172" s="42" t="inlineStr">
        <is>
          <t>439076</t>
        </is>
      </c>
      <c r="C172" s="38" t="inlineStr">
        <is>
          <t>Y068</t>
        </is>
      </c>
      <c r="D172" s="38" t="inlineStr">
        <is>
          <t>TOTAL</t>
        </is>
      </c>
      <c r="E172" s="38" t="inlineStr">
        <is>
          <t>POP</t>
        </is>
      </c>
      <c r="F172" s="38" t="n">
        <v>54</v>
      </c>
    </row>
    <row r="173" ht="15" customHeight="1" s="39">
      <c r="A173" s="38" t="inlineStr">
        <is>
          <t>2021</t>
        </is>
      </c>
      <c r="B173" s="42" t="inlineStr">
        <is>
          <t>439076</t>
        </is>
      </c>
      <c r="C173" s="38" t="inlineStr">
        <is>
          <t>Y069</t>
        </is>
      </c>
      <c r="D173" s="38" t="inlineStr">
        <is>
          <t>TOTAL</t>
        </is>
      </c>
      <c r="E173" s="38" t="inlineStr">
        <is>
          <t>POP</t>
        </is>
      </c>
      <c r="F173" s="38" t="n">
        <v>56</v>
      </c>
    </row>
    <row r="174" ht="15" customHeight="1" s="39">
      <c r="A174" s="38" t="inlineStr">
        <is>
          <t>2021</t>
        </is>
      </c>
      <c r="B174" s="42" t="inlineStr">
        <is>
          <t>439076</t>
        </is>
      </c>
      <c r="C174" s="38" t="inlineStr">
        <is>
          <t>Y070</t>
        </is>
      </c>
      <c r="D174" s="38" t="inlineStr">
        <is>
          <t>TOTAL</t>
        </is>
      </c>
      <c r="E174" s="38" t="inlineStr">
        <is>
          <t>POP</t>
        </is>
      </c>
      <c r="F174" s="38" t="n">
        <v>42</v>
      </c>
    </row>
    <row r="175" ht="15" customHeight="1" s="39">
      <c r="A175" s="38" t="inlineStr">
        <is>
          <t>2021</t>
        </is>
      </c>
      <c r="B175" s="42" t="inlineStr">
        <is>
          <t>439076</t>
        </is>
      </c>
      <c r="C175" s="38" t="inlineStr">
        <is>
          <t>Y071</t>
        </is>
      </c>
      <c r="D175" s="38" t="inlineStr">
        <is>
          <t>TOTAL</t>
        </is>
      </c>
      <c r="E175" s="38" t="inlineStr">
        <is>
          <t>POP</t>
        </is>
      </c>
      <c r="F175" s="38" t="n">
        <v>56</v>
      </c>
    </row>
    <row r="176" ht="15" customHeight="1" s="39">
      <c r="A176" s="38" t="inlineStr">
        <is>
          <t>2021</t>
        </is>
      </c>
      <c r="B176" s="42" t="inlineStr">
        <is>
          <t>439076</t>
        </is>
      </c>
      <c r="C176" s="38" t="inlineStr">
        <is>
          <t>Y072</t>
        </is>
      </c>
      <c r="D176" s="38" t="inlineStr">
        <is>
          <t>TOTAL</t>
        </is>
      </c>
      <c r="E176" s="38" t="inlineStr">
        <is>
          <t>POP</t>
        </is>
      </c>
      <c r="F176" s="38" t="n">
        <v>46</v>
      </c>
    </row>
    <row r="177" ht="15" customHeight="1" s="39">
      <c r="A177" s="38" t="inlineStr">
        <is>
          <t>2021</t>
        </is>
      </c>
      <c r="B177" s="42" t="inlineStr">
        <is>
          <t>439076</t>
        </is>
      </c>
      <c r="C177" s="38" t="inlineStr">
        <is>
          <t>Y073</t>
        </is>
      </c>
      <c r="D177" s="38" t="inlineStr">
        <is>
          <t>TOTAL</t>
        </is>
      </c>
      <c r="E177" s="38" t="inlineStr">
        <is>
          <t>POP</t>
        </is>
      </c>
      <c r="F177" s="38" t="n">
        <v>50</v>
      </c>
    </row>
    <row r="178" ht="15" customHeight="1" s="39">
      <c r="A178" s="38" t="inlineStr">
        <is>
          <t>2021</t>
        </is>
      </c>
      <c r="B178" s="42" t="inlineStr">
        <is>
          <t>439076</t>
        </is>
      </c>
      <c r="C178" s="38" t="inlineStr">
        <is>
          <t>Y074</t>
        </is>
      </c>
      <c r="D178" s="38" t="inlineStr">
        <is>
          <t>TOTAL</t>
        </is>
      </c>
      <c r="E178" s="38" t="inlineStr">
        <is>
          <t>POP</t>
        </is>
      </c>
      <c r="F178" s="38" t="n">
        <v>41</v>
      </c>
    </row>
    <row r="179" ht="15" customHeight="1" s="39">
      <c r="A179" s="38" t="inlineStr">
        <is>
          <t>2021</t>
        </is>
      </c>
      <c r="B179" s="42" t="inlineStr">
        <is>
          <t>439076</t>
        </is>
      </c>
      <c r="C179" s="38" t="inlineStr">
        <is>
          <t>Y075</t>
        </is>
      </c>
      <c r="D179" s="38" t="inlineStr">
        <is>
          <t>TOTAL</t>
        </is>
      </c>
      <c r="E179" s="38" t="inlineStr">
        <is>
          <t>POP</t>
        </is>
      </c>
      <c r="F179" s="38" t="n">
        <v>41</v>
      </c>
    </row>
    <row r="180" ht="15" customHeight="1" s="39">
      <c r="A180" s="38" t="inlineStr">
        <is>
          <t>2021</t>
        </is>
      </c>
      <c r="B180" s="42" t="inlineStr">
        <is>
          <t>439076</t>
        </is>
      </c>
      <c r="C180" s="38" t="inlineStr">
        <is>
          <t>Y076</t>
        </is>
      </c>
      <c r="D180" s="38" t="inlineStr">
        <is>
          <t>TOTAL</t>
        </is>
      </c>
      <c r="E180" s="38" t="inlineStr">
        <is>
          <t>POP</t>
        </is>
      </c>
      <c r="F180" s="38" t="n">
        <v>38</v>
      </c>
    </row>
    <row r="181" ht="15" customHeight="1" s="39">
      <c r="A181" s="38" t="inlineStr">
        <is>
          <t>2021</t>
        </is>
      </c>
      <c r="B181" s="42" t="inlineStr">
        <is>
          <t>439076</t>
        </is>
      </c>
      <c r="C181" s="38" t="inlineStr">
        <is>
          <t>Y077</t>
        </is>
      </c>
      <c r="D181" s="38" t="inlineStr">
        <is>
          <t>TOTAL</t>
        </is>
      </c>
      <c r="E181" s="38" t="inlineStr">
        <is>
          <t>POP</t>
        </is>
      </c>
      <c r="F181" s="38" t="n">
        <v>39</v>
      </c>
    </row>
    <row r="182" ht="15" customHeight="1" s="39">
      <c r="A182" s="38" t="inlineStr">
        <is>
          <t>2021</t>
        </is>
      </c>
      <c r="B182" s="42" t="inlineStr">
        <is>
          <t>439076</t>
        </is>
      </c>
      <c r="C182" s="38" t="inlineStr">
        <is>
          <t>Y078</t>
        </is>
      </c>
      <c r="D182" s="38" t="inlineStr">
        <is>
          <t>TOTAL</t>
        </is>
      </c>
      <c r="E182" s="38" t="inlineStr">
        <is>
          <t>POP</t>
        </is>
      </c>
      <c r="F182" s="38" t="n">
        <v>28</v>
      </c>
    </row>
    <row r="183" ht="15" customHeight="1" s="39">
      <c r="A183" s="38" t="inlineStr">
        <is>
          <t>2021</t>
        </is>
      </c>
      <c r="B183" s="42" t="inlineStr">
        <is>
          <t>439076</t>
        </is>
      </c>
      <c r="C183" s="38" t="inlineStr">
        <is>
          <t>Y079</t>
        </is>
      </c>
      <c r="D183" s="38" t="inlineStr">
        <is>
          <t>TOTAL</t>
        </is>
      </c>
      <c r="E183" s="38" t="inlineStr">
        <is>
          <t>POP</t>
        </is>
      </c>
      <c r="F183" s="38" t="n">
        <v>30</v>
      </c>
    </row>
    <row r="184" ht="15" customHeight="1" s="39">
      <c r="A184" s="38" t="inlineStr">
        <is>
          <t>2021</t>
        </is>
      </c>
      <c r="B184" s="42" t="inlineStr">
        <is>
          <t>439076</t>
        </is>
      </c>
      <c r="C184" s="38" t="inlineStr">
        <is>
          <t>Y080</t>
        </is>
      </c>
      <c r="D184" s="38" t="inlineStr">
        <is>
          <t>TOTAL</t>
        </is>
      </c>
      <c r="E184" s="38" t="inlineStr">
        <is>
          <t>POP</t>
        </is>
      </c>
      <c r="F184" s="38" t="n">
        <v>30</v>
      </c>
    </row>
    <row r="185" ht="15" customHeight="1" s="39">
      <c r="A185" s="38" t="inlineStr">
        <is>
          <t>2021</t>
        </is>
      </c>
      <c r="B185" s="42" t="inlineStr">
        <is>
          <t>439076</t>
        </is>
      </c>
      <c r="C185" s="38" t="inlineStr">
        <is>
          <t>Y081</t>
        </is>
      </c>
      <c r="D185" s="38" t="inlineStr">
        <is>
          <t>TOTAL</t>
        </is>
      </c>
      <c r="E185" s="38" t="inlineStr">
        <is>
          <t>POP</t>
        </is>
      </c>
      <c r="F185" s="38" t="n">
        <v>18</v>
      </c>
    </row>
    <row r="186" ht="15" customHeight="1" s="39">
      <c r="A186" s="38" t="inlineStr">
        <is>
          <t>2021</t>
        </is>
      </c>
      <c r="B186" s="42" t="inlineStr">
        <is>
          <t>439076</t>
        </is>
      </c>
      <c r="C186" s="38" t="inlineStr">
        <is>
          <t>Y082</t>
        </is>
      </c>
      <c r="D186" s="38" t="inlineStr">
        <is>
          <t>TOTAL</t>
        </is>
      </c>
      <c r="E186" s="38" t="inlineStr">
        <is>
          <t>POP</t>
        </is>
      </c>
      <c r="F186" s="38" t="n">
        <v>19</v>
      </c>
    </row>
    <row r="187" ht="15" customHeight="1" s="39">
      <c r="A187" s="38" t="inlineStr">
        <is>
          <t>2021</t>
        </is>
      </c>
      <c r="B187" s="42" t="inlineStr">
        <is>
          <t>439076</t>
        </is>
      </c>
      <c r="C187" s="38" t="inlineStr">
        <is>
          <t>Y083</t>
        </is>
      </c>
      <c r="D187" s="38" t="inlineStr">
        <is>
          <t>TOTAL</t>
        </is>
      </c>
      <c r="E187" s="38" t="inlineStr">
        <is>
          <t>POP</t>
        </is>
      </c>
      <c r="F187" s="38" t="n">
        <v>32</v>
      </c>
    </row>
    <row r="188" ht="15" customHeight="1" s="39">
      <c r="A188" s="38" t="inlineStr">
        <is>
          <t>2021</t>
        </is>
      </c>
      <c r="B188" s="42" t="inlineStr">
        <is>
          <t>439076</t>
        </is>
      </c>
      <c r="C188" s="38" t="inlineStr">
        <is>
          <t>Y084</t>
        </is>
      </c>
      <c r="D188" s="38" t="inlineStr">
        <is>
          <t>TOTAL</t>
        </is>
      </c>
      <c r="E188" s="38" t="inlineStr">
        <is>
          <t>POP</t>
        </is>
      </c>
      <c r="F188" s="38" t="n">
        <v>29</v>
      </c>
    </row>
    <row r="189" ht="15" customHeight="1" s="39">
      <c r="A189" s="38" t="inlineStr">
        <is>
          <t>2021</t>
        </is>
      </c>
      <c r="B189" s="42" t="inlineStr">
        <is>
          <t>439076</t>
        </is>
      </c>
      <c r="C189" s="38" t="inlineStr">
        <is>
          <t>Y085</t>
        </is>
      </c>
      <c r="D189" s="38" t="inlineStr">
        <is>
          <t>TOTAL</t>
        </is>
      </c>
      <c r="E189" s="38" t="inlineStr">
        <is>
          <t>POP</t>
        </is>
      </c>
      <c r="F189" s="38" t="n">
        <v>20</v>
      </c>
    </row>
    <row r="190" ht="15" customHeight="1" s="39">
      <c r="A190" s="38" t="inlineStr">
        <is>
          <t>2021</t>
        </is>
      </c>
      <c r="B190" s="42" t="inlineStr">
        <is>
          <t>439076</t>
        </is>
      </c>
      <c r="C190" s="38" t="inlineStr">
        <is>
          <t>Y086</t>
        </is>
      </c>
      <c r="D190" s="38" t="inlineStr">
        <is>
          <t>TOTAL</t>
        </is>
      </c>
      <c r="E190" s="38" t="inlineStr">
        <is>
          <t>POP</t>
        </is>
      </c>
      <c r="F190" s="38" t="n">
        <v>18</v>
      </c>
    </row>
    <row r="191" ht="15" customHeight="1" s="39">
      <c r="A191" s="38" t="inlineStr">
        <is>
          <t>2021</t>
        </is>
      </c>
      <c r="B191" s="42" t="inlineStr">
        <is>
          <t>439076</t>
        </is>
      </c>
      <c r="C191" s="38" t="inlineStr">
        <is>
          <t>Y087</t>
        </is>
      </c>
      <c r="D191" s="38" t="inlineStr">
        <is>
          <t>TOTAL</t>
        </is>
      </c>
      <c r="E191" s="38" t="inlineStr">
        <is>
          <t>POP</t>
        </is>
      </c>
      <c r="F191" s="38" t="n">
        <v>13</v>
      </c>
    </row>
    <row r="192" ht="15" customHeight="1" s="39">
      <c r="A192" s="38" t="inlineStr">
        <is>
          <t>2021</t>
        </is>
      </c>
      <c r="B192" s="42" t="inlineStr">
        <is>
          <t>439076</t>
        </is>
      </c>
      <c r="C192" s="38" t="inlineStr">
        <is>
          <t>Y088</t>
        </is>
      </c>
      <c r="D192" s="38" t="inlineStr">
        <is>
          <t>TOTAL</t>
        </is>
      </c>
      <c r="E192" s="38" t="inlineStr">
        <is>
          <t>POP</t>
        </is>
      </c>
      <c r="F192" s="38" t="n">
        <v>15</v>
      </c>
    </row>
    <row r="193" ht="15" customHeight="1" s="39">
      <c r="A193" s="38" t="inlineStr">
        <is>
          <t>2021</t>
        </is>
      </c>
      <c r="B193" s="42" t="inlineStr">
        <is>
          <t>439076</t>
        </is>
      </c>
      <c r="C193" s="38" t="inlineStr">
        <is>
          <t>Y089</t>
        </is>
      </c>
      <c r="D193" s="38" t="inlineStr">
        <is>
          <t>TOTAL</t>
        </is>
      </c>
      <c r="E193" s="38" t="inlineStr">
        <is>
          <t>POP</t>
        </is>
      </c>
      <c r="F193" s="38" t="n">
        <v>17</v>
      </c>
    </row>
    <row r="194" ht="15" customHeight="1" s="39">
      <c r="A194" s="38" t="inlineStr">
        <is>
          <t>2021</t>
        </is>
      </c>
      <c r="B194" s="42" t="inlineStr">
        <is>
          <t>439076</t>
        </is>
      </c>
      <c r="C194" s="38" t="inlineStr">
        <is>
          <t>Y090</t>
        </is>
      </c>
      <c r="D194" s="38" t="inlineStr">
        <is>
          <t>TOTAL</t>
        </is>
      </c>
      <c r="E194" s="38" t="inlineStr">
        <is>
          <t>POP</t>
        </is>
      </c>
      <c r="F194" s="38" t="n">
        <v>11</v>
      </c>
    </row>
    <row r="195" ht="15" customHeight="1" s="39">
      <c r="A195" s="38" t="inlineStr">
        <is>
          <t>2021</t>
        </is>
      </c>
      <c r="B195" s="42" t="inlineStr">
        <is>
          <t>439076</t>
        </is>
      </c>
      <c r="C195" s="38" t="inlineStr">
        <is>
          <t>Y091</t>
        </is>
      </c>
      <c r="D195" s="38" t="inlineStr">
        <is>
          <t>TOTAL</t>
        </is>
      </c>
      <c r="E195" s="38" t="inlineStr">
        <is>
          <t>POP</t>
        </is>
      </c>
      <c r="F195" s="38" t="n">
        <v>8</v>
      </c>
    </row>
    <row r="196" ht="15" customHeight="1" s="39">
      <c r="A196" s="38" t="inlineStr">
        <is>
          <t>2021</t>
        </is>
      </c>
      <c r="B196" s="42" t="inlineStr">
        <is>
          <t>439076</t>
        </is>
      </c>
      <c r="C196" s="38" t="inlineStr">
        <is>
          <t>Y092</t>
        </is>
      </c>
      <c r="D196" s="38" t="inlineStr">
        <is>
          <t>TOTAL</t>
        </is>
      </c>
      <c r="E196" s="38" t="inlineStr">
        <is>
          <t>POP</t>
        </is>
      </c>
      <c r="F196" s="38" t="n">
        <v>11</v>
      </c>
    </row>
    <row r="197" ht="15" customHeight="1" s="39">
      <c r="A197" s="38" t="inlineStr">
        <is>
          <t>2021</t>
        </is>
      </c>
      <c r="B197" s="42" t="inlineStr">
        <is>
          <t>439076</t>
        </is>
      </c>
      <c r="C197" s="38" t="inlineStr">
        <is>
          <t>Y093</t>
        </is>
      </c>
      <c r="D197" s="38" t="inlineStr">
        <is>
          <t>TOTAL</t>
        </is>
      </c>
      <c r="E197" s="38" t="inlineStr">
        <is>
          <t>POP</t>
        </is>
      </c>
      <c r="F197" s="38" t="n">
        <v>2</v>
      </c>
    </row>
    <row r="198" ht="15" customHeight="1" s="39">
      <c r="A198" s="38" t="inlineStr">
        <is>
          <t>2021</t>
        </is>
      </c>
      <c r="B198" s="42" t="inlineStr">
        <is>
          <t>439076</t>
        </is>
      </c>
      <c r="C198" s="38" t="inlineStr">
        <is>
          <t>Y094</t>
        </is>
      </c>
      <c r="D198" s="38" t="inlineStr">
        <is>
          <t>TOTAL</t>
        </is>
      </c>
      <c r="E198" s="38" t="inlineStr">
        <is>
          <t>POP</t>
        </is>
      </c>
      <c r="F198" s="38" t="n">
        <v>3</v>
      </c>
    </row>
    <row r="199" ht="15" customHeight="1" s="39">
      <c r="A199" s="38" t="inlineStr">
        <is>
          <t>2021</t>
        </is>
      </c>
      <c r="B199" s="42" t="inlineStr">
        <is>
          <t>439076</t>
        </is>
      </c>
      <c r="C199" s="38" t="inlineStr">
        <is>
          <t>Y095</t>
        </is>
      </c>
      <c r="D199" s="38" t="inlineStr">
        <is>
          <t>TOTAL</t>
        </is>
      </c>
      <c r="E199" s="38" t="inlineStr">
        <is>
          <t>POP</t>
        </is>
      </c>
      <c r="F199" s="38" t="n">
        <v>5</v>
      </c>
    </row>
    <row r="200" ht="15" customHeight="1" s="39">
      <c r="A200" s="38" t="inlineStr">
        <is>
          <t>2021</t>
        </is>
      </c>
      <c r="B200" s="42" t="inlineStr">
        <is>
          <t>439076</t>
        </is>
      </c>
      <c r="C200" s="38" t="inlineStr">
        <is>
          <t>Y096</t>
        </is>
      </c>
      <c r="D200" s="38" t="inlineStr">
        <is>
          <t>TOTAL</t>
        </is>
      </c>
      <c r="E200" s="38" t="inlineStr">
        <is>
          <t>POP</t>
        </is>
      </c>
      <c r="F200" s="38" t="n">
        <v>0</v>
      </c>
    </row>
    <row r="201" ht="15" customHeight="1" s="39">
      <c r="A201" s="38" t="inlineStr">
        <is>
          <t>2021</t>
        </is>
      </c>
      <c r="B201" s="42" t="inlineStr">
        <is>
          <t>439076</t>
        </is>
      </c>
      <c r="C201" s="38" t="inlineStr">
        <is>
          <t>Y097</t>
        </is>
      </c>
      <c r="D201" s="38" t="inlineStr">
        <is>
          <t>TOTAL</t>
        </is>
      </c>
      <c r="E201" s="38" t="inlineStr">
        <is>
          <t>POP</t>
        </is>
      </c>
      <c r="F201" s="38" t="n">
        <v>0</v>
      </c>
    </row>
    <row r="202" ht="15" customHeight="1" s="39">
      <c r="A202" s="38" t="inlineStr">
        <is>
          <t>2021</t>
        </is>
      </c>
      <c r="B202" s="42" t="inlineStr">
        <is>
          <t>439076</t>
        </is>
      </c>
      <c r="C202" s="38" t="inlineStr">
        <is>
          <t>Y098</t>
        </is>
      </c>
      <c r="D202" s="38" t="inlineStr">
        <is>
          <t>TOTAL</t>
        </is>
      </c>
      <c r="E202" s="38" t="inlineStr">
        <is>
          <t>POP</t>
        </is>
      </c>
      <c r="F202" s="38" t="n">
        <v>2</v>
      </c>
    </row>
    <row r="203" ht="15" customHeight="1" s="39">
      <c r="A203" s="38" t="inlineStr">
        <is>
          <t>2021</t>
        </is>
      </c>
      <c r="B203" s="42" t="inlineStr">
        <is>
          <t>439076</t>
        </is>
      </c>
      <c r="C203" s="38" t="inlineStr">
        <is>
          <t>Y099</t>
        </is>
      </c>
      <c r="D203" s="38" t="inlineStr">
        <is>
          <t>TOTAL</t>
        </is>
      </c>
      <c r="E203" s="38" t="inlineStr">
        <is>
          <t>POP</t>
        </is>
      </c>
      <c r="F203" s="38" t="n">
        <v>1</v>
      </c>
    </row>
    <row r="204" ht="15" customHeight="1" s="39">
      <c r="A204" s="38" t="inlineStr">
        <is>
          <t>2021</t>
        </is>
      </c>
      <c r="B204" s="42" t="inlineStr">
        <is>
          <t>439076</t>
        </is>
      </c>
      <c r="C204" s="38" t="inlineStr">
        <is>
          <t>Y_GE100</t>
        </is>
      </c>
      <c r="D204" s="38" t="inlineStr">
        <is>
          <t>TOTAL</t>
        </is>
      </c>
      <c r="E204" s="38" t="inlineStr">
        <is>
          <t>POP</t>
        </is>
      </c>
      <c r="F204" s="38" t="n">
        <v>1</v>
      </c>
    </row>
    <row r="205" ht="15" customHeight="1" s="39">
      <c r="A205" s="38" t="inlineStr">
        <is>
          <t>2021</t>
        </is>
      </c>
      <c r="B205" s="42" t="inlineStr">
        <is>
          <t>439076</t>
        </is>
      </c>
      <c r="C205" s="38" t="inlineStr">
        <is>
          <t>TOTAL</t>
        </is>
      </c>
      <c r="D205" s="38" t="inlineStr">
        <is>
          <t>TOTAL</t>
        </is>
      </c>
      <c r="E205" s="38" t="inlineStr">
        <is>
          <t>POP</t>
        </is>
      </c>
      <c r="F205" s="38" t="n">
        <v>5971</v>
      </c>
    </row>
    <row r="206" ht="15" customHeight="1" s="39">
      <c r="A206" s="38" t="inlineStr">
        <is>
          <t>2021</t>
        </is>
      </c>
      <c r="B206" s="42" t="inlineStr">
        <is>
          <t>430430</t>
        </is>
      </c>
      <c r="C206" s="38" t="inlineStr">
        <is>
          <t>Y000</t>
        </is>
      </c>
      <c r="D206" s="38" t="inlineStr">
        <is>
          <t>TOTAL</t>
        </is>
      </c>
      <c r="E206" s="38" t="inlineStr">
        <is>
          <t>POP</t>
        </is>
      </c>
      <c r="F206" s="38" t="n">
        <v>38</v>
      </c>
    </row>
    <row r="207" ht="15" customHeight="1" s="39">
      <c r="A207" s="38" t="inlineStr">
        <is>
          <t>2021</t>
        </is>
      </c>
      <c r="B207" s="42" t="inlineStr">
        <is>
          <t>430430</t>
        </is>
      </c>
      <c r="C207" s="38" t="inlineStr">
        <is>
          <t>Y001</t>
        </is>
      </c>
      <c r="D207" s="38" t="inlineStr">
        <is>
          <t>TOTAL</t>
        </is>
      </c>
      <c r="E207" s="38" t="inlineStr">
        <is>
          <t>POP</t>
        </is>
      </c>
      <c r="F207" s="38" t="n">
        <v>42</v>
      </c>
    </row>
    <row r="208" ht="15" customHeight="1" s="39">
      <c r="A208" s="38" t="inlineStr">
        <is>
          <t>2021</t>
        </is>
      </c>
      <c r="B208" s="42" t="inlineStr">
        <is>
          <t>430430</t>
        </is>
      </c>
      <c r="C208" s="38" t="inlineStr">
        <is>
          <t>Y002</t>
        </is>
      </c>
      <c r="D208" s="38" t="inlineStr">
        <is>
          <t>TOTAL</t>
        </is>
      </c>
      <c r="E208" s="38" t="inlineStr">
        <is>
          <t>POP</t>
        </is>
      </c>
      <c r="F208" s="38" t="n">
        <v>43</v>
      </c>
    </row>
    <row r="209" ht="15" customHeight="1" s="39">
      <c r="A209" s="38" t="inlineStr">
        <is>
          <t>2021</t>
        </is>
      </c>
      <c r="B209" s="42" t="inlineStr">
        <is>
          <t>430430</t>
        </is>
      </c>
      <c r="C209" s="38" t="inlineStr">
        <is>
          <t>Y003</t>
        </is>
      </c>
      <c r="D209" s="38" t="inlineStr">
        <is>
          <t>TOTAL</t>
        </is>
      </c>
      <c r="E209" s="38" t="inlineStr">
        <is>
          <t>POP</t>
        </is>
      </c>
      <c r="F209" s="38" t="n">
        <v>41</v>
      </c>
    </row>
    <row r="210" ht="15" customHeight="1" s="39">
      <c r="A210" s="38" t="inlineStr">
        <is>
          <t>2021</t>
        </is>
      </c>
      <c r="B210" s="42" t="inlineStr">
        <is>
          <t>430430</t>
        </is>
      </c>
      <c r="C210" s="38" t="inlineStr">
        <is>
          <t>Y004</t>
        </is>
      </c>
      <c r="D210" s="38" t="inlineStr">
        <is>
          <t>TOTAL</t>
        </is>
      </c>
      <c r="E210" s="38" t="inlineStr">
        <is>
          <t>POP</t>
        </is>
      </c>
      <c r="F210" s="38" t="n">
        <v>50</v>
      </c>
    </row>
    <row r="211" ht="15" customHeight="1" s="39">
      <c r="A211" s="38" t="inlineStr">
        <is>
          <t>2021</t>
        </is>
      </c>
      <c r="B211" s="42" t="inlineStr">
        <is>
          <t>430430</t>
        </is>
      </c>
      <c r="C211" s="38" t="inlineStr">
        <is>
          <t>Y005</t>
        </is>
      </c>
      <c r="D211" s="38" t="inlineStr">
        <is>
          <t>TOTAL</t>
        </is>
      </c>
      <c r="E211" s="38" t="inlineStr">
        <is>
          <t>POP</t>
        </is>
      </c>
      <c r="F211" s="38" t="n">
        <v>57</v>
      </c>
    </row>
    <row r="212" ht="15" customHeight="1" s="39">
      <c r="A212" s="38" t="inlineStr">
        <is>
          <t>2021</t>
        </is>
      </c>
      <c r="B212" s="42" t="inlineStr">
        <is>
          <t>430430</t>
        </is>
      </c>
      <c r="C212" s="38" t="inlineStr">
        <is>
          <t>Y006</t>
        </is>
      </c>
      <c r="D212" s="38" t="inlineStr">
        <is>
          <t>TOTAL</t>
        </is>
      </c>
      <c r="E212" s="38" t="inlineStr">
        <is>
          <t>POP</t>
        </is>
      </c>
      <c r="F212" s="38" t="n">
        <v>53</v>
      </c>
    </row>
    <row r="213" ht="15" customHeight="1" s="39">
      <c r="A213" s="38" t="inlineStr">
        <is>
          <t>2021</t>
        </is>
      </c>
      <c r="B213" s="42" t="inlineStr">
        <is>
          <t>430430</t>
        </is>
      </c>
      <c r="C213" s="38" t="inlineStr">
        <is>
          <t>Y007</t>
        </is>
      </c>
      <c r="D213" s="38" t="inlineStr">
        <is>
          <t>TOTAL</t>
        </is>
      </c>
      <c r="E213" s="38" t="inlineStr">
        <is>
          <t>POP</t>
        </is>
      </c>
      <c r="F213" s="38" t="n">
        <v>62</v>
      </c>
    </row>
    <row r="214" ht="15" customHeight="1" s="39">
      <c r="A214" s="38" t="inlineStr">
        <is>
          <t>2021</t>
        </is>
      </c>
      <c r="B214" s="42" t="inlineStr">
        <is>
          <t>430430</t>
        </is>
      </c>
      <c r="C214" s="38" t="inlineStr">
        <is>
          <t>Y008</t>
        </is>
      </c>
      <c r="D214" s="38" t="inlineStr">
        <is>
          <t>TOTAL</t>
        </is>
      </c>
      <c r="E214" s="38" t="inlineStr">
        <is>
          <t>POP</t>
        </is>
      </c>
      <c r="F214" s="38" t="n">
        <v>55</v>
      </c>
    </row>
    <row r="215" ht="15" customHeight="1" s="39">
      <c r="A215" s="38" t="inlineStr">
        <is>
          <t>2021</t>
        </is>
      </c>
      <c r="B215" s="42" t="inlineStr">
        <is>
          <t>430430</t>
        </is>
      </c>
      <c r="C215" s="38" t="inlineStr">
        <is>
          <t>Y009</t>
        </is>
      </c>
      <c r="D215" s="38" t="inlineStr">
        <is>
          <t>TOTAL</t>
        </is>
      </c>
      <c r="E215" s="38" t="inlineStr">
        <is>
          <t>POP</t>
        </is>
      </c>
      <c r="F215" s="38" t="n">
        <v>53</v>
      </c>
    </row>
    <row r="216" ht="15" customHeight="1" s="39">
      <c r="A216" s="38" t="inlineStr">
        <is>
          <t>2021</t>
        </is>
      </c>
      <c r="B216" s="42" t="inlineStr">
        <is>
          <t>430430</t>
        </is>
      </c>
      <c r="C216" s="38" t="inlineStr">
        <is>
          <t>Y010</t>
        </is>
      </c>
      <c r="D216" s="38" t="inlineStr">
        <is>
          <t>TOTAL</t>
        </is>
      </c>
      <c r="E216" s="38" t="inlineStr">
        <is>
          <t>POP</t>
        </is>
      </c>
      <c r="F216" s="38" t="n">
        <v>46</v>
      </c>
    </row>
    <row r="217" ht="15" customHeight="1" s="39">
      <c r="A217" s="38" t="inlineStr">
        <is>
          <t>2021</t>
        </is>
      </c>
      <c r="B217" s="42" t="inlineStr">
        <is>
          <t>430430</t>
        </is>
      </c>
      <c r="C217" s="38" t="inlineStr">
        <is>
          <t>Y011</t>
        </is>
      </c>
      <c r="D217" s="38" t="inlineStr">
        <is>
          <t>TOTAL</t>
        </is>
      </c>
      <c r="E217" s="38" t="inlineStr">
        <is>
          <t>POP</t>
        </is>
      </c>
      <c r="F217" s="38" t="n">
        <v>65</v>
      </c>
    </row>
    <row r="218" ht="15" customHeight="1" s="39">
      <c r="A218" s="38" t="inlineStr">
        <is>
          <t>2021</t>
        </is>
      </c>
      <c r="B218" s="42" t="inlineStr">
        <is>
          <t>430430</t>
        </is>
      </c>
      <c r="C218" s="38" t="inlineStr">
        <is>
          <t>Y012</t>
        </is>
      </c>
      <c r="D218" s="38" t="inlineStr">
        <is>
          <t>TOTAL</t>
        </is>
      </c>
      <c r="E218" s="38" t="inlineStr">
        <is>
          <t>POP</t>
        </is>
      </c>
      <c r="F218" s="38" t="n">
        <v>77</v>
      </c>
    </row>
    <row r="219" ht="15" customHeight="1" s="39">
      <c r="A219" s="38" t="inlineStr">
        <is>
          <t>2021</t>
        </is>
      </c>
      <c r="B219" s="42" t="inlineStr">
        <is>
          <t>430430</t>
        </is>
      </c>
      <c r="C219" s="38" t="inlineStr">
        <is>
          <t>Y013</t>
        </is>
      </c>
      <c r="D219" s="38" t="inlineStr">
        <is>
          <t>TOTAL</t>
        </is>
      </c>
      <c r="E219" s="38" t="inlineStr">
        <is>
          <t>POP</t>
        </is>
      </c>
      <c r="F219" s="38" t="n">
        <v>59</v>
      </c>
    </row>
    <row r="220" ht="15" customHeight="1" s="39">
      <c r="A220" s="38" t="inlineStr">
        <is>
          <t>2021</t>
        </is>
      </c>
      <c r="B220" s="42" t="inlineStr">
        <is>
          <t>430430</t>
        </is>
      </c>
      <c r="C220" s="38" t="inlineStr">
        <is>
          <t>Y014</t>
        </is>
      </c>
      <c r="D220" s="38" t="inlineStr">
        <is>
          <t>TOTAL</t>
        </is>
      </c>
      <c r="E220" s="38" t="inlineStr">
        <is>
          <t>POP</t>
        </is>
      </c>
      <c r="F220" s="38" t="n">
        <v>63</v>
      </c>
    </row>
    <row r="221" ht="15" customHeight="1" s="39">
      <c r="A221" s="38" t="inlineStr">
        <is>
          <t>2021</t>
        </is>
      </c>
      <c r="B221" s="42" t="inlineStr">
        <is>
          <t>430430</t>
        </is>
      </c>
      <c r="C221" s="38" t="inlineStr">
        <is>
          <t>Y015</t>
        </is>
      </c>
      <c r="D221" s="38" t="inlineStr">
        <is>
          <t>TOTAL</t>
        </is>
      </c>
      <c r="E221" s="38" t="inlineStr">
        <is>
          <t>POP</t>
        </is>
      </c>
      <c r="F221" s="38" t="n">
        <v>67</v>
      </c>
    </row>
    <row r="222" ht="15" customHeight="1" s="39">
      <c r="A222" s="38" t="inlineStr">
        <is>
          <t>2021</t>
        </is>
      </c>
      <c r="B222" s="42" t="inlineStr">
        <is>
          <t>430430</t>
        </is>
      </c>
      <c r="C222" s="38" t="inlineStr">
        <is>
          <t>Y016</t>
        </is>
      </c>
      <c r="D222" s="38" t="inlineStr">
        <is>
          <t>TOTAL</t>
        </is>
      </c>
      <c r="E222" s="38" t="inlineStr">
        <is>
          <t>POP</t>
        </is>
      </c>
      <c r="F222" s="38" t="n">
        <v>55</v>
      </c>
    </row>
    <row r="223" ht="15" customHeight="1" s="39">
      <c r="A223" s="38" t="inlineStr">
        <is>
          <t>2021</t>
        </is>
      </c>
      <c r="B223" s="42" t="inlineStr">
        <is>
          <t>430430</t>
        </is>
      </c>
      <c r="C223" s="38" t="inlineStr">
        <is>
          <t>Y017</t>
        </is>
      </c>
      <c r="D223" s="38" t="inlineStr">
        <is>
          <t>TOTAL</t>
        </is>
      </c>
      <c r="E223" s="38" t="inlineStr">
        <is>
          <t>POP</t>
        </is>
      </c>
      <c r="F223" s="38" t="n">
        <v>42</v>
      </c>
    </row>
    <row r="224" ht="15" customHeight="1" s="39">
      <c r="A224" s="38" t="inlineStr">
        <is>
          <t>2021</t>
        </is>
      </c>
      <c r="B224" s="42" t="inlineStr">
        <is>
          <t>430430</t>
        </is>
      </c>
      <c r="C224" s="38" t="inlineStr">
        <is>
          <t>Y018</t>
        </is>
      </c>
      <c r="D224" s="38" t="inlineStr">
        <is>
          <t>TOTAL</t>
        </is>
      </c>
      <c r="E224" s="38" t="inlineStr">
        <is>
          <t>POP</t>
        </is>
      </c>
      <c r="F224" s="38" t="n">
        <v>37</v>
      </c>
    </row>
    <row r="225" ht="15" customHeight="1" s="39">
      <c r="A225" s="38" t="inlineStr">
        <is>
          <t>2021</t>
        </is>
      </c>
      <c r="B225" s="42" t="inlineStr">
        <is>
          <t>430430</t>
        </is>
      </c>
      <c r="C225" s="38" t="inlineStr">
        <is>
          <t>Y019</t>
        </is>
      </c>
      <c r="D225" s="38" t="inlineStr">
        <is>
          <t>TOTAL</t>
        </is>
      </c>
      <c r="E225" s="38" t="inlineStr">
        <is>
          <t>POP</t>
        </is>
      </c>
      <c r="F225" s="38" t="n">
        <v>60</v>
      </c>
    </row>
    <row r="226" ht="15" customHeight="1" s="39">
      <c r="A226" s="38" t="inlineStr">
        <is>
          <t>2021</t>
        </is>
      </c>
      <c r="B226" s="42" t="inlineStr">
        <is>
          <t>430430</t>
        </is>
      </c>
      <c r="C226" s="38" t="inlineStr">
        <is>
          <t>Y020</t>
        </is>
      </c>
      <c r="D226" s="38" t="inlineStr">
        <is>
          <t>TOTAL</t>
        </is>
      </c>
      <c r="E226" s="38" t="inlineStr">
        <is>
          <t>POP</t>
        </is>
      </c>
      <c r="F226" s="38" t="n">
        <v>42</v>
      </c>
    </row>
    <row r="227" ht="15" customHeight="1" s="39">
      <c r="A227" s="38" t="inlineStr">
        <is>
          <t>2021</t>
        </is>
      </c>
      <c r="B227" s="42" t="inlineStr">
        <is>
          <t>430430</t>
        </is>
      </c>
      <c r="C227" s="38" t="inlineStr">
        <is>
          <t>Y021</t>
        </is>
      </c>
      <c r="D227" s="38" t="inlineStr">
        <is>
          <t>TOTAL</t>
        </is>
      </c>
      <c r="E227" s="38" t="inlineStr">
        <is>
          <t>POP</t>
        </is>
      </c>
      <c r="F227" s="38" t="n">
        <v>47</v>
      </c>
    </row>
    <row r="228" ht="15" customHeight="1" s="39">
      <c r="A228" s="38" t="inlineStr">
        <is>
          <t>2021</t>
        </is>
      </c>
      <c r="B228" s="42" t="inlineStr">
        <is>
          <t>430430</t>
        </is>
      </c>
      <c r="C228" s="38" t="inlineStr">
        <is>
          <t>Y022</t>
        </is>
      </c>
      <c r="D228" s="38" t="inlineStr">
        <is>
          <t>TOTAL</t>
        </is>
      </c>
      <c r="E228" s="38" t="inlineStr">
        <is>
          <t>POP</t>
        </is>
      </c>
      <c r="F228" s="38" t="n">
        <v>35</v>
      </c>
    </row>
    <row r="229" ht="15" customHeight="1" s="39">
      <c r="A229" s="38" t="inlineStr">
        <is>
          <t>2021</t>
        </is>
      </c>
      <c r="B229" s="42" t="inlineStr">
        <is>
          <t>430430</t>
        </is>
      </c>
      <c r="C229" s="38" t="inlineStr">
        <is>
          <t>Y023</t>
        </is>
      </c>
      <c r="D229" s="38" t="inlineStr">
        <is>
          <t>TOTAL</t>
        </is>
      </c>
      <c r="E229" s="38" t="inlineStr">
        <is>
          <t>POP</t>
        </is>
      </c>
      <c r="F229" s="38" t="n">
        <v>61</v>
      </c>
    </row>
    <row r="230" ht="15" customHeight="1" s="39">
      <c r="A230" s="38" t="inlineStr">
        <is>
          <t>2021</t>
        </is>
      </c>
      <c r="B230" s="42" t="inlineStr">
        <is>
          <t>430430</t>
        </is>
      </c>
      <c r="C230" s="38" t="inlineStr">
        <is>
          <t>Y024</t>
        </is>
      </c>
      <c r="D230" s="38" t="inlineStr">
        <is>
          <t>TOTAL</t>
        </is>
      </c>
      <c r="E230" s="38" t="inlineStr">
        <is>
          <t>POP</t>
        </is>
      </c>
      <c r="F230" s="38" t="n">
        <v>37</v>
      </c>
    </row>
    <row r="231" ht="15" customHeight="1" s="39">
      <c r="A231" s="38" t="inlineStr">
        <is>
          <t>2021</t>
        </is>
      </c>
      <c r="B231" s="42" t="inlineStr">
        <is>
          <t>430430</t>
        </is>
      </c>
      <c r="C231" s="38" t="inlineStr">
        <is>
          <t>Y025</t>
        </is>
      </c>
      <c r="D231" s="38" t="inlineStr">
        <is>
          <t>TOTAL</t>
        </is>
      </c>
      <c r="E231" s="38" t="inlineStr">
        <is>
          <t>POP</t>
        </is>
      </c>
      <c r="F231" s="38" t="n">
        <v>47</v>
      </c>
    </row>
    <row r="232" ht="15" customHeight="1" s="39">
      <c r="A232" s="38" t="inlineStr">
        <is>
          <t>2021</t>
        </is>
      </c>
      <c r="B232" s="42" t="inlineStr">
        <is>
          <t>430430</t>
        </is>
      </c>
      <c r="C232" s="38" t="inlineStr">
        <is>
          <t>Y026</t>
        </is>
      </c>
      <c r="D232" s="38" t="inlineStr">
        <is>
          <t>TOTAL</t>
        </is>
      </c>
      <c r="E232" s="38" t="inlineStr">
        <is>
          <t>POP</t>
        </is>
      </c>
      <c r="F232" s="38" t="n">
        <v>50</v>
      </c>
    </row>
    <row r="233" ht="15" customHeight="1" s="39">
      <c r="A233" s="38" t="inlineStr">
        <is>
          <t>2021</t>
        </is>
      </c>
      <c r="B233" s="42" t="inlineStr">
        <is>
          <t>430430</t>
        </is>
      </c>
      <c r="C233" s="38" t="inlineStr">
        <is>
          <t>Y027</t>
        </is>
      </c>
      <c r="D233" s="38" t="inlineStr">
        <is>
          <t>TOTAL</t>
        </is>
      </c>
      <c r="E233" s="38" t="inlineStr">
        <is>
          <t>POP</t>
        </is>
      </c>
      <c r="F233" s="38" t="n">
        <v>32</v>
      </c>
    </row>
    <row r="234" ht="15" customHeight="1" s="39">
      <c r="A234" s="38" t="inlineStr">
        <is>
          <t>2021</t>
        </is>
      </c>
      <c r="B234" s="42" t="inlineStr">
        <is>
          <t>430430</t>
        </is>
      </c>
      <c r="C234" s="38" t="inlineStr">
        <is>
          <t>Y028</t>
        </is>
      </c>
      <c r="D234" s="38" t="inlineStr">
        <is>
          <t>TOTAL</t>
        </is>
      </c>
      <c r="E234" s="38" t="inlineStr">
        <is>
          <t>POP</t>
        </is>
      </c>
      <c r="F234" s="38" t="n">
        <v>38</v>
      </c>
    </row>
    <row r="235" ht="15" customHeight="1" s="39">
      <c r="A235" s="38" t="inlineStr">
        <is>
          <t>2021</t>
        </is>
      </c>
      <c r="B235" s="42" t="inlineStr">
        <is>
          <t>430430</t>
        </is>
      </c>
      <c r="C235" s="38" t="inlineStr">
        <is>
          <t>Y029</t>
        </is>
      </c>
      <c r="D235" s="38" t="inlineStr">
        <is>
          <t>TOTAL</t>
        </is>
      </c>
      <c r="E235" s="38" t="inlineStr">
        <is>
          <t>POP</t>
        </is>
      </c>
      <c r="F235" s="38" t="n">
        <v>55</v>
      </c>
    </row>
    <row r="236" ht="15" customHeight="1" s="39">
      <c r="A236" s="38" t="inlineStr">
        <is>
          <t>2021</t>
        </is>
      </c>
      <c r="B236" s="42" t="inlineStr">
        <is>
          <t>430430</t>
        </is>
      </c>
      <c r="C236" s="38" t="inlineStr">
        <is>
          <t>Y030</t>
        </is>
      </c>
      <c r="D236" s="38" t="inlineStr">
        <is>
          <t>TOTAL</t>
        </is>
      </c>
      <c r="E236" s="38" t="inlineStr">
        <is>
          <t>POP</t>
        </is>
      </c>
      <c r="F236" s="38" t="n">
        <v>51</v>
      </c>
    </row>
    <row r="237" ht="15" customHeight="1" s="39">
      <c r="A237" s="38" t="inlineStr">
        <is>
          <t>2021</t>
        </is>
      </c>
      <c r="B237" s="42" t="inlineStr">
        <is>
          <t>430430</t>
        </is>
      </c>
      <c r="C237" s="38" t="inlineStr">
        <is>
          <t>Y031</t>
        </is>
      </c>
      <c r="D237" s="38" t="inlineStr">
        <is>
          <t>TOTAL</t>
        </is>
      </c>
      <c r="E237" s="38" t="inlineStr">
        <is>
          <t>POP</t>
        </is>
      </c>
      <c r="F237" s="38" t="n">
        <v>42</v>
      </c>
    </row>
    <row r="238" ht="15" customHeight="1" s="39">
      <c r="A238" s="38" t="inlineStr">
        <is>
          <t>2021</t>
        </is>
      </c>
      <c r="B238" s="42" t="inlineStr">
        <is>
          <t>430430</t>
        </is>
      </c>
      <c r="C238" s="38" t="inlineStr">
        <is>
          <t>Y032</t>
        </is>
      </c>
      <c r="D238" s="38" t="inlineStr">
        <is>
          <t>TOTAL</t>
        </is>
      </c>
      <c r="E238" s="38" t="inlineStr">
        <is>
          <t>POP</t>
        </is>
      </c>
      <c r="F238" s="38" t="n">
        <v>53</v>
      </c>
    </row>
    <row r="239" ht="15" customHeight="1" s="39">
      <c r="A239" s="38" t="inlineStr">
        <is>
          <t>2021</t>
        </is>
      </c>
      <c r="B239" s="42" t="inlineStr">
        <is>
          <t>430430</t>
        </is>
      </c>
      <c r="C239" s="38" t="inlineStr">
        <is>
          <t>Y033</t>
        </is>
      </c>
      <c r="D239" s="38" t="inlineStr">
        <is>
          <t>TOTAL</t>
        </is>
      </c>
      <c r="E239" s="38" t="inlineStr">
        <is>
          <t>POP</t>
        </is>
      </c>
      <c r="F239" s="38" t="n">
        <v>50</v>
      </c>
    </row>
    <row r="240" ht="15" customHeight="1" s="39">
      <c r="A240" s="38" t="inlineStr">
        <is>
          <t>2021</t>
        </is>
      </c>
      <c r="B240" s="42" t="inlineStr">
        <is>
          <t>430430</t>
        </is>
      </c>
      <c r="C240" s="38" t="inlineStr">
        <is>
          <t>Y034</t>
        </is>
      </c>
      <c r="D240" s="38" t="inlineStr">
        <is>
          <t>TOTAL</t>
        </is>
      </c>
      <c r="E240" s="38" t="inlineStr">
        <is>
          <t>POP</t>
        </is>
      </c>
      <c r="F240" s="38" t="n">
        <v>46</v>
      </c>
    </row>
    <row r="241" ht="15" customHeight="1" s="39">
      <c r="A241" s="38" t="inlineStr">
        <is>
          <t>2021</t>
        </is>
      </c>
      <c r="B241" s="42" t="inlineStr">
        <is>
          <t>430430</t>
        </is>
      </c>
      <c r="C241" s="38" t="inlineStr">
        <is>
          <t>Y035</t>
        </is>
      </c>
      <c r="D241" s="38" t="inlineStr">
        <is>
          <t>TOTAL</t>
        </is>
      </c>
      <c r="E241" s="38" t="inlineStr">
        <is>
          <t>POP</t>
        </is>
      </c>
      <c r="F241" s="38" t="n">
        <v>57</v>
      </c>
    </row>
    <row r="242" ht="15" customHeight="1" s="39">
      <c r="A242" s="38" t="inlineStr">
        <is>
          <t>2021</t>
        </is>
      </c>
      <c r="B242" s="42" t="inlineStr">
        <is>
          <t>430430</t>
        </is>
      </c>
      <c r="C242" s="38" t="inlineStr">
        <is>
          <t>Y036</t>
        </is>
      </c>
      <c r="D242" s="38" t="inlineStr">
        <is>
          <t>TOTAL</t>
        </is>
      </c>
      <c r="E242" s="38" t="inlineStr">
        <is>
          <t>POP</t>
        </is>
      </c>
      <c r="F242" s="38" t="n">
        <v>47</v>
      </c>
    </row>
    <row r="243" ht="15" customHeight="1" s="39">
      <c r="A243" s="38" t="inlineStr">
        <is>
          <t>2021</t>
        </is>
      </c>
      <c r="B243" s="42" t="inlineStr">
        <is>
          <t>430430</t>
        </is>
      </c>
      <c r="C243" s="38" t="inlineStr">
        <is>
          <t>Y037</t>
        </is>
      </c>
      <c r="D243" s="38" t="inlineStr">
        <is>
          <t>TOTAL</t>
        </is>
      </c>
      <c r="E243" s="38" t="inlineStr">
        <is>
          <t>POP</t>
        </is>
      </c>
      <c r="F243" s="38" t="n">
        <v>58</v>
      </c>
    </row>
    <row r="244" ht="15" customHeight="1" s="39">
      <c r="A244" s="38" t="inlineStr">
        <is>
          <t>2021</t>
        </is>
      </c>
      <c r="B244" s="42" t="inlineStr">
        <is>
          <t>430430</t>
        </is>
      </c>
      <c r="C244" s="38" t="inlineStr">
        <is>
          <t>Y038</t>
        </is>
      </c>
      <c r="D244" s="38" t="inlineStr">
        <is>
          <t>TOTAL</t>
        </is>
      </c>
      <c r="E244" s="38" t="inlineStr">
        <is>
          <t>POP</t>
        </is>
      </c>
      <c r="F244" s="38" t="n">
        <v>63</v>
      </c>
    </row>
    <row r="245" ht="15" customHeight="1" s="39">
      <c r="A245" s="38" t="inlineStr">
        <is>
          <t>2021</t>
        </is>
      </c>
      <c r="B245" s="42" t="inlineStr">
        <is>
          <t>430430</t>
        </is>
      </c>
      <c r="C245" s="38" t="inlineStr">
        <is>
          <t>Y039</t>
        </is>
      </c>
      <c r="D245" s="38" t="inlineStr">
        <is>
          <t>TOTAL</t>
        </is>
      </c>
      <c r="E245" s="38" t="inlineStr">
        <is>
          <t>POP</t>
        </is>
      </c>
      <c r="F245" s="38" t="n">
        <v>66</v>
      </c>
    </row>
    <row r="246" ht="15" customHeight="1" s="39">
      <c r="A246" s="38" t="inlineStr">
        <is>
          <t>2021</t>
        </is>
      </c>
      <c r="B246" s="42" t="inlineStr">
        <is>
          <t>430430</t>
        </is>
      </c>
      <c r="C246" s="38" t="inlineStr">
        <is>
          <t>Y040</t>
        </is>
      </c>
      <c r="D246" s="38" t="inlineStr">
        <is>
          <t>TOTAL</t>
        </is>
      </c>
      <c r="E246" s="38" t="inlineStr">
        <is>
          <t>POP</t>
        </is>
      </c>
      <c r="F246" s="38" t="n">
        <v>79</v>
      </c>
    </row>
    <row r="247" ht="15" customHeight="1" s="39">
      <c r="A247" s="38" t="inlineStr">
        <is>
          <t>2021</t>
        </is>
      </c>
      <c r="B247" s="42" t="inlineStr">
        <is>
          <t>430430</t>
        </is>
      </c>
      <c r="C247" s="38" t="inlineStr">
        <is>
          <t>Y041</t>
        </is>
      </c>
      <c r="D247" s="38" t="inlineStr">
        <is>
          <t>TOTAL</t>
        </is>
      </c>
      <c r="E247" s="38" t="inlineStr">
        <is>
          <t>POP</t>
        </is>
      </c>
      <c r="F247" s="38" t="n">
        <v>76</v>
      </c>
    </row>
    <row r="248" ht="15" customHeight="1" s="39">
      <c r="A248" s="38" t="inlineStr">
        <is>
          <t>2021</t>
        </is>
      </c>
      <c r="B248" s="42" t="inlineStr">
        <is>
          <t>430430</t>
        </is>
      </c>
      <c r="C248" s="38" t="inlineStr">
        <is>
          <t>Y042</t>
        </is>
      </c>
      <c r="D248" s="38" t="inlineStr">
        <is>
          <t>TOTAL</t>
        </is>
      </c>
      <c r="E248" s="38" t="inlineStr">
        <is>
          <t>POP</t>
        </is>
      </c>
      <c r="F248" s="38" t="n">
        <v>86</v>
      </c>
    </row>
    <row r="249" ht="15" customHeight="1" s="39">
      <c r="A249" s="38" t="inlineStr">
        <is>
          <t>2021</t>
        </is>
      </c>
      <c r="B249" s="42" t="inlineStr">
        <is>
          <t>430430</t>
        </is>
      </c>
      <c r="C249" s="38" t="inlineStr">
        <is>
          <t>Y043</t>
        </is>
      </c>
      <c r="D249" s="38" t="inlineStr">
        <is>
          <t>TOTAL</t>
        </is>
      </c>
      <c r="E249" s="38" t="inlineStr">
        <is>
          <t>POP</t>
        </is>
      </c>
      <c r="F249" s="38" t="n">
        <v>93</v>
      </c>
    </row>
    <row r="250" ht="15" customHeight="1" s="39">
      <c r="A250" s="38" t="inlineStr">
        <is>
          <t>2021</t>
        </is>
      </c>
      <c r="B250" s="42" t="inlineStr">
        <is>
          <t>430430</t>
        </is>
      </c>
      <c r="C250" s="38" t="inlineStr">
        <is>
          <t>Y044</t>
        </is>
      </c>
      <c r="D250" s="38" t="inlineStr">
        <is>
          <t>TOTAL</t>
        </is>
      </c>
      <c r="E250" s="38" t="inlineStr">
        <is>
          <t>POP</t>
        </is>
      </c>
      <c r="F250" s="38" t="n">
        <v>88</v>
      </c>
    </row>
    <row r="251" ht="15" customHeight="1" s="39">
      <c r="A251" s="38" t="inlineStr">
        <is>
          <t>2021</t>
        </is>
      </c>
      <c r="B251" s="42" t="inlineStr">
        <is>
          <t>430430</t>
        </is>
      </c>
      <c r="C251" s="38" t="inlineStr">
        <is>
          <t>Y045</t>
        </is>
      </c>
      <c r="D251" s="38" t="inlineStr">
        <is>
          <t>TOTAL</t>
        </is>
      </c>
      <c r="E251" s="38" t="inlineStr">
        <is>
          <t>POP</t>
        </is>
      </c>
      <c r="F251" s="38" t="n">
        <v>98</v>
      </c>
    </row>
    <row r="252" ht="15" customHeight="1" s="39">
      <c r="A252" s="38" t="inlineStr">
        <is>
          <t>2021</t>
        </is>
      </c>
      <c r="B252" s="42" t="inlineStr">
        <is>
          <t>430430</t>
        </is>
      </c>
      <c r="C252" s="38" t="inlineStr">
        <is>
          <t>Y046</t>
        </is>
      </c>
      <c r="D252" s="38" t="inlineStr">
        <is>
          <t>TOTAL</t>
        </is>
      </c>
      <c r="E252" s="38" t="inlineStr">
        <is>
          <t>POP</t>
        </is>
      </c>
      <c r="F252" s="38" t="n">
        <v>75</v>
      </c>
    </row>
    <row r="253" ht="15" customHeight="1" s="39">
      <c r="A253" s="38" t="inlineStr">
        <is>
          <t>2021</t>
        </is>
      </c>
      <c r="B253" s="42" t="inlineStr">
        <is>
          <t>430430</t>
        </is>
      </c>
      <c r="C253" s="38" t="inlineStr">
        <is>
          <t>Y047</t>
        </is>
      </c>
      <c r="D253" s="38" t="inlineStr">
        <is>
          <t>TOTAL</t>
        </is>
      </c>
      <c r="E253" s="38" t="inlineStr">
        <is>
          <t>POP</t>
        </is>
      </c>
      <c r="F253" s="38" t="n">
        <v>89</v>
      </c>
    </row>
    <row r="254" ht="15" customHeight="1" s="39">
      <c r="A254" s="38" t="inlineStr">
        <is>
          <t>2021</t>
        </is>
      </c>
      <c r="B254" s="42" t="inlineStr">
        <is>
          <t>430430</t>
        </is>
      </c>
      <c r="C254" s="38" t="inlineStr">
        <is>
          <t>Y048</t>
        </is>
      </c>
      <c r="D254" s="38" t="inlineStr">
        <is>
          <t>TOTAL</t>
        </is>
      </c>
      <c r="E254" s="38" t="inlineStr">
        <is>
          <t>POP</t>
        </is>
      </c>
      <c r="F254" s="38" t="n">
        <v>103</v>
      </c>
    </row>
    <row r="255" ht="15" customHeight="1" s="39">
      <c r="A255" s="38" t="inlineStr">
        <is>
          <t>2021</t>
        </is>
      </c>
      <c r="B255" s="42" t="inlineStr">
        <is>
          <t>430430</t>
        </is>
      </c>
      <c r="C255" s="38" t="inlineStr">
        <is>
          <t>Y049</t>
        </is>
      </c>
      <c r="D255" s="38" t="inlineStr">
        <is>
          <t>TOTAL</t>
        </is>
      </c>
      <c r="E255" s="38" t="inlineStr">
        <is>
          <t>POP</t>
        </is>
      </c>
      <c r="F255" s="38" t="n">
        <v>94</v>
      </c>
    </row>
    <row r="256" ht="15" customHeight="1" s="39">
      <c r="A256" s="38" t="inlineStr">
        <is>
          <t>2021</t>
        </is>
      </c>
      <c r="B256" s="42" t="inlineStr">
        <is>
          <t>430430</t>
        </is>
      </c>
      <c r="C256" s="38" t="inlineStr">
        <is>
          <t>Y050</t>
        </is>
      </c>
      <c r="D256" s="38" t="inlineStr">
        <is>
          <t>TOTAL</t>
        </is>
      </c>
      <c r="E256" s="38" t="inlineStr">
        <is>
          <t>POP</t>
        </is>
      </c>
      <c r="F256" s="38" t="n">
        <v>90</v>
      </c>
    </row>
    <row r="257" ht="15" customHeight="1" s="39">
      <c r="A257" s="38" t="inlineStr">
        <is>
          <t>2021</t>
        </is>
      </c>
      <c r="B257" s="42" t="inlineStr">
        <is>
          <t>430430</t>
        </is>
      </c>
      <c r="C257" s="38" t="inlineStr">
        <is>
          <t>Y051</t>
        </is>
      </c>
      <c r="D257" s="38" t="inlineStr">
        <is>
          <t>TOTAL</t>
        </is>
      </c>
      <c r="E257" s="38" t="inlineStr">
        <is>
          <t>POP</t>
        </is>
      </c>
      <c r="F257" s="38" t="n">
        <v>85</v>
      </c>
    </row>
    <row r="258" ht="15" customHeight="1" s="39">
      <c r="A258" s="38" t="inlineStr">
        <is>
          <t>2021</t>
        </is>
      </c>
      <c r="B258" s="42" t="inlineStr">
        <is>
          <t>430430</t>
        </is>
      </c>
      <c r="C258" s="38" t="inlineStr">
        <is>
          <t>Y052</t>
        </is>
      </c>
      <c r="D258" s="38" t="inlineStr">
        <is>
          <t>TOTAL</t>
        </is>
      </c>
      <c r="E258" s="38" t="inlineStr">
        <is>
          <t>POP</t>
        </is>
      </c>
      <c r="F258" s="38" t="n">
        <v>71</v>
      </c>
    </row>
    <row r="259" ht="15" customHeight="1" s="39">
      <c r="A259" s="38" t="inlineStr">
        <is>
          <t>2021</t>
        </is>
      </c>
      <c r="B259" s="42" t="inlineStr">
        <is>
          <t>430430</t>
        </is>
      </c>
      <c r="C259" s="38" t="inlineStr">
        <is>
          <t>Y053</t>
        </is>
      </c>
      <c r="D259" s="38" t="inlineStr">
        <is>
          <t>TOTAL</t>
        </is>
      </c>
      <c r="E259" s="38" t="inlineStr">
        <is>
          <t>POP</t>
        </is>
      </c>
      <c r="F259" s="38" t="n">
        <v>80</v>
      </c>
    </row>
    <row r="260" ht="15" customHeight="1" s="39">
      <c r="A260" s="38" t="inlineStr">
        <is>
          <t>2021</t>
        </is>
      </c>
      <c r="B260" s="42" t="inlineStr">
        <is>
          <t>430430</t>
        </is>
      </c>
      <c r="C260" s="38" t="inlineStr">
        <is>
          <t>Y054</t>
        </is>
      </c>
      <c r="D260" s="38" t="inlineStr">
        <is>
          <t>TOTAL</t>
        </is>
      </c>
      <c r="E260" s="38" t="inlineStr">
        <is>
          <t>POP</t>
        </is>
      </c>
      <c r="F260" s="38" t="n">
        <v>90</v>
      </c>
    </row>
    <row r="261" ht="15" customHeight="1" s="39">
      <c r="A261" s="38" t="inlineStr">
        <is>
          <t>2021</t>
        </is>
      </c>
      <c r="B261" s="42" t="inlineStr">
        <is>
          <t>430430</t>
        </is>
      </c>
      <c r="C261" s="38" t="inlineStr">
        <is>
          <t>Y055</t>
        </is>
      </c>
      <c r="D261" s="38" t="inlineStr">
        <is>
          <t>TOTAL</t>
        </is>
      </c>
      <c r="E261" s="38" t="inlineStr">
        <is>
          <t>POP</t>
        </is>
      </c>
      <c r="F261" s="38" t="n">
        <v>84</v>
      </c>
    </row>
    <row r="262" ht="15" customHeight="1" s="39">
      <c r="A262" s="38" t="inlineStr">
        <is>
          <t>2021</t>
        </is>
      </c>
      <c r="B262" s="42" t="inlineStr">
        <is>
          <t>430430</t>
        </is>
      </c>
      <c r="C262" s="38" t="inlineStr">
        <is>
          <t>Y056</t>
        </is>
      </c>
      <c r="D262" s="38" t="inlineStr">
        <is>
          <t>TOTAL</t>
        </is>
      </c>
      <c r="E262" s="38" t="inlineStr">
        <is>
          <t>POP</t>
        </is>
      </c>
      <c r="F262" s="38" t="n">
        <v>81</v>
      </c>
    </row>
    <row r="263" ht="15" customHeight="1" s="39">
      <c r="A263" s="38" t="inlineStr">
        <is>
          <t>2021</t>
        </is>
      </c>
      <c r="B263" s="42" t="inlineStr">
        <is>
          <t>430430</t>
        </is>
      </c>
      <c r="C263" s="38" t="inlineStr">
        <is>
          <t>Y057</t>
        </is>
      </c>
      <c r="D263" s="38" t="inlineStr">
        <is>
          <t>TOTAL</t>
        </is>
      </c>
      <c r="E263" s="38" t="inlineStr">
        <is>
          <t>POP</t>
        </is>
      </c>
      <c r="F263" s="38" t="n">
        <v>82</v>
      </c>
    </row>
    <row r="264" ht="15" customHeight="1" s="39">
      <c r="A264" s="38" t="inlineStr">
        <is>
          <t>2021</t>
        </is>
      </c>
      <c r="B264" s="42" t="inlineStr">
        <is>
          <t>430430</t>
        </is>
      </c>
      <c r="C264" s="38" t="inlineStr">
        <is>
          <t>Y058</t>
        </is>
      </c>
      <c r="D264" s="38" t="inlineStr">
        <is>
          <t>TOTAL</t>
        </is>
      </c>
      <c r="E264" s="38" t="inlineStr">
        <is>
          <t>POP</t>
        </is>
      </c>
      <c r="F264" s="38" t="n">
        <v>67</v>
      </c>
    </row>
    <row r="265" ht="15" customHeight="1" s="39">
      <c r="A265" s="38" t="inlineStr">
        <is>
          <t>2021</t>
        </is>
      </c>
      <c r="B265" s="42" t="inlineStr">
        <is>
          <t>430430</t>
        </is>
      </c>
      <c r="C265" s="38" t="inlineStr">
        <is>
          <t>Y059</t>
        </is>
      </c>
      <c r="D265" s="38" t="inlineStr">
        <is>
          <t>TOTAL</t>
        </is>
      </c>
      <c r="E265" s="38" t="inlineStr">
        <is>
          <t>POP</t>
        </is>
      </c>
      <c r="F265" s="38" t="n">
        <v>75</v>
      </c>
    </row>
    <row r="266" ht="15" customHeight="1" s="39">
      <c r="A266" s="38" t="inlineStr">
        <is>
          <t>2021</t>
        </is>
      </c>
      <c r="B266" s="42" t="inlineStr">
        <is>
          <t>430430</t>
        </is>
      </c>
      <c r="C266" s="38" t="inlineStr">
        <is>
          <t>Y060</t>
        </is>
      </c>
      <c r="D266" s="38" t="inlineStr">
        <is>
          <t>TOTAL</t>
        </is>
      </c>
      <c r="E266" s="38" t="inlineStr">
        <is>
          <t>POP</t>
        </is>
      </c>
      <c r="F266" s="38" t="n">
        <v>58</v>
      </c>
    </row>
    <row r="267" ht="15" customHeight="1" s="39">
      <c r="A267" s="38" t="inlineStr">
        <is>
          <t>2021</t>
        </is>
      </c>
      <c r="B267" s="42" t="inlineStr">
        <is>
          <t>430430</t>
        </is>
      </c>
      <c r="C267" s="38" t="inlineStr">
        <is>
          <t>Y061</t>
        </is>
      </c>
      <c r="D267" s="38" t="inlineStr">
        <is>
          <t>TOTAL</t>
        </is>
      </c>
      <c r="E267" s="38" t="inlineStr">
        <is>
          <t>POP</t>
        </is>
      </c>
      <c r="F267" s="38" t="n">
        <v>65</v>
      </c>
    </row>
    <row r="268" ht="15" customHeight="1" s="39">
      <c r="A268" s="38" t="inlineStr">
        <is>
          <t>2021</t>
        </is>
      </c>
      <c r="B268" s="42" t="inlineStr">
        <is>
          <t>430430</t>
        </is>
      </c>
      <c r="C268" s="38" t="inlineStr">
        <is>
          <t>Y062</t>
        </is>
      </c>
      <c r="D268" s="38" t="inlineStr">
        <is>
          <t>TOTAL</t>
        </is>
      </c>
      <c r="E268" s="38" t="inlineStr">
        <is>
          <t>POP</t>
        </is>
      </c>
      <c r="F268" s="38" t="n">
        <v>66</v>
      </c>
    </row>
    <row r="269" ht="15" customHeight="1" s="39">
      <c r="A269" s="38" t="inlineStr">
        <is>
          <t>2021</t>
        </is>
      </c>
      <c r="B269" s="42" t="inlineStr">
        <is>
          <t>430430</t>
        </is>
      </c>
      <c r="C269" s="38" t="inlineStr">
        <is>
          <t>Y063</t>
        </is>
      </c>
      <c r="D269" s="38" t="inlineStr">
        <is>
          <t>TOTAL</t>
        </is>
      </c>
      <c r="E269" s="38" t="inlineStr">
        <is>
          <t>POP</t>
        </is>
      </c>
      <c r="F269" s="38" t="n">
        <v>65</v>
      </c>
    </row>
    <row r="270" ht="15" customHeight="1" s="39">
      <c r="A270" s="38" t="inlineStr">
        <is>
          <t>2021</t>
        </is>
      </c>
      <c r="B270" s="42" t="inlineStr">
        <is>
          <t>430430</t>
        </is>
      </c>
      <c r="C270" s="38" t="inlineStr">
        <is>
          <t>Y064</t>
        </is>
      </c>
      <c r="D270" s="38" t="inlineStr">
        <is>
          <t>TOTAL</t>
        </is>
      </c>
      <c r="E270" s="38" t="inlineStr">
        <is>
          <t>POP</t>
        </is>
      </c>
      <c r="F270" s="38" t="n">
        <v>64</v>
      </c>
    </row>
    <row r="271" ht="15" customHeight="1" s="39">
      <c r="A271" s="38" t="inlineStr">
        <is>
          <t>2021</t>
        </is>
      </c>
      <c r="B271" s="42" t="inlineStr">
        <is>
          <t>430430</t>
        </is>
      </c>
      <c r="C271" s="38" t="inlineStr">
        <is>
          <t>Y065</t>
        </is>
      </c>
      <c r="D271" s="38" t="inlineStr">
        <is>
          <t>TOTAL</t>
        </is>
      </c>
      <c r="E271" s="38" t="inlineStr">
        <is>
          <t>POP</t>
        </is>
      </c>
      <c r="F271" s="38" t="n">
        <v>48</v>
      </c>
    </row>
    <row r="272" ht="15" customHeight="1" s="39">
      <c r="A272" s="38" t="inlineStr">
        <is>
          <t>2021</t>
        </is>
      </c>
      <c r="B272" s="42" t="inlineStr">
        <is>
          <t>430430</t>
        </is>
      </c>
      <c r="C272" s="38" t="inlineStr">
        <is>
          <t>Y066</t>
        </is>
      </c>
      <c r="D272" s="38" t="inlineStr">
        <is>
          <t>TOTAL</t>
        </is>
      </c>
      <c r="E272" s="38" t="inlineStr">
        <is>
          <t>POP</t>
        </is>
      </c>
      <c r="F272" s="38" t="n">
        <v>47</v>
      </c>
    </row>
    <row r="273" ht="15" customHeight="1" s="39">
      <c r="A273" s="38" t="inlineStr">
        <is>
          <t>2021</t>
        </is>
      </c>
      <c r="B273" s="42" t="inlineStr">
        <is>
          <t>430430</t>
        </is>
      </c>
      <c r="C273" s="38" t="inlineStr">
        <is>
          <t>Y067</t>
        </is>
      </c>
      <c r="D273" s="38" t="inlineStr">
        <is>
          <t>TOTAL</t>
        </is>
      </c>
      <c r="E273" s="38" t="inlineStr">
        <is>
          <t>POP</t>
        </is>
      </c>
      <c r="F273" s="38" t="n">
        <v>54</v>
      </c>
    </row>
    <row r="274" ht="15" customHeight="1" s="39">
      <c r="A274" s="38" t="inlineStr">
        <is>
          <t>2021</t>
        </is>
      </c>
      <c r="B274" s="42" t="inlineStr">
        <is>
          <t>430430</t>
        </is>
      </c>
      <c r="C274" s="38" t="inlineStr">
        <is>
          <t>Y068</t>
        </is>
      </c>
      <c r="D274" s="38" t="inlineStr">
        <is>
          <t>TOTAL</t>
        </is>
      </c>
      <c r="E274" s="38" t="inlineStr">
        <is>
          <t>POP</t>
        </is>
      </c>
      <c r="F274" s="38" t="n">
        <v>50</v>
      </c>
    </row>
    <row r="275" ht="15" customHeight="1" s="39">
      <c r="A275" s="38" t="inlineStr">
        <is>
          <t>2021</t>
        </is>
      </c>
      <c r="B275" s="42" t="inlineStr">
        <is>
          <t>430430</t>
        </is>
      </c>
      <c r="C275" s="38" t="inlineStr">
        <is>
          <t>Y069</t>
        </is>
      </c>
      <c r="D275" s="38" t="inlineStr">
        <is>
          <t>TOTAL</t>
        </is>
      </c>
      <c r="E275" s="38" t="inlineStr">
        <is>
          <t>POP</t>
        </is>
      </c>
      <c r="F275" s="38" t="n">
        <v>29</v>
      </c>
    </row>
    <row r="276" ht="15" customHeight="1" s="39">
      <c r="A276" s="38" t="inlineStr">
        <is>
          <t>2021</t>
        </is>
      </c>
      <c r="B276" s="42" t="inlineStr">
        <is>
          <t>430430</t>
        </is>
      </c>
      <c r="C276" s="38" t="inlineStr">
        <is>
          <t>Y070</t>
        </is>
      </c>
      <c r="D276" s="38" t="inlineStr">
        <is>
          <t>TOTAL</t>
        </is>
      </c>
      <c r="E276" s="38" t="inlineStr">
        <is>
          <t>POP</t>
        </is>
      </c>
      <c r="F276" s="38" t="n">
        <v>52</v>
      </c>
    </row>
    <row r="277" ht="15" customHeight="1" s="39">
      <c r="A277" s="38" t="inlineStr">
        <is>
          <t>2021</t>
        </is>
      </c>
      <c r="B277" s="42" t="inlineStr">
        <is>
          <t>430430</t>
        </is>
      </c>
      <c r="C277" s="38" t="inlineStr">
        <is>
          <t>Y071</t>
        </is>
      </c>
      <c r="D277" s="38" t="inlineStr">
        <is>
          <t>TOTAL</t>
        </is>
      </c>
      <c r="E277" s="38" t="inlineStr">
        <is>
          <t>POP</t>
        </is>
      </c>
      <c r="F277" s="38" t="n">
        <v>28</v>
      </c>
    </row>
    <row r="278" ht="15" customHeight="1" s="39">
      <c r="A278" s="38" t="inlineStr">
        <is>
          <t>2021</t>
        </is>
      </c>
      <c r="B278" s="42" t="inlineStr">
        <is>
          <t>430430</t>
        </is>
      </c>
      <c r="C278" s="38" t="inlineStr">
        <is>
          <t>Y072</t>
        </is>
      </c>
      <c r="D278" s="38" t="inlineStr">
        <is>
          <t>TOTAL</t>
        </is>
      </c>
      <c r="E278" s="38" t="inlineStr">
        <is>
          <t>POP</t>
        </is>
      </c>
      <c r="F278" s="38" t="n">
        <v>53</v>
      </c>
    </row>
    <row r="279" ht="15" customHeight="1" s="39">
      <c r="A279" s="38" t="inlineStr">
        <is>
          <t>2021</t>
        </is>
      </c>
      <c r="B279" s="42" t="inlineStr">
        <is>
          <t>430430</t>
        </is>
      </c>
      <c r="C279" s="38" t="inlineStr">
        <is>
          <t>Y073</t>
        </is>
      </c>
      <c r="D279" s="38" t="inlineStr">
        <is>
          <t>TOTAL</t>
        </is>
      </c>
      <c r="E279" s="38" t="inlineStr">
        <is>
          <t>POP</t>
        </is>
      </c>
      <c r="F279" s="38" t="n">
        <v>30</v>
      </c>
    </row>
    <row r="280" ht="15" customHeight="1" s="39">
      <c r="A280" s="38" t="inlineStr">
        <is>
          <t>2021</t>
        </is>
      </c>
      <c r="B280" s="42" t="inlineStr">
        <is>
          <t>430430</t>
        </is>
      </c>
      <c r="C280" s="38" t="inlineStr">
        <is>
          <t>Y074</t>
        </is>
      </c>
      <c r="D280" s="38" t="inlineStr">
        <is>
          <t>TOTAL</t>
        </is>
      </c>
      <c r="E280" s="38" t="inlineStr">
        <is>
          <t>POP</t>
        </is>
      </c>
      <c r="F280" s="38" t="n">
        <v>32</v>
      </c>
    </row>
    <row r="281" ht="15" customHeight="1" s="39">
      <c r="A281" s="38" t="inlineStr">
        <is>
          <t>2021</t>
        </is>
      </c>
      <c r="B281" s="42" t="inlineStr">
        <is>
          <t>430430</t>
        </is>
      </c>
      <c r="C281" s="38" t="inlineStr">
        <is>
          <t>Y075</t>
        </is>
      </c>
      <c r="D281" s="38" t="inlineStr">
        <is>
          <t>TOTAL</t>
        </is>
      </c>
      <c r="E281" s="38" t="inlineStr">
        <is>
          <t>POP</t>
        </is>
      </c>
      <c r="F281" s="38" t="n">
        <v>29</v>
      </c>
    </row>
    <row r="282" ht="15" customHeight="1" s="39">
      <c r="A282" s="38" t="inlineStr">
        <is>
          <t>2021</t>
        </is>
      </c>
      <c r="B282" s="42" t="inlineStr">
        <is>
          <t>430430</t>
        </is>
      </c>
      <c r="C282" s="38" t="inlineStr">
        <is>
          <t>Y076</t>
        </is>
      </c>
      <c r="D282" s="38" t="inlineStr">
        <is>
          <t>TOTAL</t>
        </is>
      </c>
      <c r="E282" s="38" t="inlineStr">
        <is>
          <t>POP</t>
        </is>
      </c>
      <c r="F282" s="38" t="n">
        <v>25</v>
      </c>
    </row>
    <row r="283" ht="15" customHeight="1" s="39">
      <c r="A283" s="38" t="inlineStr">
        <is>
          <t>2021</t>
        </is>
      </c>
      <c r="B283" s="42" t="inlineStr">
        <is>
          <t>430430</t>
        </is>
      </c>
      <c r="C283" s="38" t="inlineStr">
        <is>
          <t>Y077</t>
        </is>
      </c>
      <c r="D283" s="38" t="inlineStr">
        <is>
          <t>TOTAL</t>
        </is>
      </c>
      <c r="E283" s="38" t="inlineStr">
        <is>
          <t>POP</t>
        </is>
      </c>
      <c r="F283" s="38" t="n">
        <v>21</v>
      </c>
    </row>
    <row r="284" ht="15" customHeight="1" s="39">
      <c r="A284" s="38" t="inlineStr">
        <is>
          <t>2021</t>
        </is>
      </c>
      <c r="B284" s="42" t="inlineStr">
        <is>
          <t>430430</t>
        </is>
      </c>
      <c r="C284" s="38" t="inlineStr">
        <is>
          <t>Y078</t>
        </is>
      </c>
      <c r="D284" s="38" t="inlineStr">
        <is>
          <t>TOTAL</t>
        </is>
      </c>
      <c r="E284" s="38" t="inlineStr">
        <is>
          <t>POP</t>
        </is>
      </c>
      <c r="F284" s="38" t="n">
        <v>21</v>
      </c>
    </row>
    <row r="285" ht="15" customHeight="1" s="39">
      <c r="A285" s="38" t="inlineStr">
        <is>
          <t>2021</t>
        </is>
      </c>
      <c r="B285" s="42" t="inlineStr">
        <is>
          <t>430430</t>
        </is>
      </c>
      <c r="C285" s="38" t="inlineStr">
        <is>
          <t>Y079</t>
        </is>
      </c>
      <c r="D285" s="38" t="inlineStr">
        <is>
          <t>TOTAL</t>
        </is>
      </c>
      <c r="E285" s="38" t="inlineStr">
        <is>
          <t>POP</t>
        </is>
      </c>
      <c r="F285" s="38" t="n">
        <v>18</v>
      </c>
    </row>
    <row r="286" ht="15" customHeight="1" s="39">
      <c r="A286" s="38" t="inlineStr">
        <is>
          <t>2021</t>
        </is>
      </c>
      <c r="B286" s="42" t="inlineStr">
        <is>
          <t>430430</t>
        </is>
      </c>
      <c r="C286" s="38" t="inlineStr">
        <is>
          <t>Y080</t>
        </is>
      </c>
      <c r="D286" s="38" t="inlineStr">
        <is>
          <t>TOTAL</t>
        </is>
      </c>
      <c r="E286" s="38" t="inlineStr">
        <is>
          <t>POP</t>
        </is>
      </c>
      <c r="F286" s="38" t="n">
        <v>22</v>
      </c>
    </row>
    <row r="287" ht="15" customHeight="1" s="39">
      <c r="A287" s="38" t="inlineStr">
        <is>
          <t>2021</t>
        </is>
      </c>
      <c r="B287" s="42" t="inlineStr">
        <is>
          <t>430430</t>
        </is>
      </c>
      <c r="C287" s="38" t="inlineStr">
        <is>
          <t>Y081</t>
        </is>
      </c>
      <c r="D287" s="38" t="inlineStr">
        <is>
          <t>TOTAL</t>
        </is>
      </c>
      <c r="E287" s="38" t="inlineStr">
        <is>
          <t>POP</t>
        </is>
      </c>
      <c r="F287" s="38" t="n">
        <v>12</v>
      </c>
    </row>
    <row r="288" ht="15" customHeight="1" s="39">
      <c r="A288" s="38" t="inlineStr">
        <is>
          <t>2021</t>
        </is>
      </c>
      <c r="B288" s="42" t="inlineStr">
        <is>
          <t>430430</t>
        </is>
      </c>
      <c r="C288" s="38" t="inlineStr">
        <is>
          <t>Y082</t>
        </is>
      </c>
      <c r="D288" s="38" t="inlineStr">
        <is>
          <t>TOTAL</t>
        </is>
      </c>
      <c r="E288" s="38" t="inlineStr">
        <is>
          <t>POP</t>
        </is>
      </c>
      <c r="F288" s="38" t="n">
        <v>17</v>
      </c>
    </row>
    <row r="289" ht="15" customHeight="1" s="39">
      <c r="A289" s="38" t="inlineStr">
        <is>
          <t>2021</t>
        </is>
      </c>
      <c r="B289" s="42" t="inlineStr">
        <is>
          <t>430430</t>
        </is>
      </c>
      <c r="C289" s="38" t="inlineStr">
        <is>
          <t>Y083</t>
        </is>
      </c>
      <c r="D289" s="38" t="inlineStr">
        <is>
          <t>TOTAL</t>
        </is>
      </c>
      <c r="E289" s="38" t="inlineStr">
        <is>
          <t>POP</t>
        </is>
      </c>
      <c r="F289" s="38" t="n">
        <v>16</v>
      </c>
    </row>
    <row r="290" ht="15" customHeight="1" s="39">
      <c r="A290" s="38" t="inlineStr">
        <is>
          <t>2021</t>
        </is>
      </c>
      <c r="B290" s="42" t="inlineStr">
        <is>
          <t>430430</t>
        </is>
      </c>
      <c r="C290" s="38" t="inlineStr">
        <is>
          <t>Y084</t>
        </is>
      </c>
      <c r="D290" s="38" t="inlineStr">
        <is>
          <t>TOTAL</t>
        </is>
      </c>
      <c r="E290" s="38" t="inlineStr">
        <is>
          <t>POP</t>
        </is>
      </c>
      <c r="F290" s="38" t="n">
        <v>14</v>
      </c>
    </row>
    <row r="291" ht="15" customHeight="1" s="39">
      <c r="A291" s="38" t="inlineStr">
        <is>
          <t>2021</t>
        </is>
      </c>
      <c r="B291" s="42" t="inlineStr">
        <is>
          <t>430430</t>
        </is>
      </c>
      <c r="C291" s="38" t="inlineStr">
        <is>
          <t>Y085</t>
        </is>
      </c>
      <c r="D291" s="38" t="inlineStr">
        <is>
          <t>TOTAL</t>
        </is>
      </c>
      <c r="E291" s="38" t="inlineStr">
        <is>
          <t>POP</t>
        </is>
      </c>
      <c r="F291" s="38" t="n">
        <v>10</v>
      </c>
    </row>
    <row r="292" ht="15" customHeight="1" s="39">
      <c r="A292" s="38" t="inlineStr">
        <is>
          <t>2021</t>
        </is>
      </c>
      <c r="B292" s="42" t="inlineStr">
        <is>
          <t>430430</t>
        </is>
      </c>
      <c r="C292" s="38" t="inlineStr">
        <is>
          <t>Y086</t>
        </is>
      </c>
      <c r="D292" s="38" t="inlineStr">
        <is>
          <t>TOTAL</t>
        </is>
      </c>
      <c r="E292" s="38" t="inlineStr">
        <is>
          <t>POP</t>
        </is>
      </c>
      <c r="F292" s="38" t="n">
        <v>7</v>
      </c>
    </row>
    <row r="293" ht="15" customHeight="1" s="39">
      <c r="A293" s="38" t="inlineStr">
        <is>
          <t>2021</t>
        </is>
      </c>
      <c r="B293" s="42" t="inlineStr">
        <is>
          <t>430430</t>
        </is>
      </c>
      <c r="C293" s="38" t="inlineStr">
        <is>
          <t>Y087</t>
        </is>
      </c>
      <c r="D293" s="38" t="inlineStr">
        <is>
          <t>TOTAL</t>
        </is>
      </c>
      <c r="E293" s="38" t="inlineStr">
        <is>
          <t>POP</t>
        </is>
      </c>
      <c r="F293" s="38" t="n">
        <v>20</v>
      </c>
    </row>
    <row r="294" ht="15" customHeight="1" s="39">
      <c r="A294" s="38" t="inlineStr">
        <is>
          <t>2021</t>
        </is>
      </c>
      <c r="B294" s="42" t="inlineStr">
        <is>
          <t>430430</t>
        </is>
      </c>
      <c r="C294" s="38" t="inlineStr">
        <is>
          <t>Y088</t>
        </is>
      </c>
      <c r="D294" s="38" t="inlineStr">
        <is>
          <t>TOTAL</t>
        </is>
      </c>
      <c r="E294" s="38" t="inlineStr">
        <is>
          <t>POP</t>
        </is>
      </c>
      <c r="F294" s="38" t="n">
        <v>9</v>
      </c>
    </row>
    <row r="295" ht="15" customHeight="1" s="39">
      <c r="A295" s="38" t="inlineStr">
        <is>
          <t>2021</t>
        </is>
      </c>
      <c r="B295" s="42" t="inlineStr">
        <is>
          <t>430430</t>
        </is>
      </c>
      <c r="C295" s="38" t="inlineStr">
        <is>
          <t>Y089</t>
        </is>
      </c>
      <c r="D295" s="38" t="inlineStr">
        <is>
          <t>TOTAL</t>
        </is>
      </c>
      <c r="E295" s="38" t="inlineStr">
        <is>
          <t>POP</t>
        </is>
      </c>
      <c r="F295" s="38" t="n">
        <v>8</v>
      </c>
    </row>
    <row r="296" ht="15" customHeight="1" s="39">
      <c r="A296" s="38" t="inlineStr">
        <is>
          <t>2021</t>
        </is>
      </c>
      <c r="B296" s="42" t="inlineStr">
        <is>
          <t>430430</t>
        </is>
      </c>
      <c r="C296" s="38" t="inlineStr">
        <is>
          <t>Y090</t>
        </is>
      </c>
      <c r="D296" s="38" t="inlineStr">
        <is>
          <t>TOTAL</t>
        </is>
      </c>
      <c r="E296" s="38" t="inlineStr">
        <is>
          <t>POP</t>
        </is>
      </c>
      <c r="F296" s="38" t="n">
        <v>7</v>
      </c>
    </row>
    <row r="297" ht="15" customHeight="1" s="39">
      <c r="A297" s="38" t="inlineStr">
        <is>
          <t>2021</t>
        </is>
      </c>
      <c r="B297" s="42" t="inlineStr">
        <is>
          <t>430430</t>
        </is>
      </c>
      <c r="C297" s="38" t="inlineStr">
        <is>
          <t>Y091</t>
        </is>
      </c>
      <c r="D297" s="38" t="inlineStr">
        <is>
          <t>TOTAL</t>
        </is>
      </c>
      <c r="E297" s="38" t="inlineStr">
        <is>
          <t>POP</t>
        </is>
      </c>
      <c r="F297" s="38" t="n">
        <v>4</v>
      </c>
    </row>
    <row r="298" ht="15" customHeight="1" s="39">
      <c r="A298" s="38" t="inlineStr">
        <is>
          <t>2021</t>
        </is>
      </c>
      <c r="B298" s="42" t="inlineStr">
        <is>
          <t>430430</t>
        </is>
      </c>
      <c r="C298" s="38" t="inlineStr">
        <is>
          <t>Y092</t>
        </is>
      </c>
      <c r="D298" s="38" t="inlineStr">
        <is>
          <t>TOTAL</t>
        </is>
      </c>
      <c r="E298" s="38" t="inlineStr">
        <is>
          <t>POP</t>
        </is>
      </c>
      <c r="F298" s="38" t="n">
        <v>6</v>
      </c>
    </row>
    <row r="299" ht="15" customHeight="1" s="39">
      <c r="A299" s="38" t="inlineStr">
        <is>
          <t>2021</t>
        </is>
      </c>
      <c r="B299" s="42" t="inlineStr">
        <is>
          <t>430430</t>
        </is>
      </c>
      <c r="C299" s="38" t="inlineStr">
        <is>
          <t>Y093</t>
        </is>
      </c>
      <c r="D299" s="38" t="inlineStr">
        <is>
          <t>TOTAL</t>
        </is>
      </c>
      <c r="E299" s="38" t="inlineStr">
        <is>
          <t>POP</t>
        </is>
      </c>
      <c r="F299" s="38" t="n">
        <v>1</v>
      </c>
    </row>
    <row r="300" ht="15" customHeight="1" s="39">
      <c r="A300" s="38" t="inlineStr">
        <is>
          <t>2021</t>
        </is>
      </c>
      <c r="B300" s="42" t="inlineStr">
        <is>
          <t>430430</t>
        </is>
      </c>
      <c r="C300" s="38" t="inlineStr">
        <is>
          <t>Y094</t>
        </is>
      </c>
      <c r="D300" s="38" t="inlineStr">
        <is>
          <t>TOTAL</t>
        </is>
      </c>
      <c r="E300" s="38" t="inlineStr">
        <is>
          <t>POP</t>
        </is>
      </c>
      <c r="F300" s="38" t="n">
        <v>4</v>
      </c>
    </row>
    <row r="301" ht="15" customHeight="1" s="39">
      <c r="A301" s="38" t="inlineStr">
        <is>
          <t>2021</t>
        </is>
      </c>
      <c r="B301" s="42" t="inlineStr">
        <is>
          <t>430430</t>
        </is>
      </c>
      <c r="C301" s="38" t="inlineStr">
        <is>
          <t>Y095</t>
        </is>
      </c>
      <c r="D301" s="38" t="inlineStr">
        <is>
          <t>TOTAL</t>
        </is>
      </c>
      <c r="E301" s="38" t="inlineStr">
        <is>
          <t>POP</t>
        </is>
      </c>
      <c r="F301" s="38" t="n">
        <v>4</v>
      </c>
    </row>
    <row r="302" ht="15" customHeight="1" s="39">
      <c r="A302" s="38" t="inlineStr">
        <is>
          <t>2021</t>
        </is>
      </c>
      <c r="B302" s="42" t="inlineStr">
        <is>
          <t>430430</t>
        </is>
      </c>
      <c r="C302" s="38" t="inlineStr">
        <is>
          <t>Y096</t>
        </is>
      </c>
      <c r="D302" s="38" t="inlineStr">
        <is>
          <t>TOTAL</t>
        </is>
      </c>
      <c r="E302" s="38" t="inlineStr">
        <is>
          <t>POP</t>
        </is>
      </c>
      <c r="F302" s="38" t="n">
        <v>2</v>
      </c>
    </row>
    <row r="303" ht="15" customHeight="1" s="39">
      <c r="A303" s="38" t="inlineStr">
        <is>
          <t>2021</t>
        </is>
      </c>
      <c r="B303" s="42" t="inlineStr">
        <is>
          <t>430430</t>
        </is>
      </c>
      <c r="C303" s="38" t="inlineStr">
        <is>
          <t>Y097</t>
        </is>
      </c>
      <c r="D303" s="38" t="inlineStr">
        <is>
          <t>TOTAL</t>
        </is>
      </c>
      <c r="E303" s="38" t="inlineStr">
        <is>
          <t>POP</t>
        </is>
      </c>
      <c r="F303" s="38" t="n">
        <v>0</v>
      </c>
    </row>
    <row r="304" ht="15" customHeight="1" s="39">
      <c r="A304" s="38" t="inlineStr">
        <is>
          <t>2021</t>
        </is>
      </c>
      <c r="B304" s="42" t="inlineStr">
        <is>
          <t>430430</t>
        </is>
      </c>
      <c r="C304" s="38" t="inlineStr">
        <is>
          <t>Y098</t>
        </is>
      </c>
      <c r="D304" s="38" t="inlineStr">
        <is>
          <t>TOTAL</t>
        </is>
      </c>
      <c r="E304" s="38" t="inlineStr">
        <is>
          <t>POP</t>
        </is>
      </c>
      <c r="F304" s="38" t="n">
        <v>1</v>
      </c>
    </row>
    <row r="305" ht="15" customHeight="1" s="39">
      <c r="A305" s="38" t="inlineStr">
        <is>
          <t>2021</t>
        </is>
      </c>
      <c r="B305" s="42" t="inlineStr">
        <is>
          <t>430430</t>
        </is>
      </c>
      <c r="C305" s="38" t="inlineStr">
        <is>
          <t>Y099</t>
        </is>
      </c>
      <c r="D305" s="38" t="inlineStr">
        <is>
          <t>TOTAL</t>
        </is>
      </c>
      <c r="E305" s="38" t="inlineStr">
        <is>
          <t>POP</t>
        </is>
      </c>
      <c r="F305" s="38" t="n">
        <v>1</v>
      </c>
    </row>
    <row r="306" ht="15" customHeight="1" s="39">
      <c r="A306" s="38" t="inlineStr">
        <is>
          <t>2021</t>
        </is>
      </c>
      <c r="B306" s="42" t="inlineStr">
        <is>
          <t>430430</t>
        </is>
      </c>
      <c r="C306" s="38" t="inlineStr">
        <is>
          <t>Y_GE100</t>
        </is>
      </c>
      <c r="D306" s="38" t="inlineStr">
        <is>
          <t>TOTAL</t>
        </is>
      </c>
      <c r="E306" s="38" t="inlineStr">
        <is>
          <t>POP</t>
        </is>
      </c>
      <c r="F306" s="38" t="n">
        <v>1</v>
      </c>
    </row>
    <row r="307" ht="15" customHeight="1" s="39">
      <c r="A307" s="38" t="inlineStr">
        <is>
          <t>2021</t>
        </is>
      </c>
      <c r="B307" s="42" t="inlineStr">
        <is>
          <t>430430</t>
        </is>
      </c>
      <c r="C307" s="38" t="inlineStr">
        <is>
          <t>TOTAL</t>
        </is>
      </c>
      <c r="D307" s="38" t="inlineStr">
        <is>
          <t>TOTAL</t>
        </is>
      </c>
      <c r="E307" s="38" t="inlineStr">
        <is>
          <t>POP</t>
        </is>
      </c>
      <c r="F307" s="38" t="n">
        <v>4749</v>
      </c>
    </row>
    <row r="308" ht="15" customHeight="1" s="39">
      <c r="A308" s="38" t="inlineStr">
        <is>
          <t>2021</t>
        </is>
      </c>
      <c r="B308" s="42" t="inlineStr">
        <is>
          <t>430477</t>
        </is>
      </c>
      <c r="C308" s="38" t="inlineStr">
        <is>
          <t>Y000</t>
        </is>
      </c>
      <c r="D308" s="38" t="inlineStr">
        <is>
          <t>TOTAL</t>
        </is>
      </c>
      <c r="E308" s="38" t="inlineStr">
        <is>
          <t>POP</t>
        </is>
      </c>
      <c r="F308" s="38" t="n">
        <v>78</v>
      </c>
    </row>
    <row r="309" ht="15" customHeight="1" s="39">
      <c r="A309" s="38" t="inlineStr">
        <is>
          <t>2021</t>
        </is>
      </c>
      <c r="B309" s="42" t="inlineStr">
        <is>
          <t>430477</t>
        </is>
      </c>
      <c r="C309" s="38" t="inlineStr">
        <is>
          <t>Y001</t>
        </is>
      </c>
      <c r="D309" s="38" t="inlineStr">
        <is>
          <t>TOTAL</t>
        </is>
      </c>
      <c r="E309" s="38" t="inlineStr">
        <is>
          <t>POP</t>
        </is>
      </c>
      <c r="F309" s="38" t="n">
        <v>67</v>
      </c>
    </row>
    <row r="310" ht="15" customHeight="1" s="39">
      <c r="A310" s="38" t="inlineStr">
        <is>
          <t>2021</t>
        </is>
      </c>
      <c r="B310" s="42" t="inlineStr">
        <is>
          <t>430477</t>
        </is>
      </c>
      <c r="C310" s="38" t="inlineStr">
        <is>
          <t>Y002</t>
        </is>
      </c>
      <c r="D310" s="38" t="inlineStr">
        <is>
          <t>TOTAL</t>
        </is>
      </c>
      <c r="E310" s="38" t="inlineStr">
        <is>
          <t>POP</t>
        </is>
      </c>
      <c r="F310" s="38" t="n">
        <v>61</v>
      </c>
    </row>
    <row r="311" ht="15" customHeight="1" s="39">
      <c r="A311" s="38" t="inlineStr">
        <is>
          <t>2021</t>
        </is>
      </c>
      <c r="B311" s="42" t="inlineStr">
        <is>
          <t>430477</t>
        </is>
      </c>
      <c r="C311" s="38" t="inlineStr">
        <is>
          <t>Y003</t>
        </is>
      </c>
      <c r="D311" s="38" t="inlineStr">
        <is>
          <t>TOTAL</t>
        </is>
      </c>
      <c r="E311" s="38" t="inlineStr">
        <is>
          <t>POP</t>
        </is>
      </c>
      <c r="F311" s="38" t="n">
        <v>74</v>
      </c>
    </row>
    <row r="312" ht="15" customHeight="1" s="39">
      <c r="A312" s="38" t="inlineStr">
        <is>
          <t>2021</t>
        </is>
      </c>
      <c r="B312" s="42" t="inlineStr">
        <is>
          <t>430477</t>
        </is>
      </c>
      <c r="C312" s="38" t="inlineStr">
        <is>
          <t>Y004</t>
        </is>
      </c>
      <c r="D312" s="38" t="inlineStr">
        <is>
          <t>TOTAL</t>
        </is>
      </c>
      <c r="E312" s="38" t="inlineStr">
        <is>
          <t>POP</t>
        </is>
      </c>
      <c r="F312" s="38" t="n">
        <v>81</v>
      </c>
    </row>
    <row r="313" ht="15" customHeight="1" s="39">
      <c r="A313" s="38" t="inlineStr">
        <is>
          <t>2021</t>
        </is>
      </c>
      <c r="B313" s="42" t="inlineStr">
        <is>
          <t>430477</t>
        </is>
      </c>
      <c r="C313" s="38" t="inlineStr">
        <is>
          <t>Y005</t>
        </is>
      </c>
      <c r="D313" s="38" t="inlineStr">
        <is>
          <t>TOTAL</t>
        </is>
      </c>
      <c r="E313" s="38" t="inlineStr">
        <is>
          <t>POP</t>
        </is>
      </c>
      <c r="F313" s="38" t="n">
        <v>100</v>
      </c>
    </row>
    <row r="314" ht="15" customHeight="1" s="39">
      <c r="A314" s="38" t="inlineStr">
        <is>
          <t>2021</t>
        </is>
      </c>
      <c r="B314" s="42" t="inlineStr">
        <is>
          <t>430477</t>
        </is>
      </c>
      <c r="C314" s="38" t="inlineStr">
        <is>
          <t>Y006</t>
        </is>
      </c>
      <c r="D314" s="38" t="inlineStr">
        <is>
          <t>TOTAL</t>
        </is>
      </c>
      <c r="E314" s="38" t="inlineStr">
        <is>
          <t>POP</t>
        </is>
      </c>
      <c r="F314" s="38" t="n">
        <v>72</v>
      </c>
    </row>
    <row r="315" ht="15" customHeight="1" s="39">
      <c r="A315" s="38" t="inlineStr">
        <is>
          <t>2021</t>
        </is>
      </c>
      <c r="B315" s="42" t="inlineStr">
        <is>
          <t>430477</t>
        </is>
      </c>
      <c r="C315" s="38" t="inlineStr">
        <is>
          <t>Y007</t>
        </is>
      </c>
      <c r="D315" s="38" t="inlineStr">
        <is>
          <t>TOTAL</t>
        </is>
      </c>
      <c r="E315" s="38" t="inlineStr">
        <is>
          <t>POP</t>
        </is>
      </c>
      <c r="F315" s="38" t="n">
        <v>94</v>
      </c>
    </row>
    <row r="316" ht="15" customHeight="1" s="39">
      <c r="A316" s="38" t="inlineStr">
        <is>
          <t>2021</t>
        </is>
      </c>
      <c r="B316" s="42" t="inlineStr">
        <is>
          <t>430477</t>
        </is>
      </c>
      <c r="C316" s="38" t="inlineStr">
        <is>
          <t>Y008</t>
        </is>
      </c>
      <c r="D316" s="38" t="inlineStr">
        <is>
          <t>TOTAL</t>
        </is>
      </c>
      <c r="E316" s="38" t="inlineStr">
        <is>
          <t>POP</t>
        </is>
      </c>
      <c r="F316" s="38" t="n">
        <v>90</v>
      </c>
    </row>
    <row r="317" ht="15" customHeight="1" s="39">
      <c r="A317" s="38" t="inlineStr">
        <is>
          <t>2021</t>
        </is>
      </c>
      <c r="B317" s="42" t="inlineStr">
        <is>
          <t>430477</t>
        </is>
      </c>
      <c r="C317" s="38" t="inlineStr">
        <is>
          <t>Y009</t>
        </is>
      </c>
      <c r="D317" s="38" t="inlineStr">
        <is>
          <t>TOTAL</t>
        </is>
      </c>
      <c r="E317" s="38" t="inlineStr">
        <is>
          <t>POP</t>
        </is>
      </c>
      <c r="F317" s="38" t="n">
        <v>78</v>
      </c>
    </row>
    <row r="318" ht="15" customHeight="1" s="39">
      <c r="A318" s="38" t="inlineStr">
        <is>
          <t>2021</t>
        </is>
      </c>
      <c r="B318" s="42" t="inlineStr">
        <is>
          <t>430477</t>
        </is>
      </c>
      <c r="C318" s="38" t="inlineStr">
        <is>
          <t>Y010</t>
        </is>
      </c>
      <c r="D318" s="38" t="inlineStr">
        <is>
          <t>TOTAL</t>
        </is>
      </c>
      <c r="E318" s="38" t="inlineStr">
        <is>
          <t>POP</t>
        </is>
      </c>
      <c r="F318" s="38" t="n">
        <v>97</v>
      </c>
    </row>
    <row r="319" ht="15" customHeight="1" s="39">
      <c r="A319" s="38" t="inlineStr">
        <is>
          <t>2021</t>
        </is>
      </c>
      <c r="B319" s="42" t="inlineStr">
        <is>
          <t>430477</t>
        </is>
      </c>
      <c r="C319" s="38" t="inlineStr">
        <is>
          <t>Y011</t>
        </is>
      </c>
      <c r="D319" s="38" t="inlineStr">
        <is>
          <t>TOTAL</t>
        </is>
      </c>
      <c r="E319" s="38" t="inlineStr">
        <is>
          <t>POP</t>
        </is>
      </c>
      <c r="F319" s="38" t="n">
        <v>86</v>
      </c>
    </row>
    <row r="320" ht="15" customHeight="1" s="39">
      <c r="A320" s="38" t="inlineStr">
        <is>
          <t>2021</t>
        </is>
      </c>
      <c r="B320" s="42" t="inlineStr">
        <is>
          <t>430477</t>
        </is>
      </c>
      <c r="C320" s="38" t="inlineStr">
        <is>
          <t>Y012</t>
        </is>
      </c>
      <c r="D320" s="38" t="inlineStr">
        <is>
          <t>TOTAL</t>
        </is>
      </c>
      <c r="E320" s="38" t="inlineStr">
        <is>
          <t>POP</t>
        </is>
      </c>
      <c r="F320" s="38" t="n">
        <v>97</v>
      </c>
    </row>
    <row r="321" ht="15" customHeight="1" s="39">
      <c r="A321" s="38" t="inlineStr">
        <is>
          <t>2021</t>
        </is>
      </c>
      <c r="B321" s="42" t="inlineStr">
        <is>
          <t>430477</t>
        </is>
      </c>
      <c r="C321" s="38" t="inlineStr">
        <is>
          <t>Y013</t>
        </is>
      </c>
      <c r="D321" s="38" t="inlineStr">
        <is>
          <t>TOTAL</t>
        </is>
      </c>
      <c r="E321" s="38" t="inlineStr">
        <is>
          <t>POP</t>
        </is>
      </c>
      <c r="F321" s="38" t="n">
        <v>114</v>
      </c>
    </row>
    <row r="322" ht="15" customHeight="1" s="39">
      <c r="A322" s="38" t="inlineStr">
        <is>
          <t>2021</t>
        </is>
      </c>
      <c r="B322" s="42" t="inlineStr">
        <is>
          <t>430477</t>
        </is>
      </c>
      <c r="C322" s="38" t="inlineStr">
        <is>
          <t>Y014</t>
        </is>
      </c>
      <c r="D322" s="38" t="inlineStr">
        <is>
          <t>TOTAL</t>
        </is>
      </c>
      <c r="E322" s="38" t="inlineStr">
        <is>
          <t>POP</t>
        </is>
      </c>
      <c r="F322" s="38" t="n">
        <v>82</v>
      </c>
    </row>
    <row r="323" ht="15" customHeight="1" s="39">
      <c r="A323" s="38" t="inlineStr">
        <is>
          <t>2021</t>
        </is>
      </c>
      <c r="B323" s="42" t="inlineStr">
        <is>
          <t>430477</t>
        </is>
      </c>
      <c r="C323" s="38" t="inlineStr">
        <is>
          <t>Y015</t>
        </is>
      </c>
      <c r="D323" s="38" t="inlineStr">
        <is>
          <t>TOTAL</t>
        </is>
      </c>
      <c r="E323" s="38" t="inlineStr">
        <is>
          <t>POP</t>
        </is>
      </c>
      <c r="F323" s="38" t="n">
        <v>88</v>
      </c>
    </row>
    <row r="324" ht="15" customHeight="1" s="39">
      <c r="A324" s="38" t="inlineStr">
        <is>
          <t>2021</t>
        </is>
      </c>
      <c r="B324" s="42" t="inlineStr">
        <is>
          <t>430477</t>
        </is>
      </c>
      <c r="C324" s="38" t="inlineStr">
        <is>
          <t>Y016</t>
        </is>
      </c>
      <c r="D324" s="38" t="inlineStr">
        <is>
          <t>TOTAL</t>
        </is>
      </c>
      <c r="E324" s="38" t="inlineStr">
        <is>
          <t>POP</t>
        </is>
      </c>
      <c r="F324" s="38" t="n">
        <v>75</v>
      </c>
    </row>
    <row r="325" ht="15" customHeight="1" s="39">
      <c r="A325" s="38" t="inlineStr">
        <is>
          <t>2021</t>
        </is>
      </c>
      <c r="B325" s="42" t="inlineStr">
        <is>
          <t>430477</t>
        </is>
      </c>
      <c r="C325" s="38" t="inlineStr">
        <is>
          <t>Y017</t>
        </is>
      </c>
      <c r="D325" s="38" t="inlineStr">
        <is>
          <t>TOTAL</t>
        </is>
      </c>
      <c r="E325" s="38" t="inlineStr">
        <is>
          <t>POP</t>
        </is>
      </c>
      <c r="F325" s="38" t="n">
        <v>72</v>
      </c>
    </row>
    <row r="326" ht="15" customHeight="1" s="39">
      <c r="A326" s="38" t="inlineStr">
        <is>
          <t>2021</t>
        </is>
      </c>
      <c r="B326" s="42" t="inlineStr">
        <is>
          <t>430477</t>
        </is>
      </c>
      <c r="C326" s="38" t="inlineStr">
        <is>
          <t>Y018</t>
        </is>
      </c>
      <c r="D326" s="38" t="inlineStr">
        <is>
          <t>TOTAL</t>
        </is>
      </c>
      <c r="E326" s="38" t="inlineStr">
        <is>
          <t>POP</t>
        </is>
      </c>
      <c r="F326" s="38" t="n">
        <v>77</v>
      </c>
    </row>
    <row r="327" ht="15" customHeight="1" s="39">
      <c r="A327" s="38" t="inlineStr">
        <is>
          <t>2021</t>
        </is>
      </c>
      <c r="B327" s="42" t="inlineStr">
        <is>
          <t>430477</t>
        </is>
      </c>
      <c r="C327" s="38" t="inlineStr">
        <is>
          <t>Y019</t>
        </is>
      </c>
      <c r="D327" s="38" t="inlineStr">
        <is>
          <t>TOTAL</t>
        </is>
      </c>
      <c r="E327" s="38" t="inlineStr">
        <is>
          <t>POP</t>
        </is>
      </c>
      <c r="F327" s="38" t="n">
        <v>74</v>
      </c>
    </row>
    <row r="328" ht="15" customHeight="1" s="39">
      <c r="A328" s="38" t="inlineStr">
        <is>
          <t>2021</t>
        </is>
      </c>
      <c r="B328" s="42" t="inlineStr">
        <is>
          <t>430477</t>
        </is>
      </c>
      <c r="C328" s="38" t="inlineStr">
        <is>
          <t>Y020</t>
        </is>
      </c>
      <c r="D328" s="38" t="inlineStr">
        <is>
          <t>TOTAL</t>
        </is>
      </c>
      <c r="E328" s="38" t="inlineStr">
        <is>
          <t>POP</t>
        </is>
      </c>
      <c r="F328" s="38" t="n">
        <v>75</v>
      </c>
    </row>
    <row r="329" ht="15" customHeight="1" s="39">
      <c r="A329" s="38" t="inlineStr">
        <is>
          <t>2021</t>
        </is>
      </c>
      <c r="B329" s="42" t="inlineStr">
        <is>
          <t>430477</t>
        </is>
      </c>
      <c r="C329" s="38" t="inlineStr">
        <is>
          <t>Y021</t>
        </is>
      </c>
      <c r="D329" s="38" t="inlineStr">
        <is>
          <t>TOTAL</t>
        </is>
      </c>
      <c r="E329" s="38" t="inlineStr">
        <is>
          <t>POP</t>
        </is>
      </c>
      <c r="F329" s="38" t="n">
        <v>70</v>
      </c>
    </row>
    <row r="330" ht="15" customHeight="1" s="39">
      <c r="A330" s="38" t="inlineStr">
        <is>
          <t>2021</t>
        </is>
      </c>
      <c r="B330" s="42" t="inlineStr">
        <is>
          <t>430477</t>
        </is>
      </c>
      <c r="C330" s="38" t="inlineStr">
        <is>
          <t>Y022</t>
        </is>
      </c>
      <c r="D330" s="38" t="inlineStr">
        <is>
          <t>TOTAL</t>
        </is>
      </c>
      <c r="E330" s="38" t="inlineStr">
        <is>
          <t>POP</t>
        </is>
      </c>
      <c r="F330" s="38" t="n">
        <v>74</v>
      </c>
    </row>
    <row r="331" ht="15" customHeight="1" s="39">
      <c r="A331" s="38" t="inlineStr">
        <is>
          <t>2021</t>
        </is>
      </c>
      <c r="B331" s="42" t="inlineStr">
        <is>
          <t>430477</t>
        </is>
      </c>
      <c r="C331" s="38" t="inlineStr">
        <is>
          <t>Y023</t>
        </is>
      </c>
      <c r="D331" s="38" t="inlineStr">
        <is>
          <t>TOTAL</t>
        </is>
      </c>
      <c r="E331" s="38" t="inlineStr">
        <is>
          <t>POP</t>
        </is>
      </c>
      <c r="F331" s="38" t="n">
        <v>65</v>
      </c>
    </row>
    <row r="332" ht="15" customHeight="1" s="39">
      <c r="A332" s="38" t="inlineStr">
        <is>
          <t>2021</t>
        </is>
      </c>
      <c r="B332" s="42" t="inlineStr">
        <is>
          <t>430477</t>
        </is>
      </c>
      <c r="C332" s="38" t="inlineStr">
        <is>
          <t>Y024</t>
        </is>
      </c>
      <c r="D332" s="38" t="inlineStr">
        <is>
          <t>TOTAL</t>
        </is>
      </c>
      <c r="E332" s="38" t="inlineStr">
        <is>
          <t>POP</t>
        </is>
      </c>
      <c r="F332" s="38" t="n">
        <v>78</v>
      </c>
    </row>
    <row r="333" ht="15" customHeight="1" s="39">
      <c r="A333" s="38" t="inlineStr">
        <is>
          <t>2021</t>
        </is>
      </c>
      <c r="B333" s="42" t="inlineStr">
        <is>
          <t>430477</t>
        </is>
      </c>
      <c r="C333" s="38" t="inlineStr">
        <is>
          <t>Y025</t>
        </is>
      </c>
      <c r="D333" s="38" t="inlineStr">
        <is>
          <t>TOTAL</t>
        </is>
      </c>
      <c r="E333" s="38" t="inlineStr">
        <is>
          <t>POP</t>
        </is>
      </c>
      <c r="F333" s="38" t="n">
        <v>67</v>
      </c>
    </row>
    <row r="334" ht="15" customHeight="1" s="39">
      <c r="A334" s="38" t="inlineStr">
        <is>
          <t>2021</t>
        </is>
      </c>
      <c r="B334" s="42" t="inlineStr">
        <is>
          <t>430477</t>
        </is>
      </c>
      <c r="C334" s="38" t="inlineStr">
        <is>
          <t>Y026</t>
        </is>
      </c>
      <c r="D334" s="38" t="inlineStr">
        <is>
          <t>TOTAL</t>
        </is>
      </c>
      <c r="E334" s="38" t="inlineStr">
        <is>
          <t>POP</t>
        </is>
      </c>
      <c r="F334" s="38" t="n">
        <v>70</v>
      </c>
    </row>
    <row r="335" ht="15" customHeight="1" s="39">
      <c r="A335" s="38" t="inlineStr">
        <is>
          <t>2021</t>
        </is>
      </c>
      <c r="B335" s="42" t="inlineStr">
        <is>
          <t>430477</t>
        </is>
      </c>
      <c r="C335" s="38" t="inlineStr">
        <is>
          <t>Y027</t>
        </is>
      </c>
      <c r="D335" s="38" t="inlineStr">
        <is>
          <t>TOTAL</t>
        </is>
      </c>
      <c r="E335" s="38" t="inlineStr">
        <is>
          <t>POP</t>
        </is>
      </c>
      <c r="F335" s="38" t="n">
        <v>73</v>
      </c>
    </row>
    <row r="336" ht="15" customHeight="1" s="39">
      <c r="A336" s="38" t="inlineStr">
        <is>
          <t>2021</t>
        </is>
      </c>
      <c r="B336" s="42" t="inlineStr">
        <is>
          <t>430477</t>
        </is>
      </c>
      <c r="C336" s="38" t="inlineStr">
        <is>
          <t>Y028</t>
        </is>
      </c>
      <c r="D336" s="38" t="inlineStr">
        <is>
          <t>TOTAL</t>
        </is>
      </c>
      <c r="E336" s="38" t="inlineStr">
        <is>
          <t>POP</t>
        </is>
      </c>
      <c r="F336" s="38" t="n">
        <v>88</v>
      </c>
    </row>
    <row r="337" ht="15" customHeight="1" s="39">
      <c r="A337" s="38" t="inlineStr">
        <is>
          <t>2021</t>
        </is>
      </c>
      <c r="B337" s="42" t="inlineStr">
        <is>
          <t>430477</t>
        </is>
      </c>
      <c r="C337" s="38" t="inlineStr">
        <is>
          <t>Y029</t>
        </is>
      </c>
      <c r="D337" s="38" t="inlineStr">
        <is>
          <t>TOTAL</t>
        </is>
      </c>
      <c r="E337" s="38" t="inlineStr">
        <is>
          <t>POP</t>
        </is>
      </c>
      <c r="F337" s="38" t="n">
        <v>82</v>
      </c>
    </row>
    <row r="338" ht="15" customHeight="1" s="39">
      <c r="A338" s="38" t="inlineStr">
        <is>
          <t>2021</t>
        </is>
      </c>
      <c r="B338" s="42" t="inlineStr">
        <is>
          <t>430477</t>
        </is>
      </c>
      <c r="C338" s="38" t="inlineStr">
        <is>
          <t>Y030</t>
        </is>
      </c>
      <c r="D338" s="38" t="inlineStr">
        <is>
          <t>TOTAL</t>
        </is>
      </c>
      <c r="E338" s="38" t="inlineStr">
        <is>
          <t>POP</t>
        </is>
      </c>
      <c r="F338" s="38" t="n">
        <v>81</v>
      </c>
    </row>
    <row r="339" ht="15" customHeight="1" s="39">
      <c r="A339" s="38" t="inlineStr">
        <is>
          <t>2021</t>
        </is>
      </c>
      <c r="B339" s="42" t="inlineStr">
        <is>
          <t>430477</t>
        </is>
      </c>
      <c r="C339" s="38" t="inlineStr">
        <is>
          <t>Y031</t>
        </is>
      </c>
      <c r="D339" s="38" t="inlineStr">
        <is>
          <t>TOTAL</t>
        </is>
      </c>
      <c r="E339" s="38" t="inlineStr">
        <is>
          <t>POP</t>
        </is>
      </c>
      <c r="F339" s="38" t="n">
        <v>83</v>
      </c>
    </row>
    <row r="340" ht="15" customHeight="1" s="39">
      <c r="A340" s="38" t="inlineStr">
        <is>
          <t>2021</t>
        </is>
      </c>
      <c r="B340" s="42" t="inlineStr">
        <is>
          <t>430477</t>
        </is>
      </c>
      <c r="C340" s="38" t="inlineStr">
        <is>
          <t>Y032</t>
        </is>
      </c>
      <c r="D340" s="38" t="inlineStr">
        <is>
          <t>TOTAL</t>
        </is>
      </c>
      <c r="E340" s="38" t="inlineStr">
        <is>
          <t>POP</t>
        </is>
      </c>
      <c r="F340" s="38" t="n">
        <v>70</v>
      </c>
    </row>
    <row r="341" ht="15" customHeight="1" s="39">
      <c r="A341" s="38" t="inlineStr">
        <is>
          <t>2021</t>
        </is>
      </c>
      <c r="B341" s="42" t="inlineStr">
        <is>
          <t>430477</t>
        </is>
      </c>
      <c r="C341" s="38" t="inlineStr">
        <is>
          <t>Y033</t>
        </is>
      </c>
      <c r="D341" s="38" t="inlineStr">
        <is>
          <t>TOTAL</t>
        </is>
      </c>
      <c r="E341" s="38" t="inlineStr">
        <is>
          <t>POP</t>
        </is>
      </c>
      <c r="F341" s="38" t="n">
        <v>82</v>
      </c>
    </row>
    <row r="342" ht="15" customHeight="1" s="39">
      <c r="A342" s="38" t="inlineStr">
        <is>
          <t>2021</t>
        </is>
      </c>
      <c r="B342" s="42" t="inlineStr">
        <is>
          <t>430477</t>
        </is>
      </c>
      <c r="C342" s="38" t="inlineStr">
        <is>
          <t>Y034</t>
        </is>
      </c>
      <c r="D342" s="38" t="inlineStr">
        <is>
          <t>TOTAL</t>
        </is>
      </c>
      <c r="E342" s="38" t="inlineStr">
        <is>
          <t>POP</t>
        </is>
      </c>
      <c r="F342" s="38" t="n">
        <v>95</v>
      </c>
    </row>
    <row r="343" ht="15" customHeight="1" s="39">
      <c r="A343" s="38" t="inlineStr">
        <is>
          <t>2021</t>
        </is>
      </c>
      <c r="B343" s="42" t="inlineStr">
        <is>
          <t>430477</t>
        </is>
      </c>
      <c r="C343" s="38" t="inlineStr">
        <is>
          <t>Y035</t>
        </is>
      </c>
      <c r="D343" s="38" t="inlineStr">
        <is>
          <t>TOTAL</t>
        </is>
      </c>
      <c r="E343" s="38" t="inlineStr">
        <is>
          <t>POP</t>
        </is>
      </c>
      <c r="F343" s="38" t="n">
        <v>87</v>
      </c>
    </row>
    <row r="344" ht="15" customHeight="1" s="39">
      <c r="A344" s="38" t="inlineStr">
        <is>
          <t>2021</t>
        </is>
      </c>
      <c r="B344" s="42" t="inlineStr">
        <is>
          <t>430477</t>
        </is>
      </c>
      <c r="C344" s="38" t="inlineStr">
        <is>
          <t>Y036</t>
        </is>
      </c>
      <c r="D344" s="38" t="inlineStr">
        <is>
          <t>TOTAL</t>
        </is>
      </c>
      <c r="E344" s="38" t="inlineStr">
        <is>
          <t>POP</t>
        </is>
      </c>
      <c r="F344" s="38" t="n">
        <v>115</v>
      </c>
    </row>
    <row r="345" ht="15" customHeight="1" s="39">
      <c r="A345" s="38" t="inlineStr">
        <is>
          <t>2021</t>
        </is>
      </c>
      <c r="B345" s="42" t="inlineStr">
        <is>
          <t>430477</t>
        </is>
      </c>
      <c r="C345" s="38" t="inlineStr">
        <is>
          <t>Y037</t>
        </is>
      </c>
      <c r="D345" s="38" t="inlineStr">
        <is>
          <t>TOTAL</t>
        </is>
      </c>
      <c r="E345" s="38" t="inlineStr">
        <is>
          <t>POP</t>
        </is>
      </c>
      <c r="F345" s="38" t="n">
        <v>74</v>
      </c>
    </row>
    <row r="346" ht="15" customHeight="1" s="39">
      <c r="A346" s="38" t="inlineStr">
        <is>
          <t>2021</t>
        </is>
      </c>
      <c r="B346" s="42" t="inlineStr">
        <is>
          <t>430477</t>
        </is>
      </c>
      <c r="C346" s="38" t="inlineStr">
        <is>
          <t>Y038</t>
        </is>
      </c>
      <c r="D346" s="38" t="inlineStr">
        <is>
          <t>TOTAL</t>
        </is>
      </c>
      <c r="E346" s="38" t="inlineStr">
        <is>
          <t>POP</t>
        </is>
      </c>
      <c r="F346" s="38" t="n">
        <v>102</v>
      </c>
    </row>
    <row r="347" ht="15" customHeight="1" s="39">
      <c r="A347" s="38" t="inlineStr">
        <is>
          <t>2021</t>
        </is>
      </c>
      <c r="B347" s="42" t="inlineStr">
        <is>
          <t>430477</t>
        </is>
      </c>
      <c r="C347" s="38" t="inlineStr">
        <is>
          <t>Y039</t>
        </is>
      </c>
      <c r="D347" s="38" t="inlineStr">
        <is>
          <t>TOTAL</t>
        </is>
      </c>
      <c r="E347" s="38" t="inlineStr">
        <is>
          <t>POP</t>
        </is>
      </c>
      <c r="F347" s="38" t="n">
        <v>103</v>
      </c>
    </row>
    <row r="348" ht="15" customHeight="1" s="39">
      <c r="A348" s="38" t="inlineStr">
        <is>
          <t>2021</t>
        </is>
      </c>
      <c r="B348" s="42" t="inlineStr">
        <is>
          <t>430477</t>
        </is>
      </c>
      <c r="C348" s="38" t="inlineStr">
        <is>
          <t>Y040</t>
        </is>
      </c>
      <c r="D348" s="38" t="inlineStr">
        <is>
          <t>TOTAL</t>
        </is>
      </c>
      <c r="E348" s="38" t="inlineStr">
        <is>
          <t>POP</t>
        </is>
      </c>
      <c r="F348" s="38" t="n">
        <v>121</v>
      </c>
    </row>
    <row r="349" ht="15" customHeight="1" s="39">
      <c r="A349" s="38" t="inlineStr">
        <is>
          <t>2021</t>
        </is>
      </c>
      <c r="B349" s="42" t="inlineStr">
        <is>
          <t>430477</t>
        </is>
      </c>
      <c r="C349" s="38" t="inlineStr">
        <is>
          <t>Y041</t>
        </is>
      </c>
      <c r="D349" s="38" t="inlineStr">
        <is>
          <t>TOTAL</t>
        </is>
      </c>
      <c r="E349" s="38" t="inlineStr">
        <is>
          <t>POP</t>
        </is>
      </c>
      <c r="F349" s="38" t="n">
        <v>112</v>
      </c>
    </row>
    <row r="350" ht="15" customHeight="1" s="39">
      <c r="A350" s="38" t="inlineStr">
        <is>
          <t>2021</t>
        </is>
      </c>
      <c r="B350" s="42" t="inlineStr">
        <is>
          <t>430477</t>
        </is>
      </c>
      <c r="C350" s="38" t="inlineStr">
        <is>
          <t>Y042</t>
        </is>
      </c>
      <c r="D350" s="38" t="inlineStr">
        <is>
          <t>TOTAL</t>
        </is>
      </c>
      <c r="E350" s="38" t="inlineStr">
        <is>
          <t>POP</t>
        </is>
      </c>
      <c r="F350" s="38" t="n">
        <v>125</v>
      </c>
    </row>
    <row r="351" ht="15" customHeight="1" s="39">
      <c r="A351" s="38" t="inlineStr">
        <is>
          <t>2021</t>
        </is>
      </c>
      <c r="B351" s="42" t="inlineStr">
        <is>
          <t>430477</t>
        </is>
      </c>
      <c r="C351" s="38" t="inlineStr">
        <is>
          <t>Y043</t>
        </is>
      </c>
      <c r="D351" s="38" t="inlineStr">
        <is>
          <t>TOTAL</t>
        </is>
      </c>
      <c r="E351" s="38" t="inlineStr">
        <is>
          <t>POP</t>
        </is>
      </c>
      <c r="F351" s="38" t="n">
        <v>131</v>
      </c>
    </row>
    <row r="352" ht="15" customHeight="1" s="39">
      <c r="A352" s="38" t="inlineStr">
        <is>
          <t>2021</t>
        </is>
      </c>
      <c r="B352" s="42" t="inlineStr">
        <is>
          <t>430477</t>
        </is>
      </c>
      <c r="C352" s="38" t="inlineStr">
        <is>
          <t>Y044</t>
        </is>
      </c>
      <c r="D352" s="38" t="inlineStr">
        <is>
          <t>TOTAL</t>
        </is>
      </c>
      <c r="E352" s="38" t="inlineStr">
        <is>
          <t>POP</t>
        </is>
      </c>
      <c r="F352" s="38" t="n">
        <v>127</v>
      </c>
    </row>
    <row r="353" ht="15" customHeight="1" s="39">
      <c r="A353" s="38" t="inlineStr">
        <is>
          <t>2021</t>
        </is>
      </c>
      <c r="B353" s="42" t="inlineStr">
        <is>
          <t>430477</t>
        </is>
      </c>
      <c r="C353" s="38" t="inlineStr">
        <is>
          <t>Y045</t>
        </is>
      </c>
      <c r="D353" s="38" t="inlineStr">
        <is>
          <t>TOTAL</t>
        </is>
      </c>
      <c r="E353" s="38" t="inlineStr">
        <is>
          <t>POP</t>
        </is>
      </c>
      <c r="F353" s="38" t="n">
        <v>113</v>
      </c>
    </row>
    <row r="354" ht="15" customHeight="1" s="39">
      <c r="A354" s="38" t="inlineStr">
        <is>
          <t>2021</t>
        </is>
      </c>
      <c r="B354" s="42" t="inlineStr">
        <is>
          <t>430477</t>
        </is>
      </c>
      <c r="C354" s="38" t="inlineStr">
        <is>
          <t>Y046</t>
        </is>
      </c>
      <c r="D354" s="38" t="inlineStr">
        <is>
          <t>TOTAL</t>
        </is>
      </c>
      <c r="E354" s="38" t="inlineStr">
        <is>
          <t>POP</t>
        </is>
      </c>
      <c r="F354" s="38" t="n">
        <v>132</v>
      </c>
    </row>
    <row r="355" ht="15" customHeight="1" s="39">
      <c r="A355" s="38" t="inlineStr">
        <is>
          <t>2021</t>
        </is>
      </c>
      <c r="B355" s="42" t="inlineStr">
        <is>
          <t>430477</t>
        </is>
      </c>
      <c r="C355" s="38" t="inlineStr">
        <is>
          <t>Y047</t>
        </is>
      </c>
      <c r="D355" s="38" t="inlineStr">
        <is>
          <t>TOTAL</t>
        </is>
      </c>
      <c r="E355" s="38" t="inlineStr">
        <is>
          <t>POP</t>
        </is>
      </c>
      <c r="F355" s="38" t="n">
        <v>131</v>
      </c>
    </row>
    <row r="356" ht="15" customHeight="1" s="39">
      <c r="A356" s="38" t="inlineStr">
        <is>
          <t>2021</t>
        </is>
      </c>
      <c r="B356" s="42" t="inlineStr">
        <is>
          <t>430477</t>
        </is>
      </c>
      <c r="C356" s="38" t="inlineStr">
        <is>
          <t>Y048</t>
        </is>
      </c>
      <c r="D356" s="38" t="inlineStr">
        <is>
          <t>TOTAL</t>
        </is>
      </c>
      <c r="E356" s="38" t="inlineStr">
        <is>
          <t>POP</t>
        </is>
      </c>
      <c r="F356" s="38" t="n">
        <v>108</v>
      </c>
    </row>
    <row r="357" ht="15" customHeight="1" s="39">
      <c r="A357" s="38" t="inlineStr">
        <is>
          <t>2021</t>
        </is>
      </c>
      <c r="B357" s="42" t="inlineStr">
        <is>
          <t>430477</t>
        </is>
      </c>
      <c r="C357" s="38" t="inlineStr">
        <is>
          <t>Y049</t>
        </is>
      </c>
      <c r="D357" s="38" t="inlineStr">
        <is>
          <t>TOTAL</t>
        </is>
      </c>
      <c r="E357" s="38" t="inlineStr">
        <is>
          <t>POP</t>
        </is>
      </c>
      <c r="F357" s="38" t="n">
        <v>124</v>
      </c>
    </row>
    <row r="358" ht="15" customHeight="1" s="39">
      <c r="A358" s="38" t="inlineStr">
        <is>
          <t>2021</t>
        </is>
      </c>
      <c r="B358" s="42" t="inlineStr">
        <is>
          <t>430477</t>
        </is>
      </c>
      <c r="C358" s="38" t="inlineStr">
        <is>
          <t>Y050</t>
        </is>
      </c>
      <c r="D358" s="38" t="inlineStr">
        <is>
          <t>TOTAL</t>
        </is>
      </c>
      <c r="E358" s="38" t="inlineStr">
        <is>
          <t>POP</t>
        </is>
      </c>
      <c r="F358" s="38" t="n">
        <v>107</v>
      </c>
    </row>
    <row r="359" ht="15" customHeight="1" s="39">
      <c r="A359" s="38" t="inlineStr">
        <is>
          <t>2021</t>
        </is>
      </c>
      <c r="B359" s="42" t="inlineStr">
        <is>
          <t>430477</t>
        </is>
      </c>
      <c r="C359" s="38" t="inlineStr">
        <is>
          <t>Y051</t>
        </is>
      </c>
      <c r="D359" s="38" t="inlineStr">
        <is>
          <t>TOTAL</t>
        </is>
      </c>
      <c r="E359" s="38" t="inlineStr">
        <is>
          <t>POP</t>
        </is>
      </c>
      <c r="F359" s="38" t="n">
        <v>109</v>
      </c>
    </row>
    <row r="360" ht="15" customHeight="1" s="39">
      <c r="A360" s="38" t="inlineStr">
        <is>
          <t>2021</t>
        </is>
      </c>
      <c r="B360" s="42" t="inlineStr">
        <is>
          <t>430477</t>
        </is>
      </c>
      <c r="C360" s="38" t="inlineStr">
        <is>
          <t>Y052</t>
        </is>
      </c>
      <c r="D360" s="38" t="inlineStr">
        <is>
          <t>TOTAL</t>
        </is>
      </c>
      <c r="E360" s="38" t="inlineStr">
        <is>
          <t>POP</t>
        </is>
      </c>
      <c r="F360" s="38" t="n">
        <v>80</v>
      </c>
    </row>
    <row r="361" ht="15" customHeight="1" s="39">
      <c r="A361" s="38" t="inlineStr">
        <is>
          <t>2021</t>
        </is>
      </c>
      <c r="B361" s="42" t="inlineStr">
        <is>
          <t>430477</t>
        </is>
      </c>
      <c r="C361" s="38" t="inlineStr">
        <is>
          <t>Y053</t>
        </is>
      </c>
      <c r="D361" s="38" t="inlineStr">
        <is>
          <t>TOTAL</t>
        </is>
      </c>
      <c r="E361" s="38" t="inlineStr">
        <is>
          <t>POP</t>
        </is>
      </c>
      <c r="F361" s="38" t="n">
        <v>99</v>
      </c>
    </row>
    <row r="362" ht="15" customHeight="1" s="39">
      <c r="A362" s="38" t="inlineStr">
        <is>
          <t>2021</t>
        </is>
      </c>
      <c r="B362" s="42" t="inlineStr">
        <is>
          <t>430477</t>
        </is>
      </c>
      <c r="C362" s="38" t="inlineStr">
        <is>
          <t>Y054</t>
        </is>
      </c>
      <c r="D362" s="38" t="inlineStr">
        <is>
          <t>TOTAL</t>
        </is>
      </c>
      <c r="E362" s="38" t="inlineStr">
        <is>
          <t>POP</t>
        </is>
      </c>
      <c r="F362" s="38" t="n">
        <v>95</v>
      </c>
    </row>
    <row r="363" ht="15" customHeight="1" s="39">
      <c r="A363" s="38" t="inlineStr">
        <is>
          <t>2021</t>
        </is>
      </c>
      <c r="B363" s="42" t="inlineStr">
        <is>
          <t>430477</t>
        </is>
      </c>
      <c r="C363" s="38" t="inlineStr">
        <is>
          <t>Y055</t>
        </is>
      </c>
      <c r="D363" s="38" t="inlineStr">
        <is>
          <t>TOTAL</t>
        </is>
      </c>
      <c r="E363" s="38" t="inlineStr">
        <is>
          <t>POP</t>
        </is>
      </c>
      <c r="F363" s="38" t="n">
        <v>94</v>
      </c>
    </row>
    <row r="364" ht="15" customHeight="1" s="39">
      <c r="A364" s="38" t="inlineStr">
        <is>
          <t>2021</t>
        </is>
      </c>
      <c r="B364" s="42" t="inlineStr">
        <is>
          <t>430477</t>
        </is>
      </c>
      <c r="C364" s="38" t="inlineStr">
        <is>
          <t>Y056</t>
        </is>
      </c>
      <c r="D364" s="38" t="inlineStr">
        <is>
          <t>TOTAL</t>
        </is>
      </c>
      <c r="E364" s="38" t="inlineStr">
        <is>
          <t>POP</t>
        </is>
      </c>
      <c r="F364" s="38" t="n">
        <v>87</v>
      </c>
    </row>
    <row r="365" ht="15" customHeight="1" s="39">
      <c r="A365" s="38" t="inlineStr">
        <is>
          <t>2021</t>
        </is>
      </c>
      <c r="B365" s="42" t="inlineStr">
        <is>
          <t>430477</t>
        </is>
      </c>
      <c r="C365" s="38" t="inlineStr">
        <is>
          <t>Y057</t>
        </is>
      </c>
      <c r="D365" s="38" t="inlineStr">
        <is>
          <t>TOTAL</t>
        </is>
      </c>
      <c r="E365" s="38" t="inlineStr">
        <is>
          <t>POP</t>
        </is>
      </c>
      <c r="F365" s="38" t="n">
        <v>78</v>
      </c>
    </row>
    <row r="366" ht="15" customHeight="1" s="39">
      <c r="A366" s="38" t="inlineStr">
        <is>
          <t>2021</t>
        </is>
      </c>
      <c r="B366" s="42" t="inlineStr">
        <is>
          <t>430477</t>
        </is>
      </c>
      <c r="C366" s="38" t="inlineStr">
        <is>
          <t>Y058</t>
        </is>
      </c>
      <c r="D366" s="38" t="inlineStr">
        <is>
          <t>TOTAL</t>
        </is>
      </c>
      <c r="E366" s="38" t="inlineStr">
        <is>
          <t>POP</t>
        </is>
      </c>
      <c r="F366" s="38" t="n">
        <v>80</v>
      </c>
    </row>
    <row r="367" ht="15" customHeight="1" s="39">
      <c r="A367" s="38" t="inlineStr">
        <is>
          <t>2021</t>
        </is>
      </c>
      <c r="B367" s="42" t="inlineStr">
        <is>
          <t>430477</t>
        </is>
      </c>
      <c r="C367" s="38" t="inlineStr">
        <is>
          <t>Y059</t>
        </is>
      </c>
      <c r="D367" s="38" t="inlineStr">
        <is>
          <t>TOTAL</t>
        </is>
      </c>
      <c r="E367" s="38" t="inlineStr">
        <is>
          <t>POP</t>
        </is>
      </c>
      <c r="F367" s="38" t="n">
        <v>84</v>
      </c>
    </row>
    <row r="368" ht="15" customHeight="1" s="39">
      <c r="A368" s="38" t="inlineStr">
        <is>
          <t>2021</t>
        </is>
      </c>
      <c r="B368" s="42" t="inlineStr">
        <is>
          <t>430477</t>
        </is>
      </c>
      <c r="C368" s="38" t="inlineStr">
        <is>
          <t>Y060</t>
        </is>
      </c>
      <c r="D368" s="38" t="inlineStr">
        <is>
          <t>TOTAL</t>
        </is>
      </c>
      <c r="E368" s="38" t="inlineStr">
        <is>
          <t>POP</t>
        </is>
      </c>
      <c r="F368" s="38" t="n">
        <v>67</v>
      </c>
    </row>
    <row r="369" ht="15" customHeight="1" s="39">
      <c r="A369" s="38" t="inlineStr">
        <is>
          <t>2021</t>
        </is>
      </c>
      <c r="B369" s="42" t="inlineStr">
        <is>
          <t>430477</t>
        </is>
      </c>
      <c r="C369" s="38" t="inlineStr">
        <is>
          <t>Y061</t>
        </is>
      </c>
      <c r="D369" s="38" t="inlineStr">
        <is>
          <t>TOTAL</t>
        </is>
      </c>
      <c r="E369" s="38" t="inlineStr">
        <is>
          <t>POP</t>
        </is>
      </c>
      <c r="F369" s="38" t="n">
        <v>61</v>
      </c>
    </row>
    <row r="370" ht="15" customHeight="1" s="39">
      <c r="A370" s="38" t="inlineStr">
        <is>
          <t>2021</t>
        </is>
      </c>
      <c r="B370" s="42" t="inlineStr">
        <is>
          <t>430477</t>
        </is>
      </c>
      <c r="C370" s="38" t="inlineStr">
        <is>
          <t>Y062</t>
        </is>
      </c>
      <c r="D370" s="38" t="inlineStr">
        <is>
          <t>TOTAL</t>
        </is>
      </c>
      <c r="E370" s="38" t="inlineStr">
        <is>
          <t>POP</t>
        </is>
      </c>
      <c r="F370" s="38" t="n">
        <v>78</v>
      </c>
    </row>
    <row r="371" ht="15" customHeight="1" s="39">
      <c r="A371" s="38" t="inlineStr">
        <is>
          <t>2021</t>
        </is>
      </c>
      <c r="B371" s="42" t="inlineStr">
        <is>
          <t>430477</t>
        </is>
      </c>
      <c r="C371" s="38" t="inlineStr">
        <is>
          <t>Y063</t>
        </is>
      </c>
      <c r="D371" s="38" t="inlineStr">
        <is>
          <t>TOTAL</t>
        </is>
      </c>
      <c r="E371" s="38" t="inlineStr">
        <is>
          <t>POP</t>
        </is>
      </c>
      <c r="F371" s="38" t="n">
        <v>65</v>
      </c>
    </row>
    <row r="372" ht="15" customHeight="1" s="39">
      <c r="A372" s="38" t="inlineStr">
        <is>
          <t>2021</t>
        </is>
      </c>
      <c r="B372" s="42" t="inlineStr">
        <is>
          <t>430477</t>
        </is>
      </c>
      <c r="C372" s="38" t="inlineStr">
        <is>
          <t>Y064</t>
        </is>
      </c>
      <c r="D372" s="38" t="inlineStr">
        <is>
          <t>TOTAL</t>
        </is>
      </c>
      <c r="E372" s="38" t="inlineStr">
        <is>
          <t>POP</t>
        </is>
      </c>
      <c r="F372" s="38" t="n">
        <v>54</v>
      </c>
    </row>
    <row r="373" ht="15" customHeight="1" s="39">
      <c r="A373" s="38" t="inlineStr">
        <is>
          <t>2021</t>
        </is>
      </c>
      <c r="B373" s="42" t="inlineStr">
        <is>
          <t>430477</t>
        </is>
      </c>
      <c r="C373" s="38" t="inlineStr">
        <is>
          <t>Y065</t>
        </is>
      </c>
      <c r="D373" s="38" t="inlineStr">
        <is>
          <t>TOTAL</t>
        </is>
      </c>
      <c r="E373" s="38" t="inlineStr">
        <is>
          <t>POP</t>
        </is>
      </c>
      <c r="F373" s="38" t="n">
        <v>73</v>
      </c>
    </row>
    <row r="374" ht="15" customHeight="1" s="39">
      <c r="A374" s="38" t="inlineStr">
        <is>
          <t>2021</t>
        </is>
      </c>
      <c r="B374" s="42" t="inlineStr">
        <is>
          <t>430477</t>
        </is>
      </c>
      <c r="C374" s="38" t="inlineStr">
        <is>
          <t>Y066</t>
        </is>
      </c>
      <c r="D374" s="38" t="inlineStr">
        <is>
          <t>TOTAL</t>
        </is>
      </c>
      <c r="E374" s="38" t="inlineStr">
        <is>
          <t>POP</t>
        </is>
      </c>
      <c r="F374" s="38" t="n">
        <v>64</v>
      </c>
    </row>
    <row r="375" ht="15" customHeight="1" s="39">
      <c r="A375" s="38" t="inlineStr">
        <is>
          <t>2021</t>
        </is>
      </c>
      <c r="B375" s="42" t="inlineStr">
        <is>
          <t>430477</t>
        </is>
      </c>
      <c r="C375" s="38" t="inlineStr">
        <is>
          <t>Y067</t>
        </is>
      </c>
      <c r="D375" s="38" t="inlineStr">
        <is>
          <t>TOTAL</t>
        </is>
      </c>
      <c r="E375" s="38" t="inlineStr">
        <is>
          <t>POP</t>
        </is>
      </c>
      <c r="F375" s="38" t="n">
        <v>59</v>
      </c>
    </row>
    <row r="376" ht="15" customHeight="1" s="39">
      <c r="A376" s="38" t="inlineStr">
        <is>
          <t>2021</t>
        </is>
      </c>
      <c r="B376" s="42" t="inlineStr">
        <is>
          <t>430477</t>
        </is>
      </c>
      <c r="C376" s="38" t="inlineStr">
        <is>
          <t>Y068</t>
        </is>
      </c>
      <c r="D376" s="38" t="inlineStr">
        <is>
          <t>TOTAL</t>
        </is>
      </c>
      <c r="E376" s="38" t="inlineStr">
        <is>
          <t>POP</t>
        </is>
      </c>
      <c r="F376" s="38" t="n">
        <v>73</v>
      </c>
    </row>
    <row r="377" ht="15" customHeight="1" s="39">
      <c r="A377" s="38" t="inlineStr">
        <is>
          <t>2021</t>
        </is>
      </c>
      <c r="B377" s="42" t="inlineStr">
        <is>
          <t>430477</t>
        </is>
      </c>
      <c r="C377" s="38" t="inlineStr">
        <is>
          <t>Y069</t>
        </is>
      </c>
      <c r="D377" s="38" t="inlineStr">
        <is>
          <t>TOTAL</t>
        </is>
      </c>
      <c r="E377" s="38" t="inlineStr">
        <is>
          <t>POP</t>
        </is>
      </c>
      <c r="F377" s="38" t="n">
        <v>59</v>
      </c>
    </row>
    <row r="378" ht="15" customHeight="1" s="39">
      <c r="A378" s="38" t="inlineStr">
        <is>
          <t>2021</t>
        </is>
      </c>
      <c r="B378" s="42" t="inlineStr">
        <is>
          <t>430477</t>
        </is>
      </c>
      <c r="C378" s="38" t="inlineStr">
        <is>
          <t>Y070</t>
        </is>
      </c>
      <c r="D378" s="38" t="inlineStr">
        <is>
          <t>TOTAL</t>
        </is>
      </c>
      <c r="E378" s="38" t="inlineStr">
        <is>
          <t>POP</t>
        </is>
      </c>
      <c r="F378" s="38" t="n">
        <v>56</v>
      </c>
    </row>
    <row r="379" ht="15" customHeight="1" s="39">
      <c r="A379" s="38" t="inlineStr">
        <is>
          <t>2021</t>
        </is>
      </c>
      <c r="B379" s="42" t="inlineStr">
        <is>
          <t>430477</t>
        </is>
      </c>
      <c r="C379" s="38" t="inlineStr">
        <is>
          <t>Y071</t>
        </is>
      </c>
      <c r="D379" s="38" t="inlineStr">
        <is>
          <t>TOTAL</t>
        </is>
      </c>
      <c r="E379" s="38" t="inlineStr">
        <is>
          <t>POP</t>
        </is>
      </c>
      <c r="F379" s="38" t="n">
        <v>46</v>
      </c>
    </row>
    <row r="380" ht="15" customHeight="1" s="39">
      <c r="A380" s="38" t="inlineStr">
        <is>
          <t>2021</t>
        </is>
      </c>
      <c r="B380" s="42" t="inlineStr">
        <is>
          <t>430477</t>
        </is>
      </c>
      <c r="C380" s="38" t="inlineStr">
        <is>
          <t>Y072</t>
        </is>
      </c>
      <c r="D380" s="38" t="inlineStr">
        <is>
          <t>TOTAL</t>
        </is>
      </c>
      <c r="E380" s="38" t="inlineStr">
        <is>
          <t>POP</t>
        </is>
      </c>
      <c r="F380" s="38" t="n">
        <v>54</v>
      </c>
    </row>
    <row r="381" ht="15" customHeight="1" s="39">
      <c r="A381" s="38" t="inlineStr">
        <is>
          <t>2021</t>
        </is>
      </c>
      <c r="B381" s="42" t="inlineStr">
        <is>
          <t>430477</t>
        </is>
      </c>
      <c r="C381" s="38" t="inlineStr">
        <is>
          <t>Y073</t>
        </is>
      </c>
      <c r="D381" s="38" t="inlineStr">
        <is>
          <t>TOTAL</t>
        </is>
      </c>
      <c r="E381" s="38" t="inlineStr">
        <is>
          <t>POP</t>
        </is>
      </c>
      <c r="F381" s="38" t="n">
        <v>53</v>
      </c>
    </row>
    <row r="382" ht="15" customHeight="1" s="39">
      <c r="A382" s="38" t="inlineStr">
        <is>
          <t>2021</t>
        </is>
      </c>
      <c r="B382" s="42" t="inlineStr">
        <is>
          <t>430477</t>
        </is>
      </c>
      <c r="C382" s="38" t="inlineStr">
        <is>
          <t>Y074</t>
        </is>
      </c>
      <c r="D382" s="38" t="inlineStr">
        <is>
          <t>TOTAL</t>
        </is>
      </c>
      <c r="E382" s="38" t="inlineStr">
        <is>
          <t>POP</t>
        </is>
      </c>
      <c r="F382" s="38" t="n">
        <v>40</v>
      </c>
    </row>
    <row r="383" ht="15" customHeight="1" s="39">
      <c r="A383" s="38" t="inlineStr">
        <is>
          <t>2021</t>
        </is>
      </c>
      <c r="B383" s="42" t="inlineStr">
        <is>
          <t>430477</t>
        </is>
      </c>
      <c r="C383" s="38" t="inlineStr">
        <is>
          <t>Y075</t>
        </is>
      </c>
      <c r="D383" s="38" t="inlineStr">
        <is>
          <t>TOTAL</t>
        </is>
      </c>
      <c r="E383" s="38" t="inlineStr">
        <is>
          <t>POP</t>
        </is>
      </c>
      <c r="F383" s="38" t="n">
        <v>37</v>
      </c>
    </row>
    <row r="384" ht="15" customHeight="1" s="39">
      <c r="A384" s="38" t="inlineStr">
        <is>
          <t>2021</t>
        </is>
      </c>
      <c r="B384" s="42" t="inlineStr">
        <is>
          <t>430477</t>
        </is>
      </c>
      <c r="C384" s="38" t="inlineStr">
        <is>
          <t>Y076</t>
        </is>
      </c>
      <c r="D384" s="38" t="inlineStr">
        <is>
          <t>TOTAL</t>
        </is>
      </c>
      <c r="E384" s="38" t="inlineStr">
        <is>
          <t>POP</t>
        </is>
      </c>
      <c r="F384" s="38" t="n">
        <v>38</v>
      </c>
    </row>
    <row r="385" ht="15" customHeight="1" s="39">
      <c r="A385" s="38" t="inlineStr">
        <is>
          <t>2021</t>
        </is>
      </c>
      <c r="B385" s="42" t="inlineStr">
        <is>
          <t>430477</t>
        </is>
      </c>
      <c r="C385" s="38" t="inlineStr">
        <is>
          <t>Y077</t>
        </is>
      </c>
      <c r="D385" s="38" t="inlineStr">
        <is>
          <t>TOTAL</t>
        </is>
      </c>
      <c r="E385" s="38" t="inlineStr">
        <is>
          <t>POP</t>
        </is>
      </c>
      <c r="F385" s="38" t="n">
        <v>32</v>
      </c>
    </row>
    <row r="386" ht="15" customHeight="1" s="39">
      <c r="A386" s="38" t="inlineStr">
        <is>
          <t>2021</t>
        </is>
      </c>
      <c r="B386" s="42" t="inlineStr">
        <is>
          <t>430477</t>
        </is>
      </c>
      <c r="C386" s="38" t="inlineStr">
        <is>
          <t>Y078</t>
        </is>
      </c>
      <c r="D386" s="38" t="inlineStr">
        <is>
          <t>TOTAL</t>
        </is>
      </c>
      <c r="E386" s="38" t="inlineStr">
        <is>
          <t>POP</t>
        </is>
      </c>
      <c r="F386" s="38" t="n">
        <v>33</v>
      </c>
    </row>
    <row r="387" ht="15" customHeight="1" s="39">
      <c r="A387" s="38" t="inlineStr">
        <is>
          <t>2021</t>
        </is>
      </c>
      <c r="B387" s="42" t="inlineStr">
        <is>
          <t>430477</t>
        </is>
      </c>
      <c r="C387" s="38" t="inlineStr">
        <is>
          <t>Y079</t>
        </is>
      </c>
      <c r="D387" s="38" t="inlineStr">
        <is>
          <t>TOTAL</t>
        </is>
      </c>
      <c r="E387" s="38" t="inlineStr">
        <is>
          <t>POP</t>
        </is>
      </c>
      <c r="F387" s="38" t="n">
        <v>34</v>
      </c>
    </row>
    <row r="388" ht="15" customHeight="1" s="39">
      <c r="A388" s="38" t="inlineStr">
        <is>
          <t>2021</t>
        </is>
      </c>
      <c r="B388" s="42" t="inlineStr">
        <is>
          <t>430477</t>
        </is>
      </c>
      <c r="C388" s="38" t="inlineStr">
        <is>
          <t>Y080</t>
        </is>
      </c>
      <c r="D388" s="38" t="inlineStr">
        <is>
          <t>TOTAL</t>
        </is>
      </c>
      <c r="E388" s="38" t="inlineStr">
        <is>
          <t>POP</t>
        </is>
      </c>
      <c r="F388" s="38" t="n">
        <v>27</v>
      </c>
    </row>
    <row r="389" ht="15" customHeight="1" s="39">
      <c r="A389" s="38" t="inlineStr">
        <is>
          <t>2021</t>
        </is>
      </c>
      <c r="B389" s="42" t="inlineStr">
        <is>
          <t>430477</t>
        </is>
      </c>
      <c r="C389" s="38" t="inlineStr">
        <is>
          <t>Y081</t>
        </is>
      </c>
      <c r="D389" s="38" t="inlineStr">
        <is>
          <t>TOTAL</t>
        </is>
      </c>
      <c r="E389" s="38" t="inlineStr">
        <is>
          <t>POP</t>
        </is>
      </c>
      <c r="F389" s="38" t="n">
        <v>29</v>
      </c>
    </row>
    <row r="390" ht="15" customHeight="1" s="39">
      <c r="A390" s="38" t="inlineStr">
        <is>
          <t>2021</t>
        </is>
      </c>
      <c r="B390" s="42" t="inlineStr">
        <is>
          <t>430477</t>
        </is>
      </c>
      <c r="C390" s="38" t="inlineStr">
        <is>
          <t>Y082</t>
        </is>
      </c>
      <c r="D390" s="38" t="inlineStr">
        <is>
          <t>TOTAL</t>
        </is>
      </c>
      <c r="E390" s="38" t="inlineStr">
        <is>
          <t>POP</t>
        </is>
      </c>
      <c r="F390" s="38" t="n">
        <v>19</v>
      </c>
    </row>
    <row r="391" ht="15" customHeight="1" s="39">
      <c r="A391" s="38" t="inlineStr">
        <is>
          <t>2021</t>
        </is>
      </c>
      <c r="B391" s="42" t="inlineStr">
        <is>
          <t>430477</t>
        </is>
      </c>
      <c r="C391" s="38" t="inlineStr">
        <is>
          <t>Y083</t>
        </is>
      </c>
      <c r="D391" s="38" t="inlineStr">
        <is>
          <t>TOTAL</t>
        </is>
      </c>
      <c r="E391" s="38" t="inlineStr">
        <is>
          <t>POP</t>
        </is>
      </c>
      <c r="F391" s="38" t="n">
        <v>30</v>
      </c>
    </row>
    <row r="392" ht="15" customHeight="1" s="39">
      <c r="A392" s="38" t="inlineStr">
        <is>
          <t>2021</t>
        </is>
      </c>
      <c r="B392" s="42" t="inlineStr">
        <is>
          <t>430477</t>
        </is>
      </c>
      <c r="C392" s="38" t="inlineStr">
        <is>
          <t>Y084</t>
        </is>
      </c>
      <c r="D392" s="38" t="inlineStr">
        <is>
          <t>TOTAL</t>
        </is>
      </c>
      <c r="E392" s="38" t="inlineStr">
        <is>
          <t>POP</t>
        </is>
      </c>
      <c r="F392" s="38" t="n">
        <v>29</v>
      </c>
    </row>
    <row r="393" ht="15" customHeight="1" s="39">
      <c r="A393" s="38" t="inlineStr">
        <is>
          <t>2021</t>
        </is>
      </c>
      <c r="B393" s="42" t="inlineStr">
        <is>
          <t>430477</t>
        </is>
      </c>
      <c r="C393" s="38" t="inlineStr">
        <is>
          <t>Y085</t>
        </is>
      </c>
      <c r="D393" s="38" t="inlineStr">
        <is>
          <t>TOTAL</t>
        </is>
      </c>
      <c r="E393" s="38" t="inlineStr">
        <is>
          <t>POP</t>
        </is>
      </c>
      <c r="F393" s="38" t="n">
        <v>20</v>
      </c>
    </row>
    <row r="394" ht="15" customHeight="1" s="39">
      <c r="A394" s="38" t="inlineStr">
        <is>
          <t>2021</t>
        </is>
      </c>
      <c r="B394" s="42" t="inlineStr">
        <is>
          <t>430477</t>
        </is>
      </c>
      <c r="C394" s="38" t="inlineStr">
        <is>
          <t>Y086</t>
        </is>
      </c>
      <c r="D394" s="38" t="inlineStr">
        <is>
          <t>TOTAL</t>
        </is>
      </c>
      <c r="E394" s="38" t="inlineStr">
        <is>
          <t>POP</t>
        </is>
      </c>
      <c r="F394" s="38" t="n">
        <v>18</v>
      </c>
    </row>
    <row r="395" ht="15" customHeight="1" s="39">
      <c r="A395" s="38" t="inlineStr">
        <is>
          <t>2021</t>
        </is>
      </c>
      <c r="B395" s="42" t="inlineStr">
        <is>
          <t>430477</t>
        </is>
      </c>
      <c r="C395" s="38" t="inlineStr">
        <is>
          <t>Y087</t>
        </is>
      </c>
      <c r="D395" s="38" t="inlineStr">
        <is>
          <t>TOTAL</t>
        </is>
      </c>
      <c r="E395" s="38" t="inlineStr">
        <is>
          <t>POP</t>
        </is>
      </c>
      <c r="F395" s="38" t="n">
        <v>17</v>
      </c>
    </row>
    <row r="396" ht="15" customHeight="1" s="39">
      <c r="A396" s="38" t="inlineStr">
        <is>
          <t>2021</t>
        </is>
      </c>
      <c r="B396" s="42" t="inlineStr">
        <is>
          <t>430477</t>
        </is>
      </c>
      <c r="C396" s="38" t="inlineStr">
        <is>
          <t>Y088</t>
        </is>
      </c>
      <c r="D396" s="38" t="inlineStr">
        <is>
          <t>TOTAL</t>
        </is>
      </c>
      <c r="E396" s="38" t="inlineStr">
        <is>
          <t>POP</t>
        </is>
      </c>
      <c r="F396" s="38" t="n">
        <v>13</v>
      </c>
    </row>
    <row r="397" ht="15" customHeight="1" s="39">
      <c r="A397" s="38" t="inlineStr">
        <is>
          <t>2021</t>
        </is>
      </c>
      <c r="B397" s="42" t="inlineStr">
        <is>
          <t>430477</t>
        </is>
      </c>
      <c r="C397" s="38" t="inlineStr">
        <is>
          <t>Y089</t>
        </is>
      </c>
      <c r="D397" s="38" t="inlineStr">
        <is>
          <t>TOTAL</t>
        </is>
      </c>
      <c r="E397" s="38" t="inlineStr">
        <is>
          <t>POP</t>
        </is>
      </c>
      <c r="F397" s="38" t="n">
        <v>11</v>
      </c>
    </row>
    <row r="398" ht="15" customHeight="1" s="39">
      <c r="A398" s="38" t="inlineStr">
        <is>
          <t>2021</t>
        </is>
      </c>
      <c r="B398" s="42" t="inlineStr">
        <is>
          <t>430477</t>
        </is>
      </c>
      <c r="C398" s="38" t="inlineStr">
        <is>
          <t>Y090</t>
        </is>
      </c>
      <c r="D398" s="38" t="inlineStr">
        <is>
          <t>TOTAL</t>
        </is>
      </c>
      <c r="E398" s="38" t="inlineStr">
        <is>
          <t>POP</t>
        </is>
      </c>
      <c r="F398" s="38" t="n">
        <v>13</v>
      </c>
    </row>
    <row r="399" ht="15" customHeight="1" s="39">
      <c r="A399" s="38" t="inlineStr">
        <is>
          <t>2021</t>
        </is>
      </c>
      <c r="B399" s="42" t="inlineStr">
        <is>
          <t>430477</t>
        </is>
      </c>
      <c r="C399" s="38" t="inlineStr">
        <is>
          <t>Y091</t>
        </is>
      </c>
      <c r="D399" s="38" t="inlineStr">
        <is>
          <t>TOTAL</t>
        </is>
      </c>
      <c r="E399" s="38" t="inlineStr">
        <is>
          <t>POP</t>
        </is>
      </c>
      <c r="F399" s="38" t="n">
        <v>8</v>
      </c>
    </row>
    <row r="400" ht="15" customHeight="1" s="39">
      <c r="A400" s="38" t="inlineStr">
        <is>
          <t>2021</t>
        </is>
      </c>
      <c r="B400" s="42" t="inlineStr">
        <is>
          <t>430477</t>
        </is>
      </c>
      <c r="C400" s="38" t="inlineStr">
        <is>
          <t>Y092</t>
        </is>
      </c>
      <c r="D400" s="38" t="inlineStr">
        <is>
          <t>TOTAL</t>
        </is>
      </c>
      <c r="E400" s="38" t="inlineStr">
        <is>
          <t>POP</t>
        </is>
      </c>
      <c r="F400" s="38" t="n">
        <v>6</v>
      </c>
    </row>
    <row r="401" ht="15" customHeight="1" s="39">
      <c r="A401" s="38" t="inlineStr">
        <is>
          <t>2021</t>
        </is>
      </c>
      <c r="B401" s="42" t="inlineStr">
        <is>
          <t>430477</t>
        </is>
      </c>
      <c r="C401" s="38" t="inlineStr">
        <is>
          <t>Y093</t>
        </is>
      </c>
      <c r="D401" s="38" t="inlineStr">
        <is>
          <t>TOTAL</t>
        </is>
      </c>
      <c r="E401" s="38" t="inlineStr">
        <is>
          <t>POP</t>
        </is>
      </c>
      <c r="F401" s="38" t="n">
        <v>8</v>
      </c>
    </row>
    <row r="402" ht="15" customHeight="1" s="39">
      <c r="A402" s="38" t="inlineStr">
        <is>
          <t>2021</t>
        </is>
      </c>
      <c r="B402" s="42" t="inlineStr">
        <is>
          <t>430477</t>
        </is>
      </c>
      <c r="C402" s="38" t="inlineStr">
        <is>
          <t>Y094</t>
        </is>
      </c>
      <c r="D402" s="38" t="inlineStr">
        <is>
          <t>TOTAL</t>
        </is>
      </c>
      <c r="E402" s="38" t="inlineStr">
        <is>
          <t>POP</t>
        </is>
      </c>
      <c r="F402" s="38" t="n">
        <v>3</v>
      </c>
    </row>
    <row r="403" ht="15" customHeight="1" s="39">
      <c r="A403" s="38" t="inlineStr">
        <is>
          <t>2021</t>
        </is>
      </c>
      <c r="B403" s="42" t="inlineStr">
        <is>
          <t>430477</t>
        </is>
      </c>
      <c r="C403" s="38" t="inlineStr">
        <is>
          <t>Y095</t>
        </is>
      </c>
      <c r="D403" s="38" t="inlineStr">
        <is>
          <t>TOTAL</t>
        </is>
      </c>
      <c r="E403" s="38" t="inlineStr">
        <is>
          <t>POP</t>
        </is>
      </c>
      <c r="F403" s="38" t="n">
        <v>0</v>
      </c>
    </row>
    <row r="404" ht="15" customHeight="1" s="39">
      <c r="A404" s="38" t="inlineStr">
        <is>
          <t>2021</t>
        </is>
      </c>
      <c r="B404" s="42" t="inlineStr">
        <is>
          <t>430477</t>
        </is>
      </c>
      <c r="C404" s="38" t="inlineStr">
        <is>
          <t>Y096</t>
        </is>
      </c>
      <c r="D404" s="38" t="inlineStr">
        <is>
          <t>TOTAL</t>
        </is>
      </c>
      <c r="E404" s="38" t="inlineStr">
        <is>
          <t>POP</t>
        </is>
      </c>
      <c r="F404" s="38" t="n">
        <v>3</v>
      </c>
    </row>
    <row r="405" ht="15" customHeight="1" s="39">
      <c r="A405" s="38" t="inlineStr">
        <is>
          <t>2021</t>
        </is>
      </c>
      <c r="B405" s="42" t="inlineStr">
        <is>
          <t>430477</t>
        </is>
      </c>
      <c r="C405" s="38" t="inlineStr">
        <is>
          <t>Y097</t>
        </is>
      </c>
      <c r="D405" s="38" t="inlineStr">
        <is>
          <t>TOTAL</t>
        </is>
      </c>
      <c r="E405" s="38" t="inlineStr">
        <is>
          <t>POP</t>
        </is>
      </c>
      <c r="F405" s="38" t="n">
        <v>0</v>
      </c>
    </row>
    <row r="406" ht="15" customHeight="1" s="39">
      <c r="A406" s="38" t="inlineStr">
        <is>
          <t>2021</t>
        </is>
      </c>
      <c r="B406" s="42" t="inlineStr">
        <is>
          <t>430477</t>
        </is>
      </c>
      <c r="C406" s="38" t="inlineStr">
        <is>
          <t>Y098</t>
        </is>
      </c>
      <c r="D406" s="38" t="inlineStr">
        <is>
          <t>TOTAL</t>
        </is>
      </c>
      <c r="E406" s="38" t="inlineStr">
        <is>
          <t>POP</t>
        </is>
      </c>
      <c r="F406" s="38" t="n">
        <v>1</v>
      </c>
    </row>
    <row r="407" ht="15" customHeight="1" s="39">
      <c r="A407" s="38" t="inlineStr">
        <is>
          <t>2021</t>
        </is>
      </c>
      <c r="B407" s="42" t="inlineStr">
        <is>
          <t>430477</t>
        </is>
      </c>
      <c r="C407" s="38" t="inlineStr">
        <is>
          <t>Y099</t>
        </is>
      </c>
      <c r="D407" s="38" t="inlineStr">
        <is>
          <t>TOTAL</t>
        </is>
      </c>
      <c r="E407" s="38" t="inlineStr">
        <is>
          <t>POP</t>
        </is>
      </c>
      <c r="F407" s="38" t="n">
        <v>2</v>
      </c>
    </row>
    <row r="408" ht="15" customHeight="1" s="39">
      <c r="A408" s="38" t="inlineStr">
        <is>
          <t>2021</t>
        </is>
      </c>
      <c r="B408" s="42" t="inlineStr">
        <is>
          <t>430477</t>
        </is>
      </c>
      <c r="C408" s="38" t="inlineStr">
        <is>
          <t>Y_GE100</t>
        </is>
      </c>
      <c r="D408" s="38" t="inlineStr">
        <is>
          <t>TOTAL</t>
        </is>
      </c>
      <c r="E408" s="38" t="inlineStr">
        <is>
          <t>POP</t>
        </is>
      </c>
      <c r="F408" s="38" t="n">
        <v>0</v>
      </c>
    </row>
    <row r="409" ht="15" customHeight="1" s="39">
      <c r="A409" s="38" t="inlineStr">
        <is>
          <t>2021</t>
        </is>
      </c>
      <c r="B409" s="42" t="inlineStr">
        <is>
          <t>430477</t>
        </is>
      </c>
      <c r="C409" s="38" t="inlineStr">
        <is>
          <t>TOTAL</t>
        </is>
      </c>
      <c r="D409" s="38" t="inlineStr">
        <is>
          <t>TOTAL</t>
        </is>
      </c>
      <c r="E409" s="38" t="inlineStr">
        <is>
          <t>POP</t>
        </is>
      </c>
      <c r="F409" s="38" t="n">
        <v>6761</v>
      </c>
    </row>
    <row r="410" ht="15" customHeight="1" s="39">
      <c r="A410" s="38" t="inlineStr">
        <is>
          <t>2021</t>
        </is>
      </c>
      <c r="B410" s="42" t="inlineStr">
        <is>
          <t>430509</t>
        </is>
      </c>
      <c r="C410" s="38" t="inlineStr">
        <is>
          <t>Y000</t>
        </is>
      </c>
      <c r="D410" s="38" t="inlineStr">
        <is>
          <t>TOTAL</t>
        </is>
      </c>
      <c r="E410" s="38" t="inlineStr">
        <is>
          <t>POP</t>
        </is>
      </c>
      <c r="F410" s="38" t="n">
        <v>32</v>
      </c>
    </row>
    <row r="411" ht="15" customHeight="1" s="39">
      <c r="A411" s="38" t="inlineStr">
        <is>
          <t>2021</t>
        </is>
      </c>
      <c r="B411" s="42" t="inlineStr">
        <is>
          <t>430509</t>
        </is>
      </c>
      <c r="C411" s="38" t="inlineStr">
        <is>
          <t>Y001</t>
        </is>
      </c>
      <c r="D411" s="38" t="inlineStr">
        <is>
          <t>TOTAL</t>
        </is>
      </c>
      <c r="E411" s="38" t="inlineStr">
        <is>
          <t>POP</t>
        </is>
      </c>
      <c r="F411" s="38" t="n">
        <v>31</v>
      </c>
    </row>
    <row r="412" ht="15" customHeight="1" s="39">
      <c r="A412" s="38" t="inlineStr">
        <is>
          <t>2021</t>
        </is>
      </c>
      <c r="B412" s="42" t="inlineStr">
        <is>
          <t>430509</t>
        </is>
      </c>
      <c r="C412" s="38" t="inlineStr">
        <is>
          <t>Y002</t>
        </is>
      </c>
      <c r="D412" s="38" t="inlineStr">
        <is>
          <t>TOTAL</t>
        </is>
      </c>
      <c r="E412" s="38" t="inlineStr">
        <is>
          <t>POP</t>
        </is>
      </c>
      <c r="F412" s="38" t="n">
        <v>41</v>
      </c>
    </row>
    <row r="413" ht="15" customHeight="1" s="39">
      <c r="A413" s="38" t="inlineStr">
        <is>
          <t>2021</t>
        </is>
      </c>
      <c r="B413" s="42" t="inlineStr">
        <is>
          <t>430509</t>
        </is>
      </c>
      <c r="C413" s="38" t="inlineStr">
        <is>
          <t>Y003</t>
        </is>
      </c>
      <c r="D413" s="38" t="inlineStr">
        <is>
          <t>TOTAL</t>
        </is>
      </c>
      <c r="E413" s="38" t="inlineStr">
        <is>
          <t>POP</t>
        </is>
      </c>
      <c r="F413" s="38" t="n">
        <v>39</v>
      </c>
    </row>
    <row r="414" ht="15" customHeight="1" s="39">
      <c r="A414" s="38" t="inlineStr">
        <is>
          <t>2021</t>
        </is>
      </c>
      <c r="B414" s="42" t="inlineStr">
        <is>
          <t>430509</t>
        </is>
      </c>
      <c r="C414" s="38" t="inlineStr">
        <is>
          <t>Y004</t>
        </is>
      </c>
      <c r="D414" s="38" t="inlineStr">
        <is>
          <t>TOTAL</t>
        </is>
      </c>
      <c r="E414" s="38" t="inlineStr">
        <is>
          <t>POP</t>
        </is>
      </c>
      <c r="F414" s="38" t="n">
        <v>40</v>
      </c>
    </row>
    <row r="415" ht="15" customHeight="1" s="39">
      <c r="A415" s="38" t="inlineStr">
        <is>
          <t>2021</t>
        </is>
      </c>
      <c r="B415" s="42" t="inlineStr">
        <is>
          <t>430509</t>
        </is>
      </c>
      <c r="C415" s="38" t="inlineStr">
        <is>
          <t>Y005</t>
        </is>
      </c>
      <c r="D415" s="38" t="inlineStr">
        <is>
          <t>TOTAL</t>
        </is>
      </c>
      <c r="E415" s="38" t="inlineStr">
        <is>
          <t>POP</t>
        </is>
      </c>
      <c r="F415" s="38" t="n">
        <v>39</v>
      </c>
    </row>
    <row r="416" ht="15" customHeight="1" s="39">
      <c r="A416" s="38" t="inlineStr">
        <is>
          <t>2021</t>
        </is>
      </c>
      <c r="B416" s="42" t="inlineStr">
        <is>
          <t>430509</t>
        </is>
      </c>
      <c r="C416" s="38" t="inlineStr">
        <is>
          <t>Y006</t>
        </is>
      </c>
      <c r="D416" s="38" t="inlineStr">
        <is>
          <t>TOTAL</t>
        </is>
      </c>
      <c r="E416" s="38" t="inlineStr">
        <is>
          <t>POP</t>
        </is>
      </c>
      <c r="F416" s="38" t="n">
        <v>32</v>
      </c>
    </row>
    <row r="417" ht="15" customHeight="1" s="39">
      <c r="A417" s="38" t="inlineStr">
        <is>
          <t>2021</t>
        </is>
      </c>
      <c r="B417" s="42" t="inlineStr">
        <is>
          <t>430509</t>
        </is>
      </c>
      <c r="C417" s="38" t="inlineStr">
        <is>
          <t>Y007</t>
        </is>
      </c>
      <c r="D417" s="38" t="inlineStr">
        <is>
          <t>TOTAL</t>
        </is>
      </c>
      <c r="E417" s="38" t="inlineStr">
        <is>
          <t>POP</t>
        </is>
      </c>
      <c r="F417" s="38" t="n">
        <v>39</v>
      </c>
    </row>
    <row r="418" ht="15" customHeight="1" s="39">
      <c r="A418" s="38" t="inlineStr">
        <is>
          <t>2021</t>
        </is>
      </c>
      <c r="B418" s="42" t="inlineStr">
        <is>
          <t>430509</t>
        </is>
      </c>
      <c r="C418" s="38" t="inlineStr">
        <is>
          <t>Y008</t>
        </is>
      </c>
      <c r="D418" s="38" t="inlineStr">
        <is>
          <t>TOTAL</t>
        </is>
      </c>
      <c r="E418" s="38" t="inlineStr">
        <is>
          <t>POP</t>
        </is>
      </c>
      <c r="F418" s="38" t="n">
        <v>42</v>
      </c>
    </row>
    <row r="419" ht="15" customHeight="1" s="39">
      <c r="A419" s="38" t="inlineStr">
        <is>
          <t>2021</t>
        </is>
      </c>
      <c r="B419" s="42" t="inlineStr">
        <is>
          <t>430509</t>
        </is>
      </c>
      <c r="C419" s="38" t="inlineStr">
        <is>
          <t>Y009</t>
        </is>
      </c>
      <c r="D419" s="38" t="inlineStr">
        <is>
          <t>TOTAL</t>
        </is>
      </c>
      <c r="E419" s="38" t="inlineStr">
        <is>
          <t>POP</t>
        </is>
      </c>
      <c r="F419" s="38" t="n">
        <v>32</v>
      </c>
    </row>
    <row r="420" ht="15" customHeight="1" s="39">
      <c r="A420" s="38" t="inlineStr">
        <is>
          <t>2021</t>
        </is>
      </c>
      <c r="B420" s="42" t="inlineStr">
        <is>
          <t>430509</t>
        </is>
      </c>
      <c r="C420" s="38" t="inlineStr">
        <is>
          <t>Y010</t>
        </is>
      </c>
      <c r="D420" s="38" t="inlineStr">
        <is>
          <t>TOTAL</t>
        </is>
      </c>
      <c r="E420" s="38" t="inlineStr">
        <is>
          <t>POP</t>
        </is>
      </c>
      <c r="F420" s="38" t="n">
        <v>36</v>
      </c>
    </row>
    <row r="421" ht="15" customHeight="1" s="39">
      <c r="A421" s="38" t="inlineStr">
        <is>
          <t>2021</t>
        </is>
      </c>
      <c r="B421" s="42" t="inlineStr">
        <is>
          <t>430509</t>
        </is>
      </c>
      <c r="C421" s="38" t="inlineStr">
        <is>
          <t>Y011</t>
        </is>
      </c>
      <c r="D421" s="38" t="inlineStr">
        <is>
          <t>TOTAL</t>
        </is>
      </c>
      <c r="E421" s="38" t="inlineStr">
        <is>
          <t>POP</t>
        </is>
      </c>
      <c r="F421" s="38" t="n">
        <v>46</v>
      </c>
    </row>
    <row r="422" ht="15" customHeight="1" s="39">
      <c r="A422" s="38" t="inlineStr">
        <is>
          <t>2021</t>
        </is>
      </c>
      <c r="B422" s="42" t="inlineStr">
        <is>
          <t>430509</t>
        </is>
      </c>
      <c r="C422" s="38" t="inlineStr">
        <is>
          <t>Y012</t>
        </is>
      </c>
      <c r="D422" s="38" t="inlineStr">
        <is>
          <t>TOTAL</t>
        </is>
      </c>
      <c r="E422" s="38" t="inlineStr">
        <is>
          <t>POP</t>
        </is>
      </c>
      <c r="F422" s="38" t="n">
        <v>48</v>
      </c>
    </row>
    <row r="423" ht="15" customHeight="1" s="39">
      <c r="A423" s="38" t="inlineStr">
        <is>
          <t>2021</t>
        </is>
      </c>
      <c r="B423" s="42" t="inlineStr">
        <is>
          <t>430509</t>
        </is>
      </c>
      <c r="C423" s="38" t="inlineStr">
        <is>
          <t>Y013</t>
        </is>
      </c>
      <c r="D423" s="38" t="inlineStr">
        <is>
          <t>TOTAL</t>
        </is>
      </c>
      <c r="E423" s="38" t="inlineStr">
        <is>
          <t>POP</t>
        </is>
      </c>
      <c r="F423" s="38" t="n">
        <v>24</v>
      </c>
    </row>
    <row r="424" ht="15" customHeight="1" s="39">
      <c r="A424" s="38" t="inlineStr">
        <is>
          <t>2021</t>
        </is>
      </c>
      <c r="B424" s="42" t="inlineStr">
        <is>
          <t>430509</t>
        </is>
      </c>
      <c r="C424" s="38" t="inlineStr">
        <is>
          <t>Y014</t>
        </is>
      </c>
      <c r="D424" s="38" t="inlineStr">
        <is>
          <t>TOTAL</t>
        </is>
      </c>
      <c r="E424" s="38" t="inlineStr">
        <is>
          <t>POP</t>
        </is>
      </c>
      <c r="F424" s="38" t="n">
        <v>43</v>
      </c>
    </row>
    <row r="425" ht="15" customHeight="1" s="39">
      <c r="A425" s="38" t="inlineStr">
        <is>
          <t>2021</t>
        </is>
      </c>
      <c r="B425" s="42" t="inlineStr">
        <is>
          <t>430509</t>
        </is>
      </c>
      <c r="C425" s="38" t="inlineStr">
        <is>
          <t>Y015</t>
        </is>
      </c>
      <c r="D425" s="38" t="inlineStr">
        <is>
          <t>TOTAL</t>
        </is>
      </c>
      <c r="E425" s="38" t="inlineStr">
        <is>
          <t>POP</t>
        </is>
      </c>
      <c r="F425" s="38" t="n">
        <v>32</v>
      </c>
    </row>
    <row r="426" ht="15" customHeight="1" s="39">
      <c r="A426" s="38" t="inlineStr">
        <is>
          <t>2021</t>
        </is>
      </c>
      <c r="B426" s="42" t="inlineStr">
        <is>
          <t>430509</t>
        </is>
      </c>
      <c r="C426" s="38" t="inlineStr">
        <is>
          <t>Y016</t>
        </is>
      </c>
      <c r="D426" s="38" t="inlineStr">
        <is>
          <t>TOTAL</t>
        </is>
      </c>
      <c r="E426" s="38" t="inlineStr">
        <is>
          <t>POP</t>
        </is>
      </c>
      <c r="F426" s="38" t="n">
        <v>31</v>
      </c>
    </row>
    <row r="427" ht="15" customHeight="1" s="39">
      <c r="A427" s="38" t="inlineStr">
        <is>
          <t>2021</t>
        </is>
      </c>
      <c r="B427" s="42" t="inlineStr">
        <is>
          <t>430509</t>
        </is>
      </c>
      <c r="C427" s="38" t="inlineStr">
        <is>
          <t>Y017</t>
        </is>
      </c>
      <c r="D427" s="38" t="inlineStr">
        <is>
          <t>TOTAL</t>
        </is>
      </c>
      <c r="E427" s="38" t="inlineStr">
        <is>
          <t>POP</t>
        </is>
      </c>
      <c r="F427" s="38" t="n">
        <v>39</v>
      </c>
    </row>
    <row r="428" ht="15" customHeight="1" s="39">
      <c r="A428" s="38" t="inlineStr">
        <is>
          <t>2021</t>
        </is>
      </c>
      <c r="B428" s="42" t="inlineStr">
        <is>
          <t>430509</t>
        </is>
      </c>
      <c r="C428" s="38" t="inlineStr">
        <is>
          <t>Y018</t>
        </is>
      </c>
      <c r="D428" s="38" t="inlineStr">
        <is>
          <t>TOTAL</t>
        </is>
      </c>
      <c r="E428" s="38" t="inlineStr">
        <is>
          <t>POP</t>
        </is>
      </c>
      <c r="F428" s="38" t="n">
        <v>28</v>
      </c>
    </row>
    <row r="429" ht="15" customHeight="1" s="39">
      <c r="A429" s="38" t="inlineStr">
        <is>
          <t>2021</t>
        </is>
      </c>
      <c r="B429" s="42" t="inlineStr">
        <is>
          <t>430509</t>
        </is>
      </c>
      <c r="C429" s="38" t="inlineStr">
        <is>
          <t>Y019</t>
        </is>
      </c>
      <c r="D429" s="38" t="inlineStr">
        <is>
          <t>TOTAL</t>
        </is>
      </c>
      <c r="E429" s="38" t="inlineStr">
        <is>
          <t>POP</t>
        </is>
      </c>
      <c r="F429" s="38" t="n">
        <v>32</v>
      </c>
    </row>
    <row r="430" ht="15" customHeight="1" s="39">
      <c r="A430" s="38" t="inlineStr">
        <is>
          <t>2021</t>
        </is>
      </c>
      <c r="B430" s="42" t="inlineStr">
        <is>
          <t>430509</t>
        </is>
      </c>
      <c r="C430" s="38" t="inlineStr">
        <is>
          <t>Y020</t>
        </is>
      </c>
      <c r="D430" s="38" t="inlineStr">
        <is>
          <t>TOTAL</t>
        </is>
      </c>
      <c r="E430" s="38" t="inlineStr">
        <is>
          <t>POP</t>
        </is>
      </c>
      <c r="F430" s="38" t="n">
        <v>41</v>
      </c>
    </row>
    <row r="431" ht="15" customHeight="1" s="39">
      <c r="A431" s="38" t="inlineStr">
        <is>
          <t>2021</t>
        </is>
      </c>
      <c r="B431" s="42" t="inlineStr">
        <is>
          <t>430509</t>
        </is>
      </c>
      <c r="C431" s="38" t="inlineStr">
        <is>
          <t>Y021</t>
        </is>
      </c>
      <c r="D431" s="38" t="inlineStr">
        <is>
          <t>TOTAL</t>
        </is>
      </c>
      <c r="E431" s="38" t="inlineStr">
        <is>
          <t>POP</t>
        </is>
      </c>
      <c r="F431" s="38" t="n">
        <v>29</v>
      </c>
    </row>
    <row r="432" ht="15" customHeight="1" s="39">
      <c r="A432" s="38" t="inlineStr">
        <is>
          <t>2021</t>
        </is>
      </c>
      <c r="B432" s="42" t="inlineStr">
        <is>
          <t>430509</t>
        </is>
      </c>
      <c r="C432" s="38" t="inlineStr">
        <is>
          <t>Y022</t>
        </is>
      </c>
      <c r="D432" s="38" t="inlineStr">
        <is>
          <t>TOTAL</t>
        </is>
      </c>
      <c r="E432" s="38" t="inlineStr">
        <is>
          <t>POP</t>
        </is>
      </c>
      <c r="F432" s="38" t="n">
        <v>41</v>
      </c>
    </row>
    <row r="433" ht="15" customHeight="1" s="39">
      <c r="A433" s="38" t="inlineStr">
        <is>
          <t>2021</t>
        </is>
      </c>
      <c r="B433" s="42" t="inlineStr">
        <is>
          <t>430509</t>
        </is>
      </c>
      <c r="C433" s="38" t="inlineStr">
        <is>
          <t>Y023</t>
        </is>
      </c>
      <c r="D433" s="38" t="inlineStr">
        <is>
          <t>TOTAL</t>
        </is>
      </c>
      <c r="E433" s="38" t="inlineStr">
        <is>
          <t>POP</t>
        </is>
      </c>
      <c r="F433" s="38" t="n">
        <v>37</v>
      </c>
    </row>
    <row r="434" ht="15" customHeight="1" s="39">
      <c r="A434" s="38" t="inlineStr">
        <is>
          <t>2021</t>
        </is>
      </c>
      <c r="B434" s="42" t="inlineStr">
        <is>
          <t>430509</t>
        </is>
      </c>
      <c r="C434" s="38" t="inlineStr">
        <is>
          <t>Y024</t>
        </is>
      </c>
      <c r="D434" s="38" t="inlineStr">
        <is>
          <t>TOTAL</t>
        </is>
      </c>
      <c r="E434" s="38" t="inlineStr">
        <is>
          <t>POP</t>
        </is>
      </c>
      <c r="F434" s="38" t="n">
        <v>28</v>
      </c>
    </row>
    <row r="435" ht="15" customHeight="1" s="39">
      <c r="A435" s="38" t="inlineStr">
        <is>
          <t>2021</t>
        </is>
      </c>
      <c r="B435" s="42" t="inlineStr">
        <is>
          <t>430509</t>
        </is>
      </c>
      <c r="C435" s="38" t="inlineStr">
        <is>
          <t>Y025</t>
        </is>
      </c>
      <c r="D435" s="38" t="inlineStr">
        <is>
          <t>TOTAL</t>
        </is>
      </c>
      <c r="E435" s="38" t="inlineStr">
        <is>
          <t>POP</t>
        </is>
      </c>
      <c r="F435" s="38" t="n">
        <v>34</v>
      </c>
    </row>
    <row r="436" ht="15" customHeight="1" s="39">
      <c r="A436" s="38" t="inlineStr">
        <is>
          <t>2021</t>
        </is>
      </c>
      <c r="B436" s="42" t="inlineStr">
        <is>
          <t>430509</t>
        </is>
      </c>
      <c r="C436" s="38" t="inlineStr">
        <is>
          <t>Y026</t>
        </is>
      </c>
      <c r="D436" s="38" t="inlineStr">
        <is>
          <t>TOTAL</t>
        </is>
      </c>
      <c r="E436" s="38" t="inlineStr">
        <is>
          <t>POP</t>
        </is>
      </c>
      <c r="F436" s="38" t="n">
        <v>34</v>
      </c>
    </row>
    <row r="437" ht="15" customHeight="1" s="39">
      <c r="A437" s="38" t="inlineStr">
        <is>
          <t>2021</t>
        </is>
      </c>
      <c r="B437" s="42" t="inlineStr">
        <is>
          <t>430509</t>
        </is>
      </c>
      <c r="C437" s="38" t="inlineStr">
        <is>
          <t>Y027</t>
        </is>
      </c>
      <c r="D437" s="38" t="inlineStr">
        <is>
          <t>TOTAL</t>
        </is>
      </c>
      <c r="E437" s="38" t="inlineStr">
        <is>
          <t>POP</t>
        </is>
      </c>
      <c r="F437" s="38" t="n">
        <v>31</v>
      </c>
    </row>
    <row r="438" ht="15" customHeight="1" s="39">
      <c r="A438" s="38" t="inlineStr">
        <is>
          <t>2021</t>
        </is>
      </c>
      <c r="B438" s="42" t="inlineStr">
        <is>
          <t>430509</t>
        </is>
      </c>
      <c r="C438" s="38" t="inlineStr">
        <is>
          <t>Y028</t>
        </is>
      </c>
      <c r="D438" s="38" t="inlineStr">
        <is>
          <t>TOTAL</t>
        </is>
      </c>
      <c r="E438" s="38" t="inlineStr">
        <is>
          <t>POP</t>
        </is>
      </c>
      <c r="F438" s="38" t="n">
        <v>37</v>
      </c>
    </row>
    <row r="439" ht="15" customHeight="1" s="39">
      <c r="A439" s="38" t="inlineStr">
        <is>
          <t>2021</t>
        </is>
      </c>
      <c r="B439" s="42" t="inlineStr">
        <is>
          <t>430509</t>
        </is>
      </c>
      <c r="C439" s="38" t="inlineStr">
        <is>
          <t>Y029</t>
        </is>
      </c>
      <c r="D439" s="38" t="inlineStr">
        <is>
          <t>TOTAL</t>
        </is>
      </c>
      <c r="E439" s="38" t="inlineStr">
        <is>
          <t>POP</t>
        </is>
      </c>
      <c r="F439" s="38" t="n">
        <v>42</v>
      </c>
    </row>
    <row r="440" ht="15" customHeight="1" s="39">
      <c r="A440" s="38" t="inlineStr">
        <is>
          <t>2021</t>
        </is>
      </c>
      <c r="B440" s="42" t="inlineStr">
        <is>
          <t>430509</t>
        </is>
      </c>
      <c r="C440" s="38" t="inlineStr">
        <is>
          <t>Y030</t>
        </is>
      </c>
      <c r="D440" s="38" t="inlineStr">
        <is>
          <t>TOTAL</t>
        </is>
      </c>
      <c r="E440" s="38" t="inlineStr">
        <is>
          <t>POP</t>
        </is>
      </c>
      <c r="F440" s="38" t="n">
        <v>40</v>
      </c>
    </row>
    <row r="441" ht="15" customHeight="1" s="39">
      <c r="A441" s="38" t="inlineStr">
        <is>
          <t>2021</t>
        </is>
      </c>
      <c r="B441" s="42" t="inlineStr">
        <is>
          <t>430509</t>
        </is>
      </c>
      <c r="C441" s="38" t="inlineStr">
        <is>
          <t>Y031</t>
        </is>
      </c>
      <c r="D441" s="38" t="inlineStr">
        <is>
          <t>TOTAL</t>
        </is>
      </c>
      <c r="E441" s="38" t="inlineStr">
        <is>
          <t>POP</t>
        </is>
      </c>
      <c r="F441" s="38" t="n">
        <v>43</v>
      </c>
    </row>
    <row r="442" ht="15" customHeight="1" s="39">
      <c r="A442" s="38" t="inlineStr">
        <is>
          <t>2021</t>
        </is>
      </c>
      <c r="B442" s="42" t="inlineStr">
        <is>
          <t>430509</t>
        </is>
      </c>
      <c r="C442" s="38" t="inlineStr">
        <is>
          <t>Y032</t>
        </is>
      </c>
      <c r="D442" s="38" t="inlineStr">
        <is>
          <t>TOTAL</t>
        </is>
      </c>
      <c r="E442" s="38" t="inlineStr">
        <is>
          <t>POP</t>
        </is>
      </c>
      <c r="F442" s="38" t="n">
        <v>34</v>
      </c>
    </row>
    <row r="443" ht="15" customHeight="1" s="39">
      <c r="A443" s="38" t="inlineStr">
        <is>
          <t>2021</t>
        </is>
      </c>
      <c r="B443" s="42" t="inlineStr">
        <is>
          <t>430509</t>
        </is>
      </c>
      <c r="C443" s="38" t="inlineStr">
        <is>
          <t>Y033</t>
        </is>
      </c>
      <c r="D443" s="38" t="inlineStr">
        <is>
          <t>TOTAL</t>
        </is>
      </c>
      <c r="E443" s="38" t="inlineStr">
        <is>
          <t>POP</t>
        </is>
      </c>
      <c r="F443" s="38" t="n">
        <v>53</v>
      </c>
    </row>
    <row r="444" ht="15" customHeight="1" s="39">
      <c r="A444" s="38" t="inlineStr">
        <is>
          <t>2021</t>
        </is>
      </c>
      <c r="B444" s="42" t="inlineStr">
        <is>
          <t>430509</t>
        </is>
      </c>
      <c r="C444" s="38" t="inlineStr">
        <is>
          <t>Y034</t>
        </is>
      </c>
      <c r="D444" s="38" t="inlineStr">
        <is>
          <t>TOTAL</t>
        </is>
      </c>
      <c r="E444" s="38" t="inlineStr">
        <is>
          <t>POP</t>
        </is>
      </c>
      <c r="F444" s="38" t="n">
        <v>44</v>
      </c>
    </row>
    <row r="445" ht="15" customHeight="1" s="39">
      <c r="A445" s="38" t="inlineStr">
        <is>
          <t>2021</t>
        </is>
      </c>
      <c r="B445" s="42" t="inlineStr">
        <is>
          <t>430509</t>
        </is>
      </c>
      <c r="C445" s="38" t="inlineStr">
        <is>
          <t>Y035</t>
        </is>
      </c>
      <c r="D445" s="38" t="inlineStr">
        <is>
          <t>TOTAL</t>
        </is>
      </c>
      <c r="E445" s="38" t="inlineStr">
        <is>
          <t>POP</t>
        </is>
      </c>
      <c r="F445" s="38" t="n">
        <v>45</v>
      </c>
    </row>
    <row r="446" ht="15" customHeight="1" s="39">
      <c r="A446" s="38" t="inlineStr">
        <is>
          <t>2021</t>
        </is>
      </c>
      <c r="B446" s="42" t="inlineStr">
        <is>
          <t>430509</t>
        </is>
      </c>
      <c r="C446" s="38" t="inlineStr">
        <is>
          <t>Y036</t>
        </is>
      </c>
      <c r="D446" s="38" t="inlineStr">
        <is>
          <t>TOTAL</t>
        </is>
      </c>
      <c r="E446" s="38" t="inlineStr">
        <is>
          <t>POP</t>
        </is>
      </c>
      <c r="F446" s="38" t="n">
        <v>41</v>
      </c>
    </row>
    <row r="447" ht="15" customHeight="1" s="39">
      <c r="A447" s="38" t="inlineStr">
        <is>
          <t>2021</t>
        </is>
      </c>
      <c r="B447" s="42" t="inlineStr">
        <is>
          <t>430509</t>
        </is>
      </c>
      <c r="C447" s="38" t="inlineStr">
        <is>
          <t>Y037</t>
        </is>
      </c>
      <c r="D447" s="38" t="inlineStr">
        <is>
          <t>TOTAL</t>
        </is>
      </c>
      <c r="E447" s="38" t="inlineStr">
        <is>
          <t>POP</t>
        </is>
      </c>
      <c r="F447" s="38" t="n">
        <v>41</v>
      </c>
    </row>
    <row r="448" ht="15" customHeight="1" s="39">
      <c r="A448" s="38" t="inlineStr">
        <is>
          <t>2021</t>
        </is>
      </c>
      <c r="B448" s="42" t="inlineStr">
        <is>
          <t>430509</t>
        </is>
      </c>
      <c r="C448" s="38" t="inlineStr">
        <is>
          <t>Y038</t>
        </is>
      </c>
      <c r="D448" s="38" t="inlineStr">
        <is>
          <t>TOTAL</t>
        </is>
      </c>
      <c r="E448" s="38" t="inlineStr">
        <is>
          <t>POP</t>
        </is>
      </c>
      <c r="F448" s="38" t="n">
        <v>60</v>
      </c>
    </row>
    <row r="449" ht="15" customHeight="1" s="39">
      <c r="A449" s="38" t="inlineStr">
        <is>
          <t>2021</t>
        </is>
      </c>
      <c r="B449" s="42" t="inlineStr">
        <is>
          <t>430509</t>
        </is>
      </c>
      <c r="C449" s="38" t="inlineStr">
        <is>
          <t>Y039</t>
        </is>
      </c>
      <c r="D449" s="38" t="inlineStr">
        <is>
          <t>TOTAL</t>
        </is>
      </c>
      <c r="E449" s="38" t="inlineStr">
        <is>
          <t>POP</t>
        </is>
      </c>
      <c r="F449" s="38" t="n">
        <v>65</v>
      </c>
    </row>
    <row r="450" ht="15" customHeight="1" s="39">
      <c r="A450" s="38" t="inlineStr">
        <is>
          <t>2021</t>
        </is>
      </c>
      <c r="B450" s="42" t="inlineStr">
        <is>
          <t>430509</t>
        </is>
      </c>
      <c r="C450" s="38" t="inlineStr">
        <is>
          <t>Y040</t>
        </is>
      </c>
      <c r="D450" s="38" t="inlineStr">
        <is>
          <t>TOTAL</t>
        </is>
      </c>
      <c r="E450" s="38" t="inlineStr">
        <is>
          <t>POP</t>
        </is>
      </c>
      <c r="F450" s="38" t="n">
        <v>64</v>
      </c>
    </row>
    <row r="451" ht="15" customHeight="1" s="39">
      <c r="A451" s="38" t="inlineStr">
        <is>
          <t>2021</t>
        </is>
      </c>
      <c r="B451" s="42" t="inlineStr">
        <is>
          <t>430509</t>
        </is>
      </c>
      <c r="C451" s="38" t="inlineStr">
        <is>
          <t>Y041</t>
        </is>
      </c>
      <c r="D451" s="38" t="inlineStr">
        <is>
          <t>TOTAL</t>
        </is>
      </c>
      <c r="E451" s="38" t="inlineStr">
        <is>
          <t>POP</t>
        </is>
      </c>
      <c r="F451" s="38" t="n">
        <v>61</v>
      </c>
    </row>
    <row r="452" ht="15" customHeight="1" s="39">
      <c r="A452" s="38" t="inlineStr">
        <is>
          <t>2021</t>
        </is>
      </c>
      <c r="B452" s="42" t="inlineStr">
        <is>
          <t>430509</t>
        </is>
      </c>
      <c r="C452" s="38" t="inlineStr">
        <is>
          <t>Y042</t>
        </is>
      </c>
      <c r="D452" s="38" t="inlineStr">
        <is>
          <t>TOTAL</t>
        </is>
      </c>
      <c r="E452" s="38" t="inlineStr">
        <is>
          <t>POP</t>
        </is>
      </c>
      <c r="F452" s="38" t="n">
        <v>58</v>
      </c>
    </row>
    <row r="453" ht="15" customHeight="1" s="39">
      <c r="A453" s="38" t="inlineStr">
        <is>
          <t>2021</t>
        </is>
      </c>
      <c r="B453" s="42" t="inlineStr">
        <is>
          <t>430509</t>
        </is>
      </c>
      <c r="C453" s="38" t="inlineStr">
        <is>
          <t>Y043</t>
        </is>
      </c>
      <c r="D453" s="38" t="inlineStr">
        <is>
          <t>TOTAL</t>
        </is>
      </c>
      <c r="E453" s="38" t="inlineStr">
        <is>
          <t>POP</t>
        </is>
      </c>
      <c r="F453" s="38" t="n">
        <v>64</v>
      </c>
    </row>
    <row r="454" ht="15" customHeight="1" s="39">
      <c r="A454" s="38" t="inlineStr">
        <is>
          <t>2021</t>
        </is>
      </c>
      <c r="B454" s="42" t="inlineStr">
        <is>
          <t>430509</t>
        </is>
      </c>
      <c r="C454" s="38" t="inlineStr">
        <is>
          <t>Y044</t>
        </is>
      </c>
      <c r="D454" s="38" t="inlineStr">
        <is>
          <t>TOTAL</t>
        </is>
      </c>
      <c r="E454" s="38" t="inlineStr">
        <is>
          <t>POP</t>
        </is>
      </c>
      <c r="F454" s="38" t="n">
        <v>79</v>
      </c>
    </row>
    <row r="455" ht="15" customHeight="1" s="39">
      <c r="A455" s="38" t="inlineStr">
        <is>
          <t>2021</t>
        </is>
      </c>
      <c r="B455" s="42" t="inlineStr">
        <is>
          <t>430509</t>
        </is>
      </c>
      <c r="C455" s="38" t="inlineStr">
        <is>
          <t>Y045</t>
        </is>
      </c>
      <c r="D455" s="38" t="inlineStr">
        <is>
          <t>TOTAL</t>
        </is>
      </c>
      <c r="E455" s="38" t="inlineStr">
        <is>
          <t>POP</t>
        </is>
      </c>
      <c r="F455" s="38" t="n">
        <v>58</v>
      </c>
    </row>
    <row r="456" ht="15" customHeight="1" s="39">
      <c r="A456" s="38" t="inlineStr">
        <is>
          <t>2021</t>
        </is>
      </c>
      <c r="B456" s="42" t="inlineStr">
        <is>
          <t>430509</t>
        </is>
      </c>
      <c r="C456" s="38" t="inlineStr">
        <is>
          <t>Y046</t>
        </is>
      </c>
      <c r="D456" s="38" t="inlineStr">
        <is>
          <t>TOTAL</t>
        </is>
      </c>
      <c r="E456" s="38" t="inlineStr">
        <is>
          <t>POP</t>
        </is>
      </c>
      <c r="F456" s="38" t="n">
        <v>60</v>
      </c>
    </row>
    <row r="457" ht="15" customHeight="1" s="39">
      <c r="A457" s="38" t="inlineStr">
        <is>
          <t>2021</t>
        </is>
      </c>
      <c r="B457" s="42" t="inlineStr">
        <is>
          <t>430509</t>
        </is>
      </c>
      <c r="C457" s="38" t="inlineStr">
        <is>
          <t>Y047</t>
        </is>
      </c>
      <c r="D457" s="38" t="inlineStr">
        <is>
          <t>TOTAL</t>
        </is>
      </c>
      <c r="E457" s="38" t="inlineStr">
        <is>
          <t>POP</t>
        </is>
      </c>
      <c r="F457" s="38" t="n">
        <v>62</v>
      </c>
    </row>
    <row r="458" ht="15" customHeight="1" s="39">
      <c r="A458" s="38" t="inlineStr">
        <is>
          <t>2021</t>
        </is>
      </c>
      <c r="B458" s="42" t="inlineStr">
        <is>
          <t>430509</t>
        </is>
      </c>
      <c r="C458" s="38" t="inlineStr">
        <is>
          <t>Y048</t>
        </is>
      </c>
      <c r="D458" s="38" t="inlineStr">
        <is>
          <t>TOTAL</t>
        </is>
      </c>
      <c r="E458" s="38" t="inlineStr">
        <is>
          <t>POP</t>
        </is>
      </c>
      <c r="F458" s="38" t="n">
        <v>51</v>
      </c>
    </row>
    <row r="459" ht="15" customHeight="1" s="39">
      <c r="A459" s="38" t="inlineStr">
        <is>
          <t>2021</t>
        </is>
      </c>
      <c r="B459" s="42" t="inlineStr">
        <is>
          <t>430509</t>
        </is>
      </c>
      <c r="C459" s="38" t="inlineStr">
        <is>
          <t>Y049</t>
        </is>
      </c>
      <c r="D459" s="38" t="inlineStr">
        <is>
          <t>TOTAL</t>
        </is>
      </c>
      <c r="E459" s="38" t="inlineStr">
        <is>
          <t>POP</t>
        </is>
      </c>
      <c r="F459" s="38" t="n">
        <v>66</v>
      </c>
    </row>
    <row r="460" ht="15" customHeight="1" s="39">
      <c r="A460" s="38" t="inlineStr">
        <is>
          <t>2021</t>
        </is>
      </c>
      <c r="B460" s="42" t="inlineStr">
        <is>
          <t>430509</t>
        </is>
      </c>
      <c r="C460" s="38" t="inlineStr">
        <is>
          <t>Y050</t>
        </is>
      </c>
      <c r="D460" s="38" t="inlineStr">
        <is>
          <t>TOTAL</t>
        </is>
      </c>
      <c r="E460" s="38" t="inlineStr">
        <is>
          <t>POP</t>
        </is>
      </c>
      <c r="F460" s="38" t="n">
        <v>58</v>
      </c>
    </row>
    <row r="461" ht="15" customHeight="1" s="39">
      <c r="A461" s="38" t="inlineStr">
        <is>
          <t>2021</t>
        </is>
      </c>
      <c r="B461" s="42" t="inlineStr">
        <is>
          <t>430509</t>
        </is>
      </c>
      <c r="C461" s="38" t="inlineStr">
        <is>
          <t>Y051</t>
        </is>
      </c>
      <c r="D461" s="38" t="inlineStr">
        <is>
          <t>TOTAL</t>
        </is>
      </c>
      <c r="E461" s="38" t="inlineStr">
        <is>
          <t>POP</t>
        </is>
      </c>
      <c r="F461" s="38" t="n">
        <v>55</v>
      </c>
    </row>
    <row r="462" ht="15" customHeight="1" s="39">
      <c r="A462" s="38" t="inlineStr">
        <is>
          <t>2021</t>
        </is>
      </c>
      <c r="B462" s="42" t="inlineStr">
        <is>
          <t>430509</t>
        </is>
      </c>
      <c r="C462" s="38" t="inlineStr">
        <is>
          <t>Y052</t>
        </is>
      </c>
      <c r="D462" s="38" t="inlineStr">
        <is>
          <t>TOTAL</t>
        </is>
      </c>
      <c r="E462" s="38" t="inlineStr">
        <is>
          <t>POP</t>
        </is>
      </c>
      <c r="F462" s="38" t="n">
        <v>61</v>
      </c>
    </row>
    <row r="463" ht="15" customHeight="1" s="39">
      <c r="A463" s="38" t="inlineStr">
        <is>
          <t>2021</t>
        </is>
      </c>
      <c r="B463" s="42" t="inlineStr">
        <is>
          <t>430509</t>
        </is>
      </c>
      <c r="C463" s="38" t="inlineStr">
        <is>
          <t>Y053</t>
        </is>
      </c>
      <c r="D463" s="38" t="inlineStr">
        <is>
          <t>TOTAL</t>
        </is>
      </c>
      <c r="E463" s="38" t="inlineStr">
        <is>
          <t>POP</t>
        </is>
      </c>
      <c r="F463" s="38" t="n">
        <v>52</v>
      </c>
    </row>
    <row r="464" ht="15" customHeight="1" s="39">
      <c r="A464" s="38" t="inlineStr">
        <is>
          <t>2021</t>
        </is>
      </c>
      <c r="B464" s="42" t="inlineStr">
        <is>
          <t>430509</t>
        </is>
      </c>
      <c r="C464" s="38" t="inlineStr">
        <is>
          <t>Y054</t>
        </is>
      </c>
      <c r="D464" s="38" t="inlineStr">
        <is>
          <t>TOTAL</t>
        </is>
      </c>
      <c r="E464" s="38" t="inlineStr">
        <is>
          <t>POP</t>
        </is>
      </c>
      <c r="F464" s="38" t="n">
        <v>49</v>
      </c>
    </row>
    <row r="465" ht="15" customHeight="1" s="39">
      <c r="A465" s="38" t="inlineStr">
        <is>
          <t>2021</t>
        </is>
      </c>
      <c r="B465" s="42" t="inlineStr">
        <is>
          <t>430509</t>
        </is>
      </c>
      <c r="C465" s="38" t="inlineStr">
        <is>
          <t>Y055</t>
        </is>
      </c>
      <c r="D465" s="38" t="inlineStr">
        <is>
          <t>TOTAL</t>
        </is>
      </c>
      <c r="E465" s="38" t="inlineStr">
        <is>
          <t>POP</t>
        </is>
      </c>
      <c r="F465" s="38" t="n">
        <v>56</v>
      </c>
    </row>
    <row r="466" ht="15" customHeight="1" s="39">
      <c r="A466" s="38" t="inlineStr">
        <is>
          <t>2021</t>
        </is>
      </c>
      <c r="B466" s="42" t="inlineStr">
        <is>
          <t>430509</t>
        </is>
      </c>
      <c r="C466" s="38" t="inlineStr">
        <is>
          <t>Y056</t>
        </is>
      </c>
      <c r="D466" s="38" t="inlineStr">
        <is>
          <t>TOTAL</t>
        </is>
      </c>
      <c r="E466" s="38" t="inlineStr">
        <is>
          <t>POP</t>
        </is>
      </c>
      <c r="F466" s="38" t="n">
        <v>52</v>
      </c>
    </row>
    <row r="467" ht="15" customHeight="1" s="39">
      <c r="A467" s="38" t="inlineStr">
        <is>
          <t>2021</t>
        </is>
      </c>
      <c r="B467" s="42" t="inlineStr">
        <is>
          <t>430509</t>
        </is>
      </c>
      <c r="C467" s="38" t="inlineStr">
        <is>
          <t>Y057</t>
        </is>
      </c>
      <c r="D467" s="38" t="inlineStr">
        <is>
          <t>TOTAL</t>
        </is>
      </c>
      <c r="E467" s="38" t="inlineStr">
        <is>
          <t>POP</t>
        </is>
      </c>
      <c r="F467" s="38" t="n">
        <v>49</v>
      </c>
    </row>
    <row r="468" ht="15" customHeight="1" s="39">
      <c r="A468" s="38" t="inlineStr">
        <is>
          <t>2021</t>
        </is>
      </c>
      <c r="B468" s="42" t="inlineStr">
        <is>
          <t>430509</t>
        </is>
      </c>
      <c r="C468" s="38" t="inlineStr">
        <is>
          <t>Y058</t>
        </is>
      </c>
      <c r="D468" s="38" t="inlineStr">
        <is>
          <t>TOTAL</t>
        </is>
      </c>
      <c r="E468" s="38" t="inlineStr">
        <is>
          <t>POP</t>
        </is>
      </c>
      <c r="F468" s="38" t="n">
        <v>45</v>
      </c>
    </row>
    <row r="469" ht="15" customHeight="1" s="39">
      <c r="A469" s="38" t="inlineStr">
        <is>
          <t>2021</t>
        </is>
      </c>
      <c r="B469" s="42" t="inlineStr">
        <is>
          <t>430509</t>
        </is>
      </c>
      <c r="C469" s="38" t="inlineStr">
        <is>
          <t>Y059</t>
        </is>
      </c>
      <c r="D469" s="38" t="inlineStr">
        <is>
          <t>TOTAL</t>
        </is>
      </c>
      <c r="E469" s="38" t="inlineStr">
        <is>
          <t>POP</t>
        </is>
      </c>
      <c r="F469" s="38" t="n">
        <v>58</v>
      </c>
    </row>
    <row r="470" ht="15" customHeight="1" s="39">
      <c r="A470" s="38" t="inlineStr">
        <is>
          <t>2021</t>
        </is>
      </c>
      <c r="B470" s="42" t="inlineStr">
        <is>
          <t>430509</t>
        </is>
      </c>
      <c r="C470" s="38" t="inlineStr">
        <is>
          <t>Y060</t>
        </is>
      </c>
      <c r="D470" s="38" t="inlineStr">
        <is>
          <t>TOTAL</t>
        </is>
      </c>
      <c r="E470" s="38" t="inlineStr">
        <is>
          <t>POP</t>
        </is>
      </c>
      <c r="F470" s="38" t="n">
        <v>60</v>
      </c>
    </row>
    <row r="471" ht="15" customHeight="1" s="39">
      <c r="A471" s="38" t="inlineStr">
        <is>
          <t>2021</t>
        </is>
      </c>
      <c r="B471" s="42" t="inlineStr">
        <is>
          <t>430509</t>
        </is>
      </c>
      <c r="C471" s="38" t="inlineStr">
        <is>
          <t>Y061</t>
        </is>
      </c>
      <c r="D471" s="38" t="inlineStr">
        <is>
          <t>TOTAL</t>
        </is>
      </c>
      <c r="E471" s="38" t="inlineStr">
        <is>
          <t>POP</t>
        </is>
      </c>
      <c r="F471" s="38" t="n">
        <v>47</v>
      </c>
    </row>
    <row r="472" ht="15" customHeight="1" s="39">
      <c r="A472" s="38" t="inlineStr">
        <is>
          <t>2021</t>
        </is>
      </c>
      <c r="B472" s="42" t="inlineStr">
        <is>
          <t>430509</t>
        </is>
      </c>
      <c r="C472" s="38" t="inlineStr">
        <is>
          <t>Y062</t>
        </is>
      </c>
      <c r="D472" s="38" t="inlineStr">
        <is>
          <t>TOTAL</t>
        </is>
      </c>
      <c r="E472" s="38" t="inlineStr">
        <is>
          <t>POP</t>
        </is>
      </c>
      <c r="F472" s="38" t="n">
        <v>63</v>
      </c>
    </row>
    <row r="473" ht="15" customHeight="1" s="39">
      <c r="A473" s="38" t="inlineStr">
        <is>
          <t>2021</t>
        </is>
      </c>
      <c r="B473" s="42" t="inlineStr">
        <is>
          <t>430509</t>
        </is>
      </c>
      <c r="C473" s="38" t="inlineStr">
        <is>
          <t>Y063</t>
        </is>
      </c>
      <c r="D473" s="38" t="inlineStr">
        <is>
          <t>TOTAL</t>
        </is>
      </c>
      <c r="E473" s="38" t="inlineStr">
        <is>
          <t>POP</t>
        </is>
      </c>
      <c r="F473" s="38" t="n">
        <v>63</v>
      </c>
    </row>
    <row r="474" ht="15" customHeight="1" s="39">
      <c r="A474" s="38" t="inlineStr">
        <is>
          <t>2021</t>
        </is>
      </c>
      <c r="B474" s="42" t="inlineStr">
        <is>
          <t>430509</t>
        </is>
      </c>
      <c r="C474" s="38" t="inlineStr">
        <is>
          <t>Y064</t>
        </is>
      </c>
      <c r="D474" s="38" t="inlineStr">
        <is>
          <t>TOTAL</t>
        </is>
      </c>
      <c r="E474" s="38" t="inlineStr">
        <is>
          <t>POP</t>
        </is>
      </c>
      <c r="F474" s="38" t="n">
        <v>57</v>
      </c>
    </row>
    <row r="475" ht="15" customHeight="1" s="39">
      <c r="A475" s="38" t="inlineStr">
        <is>
          <t>2021</t>
        </is>
      </c>
      <c r="B475" s="42" t="inlineStr">
        <is>
          <t>430509</t>
        </is>
      </c>
      <c r="C475" s="38" t="inlineStr">
        <is>
          <t>Y065</t>
        </is>
      </c>
      <c r="D475" s="38" t="inlineStr">
        <is>
          <t>TOTAL</t>
        </is>
      </c>
      <c r="E475" s="38" t="inlineStr">
        <is>
          <t>POP</t>
        </is>
      </c>
      <c r="F475" s="38" t="n">
        <v>55</v>
      </c>
    </row>
    <row r="476" ht="15" customHeight="1" s="39">
      <c r="A476" s="38" t="inlineStr">
        <is>
          <t>2021</t>
        </is>
      </c>
      <c r="B476" s="42" t="inlineStr">
        <is>
          <t>430509</t>
        </is>
      </c>
      <c r="C476" s="38" t="inlineStr">
        <is>
          <t>Y066</t>
        </is>
      </c>
      <c r="D476" s="38" t="inlineStr">
        <is>
          <t>TOTAL</t>
        </is>
      </c>
      <c r="E476" s="38" t="inlineStr">
        <is>
          <t>POP</t>
        </is>
      </c>
      <c r="F476" s="38" t="n">
        <v>36</v>
      </c>
    </row>
    <row r="477" ht="15" customHeight="1" s="39">
      <c r="A477" s="38" t="inlineStr">
        <is>
          <t>2021</t>
        </is>
      </c>
      <c r="B477" s="42" t="inlineStr">
        <is>
          <t>430509</t>
        </is>
      </c>
      <c r="C477" s="38" t="inlineStr">
        <is>
          <t>Y067</t>
        </is>
      </c>
      <c r="D477" s="38" t="inlineStr">
        <is>
          <t>TOTAL</t>
        </is>
      </c>
      <c r="E477" s="38" t="inlineStr">
        <is>
          <t>POP</t>
        </is>
      </c>
      <c r="F477" s="38" t="n">
        <v>61</v>
      </c>
    </row>
    <row r="478" ht="15" customHeight="1" s="39">
      <c r="A478" s="38" t="inlineStr">
        <is>
          <t>2021</t>
        </is>
      </c>
      <c r="B478" s="42" t="inlineStr">
        <is>
          <t>430509</t>
        </is>
      </c>
      <c r="C478" s="38" t="inlineStr">
        <is>
          <t>Y068</t>
        </is>
      </c>
      <c r="D478" s="38" t="inlineStr">
        <is>
          <t>TOTAL</t>
        </is>
      </c>
      <c r="E478" s="38" t="inlineStr">
        <is>
          <t>POP</t>
        </is>
      </c>
      <c r="F478" s="38" t="n">
        <v>45</v>
      </c>
    </row>
    <row r="479" ht="15" customHeight="1" s="39">
      <c r="A479" s="38" t="inlineStr">
        <is>
          <t>2021</t>
        </is>
      </c>
      <c r="B479" s="42" t="inlineStr">
        <is>
          <t>430509</t>
        </is>
      </c>
      <c r="C479" s="38" t="inlineStr">
        <is>
          <t>Y069</t>
        </is>
      </c>
      <c r="D479" s="38" t="inlineStr">
        <is>
          <t>TOTAL</t>
        </is>
      </c>
      <c r="E479" s="38" t="inlineStr">
        <is>
          <t>POP</t>
        </is>
      </c>
      <c r="F479" s="38" t="n">
        <v>50</v>
      </c>
    </row>
    <row r="480" ht="15" customHeight="1" s="39">
      <c r="A480" s="38" t="inlineStr">
        <is>
          <t>2021</t>
        </is>
      </c>
      <c r="B480" s="42" t="inlineStr">
        <is>
          <t>430509</t>
        </is>
      </c>
      <c r="C480" s="38" t="inlineStr">
        <is>
          <t>Y070</t>
        </is>
      </c>
      <c r="D480" s="38" t="inlineStr">
        <is>
          <t>TOTAL</t>
        </is>
      </c>
      <c r="E480" s="38" t="inlineStr">
        <is>
          <t>POP</t>
        </is>
      </c>
      <c r="F480" s="38" t="n">
        <v>48</v>
      </c>
    </row>
    <row r="481" ht="15" customHeight="1" s="39">
      <c r="A481" s="38" t="inlineStr">
        <is>
          <t>2021</t>
        </is>
      </c>
      <c r="B481" s="42" t="inlineStr">
        <is>
          <t>430509</t>
        </is>
      </c>
      <c r="C481" s="38" t="inlineStr">
        <is>
          <t>Y071</t>
        </is>
      </c>
      <c r="D481" s="38" t="inlineStr">
        <is>
          <t>TOTAL</t>
        </is>
      </c>
      <c r="E481" s="38" t="inlineStr">
        <is>
          <t>POP</t>
        </is>
      </c>
      <c r="F481" s="38" t="n">
        <v>51</v>
      </c>
    </row>
    <row r="482" ht="15" customHeight="1" s="39">
      <c r="A482" s="38" t="inlineStr">
        <is>
          <t>2021</t>
        </is>
      </c>
      <c r="B482" s="42" t="inlineStr">
        <is>
          <t>430509</t>
        </is>
      </c>
      <c r="C482" s="38" t="inlineStr">
        <is>
          <t>Y072</t>
        </is>
      </c>
      <c r="D482" s="38" t="inlineStr">
        <is>
          <t>TOTAL</t>
        </is>
      </c>
      <c r="E482" s="38" t="inlineStr">
        <is>
          <t>POP</t>
        </is>
      </c>
      <c r="F482" s="38" t="n">
        <v>69</v>
      </c>
    </row>
    <row r="483" ht="15" customHeight="1" s="39">
      <c r="A483" s="38" t="inlineStr">
        <is>
          <t>2021</t>
        </is>
      </c>
      <c r="B483" s="42" t="inlineStr">
        <is>
          <t>430509</t>
        </is>
      </c>
      <c r="C483" s="38" t="inlineStr">
        <is>
          <t>Y073</t>
        </is>
      </c>
      <c r="D483" s="38" t="inlineStr">
        <is>
          <t>TOTAL</t>
        </is>
      </c>
      <c r="E483" s="38" t="inlineStr">
        <is>
          <t>POP</t>
        </is>
      </c>
      <c r="F483" s="38" t="n">
        <v>38</v>
      </c>
    </row>
    <row r="484" ht="15" customHeight="1" s="39">
      <c r="A484" s="38" t="inlineStr">
        <is>
          <t>2021</t>
        </is>
      </c>
      <c r="B484" s="42" t="inlineStr">
        <is>
          <t>430509</t>
        </is>
      </c>
      <c r="C484" s="38" t="inlineStr">
        <is>
          <t>Y074</t>
        </is>
      </c>
      <c r="D484" s="38" t="inlineStr">
        <is>
          <t>TOTAL</t>
        </is>
      </c>
      <c r="E484" s="38" t="inlineStr">
        <is>
          <t>POP</t>
        </is>
      </c>
      <c r="F484" s="38" t="n">
        <v>42</v>
      </c>
    </row>
    <row r="485" ht="15" customHeight="1" s="39">
      <c r="A485" s="38" t="inlineStr">
        <is>
          <t>2021</t>
        </is>
      </c>
      <c r="B485" s="42" t="inlineStr">
        <is>
          <t>430509</t>
        </is>
      </c>
      <c r="C485" s="38" t="inlineStr">
        <is>
          <t>Y075</t>
        </is>
      </c>
      <c r="D485" s="38" t="inlineStr">
        <is>
          <t>TOTAL</t>
        </is>
      </c>
      <c r="E485" s="38" t="inlineStr">
        <is>
          <t>POP</t>
        </is>
      </c>
      <c r="F485" s="38" t="n">
        <v>50</v>
      </c>
    </row>
    <row r="486" ht="15" customHeight="1" s="39">
      <c r="A486" s="38" t="inlineStr">
        <is>
          <t>2021</t>
        </is>
      </c>
      <c r="B486" s="42" t="inlineStr">
        <is>
          <t>430509</t>
        </is>
      </c>
      <c r="C486" s="38" t="inlineStr">
        <is>
          <t>Y076</t>
        </is>
      </c>
      <c r="D486" s="38" t="inlineStr">
        <is>
          <t>TOTAL</t>
        </is>
      </c>
      <c r="E486" s="38" t="inlineStr">
        <is>
          <t>POP</t>
        </is>
      </c>
      <c r="F486" s="38" t="n">
        <v>36</v>
      </c>
    </row>
    <row r="487" ht="15" customHeight="1" s="39">
      <c r="A487" s="38" t="inlineStr">
        <is>
          <t>2021</t>
        </is>
      </c>
      <c r="B487" s="42" t="inlineStr">
        <is>
          <t>430509</t>
        </is>
      </c>
      <c r="C487" s="38" t="inlineStr">
        <is>
          <t>Y077</t>
        </is>
      </c>
      <c r="D487" s="38" t="inlineStr">
        <is>
          <t>TOTAL</t>
        </is>
      </c>
      <c r="E487" s="38" t="inlineStr">
        <is>
          <t>POP</t>
        </is>
      </c>
      <c r="F487" s="38" t="n">
        <v>31</v>
      </c>
    </row>
    <row r="488" ht="15" customHeight="1" s="39">
      <c r="A488" s="38" t="inlineStr">
        <is>
          <t>2021</t>
        </is>
      </c>
      <c r="B488" s="42" t="inlineStr">
        <is>
          <t>430509</t>
        </is>
      </c>
      <c r="C488" s="38" t="inlineStr">
        <is>
          <t>Y078</t>
        </is>
      </c>
      <c r="D488" s="38" t="inlineStr">
        <is>
          <t>TOTAL</t>
        </is>
      </c>
      <c r="E488" s="38" t="inlineStr">
        <is>
          <t>POP</t>
        </is>
      </c>
      <c r="F488" s="38" t="n">
        <v>25</v>
      </c>
    </row>
    <row r="489" ht="15" customHeight="1" s="39">
      <c r="A489" s="38" t="inlineStr">
        <is>
          <t>2021</t>
        </is>
      </c>
      <c r="B489" s="42" t="inlineStr">
        <is>
          <t>430509</t>
        </is>
      </c>
      <c r="C489" s="38" t="inlineStr">
        <is>
          <t>Y079</t>
        </is>
      </c>
      <c r="D489" s="38" t="inlineStr">
        <is>
          <t>TOTAL</t>
        </is>
      </c>
      <c r="E489" s="38" t="inlineStr">
        <is>
          <t>POP</t>
        </is>
      </c>
      <c r="F489" s="38" t="n">
        <v>25</v>
      </c>
    </row>
    <row r="490" ht="15" customHeight="1" s="39">
      <c r="A490" s="38" t="inlineStr">
        <is>
          <t>2021</t>
        </is>
      </c>
      <c r="B490" s="42" t="inlineStr">
        <is>
          <t>430509</t>
        </is>
      </c>
      <c r="C490" s="38" t="inlineStr">
        <is>
          <t>Y080</t>
        </is>
      </c>
      <c r="D490" s="38" t="inlineStr">
        <is>
          <t>TOTAL</t>
        </is>
      </c>
      <c r="E490" s="38" t="inlineStr">
        <is>
          <t>POP</t>
        </is>
      </c>
      <c r="F490" s="38" t="n">
        <v>33</v>
      </c>
    </row>
    <row r="491" ht="15" customHeight="1" s="39">
      <c r="A491" s="38" t="inlineStr">
        <is>
          <t>2021</t>
        </is>
      </c>
      <c r="B491" s="42" t="inlineStr">
        <is>
          <t>430509</t>
        </is>
      </c>
      <c r="C491" s="38" t="inlineStr">
        <is>
          <t>Y081</t>
        </is>
      </c>
      <c r="D491" s="38" t="inlineStr">
        <is>
          <t>TOTAL</t>
        </is>
      </c>
      <c r="E491" s="38" t="inlineStr">
        <is>
          <t>POP</t>
        </is>
      </c>
      <c r="F491" s="38" t="n">
        <v>20</v>
      </c>
    </row>
    <row r="492" ht="15" customHeight="1" s="39">
      <c r="A492" s="38" t="inlineStr">
        <is>
          <t>2021</t>
        </is>
      </c>
      <c r="B492" s="42" t="inlineStr">
        <is>
          <t>430509</t>
        </is>
      </c>
      <c r="C492" s="38" t="inlineStr">
        <is>
          <t>Y082</t>
        </is>
      </c>
      <c r="D492" s="38" t="inlineStr">
        <is>
          <t>TOTAL</t>
        </is>
      </c>
      <c r="E492" s="38" t="inlineStr">
        <is>
          <t>POP</t>
        </is>
      </c>
      <c r="F492" s="38" t="n">
        <v>18</v>
      </c>
    </row>
    <row r="493" ht="15" customHeight="1" s="39">
      <c r="A493" s="38" t="inlineStr">
        <is>
          <t>2021</t>
        </is>
      </c>
      <c r="B493" s="42" t="inlineStr">
        <is>
          <t>430509</t>
        </is>
      </c>
      <c r="C493" s="38" t="inlineStr">
        <is>
          <t>Y083</t>
        </is>
      </c>
      <c r="D493" s="38" t="inlineStr">
        <is>
          <t>TOTAL</t>
        </is>
      </c>
      <c r="E493" s="38" t="inlineStr">
        <is>
          <t>POP</t>
        </is>
      </c>
      <c r="F493" s="38" t="n">
        <v>29</v>
      </c>
    </row>
    <row r="494" ht="15" customHeight="1" s="39">
      <c r="A494" s="38" t="inlineStr">
        <is>
          <t>2021</t>
        </is>
      </c>
      <c r="B494" s="42" t="inlineStr">
        <is>
          <t>430509</t>
        </is>
      </c>
      <c r="C494" s="38" t="inlineStr">
        <is>
          <t>Y084</t>
        </is>
      </c>
      <c r="D494" s="38" t="inlineStr">
        <is>
          <t>TOTAL</t>
        </is>
      </c>
      <c r="E494" s="38" t="inlineStr">
        <is>
          <t>POP</t>
        </is>
      </c>
      <c r="F494" s="38" t="n">
        <v>24</v>
      </c>
    </row>
    <row r="495" ht="15" customHeight="1" s="39">
      <c r="A495" s="38" t="inlineStr">
        <is>
          <t>2021</t>
        </is>
      </c>
      <c r="B495" s="42" t="inlineStr">
        <is>
          <t>430509</t>
        </is>
      </c>
      <c r="C495" s="38" t="inlineStr">
        <is>
          <t>Y085</t>
        </is>
      </c>
      <c r="D495" s="38" t="inlineStr">
        <is>
          <t>TOTAL</t>
        </is>
      </c>
      <c r="E495" s="38" t="inlineStr">
        <is>
          <t>POP</t>
        </is>
      </c>
      <c r="F495" s="38" t="n">
        <v>14</v>
      </c>
    </row>
    <row r="496" ht="15" customHeight="1" s="39">
      <c r="A496" s="38" t="inlineStr">
        <is>
          <t>2021</t>
        </is>
      </c>
      <c r="B496" s="42" t="inlineStr">
        <is>
          <t>430509</t>
        </is>
      </c>
      <c r="C496" s="38" t="inlineStr">
        <is>
          <t>Y086</t>
        </is>
      </c>
      <c r="D496" s="38" t="inlineStr">
        <is>
          <t>TOTAL</t>
        </is>
      </c>
      <c r="E496" s="38" t="inlineStr">
        <is>
          <t>POP</t>
        </is>
      </c>
      <c r="F496" s="38" t="n">
        <v>16</v>
      </c>
    </row>
    <row r="497" ht="15" customHeight="1" s="39">
      <c r="A497" s="38" t="inlineStr">
        <is>
          <t>2021</t>
        </is>
      </c>
      <c r="B497" s="42" t="inlineStr">
        <is>
          <t>430509</t>
        </is>
      </c>
      <c r="C497" s="38" t="inlineStr">
        <is>
          <t>Y087</t>
        </is>
      </c>
      <c r="D497" s="38" t="inlineStr">
        <is>
          <t>TOTAL</t>
        </is>
      </c>
      <c r="E497" s="38" t="inlineStr">
        <is>
          <t>POP</t>
        </is>
      </c>
      <c r="F497" s="38" t="n">
        <v>18</v>
      </c>
    </row>
    <row r="498" ht="15" customHeight="1" s="39">
      <c r="A498" s="38" t="inlineStr">
        <is>
          <t>2021</t>
        </is>
      </c>
      <c r="B498" s="42" t="inlineStr">
        <is>
          <t>430509</t>
        </is>
      </c>
      <c r="C498" s="38" t="inlineStr">
        <is>
          <t>Y088</t>
        </is>
      </c>
      <c r="D498" s="38" t="inlineStr">
        <is>
          <t>TOTAL</t>
        </is>
      </c>
      <c r="E498" s="38" t="inlineStr">
        <is>
          <t>POP</t>
        </is>
      </c>
      <c r="F498" s="38" t="n">
        <v>16</v>
      </c>
    </row>
    <row r="499" ht="15" customHeight="1" s="39">
      <c r="A499" s="38" t="inlineStr">
        <is>
          <t>2021</t>
        </is>
      </c>
      <c r="B499" s="42" t="inlineStr">
        <is>
          <t>430509</t>
        </is>
      </c>
      <c r="C499" s="38" t="inlineStr">
        <is>
          <t>Y089</t>
        </is>
      </c>
      <c r="D499" s="38" t="inlineStr">
        <is>
          <t>TOTAL</t>
        </is>
      </c>
      <c r="E499" s="38" t="inlineStr">
        <is>
          <t>POP</t>
        </is>
      </c>
      <c r="F499" s="38" t="n">
        <v>16</v>
      </c>
    </row>
    <row r="500" ht="15" customHeight="1" s="39">
      <c r="A500" s="38" t="inlineStr">
        <is>
          <t>2021</t>
        </is>
      </c>
      <c r="B500" s="42" t="inlineStr">
        <is>
          <t>430509</t>
        </is>
      </c>
      <c r="C500" s="38" t="inlineStr">
        <is>
          <t>Y090</t>
        </is>
      </c>
      <c r="D500" s="38" t="inlineStr">
        <is>
          <t>TOTAL</t>
        </is>
      </c>
      <c r="E500" s="38" t="inlineStr">
        <is>
          <t>POP</t>
        </is>
      </c>
      <c r="F500" s="38" t="n">
        <v>9</v>
      </c>
    </row>
    <row r="501" ht="15" customHeight="1" s="39">
      <c r="A501" s="38" t="inlineStr">
        <is>
          <t>2021</t>
        </is>
      </c>
      <c r="B501" s="42" t="inlineStr">
        <is>
          <t>430509</t>
        </is>
      </c>
      <c r="C501" s="38" t="inlineStr">
        <is>
          <t>Y091</t>
        </is>
      </c>
      <c r="D501" s="38" t="inlineStr">
        <is>
          <t>TOTAL</t>
        </is>
      </c>
      <c r="E501" s="38" t="inlineStr">
        <is>
          <t>POP</t>
        </is>
      </c>
      <c r="F501" s="38" t="n">
        <v>14</v>
      </c>
    </row>
    <row r="502" ht="15" customHeight="1" s="39">
      <c r="A502" s="38" t="inlineStr">
        <is>
          <t>2021</t>
        </is>
      </c>
      <c r="B502" s="42" t="inlineStr">
        <is>
          <t>430509</t>
        </is>
      </c>
      <c r="C502" s="38" t="inlineStr">
        <is>
          <t>Y092</t>
        </is>
      </c>
      <c r="D502" s="38" t="inlineStr">
        <is>
          <t>TOTAL</t>
        </is>
      </c>
      <c r="E502" s="38" t="inlineStr">
        <is>
          <t>POP</t>
        </is>
      </c>
      <c r="F502" s="38" t="n">
        <v>7</v>
      </c>
    </row>
    <row r="503" ht="15" customHeight="1" s="39">
      <c r="A503" s="38" t="inlineStr">
        <is>
          <t>2021</t>
        </is>
      </c>
      <c r="B503" s="42" t="inlineStr">
        <is>
          <t>430509</t>
        </is>
      </c>
      <c r="C503" s="38" t="inlineStr">
        <is>
          <t>Y093</t>
        </is>
      </c>
      <c r="D503" s="38" t="inlineStr">
        <is>
          <t>TOTAL</t>
        </is>
      </c>
      <c r="E503" s="38" t="inlineStr">
        <is>
          <t>POP</t>
        </is>
      </c>
      <c r="F503" s="38" t="n">
        <v>2</v>
      </c>
    </row>
    <row r="504" ht="15" customHeight="1" s="39">
      <c r="A504" s="38" t="inlineStr">
        <is>
          <t>2021</t>
        </is>
      </c>
      <c r="B504" s="42" t="inlineStr">
        <is>
          <t>430509</t>
        </is>
      </c>
      <c r="C504" s="38" t="inlineStr">
        <is>
          <t>Y094</t>
        </is>
      </c>
      <c r="D504" s="38" t="inlineStr">
        <is>
          <t>TOTAL</t>
        </is>
      </c>
      <c r="E504" s="38" t="inlineStr">
        <is>
          <t>POP</t>
        </is>
      </c>
      <c r="F504" s="38" t="n">
        <v>1</v>
      </c>
    </row>
    <row r="505" ht="15" customHeight="1" s="39">
      <c r="A505" s="38" t="inlineStr">
        <is>
          <t>2021</t>
        </is>
      </c>
      <c r="B505" s="42" t="inlineStr">
        <is>
          <t>430509</t>
        </is>
      </c>
      <c r="C505" s="38" t="inlineStr">
        <is>
          <t>Y095</t>
        </is>
      </c>
      <c r="D505" s="38" t="inlineStr">
        <is>
          <t>TOTAL</t>
        </is>
      </c>
      <c r="E505" s="38" t="inlineStr">
        <is>
          <t>POP</t>
        </is>
      </c>
      <c r="F505" s="38" t="n">
        <v>2</v>
      </c>
    </row>
    <row r="506" ht="15" customHeight="1" s="39">
      <c r="A506" s="38" t="inlineStr">
        <is>
          <t>2021</t>
        </is>
      </c>
      <c r="B506" s="42" t="inlineStr">
        <is>
          <t>430509</t>
        </is>
      </c>
      <c r="C506" s="38" t="inlineStr">
        <is>
          <t>Y096</t>
        </is>
      </c>
      <c r="D506" s="38" t="inlineStr">
        <is>
          <t>TOTAL</t>
        </is>
      </c>
      <c r="E506" s="38" t="inlineStr">
        <is>
          <t>POP</t>
        </is>
      </c>
      <c r="F506" s="38" t="n">
        <v>3</v>
      </c>
    </row>
    <row r="507" ht="15" customHeight="1" s="39">
      <c r="A507" s="38" t="inlineStr">
        <is>
          <t>2021</t>
        </is>
      </c>
      <c r="B507" s="42" t="inlineStr">
        <is>
          <t>430509</t>
        </is>
      </c>
      <c r="C507" s="38" t="inlineStr">
        <is>
          <t>Y097</t>
        </is>
      </c>
      <c r="D507" s="38" t="inlineStr">
        <is>
          <t>TOTAL</t>
        </is>
      </c>
      <c r="E507" s="38" t="inlineStr">
        <is>
          <t>POP</t>
        </is>
      </c>
      <c r="F507" s="38" t="n">
        <v>0</v>
      </c>
    </row>
    <row r="508" ht="15" customHeight="1" s="39">
      <c r="A508" s="38" t="inlineStr">
        <is>
          <t>2021</t>
        </is>
      </c>
      <c r="B508" s="42" t="inlineStr">
        <is>
          <t>430509</t>
        </is>
      </c>
      <c r="C508" s="38" t="inlineStr">
        <is>
          <t>Y098</t>
        </is>
      </c>
      <c r="D508" s="38" t="inlineStr">
        <is>
          <t>TOTAL</t>
        </is>
      </c>
      <c r="E508" s="38" t="inlineStr">
        <is>
          <t>POP</t>
        </is>
      </c>
      <c r="F508" s="38" t="n">
        <v>1</v>
      </c>
    </row>
    <row r="509" ht="15" customHeight="1" s="39">
      <c r="A509" s="38" t="inlineStr">
        <is>
          <t>2021</t>
        </is>
      </c>
      <c r="B509" s="42" t="inlineStr">
        <is>
          <t>430509</t>
        </is>
      </c>
      <c r="C509" s="38" t="inlineStr">
        <is>
          <t>Y099</t>
        </is>
      </c>
      <c r="D509" s="38" t="inlineStr">
        <is>
          <t>TOTAL</t>
        </is>
      </c>
      <c r="E509" s="38" t="inlineStr">
        <is>
          <t>POP</t>
        </is>
      </c>
      <c r="F509" s="38" t="n">
        <v>1</v>
      </c>
    </row>
    <row r="510" ht="15" customHeight="1" s="39">
      <c r="A510" s="38" t="inlineStr">
        <is>
          <t>2021</t>
        </is>
      </c>
      <c r="B510" s="42" t="inlineStr">
        <is>
          <t>430509</t>
        </is>
      </c>
      <c r="C510" s="38" t="inlineStr">
        <is>
          <t>Y_GE100</t>
        </is>
      </c>
      <c r="D510" s="38" t="inlineStr">
        <is>
          <t>TOTAL</t>
        </is>
      </c>
      <c r="E510" s="38" t="inlineStr">
        <is>
          <t>POP</t>
        </is>
      </c>
      <c r="F510" s="38" t="n">
        <v>1</v>
      </c>
    </row>
    <row r="511" ht="15" customHeight="1" s="39">
      <c r="A511" s="38" t="inlineStr">
        <is>
          <t>2021</t>
        </is>
      </c>
      <c r="B511" s="42" t="inlineStr">
        <is>
          <t>430509</t>
        </is>
      </c>
      <c r="C511" s="38" t="inlineStr">
        <is>
          <t>TOTAL</t>
        </is>
      </c>
      <c r="D511" s="38" t="inlineStr">
        <is>
          <t>TOTAL</t>
        </is>
      </c>
      <c r="E511" s="38" t="inlineStr">
        <is>
          <t>POP</t>
        </is>
      </c>
      <c r="F511" s="38" t="n">
        <v>3901</v>
      </c>
    </row>
    <row r="512" ht="15" customHeight="1" s="39">
      <c r="A512" s="38" t="inlineStr">
        <is>
          <t>2021</t>
        </is>
      </c>
      <c r="B512" s="42" t="inlineStr">
        <is>
          <t>430957</t>
        </is>
      </c>
      <c r="C512" s="38" t="inlineStr">
        <is>
          <t>Y000</t>
        </is>
      </c>
      <c r="D512" s="38" t="inlineStr">
        <is>
          <t>TOTAL</t>
        </is>
      </c>
      <c r="E512" s="38" t="inlineStr">
        <is>
          <t>POP</t>
        </is>
      </c>
      <c r="F512" s="38" t="n">
        <v>25</v>
      </c>
    </row>
    <row r="513" ht="15" customHeight="1" s="39">
      <c r="A513" s="38" t="inlineStr">
        <is>
          <t>2021</t>
        </is>
      </c>
      <c r="B513" s="42" t="inlineStr">
        <is>
          <t>430957</t>
        </is>
      </c>
      <c r="C513" s="38" t="inlineStr">
        <is>
          <t>Y001</t>
        </is>
      </c>
      <c r="D513" s="38" t="inlineStr">
        <is>
          <t>TOTAL</t>
        </is>
      </c>
      <c r="E513" s="38" t="inlineStr">
        <is>
          <t>POP</t>
        </is>
      </c>
      <c r="F513" s="38" t="n">
        <v>38</v>
      </c>
    </row>
    <row r="514" ht="15" customHeight="1" s="39">
      <c r="A514" s="38" t="inlineStr">
        <is>
          <t>2021</t>
        </is>
      </c>
      <c r="B514" s="42" t="inlineStr">
        <is>
          <t>430957</t>
        </is>
      </c>
      <c r="C514" s="38" t="inlineStr">
        <is>
          <t>Y002</t>
        </is>
      </c>
      <c r="D514" s="38" t="inlineStr">
        <is>
          <t>TOTAL</t>
        </is>
      </c>
      <c r="E514" s="38" t="inlineStr">
        <is>
          <t>POP</t>
        </is>
      </c>
      <c r="F514" s="38" t="n">
        <v>37</v>
      </c>
    </row>
    <row r="515" ht="15" customHeight="1" s="39">
      <c r="A515" s="38" t="inlineStr">
        <is>
          <t>2021</t>
        </is>
      </c>
      <c r="B515" s="42" t="inlineStr">
        <is>
          <t>430957</t>
        </is>
      </c>
      <c r="C515" s="38" t="inlineStr">
        <is>
          <t>Y003</t>
        </is>
      </c>
      <c r="D515" s="38" t="inlineStr">
        <is>
          <t>TOTAL</t>
        </is>
      </c>
      <c r="E515" s="38" t="inlineStr">
        <is>
          <t>POP</t>
        </is>
      </c>
      <c r="F515" s="38" t="n">
        <v>27</v>
      </c>
    </row>
    <row r="516" ht="15" customHeight="1" s="39">
      <c r="A516" s="38" t="inlineStr">
        <is>
          <t>2021</t>
        </is>
      </c>
      <c r="B516" s="42" t="inlineStr">
        <is>
          <t>430957</t>
        </is>
      </c>
      <c r="C516" s="38" t="inlineStr">
        <is>
          <t>Y004</t>
        </is>
      </c>
      <c r="D516" s="38" t="inlineStr">
        <is>
          <t>TOTAL</t>
        </is>
      </c>
      <c r="E516" s="38" t="inlineStr">
        <is>
          <t>POP</t>
        </is>
      </c>
      <c r="F516" s="38" t="n">
        <v>39</v>
      </c>
    </row>
    <row r="517" ht="15" customHeight="1" s="39">
      <c r="A517" s="38" t="inlineStr">
        <is>
          <t>2021</t>
        </is>
      </c>
      <c r="B517" s="42" t="inlineStr">
        <is>
          <t>430957</t>
        </is>
      </c>
      <c r="C517" s="38" t="inlineStr">
        <is>
          <t>Y005</t>
        </is>
      </c>
      <c r="D517" s="38" t="inlineStr">
        <is>
          <t>TOTAL</t>
        </is>
      </c>
      <c r="E517" s="38" t="inlineStr">
        <is>
          <t>POP</t>
        </is>
      </c>
      <c r="F517" s="38" t="n">
        <v>53</v>
      </c>
    </row>
    <row r="518" ht="15" customHeight="1" s="39">
      <c r="A518" s="38" t="inlineStr">
        <is>
          <t>2021</t>
        </is>
      </c>
      <c r="B518" s="42" t="inlineStr">
        <is>
          <t>430957</t>
        </is>
      </c>
      <c r="C518" s="38" t="inlineStr">
        <is>
          <t>Y006</t>
        </is>
      </c>
      <c r="D518" s="38" t="inlineStr">
        <is>
          <t>TOTAL</t>
        </is>
      </c>
      <c r="E518" s="38" t="inlineStr">
        <is>
          <t>POP</t>
        </is>
      </c>
      <c r="F518" s="38" t="n">
        <v>51</v>
      </c>
    </row>
    <row r="519" ht="15" customHeight="1" s="39">
      <c r="A519" s="38" t="inlineStr">
        <is>
          <t>2021</t>
        </is>
      </c>
      <c r="B519" s="42" t="inlineStr">
        <is>
          <t>430957</t>
        </is>
      </c>
      <c r="C519" s="38" t="inlineStr">
        <is>
          <t>Y007</t>
        </is>
      </c>
      <c r="D519" s="38" t="inlineStr">
        <is>
          <t>TOTAL</t>
        </is>
      </c>
      <c r="E519" s="38" t="inlineStr">
        <is>
          <t>POP</t>
        </is>
      </c>
      <c r="F519" s="38" t="n">
        <v>41</v>
      </c>
    </row>
    <row r="520" ht="15" customHeight="1" s="39">
      <c r="A520" s="38" t="inlineStr">
        <is>
          <t>2021</t>
        </is>
      </c>
      <c r="B520" s="42" t="inlineStr">
        <is>
          <t>430957</t>
        </is>
      </c>
      <c r="C520" s="38" t="inlineStr">
        <is>
          <t>Y008</t>
        </is>
      </c>
      <c r="D520" s="38" t="inlineStr">
        <is>
          <t>TOTAL</t>
        </is>
      </c>
      <c r="E520" s="38" t="inlineStr">
        <is>
          <t>POP</t>
        </is>
      </c>
      <c r="F520" s="38" t="n">
        <v>55</v>
      </c>
    </row>
    <row r="521" ht="15" customHeight="1" s="39">
      <c r="A521" s="38" t="inlineStr">
        <is>
          <t>2021</t>
        </is>
      </c>
      <c r="B521" s="42" t="inlineStr">
        <is>
          <t>430957</t>
        </is>
      </c>
      <c r="C521" s="38" t="inlineStr">
        <is>
          <t>Y009</t>
        </is>
      </c>
      <c r="D521" s="38" t="inlineStr">
        <is>
          <t>TOTAL</t>
        </is>
      </c>
      <c r="E521" s="38" t="inlineStr">
        <is>
          <t>POP</t>
        </is>
      </c>
      <c r="F521" s="38" t="n">
        <v>44</v>
      </c>
    </row>
    <row r="522" ht="15" customHeight="1" s="39">
      <c r="A522" s="38" t="inlineStr">
        <is>
          <t>2021</t>
        </is>
      </c>
      <c r="B522" s="42" t="inlineStr">
        <is>
          <t>430957</t>
        </is>
      </c>
      <c r="C522" s="38" t="inlineStr">
        <is>
          <t>Y010</t>
        </is>
      </c>
      <c r="D522" s="38" t="inlineStr">
        <is>
          <t>TOTAL</t>
        </is>
      </c>
      <c r="E522" s="38" t="inlineStr">
        <is>
          <t>POP</t>
        </is>
      </c>
      <c r="F522" s="38" t="n">
        <v>46</v>
      </c>
    </row>
    <row r="523" ht="15" customHeight="1" s="39">
      <c r="A523" s="38" t="inlineStr">
        <is>
          <t>2021</t>
        </is>
      </c>
      <c r="B523" s="42" t="inlineStr">
        <is>
          <t>430957</t>
        </is>
      </c>
      <c r="C523" s="38" t="inlineStr">
        <is>
          <t>Y011</t>
        </is>
      </c>
      <c r="D523" s="38" t="inlineStr">
        <is>
          <t>TOTAL</t>
        </is>
      </c>
      <c r="E523" s="38" t="inlineStr">
        <is>
          <t>POP</t>
        </is>
      </c>
      <c r="F523" s="38" t="n">
        <v>41</v>
      </c>
    </row>
    <row r="524" ht="15" customHeight="1" s="39">
      <c r="A524" s="38" t="inlineStr">
        <is>
          <t>2021</t>
        </is>
      </c>
      <c r="B524" s="42" t="inlineStr">
        <is>
          <t>430957</t>
        </is>
      </c>
      <c r="C524" s="38" t="inlineStr">
        <is>
          <t>Y012</t>
        </is>
      </c>
      <c r="D524" s="38" t="inlineStr">
        <is>
          <t>TOTAL</t>
        </is>
      </c>
      <c r="E524" s="38" t="inlineStr">
        <is>
          <t>POP</t>
        </is>
      </c>
      <c r="F524" s="38" t="n">
        <v>55</v>
      </c>
    </row>
    <row r="525" ht="15" customHeight="1" s="39">
      <c r="A525" s="38" t="inlineStr">
        <is>
          <t>2021</t>
        </is>
      </c>
      <c r="B525" s="42" t="inlineStr">
        <is>
          <t>430957</t>
        </is>
      </c>
      <c r="C525" s="38" t="inlineStr">
        <is>
          <t>Y013</t>
        </is>
      </c>
      <c r="D525" s="38" t="inlineStr">
        <is>
          <t>TOTAL</t>
        </is>
      </c>
      <c r="E525" s="38" t="inlineStr">
        <is>
          <t>POP</t>
        </is>
      </c>
      <c r="F525" s="38" t="n">
        <v>45</v>
      </c>
    </row>
    <row r="526" ht="15" customHeight="1" s="39">
      <c r="A526" s="38" t="inlineStr">
        <is>
          <t>2021</t>
        </is>
      </c>
      <c r="B526" s="42" t="inlineStr">
        <is>
          <t>430957</t>
        </is>
      </c>
      <c r="C526" s="38" t="inlineStr">
        <is>
          <t>Y014</t>
        </is>
      </c>
      <c r="D526" s="38" t="inlineStr">
        <is>
          <t>TOTAL</t>
        </is>
      </c>
      <c r="E526" s="38" t="inlineStr">
        <is>
          <t>POP</t>
        </is>
      </c>
      <c r="F526" s="38" t="n">
        <v>44</v>
      </c>
    </row>
    <row r="527" ht="15" customHeight="1" s="39">
      <c r="A527" s="38" t="inlineStr">
        <is>
          <t>2021</t>
        </is>
      </c>
      <c r="B527" s="42" t="inlineStr">
        <is>
          <t>430957</t>
        </is>
      </c>
      <c r="C527" s="38" t="inlineStr">
        <is>
          <t>Y015</t>
        </is>
      </c>
      <c r="D527" s="38" t="inlineStr">
        <is>
          <t>TOTAL</t>
        </is>
      </c>
      <c r="E527" s="38" t="inlineStr">
        <is>
          <t>POP</t>
        </is>
      </c>
      <c r="F527" s="38" t="n">
        <v>40</v>
      </c>
    </row>
    <row r="528" ht="15" customHeight="1" s="39">
      <c r="A528" s="38" t="inlineStr">
        <is>
          <t>2021</t>
        </is>
      </c>
      <c r="B528" s="42" t="inlineStr">
        <is>
          <t>430957</t>
        </is>
      </c>
      <c r="C528" s="38" t="inlineStr">
        <is>
          <t>Y016</t>
        </is>
      </c>
      <c r="D528" s="38" t="inlineStr">
        <is>
          <t>TOTAL</t>
        </is>
      </c>
      <c r="E528" s="38" t="inlineStr">
        <is>
          <t>POP</t>
        </is>
      </c>
      <c r="F528" s="38" t="n">
        <v>35</v>
      </c>
    </row>
    <row r="529" ht="15" customHeight="1" s="39">
      <c r="A529" s="38" t="inlineStr">
        <is>
          <t>2021</t>
        </is>
      </c>
      <c r="B529" s="42" t="inlineStr">
        <is>
          <t>430957</t>
        </is>
      </c>
      <c r="C529" s="38" t="inlineStr">
        <is>
          <t>Y017</t>
        </is>
      </c>
      <c r="D529" s="38" t="inlineStr">
        <is>
          <t>TOTAL</t>
        </is>
      </c>
      <c r="E529" s="38" t="inlineStr">
        <is>
          <t>POP</t>
        </is>
      </c>
      <c r="F529" s="38" t="n">
        <v>49</v>
      </c>
    </row>
    <row r="530" ht="15" customHeight="1" s="39">
      <c r="A530" s="38" t="inlineStr">
        <is>
          <t>2021</t>
        </is>
      </c>
      <c r="B530" s="42" t="inlineStr">
        <is>
          <t>430957</t>
        </is>
      </c>
      <c r="C530" s="38" t="inlineStr">
        <is>
          <t>Y018</t>
        </is>
      </c>
      <c r="D530" s="38" t="inlineStr">
        <is>
          <t>TOTAL</t>
        </is>
      </c>
      <c r="E530" s="38" t="inlineStr">
        <is>
          <t>POP</t>
        </is>
      </c>
      <c r="F530" s="38" t="n">
        <v>36</v>
      </c>
    </row>
    <row r="531" ht="15" customHeight="1" s="39">
      <c r="A531" s="38" t="inlineStr">
        <is>
          <t>2021</t>
        </is>
      </c>
      <c r="B531" s="42" t="inlineStr">
        <is>
          <t>430957</t>
        </is>
      </c>
      <c r="C531" s="38" t="inlineStr">
        <is>
          <t>Y019</t>
        </is>
      </c>
      <c r="D531" s="38" t="inlineStr">
        <is>
          <t>TOTAL</t>
        </is>
      </c>
      <c r="E531" s="38" t="inlineStr">
        <is>
          <t>POP</t>
        </is>
      </c>
      <c r="F531" s="38" t="n">
        <v>39</v>
      </c>
    </row>
    <row r="532" ht="15" customHeight="1" s="39">
      <c r="A532" s="38" t="inlineStr">
        <is>
          <t>2021</t>
        </is>
      </c>
      <c r="B532" s="42" t="inlineStr">
        <is>
          <t>430957</t>
        </is>
      </c>
      <c r="C532" s="38" t="inlineStr">
        <is>
          <t>Y020</t>
        </is>
      </c>
      <c r="D532" s="38" t="inlineStr">
        <is>
          <t>TOTAL</t>
        </is>
      </c>
      <c r="E532" s="38" t="inlineStr">
        <is>
          <t>POP</t>
        </is>
      </c>
      <c r="F532" s="38" t="n">
        <v>36</v>
      </c>
    </row>
    <row r="533" ht="15" customHeight="1" s="39">
      <c r="A533" s="38" t="inlineStr">
        <is>
          <t>2021</t>
        </is>
      </c>
      <c r="B533" s="42" t="inlineStr">
        <is>
          <t>430957</t>
        </is>
      </c>
      <c r="C533" s="38" t="inlineStr">
        <is>
          <t>Y021</t>
        </is>
      </c>
      <c r="D533" s="38" t="inlineStr">
        <is>
          <t>TOTAL</t>
        </is>
      </c>
      <c r="E533" s="38" t="inlineStr">
        <is>
          <t>POP</t>
        </is>
      </c>
      <c r="F533" s="38" t="n">
        <v>36</v>
      </c>
    </row>
    <row r="534" ht="15" customHeight="1" s="39">
      <c r="A534" s="38" t="inlineStr">
        <is>
          <t>2021</t>
        </is>
      </c>
      <c r="B534" s="42" t="inlineStr">
        <is>
          <t>430957</t>
        </is>
      </c>
      <c r="C534" s="38" t="inlineStr">
        <is>
          <t>Y022</t>
        </is>
      </c>
      <c r="D534" s="38" t="inlineStr">
        <is>
          <t>TOTAL</t>
        </is>
      </c>
      <c r="E534" s="38" t="inlineStr">
        <is>
          <t>POP</t>
        </is>
      </c>
      <c r="F534" s="38" t="n">
        <v>43</v>
      </c>
    </row>
    <row r="535" ht="15" customHeight="1" s="39">
      <c r="A535" s="38" t="inlineStr">
        <is>
          <t>2021</t>
        </is>
      </c>
      <c r="B535" s="42" t="inlineStr">
        <is>
          <t>430957</t>
        </is>
      </c>
      <c r="C535" s="38" t="inlineStr">
        <is>
          <t>Y023</t>
        </is>
      </c>
      <c r="D535" s="38" t="inlineStr">
        <is>
          <t>TOTAL</t>
        </is>
      </c>
      <c r="E535" s="38" t="inlineStr">
        <is>
          <t>POP</t>
        </is>
      </c>
      <c r="F535" s="38" t="n">
        <v>31</v>
      </c>
    </row>
    <row r="536" ht="15" customHeight="1" s="39">
      <c r="A536" s="38" t="inlineStr">
        <is>
          <t>2021</t>
        </is>
      </c>
      <c r="B536" s="42" t="inlineStr">
        <is>
          <t>430957</t>
        </is>
      </c>
      <c r="C536" s="38" t="inlineStr">
        <is>
          <t>Y024</t>
        </is>
      </c>
      <c r="D536" s="38" t="inlineStr">
        <is>
          <t>TOTAL</t>
        </is>
      </c>
      <c r="E536" s="38" t="inlineStr">
        <is>
          <t>POP</t>
        </is>
      </c>
      <c r="F536" s="38" t="n">
        <v>27</v>
      </c>
    </row>
    <row r="537" ht="15" customHeight="1" s="39">
      <c r="A537" s="38" t="inlineStr">
        <is>
          <t>2021</t>
        </is>
      </c>
      <c r="B537" s="42" t="inlineStr">
        <is>
          <t>430957</t>
        </is>
      </c>
      <c r="C537" s="38" t="inlineStr">
        <is>
          <t>Y025</t>
        </is>
      </c>
      <c r="D537" s="38" t="inlineStr">
        <is>
          <t>TOTAL</t>
        </is>
      </c>
      <c r="E537" s="38" t="inlineStr">
        <is>
          <t>POP</t>
        </is>
      </c>
      <c r="F537" s="38" t="n">
        <v>35</v>
      </c>
    </row>
    <row r="538" ht="15" customHeight="1" s="39">
      <c r="A538" s="38" t="inlineStr">
        <is>
          <t>2021</t>
        </is>
      </c>
      <c r="B538" s="42" t="inlineStr">
        <is>
          <t>430957</t>
        </is>
      </c>
      <c r="C538" s="38" t="inlineStr">
        <is>
          <t>Y026</t>
        </is>
      </c>
      <c r="D538" s="38" t="inlineStr">
        <is>
          <t>TOTAL</t>
        </is>
      </c>
      <c r="E538" s="38" t="inlineStr">
        <is>
          <t>POP</t>
        </is>
      </c>
      <c r="F538" s="38" t="n">
        <v>37</v>
      </c>
    </row>
    <row r="539" ht="15" customHeight="1" s="39">
      <c r="A539" s="38" t="inlineStr">
        <is>
          <t>2021</t>
        </is>
      </c>
      <c r="B539" s="42" t="inlineStr">
        <is>
          <t>430957</t>
        </is>
      </c>
      <c r="C539" s="38" t="inlineStr">
        <is>
          <t>Y027</t>
        </is>
      </c>
      <c r="D539" s="38" t="inlineStr">
        <is>
          <t>TOTAL</t>
        </is>
      </c>
      <c r="E539" s="38" t="inlineStr">
        <is>
          <t>POP</t>
        </is>
      </c>
      <c r="F539" s="38" t="n">
        <v>47</v>
      </c>
    </row>
    <row r="540" ht="15" customHeight="1" s="39">
      <c r="A540" s="38" t="inlineStr">
        <is>
          <t>2021</t>
        </is>
      </c>
      <c r="B540" s="42" t="inlineStr">
        <is>
          <t>430957</t>
        </is>
      </c>
      <c r="C540" s="38" t="inlineStr">
        <is>
          <t>Y028</t>
        </is>
      </c>
      <c r="D540" s="38" t="inlineStr">
        <is>
          <t>TOTAL</t>
        </is>
      </c>
      <c r="E540" s="38" t="inlineStr">
        <is>
          <t>POP</t>
        </is>
      </c>
      <c r="F540" s="38" t="n">
        <v>47</v>
      </c>
    </row>
    <row r="541" ht="15" customHeight="1" s="39">
      <c r="A541" s="38" t="inlineStr">
        <is>
          <t>2021</t>
        </is>
      </c>
      <c r="B541" s="42" t="inlineStr">
        <is>
          <t>430957</t>
        </is>
      </c>
      <c r="C541" s="38" t="inlineStr">
        <is>
          <t>Y029</t>
        </is>
      </c>
      <c r="D541" s="38" t="inlineStr">
        <is>
          <t>TOTAL</t>
        </is>
      </c>
      <c r="E541" s="38" t="inlineStr">
        <is>
          <t>POP</t>
        </is>
      </c>
      <c r="F541" s="38" t="n">
        <v>37</v>
      </c>
    </row>
    <row r="542" ht="15" customHeight="1" s="39">
      <c r="A542" s="38" t="inlineStr">
        <is>
          <t>2021</t>
        </is>
      </c>
      <c r="B542" s="42" t="inlineStr">
        <is>
          <t>430957</t>
        </is>
      </c>
      <c r="C542" s="38" t="inlineStr">
        <is>
          <t>Y030</t>
        </is>
      </c>
      <c r="D542" s="38" t="inlineStr">
        <is>
          <t>TOTAL</t>
        </is>
      </c>
      <c r="E542" s="38" t="inlineStr">
        <is>
          <t>POP</t>
        </is>
      </c>
      <c r="F542" s="38" t="n">
        <v>49</v>
      </c>
    </row>
    <row r="543" ht="15" customHeight="1" s="39">
      <c r="A543" s="38" t="inlineStr">
        <is>
          <t>2021</t>
        </is>
      </c>
      <c r="B543" s="42" t="inlineStr">
        <is>
          <t>430957</t>
        </is>
      </c>
      <c r="C543" s="38" t="inlineStr">
        <is>
          <t>Y031</t>
        </is>
      </c>
      <c r="D543" s="38" t="inlineStr">
        <is>
          <t>TOTAL</t>
        </is>
      </c>
      <c r="E543" s="38" t="inlineStr">
        <is>
          <t>POP</t>
        </is>
      </c>
      <c r="F543" s="38" t="n">
        <v>46</v>
      </c>
    </row>
    <row r="544" ht="15" customHeight="1" s="39">
      <c r="A544" s="38" t="inlineStr">
        <is>
          <t>2021</t>
        </is>
      </c>
      <c r="B544" s="42" t="inlineStr">
        <is>
          <t>430957</t>
        </is>
      </c>
      <c r="C544" s="38" t="inlineStr">
        <is>
          <t>Y032</t>
        </is>
      </c>
      <c r="D544" s="38" t="inlineStr">
        <is>
          <t>TOTAL</t>
        </is>
      </c>
      <c r="E544" s="38" t="inlineStr">
        <is>
          <t>POP</t>
        </is>
      </c>
      <c r="F544" s="38" t="n">
        <v>61</v>
      </c>
    </row>
    <row r="545" ht="15" customHeight="1" s="39">
      <c r="A545" s="38" t="inlineStr">
        <is>
          <t>2021</t>
        </is>
      </c>
      <c r="B545" s="42" t="inlineStr">
        <is>
          <t>430957</t>
        </is>
      </c>
      <c r="C545" s="38" t="inlineStr">
        <is>
          <t>Y033</t>
        </is>
      </c>
      <c r="D545" s="38" t="inlineStr">
        <is>
          <t>TOTAL</t>
        </is>
      </c>
      <c r="E545" s="38" t="inlineStr">
        <is>
          <t>POP</t>
        </is>
      </c>
      <c r="F545" s="38" t="n">
        <v>41</v>
      </c>
    </row>
    <row r="546" ht="15" customHeight="1" s="39">
      <c r="A546" s="38" t="inlineStr">
        <is>
          <t>2021</t>
        </is>
      </c>
      <c r="B546" s="42" t="inlineStr">
        <is>
          <t>430957</t>
        </is>
      </c>
      <c r="C546" s="38" t="inlineStr">
        <is>
          <t>Y034</t>
        </is>
      </c>
      <c r="D546" s="38" t="inlineStr">
        <is>
          <t>TOTAL</t>
        </is>
      </c>
      <c r="E546" s="38" t="inlineStr">
        <is>
          <t>POP</t>
        </is>
      </c>
      <c r="F546" s="38" t="n">
        <v>62</v>
      </c>
    </row>
    <row r="547" ht="15" customHeight="1" s="39">
      <c r="A547" s="38" t="inlineStr">
        <is>
          <t>2021</t>
        </is>
      </c>
      <c r="B547" s="42" t="inlineStr">
        <is>
          <t>430957</t>
        </is>
      </c>
      <c r="C547" s="38" t="inlineStr">
        <is>
          <t>Y035</t>
        </is>
      </c>
      <c r="D547" s="38" t="inlineStr">
        <is>
          <t>TOTAL</t>
        </is>
      </c>
      <c r="E547" s="38" t="inlineStr">
        <is>
          <t>POP</t>
        </is>
      </c>
      <c r="F547" s="38" t="n">
        <v>54</v>
      </c>
    </row>
    <row r="548" ht="15" customHeight="1" s="39">
      <c r="A548" s="38" t="inlineStr">
        <is>
          <t>2021</t>
        </is>
      </c>
      <c r="B548" s="42" t="inlineStr">
        <is>
          <t>430957</t>
        </is>
      </c>
      <c r="C548" s="38" t="inlineStr">
        <is>
          <t>Y036</t>
        </is>
      </c>
      <c r="D548" s="38" t="inlineStr">
        <is>
          <t>TOTAL</t>
        </is>
      </c>
      <c r="E548" s="38" t="inlineStr">
        <is>
          <t>POP</t>
        </is>
      </c>
      <c r="F548" s="38" t="n">
        <v>70</v>
      </c>
    </row>
    <row r="549" ht="15" customHeight="1" s="39">
      <c r="A549" s="38" t="inlineStr">
        <is>
          <t>2021</t>
        </is>
      </c>
      <c r="B549" s="42" t="inlineStr">
        <is>
          <t>430957</t>
        </is>
      </c>
      <c r="C549" s="38" t="inlineStr">
        <is>
          <t>Y037</t>
        </is>
      </c>
      <c r="D549" s="38" t="inlineStr">
        <is>
          <t>TOTAL</t>
        </is>
      </c>
      <c r="E549" s="38" t="inlineStr">
        <is>
          <t>POP</t>
        </is>
      </c>
      <c r="F549" s="38" t="n">
        <v>69</v>
      </c>
    </row>
    <row r="550" ht="15" customHeight="1" s="39">
      <c r="A550" s="38" t="inlineStr">
        <is>
          <t>2021</t>
        </is>
      </c>
      <c r="B550" s="42" t="inlineStr">
        <is>
          <t>430957</t>
        </is>
      </c>
      <c r="C550" s="38" t="inlineStr">
        <is>
          <t>Y038</t>
        </is>
      </c>
      <c r="D550" s="38" t="inlineStr">
        <is>
          <t>TOTAL</t>
        </is>
      </c>
      <c r="E550" s="38" t="inlineStr">
        <is>
          <t>POP</t>
        </is>
      </c>
      <c r="F550" s="38" t="n">
        <v>73</v>
      </c>
    </row>
    <row r="551" ht="15" customHeight="1" s="39">
      <c r="A551" s="38" t="inlineStr">
        <is>
          <t>2021</t>
        </is>
      </c>
      <c r="B551" s="42" t="inlineStr">
        <is>
          <t>430957</t>
        </is>
      </c>
      <c r="C551" s="38" t="inlineStr">
        <is>
          <t>Y039</t>
        </is>
      </c>
      <c r="D551" s="38" t="inlineStr">
        <is>
          <t>TOTAL</t>
        </is>
      </c>
      <c r="E551" s="38" t="inlineStr">
        <is>
          <t>POP</t>
        </is>
      </c>
      <c r="F551" s="38" t="n">
        <v>57</v>
      </c>
    </row>
    <row r="552" ht="15" customHeight="1" s="39">
      <c r="A552" s="38" t="inlineStr">
        <is>
          <t>2021</t>
        </is>
      </c>
      <c r="B552" s="42" t="inlineStr">
        <is>
          <t>430957</t>
        </is>
      </c>
      <c r="C552" s="38" t="inlineStr">
        <is>
          <t>Y040</t>
        </is>
      </c>
      <c r="D552" s="38" t="inlineStr">
        <is>
          <t>TOTAL</t>
        </is>
      </c>
      <c r="E552" s="38" t="inlineStr">
        <is>
          <t>POP</t>
        </is>
      </c>
      <c r="F552" s="38" t="n">
        <v>75</v>
      </c>
    </row>
    <row r="553" ht="15" customHeight="1" s="39">
      <c r="A553" s="38" t="inlineStr">
        <is>
          <t>2021</t>
        </is>
      </c>
      <c r="B553" s="42" t="inlineStr">
        <is>
          <t>430957</t>
        </is>
      </c>
      <c r="C553" s="38" t="inlineStr">
        <is>
          <t>Y041</t>
        </is>
      </c>
      <c r="D553" s="38" t="inlineStr">
        <is>
          <t>TOTAL</t>
        </is>
      </c>
      <c r="E553" s="38" t="inlineStr">
        <is>
          <t>POP</t>
        </is>
      </c>
      <c r="F553" s="38" t="n">
        <v>86</v>
      </c>
    </row>
    <row r="554" ht="15" customHeight="1" s="39">
      <c r="A554" s="38" t="inlineStr">
        <is>
          <t>2021</t>
        </is>
      </c>
      <c r="B554" s="42" t="inlineStr">
        <is>
          <t>430957</t>
        </is>
      </c>
      <c r="C554" s="38" t="inlineStr">
        <is>
          <t>Y042</t>
        </is>
      </c>
      <c r="D554" s="38" t="inlineStr">
        <is>
          <t>TOTAL</t>
        </is>
      </c>
      <c r="E554" s="38" t="inlineStr">
        <is>
          <t>POP</t>
        </is>
      </c>
      <c r="F554" s="38" t="n">
        <v>93</v>
      </c>
    </row>
    <row r="555" ht="15" customHeight="1" s="39">
      <c r="A555" s="38" t="inlineStr">
        <is>
          <t>2021</t>
        </is>
      </c>
      <c r="B555" s="42" t="inlineStr">
        <is>
          <t>430957</t>
        </is>
      </c>
      <c r="C555" s="38" t="inlineStr">
        <is>
          <t>Y043</t>
        </is>
      </c>
      <c r="D555" s="38" t="inlineStr">
        <is>
          <t>TOTAL</t>
        </is>
      </c>
      <c r="E555" s="38" t="inlineStr">
        <is>
          <t>POP</t>
        </is>
      </c>
      <c r="F555" s="38" t="n">
        <v>74</v>
      </c>
    </row>
    <row r="556" ht="15" customHeight="1" s="39">
      <c r="A556" s="38" t="inlineStr">
        <is>
          <t>2021</t>
        </is>
      </c>
      <c r="B556" s="42" t="inlineStr">
        <is>
          <t>430957</t>
        </is>
      </c>
      <c r="C556" s="38" t="inlineStr">
        <is>
          <t>Y044</t>
        </is>
      </c>
      <c r="D556" s="38" t="inlineStr">
        <is>
          <t>TOTAL</t>
        </is>
      </c>
      <c r="E556" s="38" t="inlineStr">
        <is>
          <t>POP</t>
        </is>
      </c>
      <c r="F556" s="38" t="n">
        <v>70</v>
      </c>
    </row>
    <row r="557" ht="15" customHeight="1" s="39">
      <c r="A557" s="38" t="inlineStr">
        <is>
          <t>2021</t>
        </is>
      </c>
      <c r="B557" s="42" t="inlineStr">
        <is>
          <t>430957</t>
        </is>
      </c>
      <c r="C557" s="38" t="inlineStr">
        <is>
          <t>Y045</t>
        </is>
      </c>
      <c r="D557" s="38" t="inlineStr">
        <is>
          <t>TOTAL</t>
        </is>
      </c>
      <c r="E557" s="38" t="inlineStr">
        <is>
          <t>POP</t>
        </is>
      </c>
      <c r="F557" s="38" t="n">
        <v>74</v>
      </c>
    </row>
    <row r="558" ht="15" customHeight="1" s="39">
      <c r="A558" s="38" t="inlineStr">
        <is>
          <t>2021</t>
        </is>
      </c>
      <c r="B558" s="42" t="inlineStr">
        <is>
          <t>430957</t>
        </is>
      </c>
      <c r="C558" s="38" t="inlineStr">
        <is>
          <t>Y046</t>
        </is>
      </c>
      <c r="D558" s="38" t="inlineStr">
        <is>
          <t>TOTAL</t>
        </is>
      </c>
      <c r="E558" s="38" t="inlineStr">
        <is>
          <t>POP</t>
        </is>
      </c>
      <c r="F558" s="38" t="n">
        <v>66</v>
      </c>
    </row>
    <row r="559" ht="15" customHeight="1" s="39">
      <c r="A559" s="38" t="inlineStr">
        <is>
          <t>2021</t>
        </is>
      </c>
      <c r="B559" s="42" t="inlineStr">
        <is>
          <t>430957</t>
        </is>
      </c>
      <c r="C559" s="38" t="inlineStr">
        <is>
          <t>Y047</t>
        </is>
      </c>
      <c r="D559" s="38" t="inlineStr">
        <is>
          <t>TOTAL</t>
        </is>
      </c>
      <c r="E559" s="38" t="inlineStr">
        <is>
          <t>POP</t>
        </is>
      </c>
      <c r="F559" s="38" t="n">
        <v>65</v>
      </c>
    </row>
    <row r="560" ht="15" customHeight="1" s="39">
      <c r="A560" s="38" t="inlineStr">
        <is>
          <t>2021</t>
        </is>
      </c>
      <c r="B560" s="42" t="inlineStr">
        <is>
          <t>430957</t>
        </is>
      </c>
      <c r="C560" s="38" t="inlineStr">
        <is>
          <t>Y048</t>
        </is>
      </c>
      <c r="D560" s="38" t="inlineStr">
        <is>
          <t>TOTAL</t>
        </is>
      </c>
      <c r="E560" s="38" t="inlineStr">
        <is>
          <t>POP</t>
        </is>
      </c>
      <c r="F560" s="38" t="n">
        <v>74</v>
      </c>
    </row>
    <row r="561" ht="15" customHeight="1" s="39">
      <c r="A561" s="38" t="inlineStr">
        <is>
          <t>2021</t>
        </is>
      </c>
      <c r="B561" s="42" t="inlineStr">
        <is>
          <t>430957</t>
        </is>
      </c>
      <c r="C561" s="38" t="inlineStr">
        <is>
          <t>Y049</t>
        </is>
      </c>
      <c r="D561" s="38" t="inlineStr">
        <is>
          <t>TOTAL</t>
        </is>
      </c>
      <c r="E561" s="38" t="inlineStr">
        <is>
          <t>POP</t>
        </is>
      </c>
      <c r="F561" s="38" t="n">
        <v>54</v>
      </c>
    </row>
    <row r="562" ht="15" customHeight="1" s="39">
      <c r="A562" s="38" t="inlineStr">
        <is>
          <t>2021</t>
        </is>
      </c>
      <c r="B562" s="42" t="inlineStr">
        <is>
          <t>430957</t>
        </is>
      </c>
      <c r="C562" s="38" t="inlineStr">
        <is>
          <t>Y050</t>
        </is>
      </c>
      <c r="D562" s="38" t="inlineStr">
        <is>
          <t>TOTAL</t>
        </is>
      </c>
      <c r="E562" s="38" t="inlineStr">
        <is>
          <t>POP</t>
        </is>
      </c>
      <c r="F562" s="38" t="n">
        <v>54</v>
      </c>
    </row>
    <row r="563" ht="15" customHeight="1" s="39">
      <c r="A563" s="38" t="inlineStr">
        <is>
          <t>2021</t>
        </is>
      </c>
      <c r="B563" s="42" t="inlineStr">
        <is>
          <t>430957</t>
        </is>
      </c>
      <c r="C563" s="38" t="inlineStr">
        <is>
          <t>Y051</t>
        </is>
      </c>
      <c r="D563" s="38" t="inlineStr">
        <is>
          <t>TOTAL</t>
        </is>
      </c>
      <c r="E563" s="38" t="inlineStr">
        <is>
          <t>POP</t>
        </is>
      </c>
      <c r="F563" s="38" t="n">
        <v>57</v>
      </c>
    </row>
    <row r="564" ht="15" customHeight="1" s="39">
      <c r="A564" s="38" t="inlineStr">
        <is>
          <t>2021</t>
        </is>
      </c>
      <c r="B564" s="42" t="inlineStr">
        <is>
          <t>430957</t>
        </is>
      </c>
      <c r="C564" s="38" t="inlineStr">
        <is>
          <t>Y052</t>
        </is>
      </c>
      <c r="D564" s="38" t="inlineStr">
        <is>
          <t>TOTAL</t>
        </is>
      </c>
      <c r="E564" s="38" t="inlineStr">
        <is>
          <t>POP</t>
        </is>
      </c>
      <c r="F564" s="38" t="n">
        <v>56</v>
      </c>
    </row>
    <row r="565" ht="15" customHeight="1" s="39">
      <c r="A565" s="38" t="inlineStr">
        <is>
          <t>2021</t>
        </is>
      </c>
      <c r="B565" s="42" t="inlineStr">
        <is>
          <t>430957</t>
        </is>
      </c>
      <c r="C565" s="38" t="inlineStr">
        <is>
          <t>Y053</t>
        </is>
      </c>
      <c r="D565" s="38" t="inlineStr">
        <is>
          <t>TOTAL</t>
        </is>
      </c>
      <c r="E565" s="38" t="inlineStr">
        <is>
          <t>POP</t>
        </is>
      </c>
      <c r="F565" s="38" t="n">
        <v>43</v>
      </c>
    </row>
    <row r="566" ht="15" customHeight="1" s="39">
      <c r="A566" s="38" t="inlineStr">
        <is>
          <t>2021</t>
        </is>
      </c>
      <c r="B566" s="42" t="inlineStr">
        <is>
          <t>430957</t>
        </is>
      </c>
      <c r="C566" s="38" t="inlineStr">
        <is>
          <t>Y054</t>
        </is>
      </c>
      <c r="D566" s="38" t="inlineStr">
        <is>
          <t>TOTAL</t>
        </is>
      </c>
      <c r="E566" s="38" t="inlineStr">
        <is>
          <t>POP</t>
        </is>
      </c>
      <c r="F566" s="38" t="n">
        <v>52</v>
      </c>
    </row>
    <row r="567" ht="15" customHeight="1" s="39">
      <c r="A567" s="38" t="inlineStr">
        <is>
          <t>2021</t>
        </is>
      </c>
      <c r="B567" s="42" t="inlineStr">
        <is>
          <t>430957</t>
        </is>
      </c>
      <c r="C567" s="38" t="inlineStr">
        <is>
          <t>Y055</t>
        </is>
      </c>
      <c r="D567" s="38" t="inlineStr">
        <is>
          <t>TOTAL</t>
        </is>
      </c>
      <c r="E567" s="38" t="inlineStr">
        <is>
          <t>POP</t>
        </is>
      </c>
      <c r="F567" s="38" t="n">
        <v>51</v>
      </c>
    </row>
    <row r="568" ht="15" customHeight="1" s="39">
      <c r="A568" s="38" t="inlineStr">
        <is>
          <t>2021</t>
        </is>
      </c>
      <c r="B568" s="42" t="inlineStr">
        <is>
          <t>430957</t>
        </is>
      </c>
      <c r="C568" s="38" t="inlineStr">
        <is>
          <t>Y056</t>
        </is>
      </c>
      <c r="D568" s="38" t="inlineStr">
        <is>
          <t>TOTAL</t>
        </is>
      </c>
      <c r="E568" s="38" t="inlineStr">
        <is>
          <t>POP</t>
        </is>
      </c>
      <c r="F568" s="38" t="n">
        <v>55</v>
      </c>
    </row>
    <row r="569" ht="15" customHeight="1" s="39">
      <c r="A569" s="38" t="inlineStr">
        <is>
          <t>2021</t>
        </is>
      </c>
      <c r="B569" s="42" t="inlineStr">
        <is>
          <t>430957</t>
        </is>
      </c>
      <c r="C569" s="38" t="inlineStr">
        <is>
          <t>Y057</t>
        </is>
      </c>
      <c r="D569" s="38" t="inlineStr">
        <is>
          <t>TOTAL</t>
        </is>
      </c>
      <c r="E569" s="38" t="inlineStr">
        <is>
          <t>POP</t>
        </is>
      </c>
      <c r="F569" s="38" t="n">
        <v>43</v>
      </c>
    </row>
    <row r="570" ht="15" customHeight="1" s="39">
      <c r="A570" s="38" t="inlineStr">
        <is>
          <t>2021</t>
        </is>
      </c>
      <c r="B570" s="42" t="inlineStr">
        <is>
          <t>430957</t>
        </is>
      </c>
      <c r="C570" s="38" t="inlineStr">
        <is>
          <t>Y058</t>
        </is>
      </c>
      <c r="D570" s="38" t="inlineStr">
        <is>
          <t>TOTAL</t>
        </is>
      </c>
      <c r="E570" s="38" t="inlineStr">
        <is>
          <t>POP</t>
        </is>
      </c>
      <c r="F570" s="38" t="n">
        <v>50</v>
      </c>
    </row>
    <row r="571" ht="15" customHeight="1" s="39">
      <c r="A571" s="38" t="inlineStr">
        <is>
          <t>2021</t>
        </is>
      </c>
      <c r="B571" s="42" t="inlineStr">
        <is>
          <t>430957</t>
        </is>
      </c>
      <c r="C571" s="38" t="inlineStr">
        <is>
          <t>Y059</t>
        </is>
      </c>
      <c r="D571" s="38" t="inlineStr">
        <is>
          <t>TOTAL</t>
        </is>
      </c>
      <c r="E571" s="38" t="inlineStr">
        <is>
          <t>POP</t>
        </is>
      </c>
      <c r="F571" s="38" t="n">
        <v>41</v>
      </c>
    </row>
    <row r="572" ht="15" customHeight="1" s="39">
      <c r="A572" s="38" t="inlineStr">
        <is>
          <t>2021</t>
        </is>
      </c>
      <c r="B572" s="42" t="inlineStr">
        <is>
          <t>430957</t>
        </is>
      </c>
      <c r="C572" s="38" t="inlineStr">
        <is>
          <t>Y060</t>
        </is>
      </c>
      <c r="D572" s="38" t="inlineStr">
        <is>
          <t>TOTAL</t>
        </is>
      </c>
      <c r="E572" s="38" t="inlineStr">
        <is>
          <t>POP</t>
        </is>
      </c>
      <c r="F572" s="38" t="n">
        <v>57</v>
      </c>
    </row>
    <row r="573" ht="15" customHeight="1" s="39">
      <c r="A573" s="38" t="inlineStr">
        <is>
          <t>2021</t>
        </is>
      </c>
      <c r="B573" s="42" t="inlineStr">
        <is>
          <t>430957</t>
        </is>
      </c>
      <c r="C573" s="38" t="inlineStr">
        <is>
          <t>Y061</t>
        </is>
      </c>
      <c r="D573" s="38" t="inlineStr">
        <is>
          <t>TOTAL</t>
        </is>
      </c>
      <c r="E573" s="38" t="inlineStr">
        <is>
          <t>POP</t>
        </is>
      </c>
      <c r="F573" s="38" t="n">
        <v>38</v>
      </c>
    </row>
    <row r="574" ht="15" customHeight="1" s="39">
      <c r="A574" s="38" t="inlineStr">
        <is>
          <t>2021</t>
        </is>
      </c>
      <c r="B574" s="42" t="inlineStr">
        <is>
          <t>430957</t>
        </is>
      </c>
      <c r="C574" s="38" t="inlineStr">
        <is>
          <t>Y062</t>
        </is>
      </c>
      <c r="D574" s="38" t="inlineStr">
        <is>
          <t>TOTAL</t>
        </is>
      </c>
      <c r="E574" s="38" t="inlineStr">
        <is>
          <t>POP</t>
        </is>
      </c>
      <c r="F574" s="38" t="n">
        <v>36</v>
      </c>
    </row>
    <row r="575" ht="15" customHeight="1" s="39">
      <c r="A575" s="38" t="inlineStr">
        <is>
          <t>2021</t>
        </is>
      </c>
      <c r="B575" s="42" t="inlineStr">
        <is>
          <t>430957</t>
        </is>
      </c>
      <c r="C575" s="38" t="inlineStr">
        <is>
          <t>Y063</t>
        </is>
      </c>
      <c r="D575" s="38" t="inlineStr">
        <is>
          <t>TOTAL</t>
        </is>
      </c>
      <c r="E575" s="38" t="inlineStr">
        <is>
          <t>POP</t>
        </is>
      </c>
      <c r="F575" s="38" t="n">
        <v>36</v>
      </c>
    </row>
    <row r="576" ht="15" customHeight="1" s="39">
      <c r="A576" s="38" t="inlineStr">
        <is>
          <t>2021</t>
        </is>
      </c>
      <c r="B576" s="42" t="inlineStr">
        <is>
          <t>430957</t>
        </is>
      </c>
      <c r="C576" s="38" t="inlineStr">
        <is>
          <t>Y064</t>
        </is>
      </c>
      <c r="D576" s="38" t="inlineStr">
        <is>
          <t>TOTAL</t>
        </is>
      </c>
      <c r="E576" s="38" t="inlineStr">
        <is>
          <t>POP</t>
        </is>
      </c>
      <c r="F576" s="38" t="n">
        <v>36</v>
      </c>
    </row>
    <row r="577" ht="15" customHeight="1" s="39">
      <c r="A577" s="38" t="inlineStr">
        <is>
          <t>2021</t>
        </is>
      </c>
      <c r="B577" s="42" t="inlineStr">
        <is>
          <t>430957</t>
        </is>
      </c>
      <c r="C577" s="38" t="inlineStr">
        <is>
          <t>Y065</t>
        </is>
      </c>
      <c r="D577" s="38" t="inlineStr">
        <is>
          <t>TOTAL</t>
        </is>
      </c>
      <c r="E577" s="38" t="inlineStr">
        <is>
          <t>POP</t>
        </is>
      </c>
      <c r="F577" s="38" t="n">
        <v>37</v>
      </c>
    </row>
    <row r="578" ht="15" customHeight="1" s="39">
      <c r="A578" s="38" t="inlineStr">
        <is>
          <t>2021</t>
        </is>
      </c>
      <c r="B578" s="42" t="inlineStr">
        <is>
          <t>430957</t>
        </is>
      </c>
      <c r="C578" s="38" t="inlineStr">
        <is>
          <t>Y066</t>
        </is>
      </c>
      <c r="D578" s="38" t="inlineStr">
        <is>
          <t>TOTAL</t>
        </is>
      </c>
      <c r="E578" s="38" t="inlineStr">
        <is>
          <t>POP</t>
        </is>
      </c>
      <c r="F578" s="38" t="n">
        <v>22</v>
      </c>
    </row>
    <row r="579" ht="15" customHeight="1" s="39">
      <c r="A579" s="38" t="inlineStr">
        <is>
          <t>2021</t>
        </is>
      </c>
      <c r="B579" s="42" t="inlineStr">
        <is>
          <t>430957</t>
        </is>
      </c>
      <c r="C579" s="38" t="inlineStr">
        <is>
          <t>Y067</t>
        </is>
      </c>
      <c r="D579" s="38" t="inlineStr">
        <is>
          <t>TOTAL</t>
        </is>
      </c>
      <c r="E579" s="38" t="inlineStr">
        <is>
          <t>POP</t>
        </is>
      </c>
      <c r="F579" s="38" t="n">
        <v>21</v>
      </c>
    </row>
    <row r="580" ht="15" customHeight="1" s="39">
      <c r="A580" s="38" t="inlineStr">
        <is>
          <t>2021</t>
        </is>
      </c>
      <c r="B580" s="42" t="inlineStr">
        <is>
          <t>430957</t>
        </is>
      </c>
      <c r="C580" s="38" t="inlineStr">
        <is>
          <t>Y068</t>
        </is>
      </c>
      <c r="D580" s="38" t="inlineStr">
        <is>
          <t>TOTAL</t>
        </is>
      </c>
      <c r="E580" s="38" t="inlineStr">
        <is>
          <t>POP</t>
        </is>
      </c>
      <c r="F580" s="38" t="n">
        <v>38</v>
      </c>
    </row>
    <row r="581" ht="15" customHeight="1" s="39">
      <c r="A581" s="38" t="inlineStr">
        <is>
          <t>2021</t>
        </is>
      </c>
      <c r="B581" s="42" t="inlineStr">
        <is>
          <t>430957</t>
        </is>
      </c>
      <c r="C581" s="38" t="inlineStr">
        <is>
          <t>Y069</t>
        </is>
      </c>
      <c r="D581" s="38" t="inlineStr">
        <is>
          <t>TOTAL</t>
        </is>
      </c>
      <c r="E581" s="38" t="inlineStr">
        <is>
          <t>POP</t>
        </is>
      </c>
      <c r="F581" s="38" t="n">
        <v>19</v>
      </c>
    </row>
    <row r="582" ht="15" customHeight="1" s="39">
      <c r="A582" s="38" t="inlineStr">
        <is>
          <t>2021</t>
        </is>
      </c>
      <c r="B582" s="42" t="inlineStr">
        <is>
          <t>430957</t>
        </is>
      </c>
      <c r="C582" s="38" t="inlineStr">
        <is>
          <t>Y070</t>
        </is>
      </c>
      <c r="D582" s="38" t="inlineStr">
        <is>
          <t>TOTAL</t>
        </is>
      </c>
      <c r="E582" s="38" t="inlineStr">
        <is>
          <t>POP</t>
        </is>
      </c>
      <c r="F582" s="38" t="n">
        <v>30</v>
      </c>
    </row>
    <row r="583" ht="15" customHeight="1" s="39">
      <c r="A583" s="38" t="inlineStr">
        <is>
          <t>2021</t>
        </is>
      </c>
      <c r="B583" s="42" t="inlineStr">
        <is>
          <t>430957</t>
        </is>
      </c>
      <c r="C583" s="38" t="inlineStr">
        <is>
          <t>Y071</t>
        </is>
      </c>
      <c r="D583" s="38" t="inlineStr">
        <is>
          <t>TOTAL</t>
        </is>
      </c>
      <c r="E583" s="38" t="inlineStr">
        <is>
          <t>POP</t>
        </is>
      </c>
      <c r="F583" s="38" t="n">
        <v>16</v>
      </c>
    </row>
    <row r="584" ht="15" customHeight="1" s="39">
      <c r="A584" s="38" t="inlineStr">
        <is>
          <t>2021</t>
        </is>
      </c>
      <c r="B584" s="42" t="inlineStr">
        <is>
          <t>430957</t>
        </is>
      </c>
      <c r="C584" s="38" t="inlineStr">
        <is>
          <t>Y072</t>
        </is>
      </c>
      <c r="D584" s="38" t="inlineStr">
        <is>
          <t>TOTAL</t>
        </is>
      </c>
      <c r="E584" s="38" t="inlineStr">
        <is>
          <t>POP</t>
        </is>
      </c>
      <c r="F584" s="38" t="n">
        <v>19</v>
      </c>
    </row>
    <row r="585" ht="15" customHeight="1" s="39">
      <c r="A585" s="38" t="inlineStr">
        <is>
          <t>2021</t>
        </is>
      </c>
      <c r="B585" s="42" t="inlineStr">
        <is>
          <t>430957</t>
        </is>
      </c>
      <c r="C585" s="38" t="inlineStr">
        <is>
          <t>Y073</t>
        </is>
      </c>
      <c r="D585" s="38" t="inlineStr">
        <is>
          <t>TOTAL</t>
        </is>
      </c>
      <c r="E585" s="38" t="inlineStr">
        <is>
          <t>POP</t>
        </is>
      </c>
      <c r="F585" s="38" t="n">
        <v>37</v>
      </c>
    </row>
    <row r="586" ht="15" customHeight="1" s="39">
      <c r="A586" s="38" t="inlineStr">
        <is>
          <t>2021</t>
        </is>
      </c>
      <c r="B586" s="42" t="inlineStr">
        <is>
          <t>430957</t>
        </is>
      </c>
      <c r="C586" s="38" t="inlineStr">
        <is>
          <t>Y074</t>
        </is>
      </c>
      <c r="D586" s="38" t="inlineStr">
        <is>
          <t>TOTAL</t>
        </is>
      </c>
      <c r="E586" s="38" t="inlineStr">
        <is>
          <t>POP</t>
        </is>
      </c>
      <c r="F586" s="38" t="n">
        <v>22</v>
      </c>
    </row>
    <row r="587" ht="15" customHeight="1" s="39">
      <c r="A587" s="38" t="inlineStr">
        <is>
          <t>2021</t>
        </is>
      </c>
      <c r="B587" s="42" t="inlineStr">
        <is>
          <t>430957</t>
        </is>
      </c>
      <c r="C587" s="38" t="inlineStr">
        <is>
          <t>Y075</t>
        </is>
      </c>
      <c r="D587" s="38" t="inlineStr">
        <is>
          <t>TOTAL</t>
        </is>
      </c>
      <c r="E587" s="38" t="inlineStr">
        <is>
          <t>POP</t>
        </is>
      </c>
      <c r="F587" s="38" t="n">
        <v>28</v>
      </c>
    </row>
    <row r="588" ht="15" customHeight="1" s="39">
      <c r="A588" s="38" t="inlineStr">
        <is>
          <t>2021</t>
        </is>
      </c>
      <c r="B588" s="42" t="inlineStr">
        <is>
          <t>430957</t>
        </is>
      </c>
      <c r="C588" s="38" t="inlineStr">
        <is>
          <t>Y076</t>
        </is>
      </c>
      <c r="D588" s="38" t="inlineStr">
        <is>
          <t>TOTAL</t>
        </is>
      </c>
      <c r="E588" s="38" t="inlineStr">
        <is>
          <t>POP</t>
        </is>
      </c>
      <c r="F588" s="38" t="n">
        <v>18</v>
      </c>
    </row>
    <row r="589" ht="15" customHeight="1" s="39">
      <c r="A589" s="38" t="inlineStr">
        <is>
          <t>2021</t>
        </is>
      </c>
      <c r="B589" s="42" t="inlineStr">
        <is>
          <t>430957</t>
        </is>
      </c>
      <c r="C589" s="38" t="inlineStr">
        <is>
          <t>Y077</t>
        </is>
      </c>
      <c r="D589" s="38" t="inlineStr">
        <is>
          <t>TOTAL</t>
        </is>
      </c>
      <c r="E589" s="38" t="inlineStr">
        <is>
          <t>POP</t>
        </is>
      </c>
      <c r="F589" s="38" t="n">
        <v>25</v>
      </c>
    </row>
    <row r="590" ht="15" customHeight="1" s="39">
      <c r="A590" s="38" t="inlineStr">
        <is>
          <t>2021</t>
        </is>
      </c>
      <c r="B590" s="42" t="inlineStr">
        <is>
          <t>430957</t>
        </is>
      </c>
      <c r="C590" s="38" t="inlineStr">
        <is>
          <t>Y078</t>
        </is>
      </c>
      <c r="D590" s="38" t="inlineStr">
        <is>
          <t>TOTAL</t>
        </is>
      </c>
      <c r="E590" s="38" t="inlineStr">
        <is>
          <t>POP</t>
        </is>
      </c>
      <c r="F590" s="38" t="n">
        <v>12</v>
      </c>
    </row>
    <row r="591" ht="15" customHeight="1" s="39">
      <c r="A591" s="38" t="inlineStr">
        <is>
          <t>2021</t>
        </is>
      </c>
      <c r="B591" s="42" t="inlineStr">
        <is>
          <t>430957</t>
        </is>
      </c>
      <c r="C591" s="38" t="inlineStr">
        <is>
          <t>Y079</t>
        </is>
      </c>
      <c r="D591" s="38" t="inlineStr">
        <is>
          <t>TOTAL</t>
        </is>
      </c>
      <c r="E591" s="38" t="inlineStr">
        <is>
          <t>POP</t>
        </is>
      </c>
      <c r="F591" s="38" t="n">
        <v>13</v>
      </c>
    </row>
    <row r="592" ht="15" customHeight="1" s="39">
      <c r="A592" s="38" t="inlineStr">
        <is>
          <t>2021</t>
        </is>
      </c>
      <c r="B592" s="42" t="inlineStr">
        <is>
          <t>430957</t>
        </is>
      </c>
      <c r="C592" s="38" t="inlineStr">
        <is>
          <t>Y080</t>
        </is>
      </c>
      <c r="D592" s="38" t="inlineStr">
        <is>
          <t>TOTAL</t>
        </is>
      </c>
      <c r="E592" s="38" t="inlineStr">
        <is>
          <t>POP</t>
        </is>
      </c>
      <c r="F592" s="38" t="n">
        <v>25</v>
      </c>
    </row>
    <row r="593" ht="15" customHeight="1" s="39">
      <c r="A593" s="38" t="inlineStr">
        <is>
          <t>2021</t>
        </is>
      </c>
      <c r="B593" s="42" t="inlineStr">
        <is>
          <t>430957</t>
        </is>
      </c>
      <c r="C593" s="38" t="inlineStr">
        <is>
          <t>Y081</t>
        </is>
      </c>
      <c r="D593" s="38" t="inlineStr">
        <is>
          <t>TOTAL</t>
        </is>
      </c>
      <c r="E593" s="38" t="inlineStr">
        <is>
          <t>POP</t>
        </is>
      </c>
      <c r="F593" s="38" t="n">
        <v>7</v>
      </c>
    </row>
    <row r="594" ht="15" customHeight="1" s="39">
      <c r="A594" s="38" t="inlineStr">
        <is>
          <t>2021</t>
        </is>
      </c>
      <c r="B594" s="42" t="inlineStr">
        <is>
          <t>430957</t>
        </is>
      </c>
      <c r="C594" s="38" t="inlineStr">
        <is>
          <t>Y082</t>
        </is>
      </c>
      <c r="D594" s="38" t="inlineStr">
        <is>
          <t>TOTAL</t>
        </is>
      </c>
      <c r="E594" s="38" t="inlineStr">
        <is>
          <t>POP</t>
        </is>
      </c>
      <c r="F594" s="38" t="n">
        <v>8</v>
      </c>
    </row>
    <row r="595" ht="15" customHeight="1" s="39">
      <c r="A595" s="38" t="inlineStr">
        <is>
          <t>2021</t>
        </is>
      </c>
      <c r="B595" s="42" t="inlineStr">
        <is>
          <t>430957</t>
        </is>
      </c>
      <c r="C595" s="38" t="inlineStr">
        <is>
          <t>Y083</t>
        </is>
      </c>
      <c r="D595" s="38" t="inlineStr">
        <is>
          <t>TOTAL</t>
        </is>
      </c>
      <c r="E595" s="38" t="inlineStr">
        <is>
          <t>POP</t>
        </is>
      </c>
      <c r="F595" s="38" t="n">
        <v>10</v>
      </c>
    </row>
    <row r="596" ht="15" customHeight="1" s="39">
      <c r="A596" s="38" t="inlineStr">
        <is>
          <t>2021</t>
        </is>
      </c>
      <c r="B596" s="42" t="inlineStr">
        <is>
          <t>430957</t>
        </is>
      </c>
      <c r="C596" s="38" t="inlineStr">
        <is>
          <t>Y084</t>
        </is>
      </c>
      <c r="D596" s="38" t="inlineStr">
        <is>
          <t>TOTAL</t>
        </is>
      </c>
      <c r="E596" s="38" t="inlineStr">
        <is>
          <t>POP</t>
        </is>
      </c>
      <c r="F596" s="38" t="n">
        <v>15</v>
      </c>
    </row>
    <row r="597" ht="15" customHeight="1" s="39">
      <c r="A597" s="38" t="inlineStr">
        <is>
          <t>2021</t>
        </is>
      </c>
      <c r="B597" s="42" t="inlineStr">
        <is>
          <t>430957</t>
        </is>
      </c>
      <c r="C597" s="38" t="inlineStr">
        <is>
          <t>Y085</t>
        </is>
      </c>
      <c r="D597" s="38" t="inlineStr">
        <is>
          <t>TOTAL</t>
        </is>
      </c>
      <c r="E597" s="38" t="inlineStr">
        <is>
          <t>POP</t>
        </is>
      </c>
      <c r="F597" s="38" t="n">
        <v>15</v>
      </c>
    </row>
    <row r="598" ht="15" customHeight="1" s="39">
      <c r="A598" s="38" t="inlineStr">
        <is>
          <t>2021</t>
        </is>
      </c>
      <c r="B598" s="42" t="inlineStr">
        <is>
          <t>430957</t>
        </is>
      </c>
      <c r="C598" s="38" t="inlineStr">
        <is>
          <t>Y086</t>
        </is>
      </c>
      <c r="D598" s="38" t="inlineStr">
        <is>
          <t>TOTAL</t>
        </is>
      </c>
      <c r="E598" s="38" t="inlineStr">
        <is>
          <t>POP</t>
        </is>
      </c>
      <c r="F598" s="38" t="n">
        <v>6</v>
      </c>
    </row>
    <row r="599" ht="15" customHeight="1" s="39">
      <c r="A599" s="38" t="inlineStr">
        <is>
          <t>2021</t>
        </is>
      </c>
      <c r="B599" s="42" t="inlineStr">
        <is>
          <t>430957</t>
        </is>
      </c>
      <c r="C599" s="38" t="inlineStr">
        <is>
          <t>Y087</t>
        </is>
      </c>
      <c r="D599" s="38" t="inlineStr">
        <is>
          <t>TOTAL</t>
        </is>
      </c>
      <c r="E599" s="38" t="inlineStr">
        <is>
          <t>POP</t>
        </is>
      </c>
      <c r="F599" s="38" t="n">
        <v>10</v>
      </c>
    </row>
    <row r="600" ht="15" customHeight="1" s="39">
      <c r="A600" s="38" t="inlineStr">
        <is>
          <t>2021</t>
        </is>
      </c>
      <c r="B600" s="42" t="inlineStr">
        <is>
          <t>430957</t>
        </is>
      </c>
      <c r="C600" s="38" t="inlineStr">
        <is>
          <t>Y088</t>
        </is>
      </c>
      <c r="D600" s="38" t="inlineStr">
        <is>
          <t>TOTAL</t>
        </is>
      </c>
      <c r="E600" s="38" t="inlineStr">
        <is>
          <t>POP</t>
        </is>
      </c>
      <c r="F600" s="38" t="n">
        <v>12</v>
      </c>
    </row>
    <row r="601" ht="15" customHeight="1" s="39">
      <c r="A601" s="38" t="inlineStr">
        <is>
          <t>2021</t>
        </is>
      </c>
      <c r="B601" s="42" t="inlineStr">
        <is>
          <t>430957</t>
        </is>
      </c>
      <c r="C601" s="38" t="inlineStr">
        <is>
          <t>Y089</t>
        </is>
      </c>
      <c r="D601" s="38" t="inlineStr">
        <is>
          <t>TOTAL</t>
        </is>
      </c>
      <c r="E601" s="38" t="inlineStr">
        <is>
          <t>POP</t>
        </is>
      </c>
      <c r="F601" s="38" t="n">
        <v>4</v>
      </c>
    </row>
    <row r="602" ht="15" customHeight="1" s="39">
      <c r="A602" s="38" t="inlineStr">
        <is>
          <t>2021</t>
        </is>
      </c>
      <c r="B602" s="42" t="inlineStr">
        <is>
          <t>430957</t>
        </is>
      </c>
      <c r="C602" s="38" t="inlineStr">
        <is>
          <t>Y090</t>
        </is>
      </c>
      <c r="D602" s="38" t="inlineStr">
        <is>
          <t>TOTAL</t>
        </is>
      </c>
      <c r="E602" s="38" t="inlineStr">
        <is>
          <t>POP</t>
        </is>
      </c>
      <c r="F602" s="38" t="n">
        <v>6</v>
      </c>
    </row>
    <row r="603" ht="15" customHeight="1" s="39">
      <c r="A603" s="38" t="inlineStr">
        <is>
          <t>2021</t>
        </is>
      </c>
      <c r="B603" s="42" t="inlineStr">
        <is>
          <t>430957</t>
        </is>
      </c>
      <c r="C603" s="38" t="inlineStr">
        <is>
          <t>Y091</t>
        </is>
      </c>
      <c r="D603" s="38" t="inlineStr">
        <is>
          <t>TOTAL</t>
        </is>
      </c>
      <c r="E603" s="38" t="inlineStr">
        <is>
          <t>POP</t>
        </is>
      </c>
      <c r="F603" s="38" t="n">
        <v>8</v>
      </c>
    </row>
    <row r="604" ht="15" customHeight="1" s="39">
      <c r="A604" s="38" t="inlineStr">
        <is>
          <t>2021</t>
        </is>
      </c>
      <c r="B604" s="42" t="inlineStr">
        <is>
          <t>430957</t>
        </is>
      </c>
      <c r="C604" s="38" t="inlineStr">
        <is>
          <t>Y092</t>
        </is>
      </c>
      <c r="D604" s="38" t="inlineStr">
        <is>
          <t>TOTAL</t>
        </is>
      </c>
      <c r="E604" s="38" t="inlineStr">
        <is>
          <t>POP</t>
        </is>
      </c>
      <c r="F604" s="38" t="n">
        <v>3</v>
      </c>
    </row>
    <row r="605" ht="15" customHeight="1" s="39">
      <c r="A605" s="38" t="inlineStr">
        <is>
          <t>2021</t>
        </is>
      </c>
      <c r="B605" s="42" t="inlineStr">
        <is>
          <t>430957</t>
        </is>
      </c>
      <c r="C605" s="38" t="inlineStr">
        <is>
          <t>Y093</t>
        </is>
      </c>
      <c r="D605" s="38" t="inlineStr">
        <is>
          <t>TOTAL</t>
        </is>
      </c>
      <c r="E605" s="38" t="inlineStr">
        <is>
          <t>POP</t>
        </is>
      </c>
      <c r="F605" s="38" t="n">
        <v>0</v>
      </c>
    </row>
    <row r="606" ht="15" customHeight="1" s="39">
      <c r="A606" s="38" t="inlineStr">
        <is>
          <t>2021</t>
        </is>
      </c>
      <c r="B606" s="42" t="inlineStr">
        <is>
          <t>430957</t>
        </is>
      </c>
      <c r="C606" s="38" t="inlineStr">
        <is>
          <t>Y094</t>
        </is>
      </c>
      <c r="D606" s="38" t="inlineStr">
        <is>
          <t>TOTAL</t>
        </is>
      </c>
      <c r="E606" s="38" t="inlineStr">
        <is>
          <t>POP</t>
        </is>
      </c>
      <c r="F606" s="38" t="n">
        <v>2</v>
      </c>
    </row>
    <row r="607" ht="15" customHeight="1" s="39">
      <c r="A607" s="38" t="inlineStr">
        <is>
          <t>2021</t>
        </is>
      </c>
      <c r="B607" s="42" t="inlineStr">
        <is>
          <t>430957</t>
        </is>
      </c>
      <c r="C607" s="38" t="inlineStr">
        <is>
          <t>Y095</t>
        </is>
      </c>
      <c r="D607" s="38" t="inlineStr">
        <is>
          <t>TOTAL</t>
        </is>
      </c>
      <c r="E607" s="38" t="inlineStr">
        <is>
          <t>POP</t>
        </is>
      </c>
      <c r="F607" s="38" t="n">
        <v>1</v>
      </c>
    </row>
    <row r="608" ht="15" customHeight="1" s="39">
      <c r="A608" s="38" t="inlineStr">
        <is>
          <t>2021</t>
        </is>
      </c>
      <c r="B608" s="42" t="inlineStr">
        <is>
          <t>430957</t>
        </is>
      </c>
      <c r="C608" s="38" t="inlineStr">
        <is>
          <t>Y096</t>
        </is>
      </c>
      <c r="D608" s="38" t="inlineStr">
        <is>
          <t>TOTAL</t>
        </is>
      </c>
      <c r="E608" s="38" t="inlineStr">
        <is>
          <t>POP</t>
        </is>
      </c>
      <c r="F608" s="38" t="n">
        <v>1</v>
      </c>
    </row>
    <row r="609" ht="15" customHeight="1" s="39">
      <c r="A609" s="38" t="inlineStr">
        <is>
          <t>2021</t>
        </is>
      </c>
      <c r="B609" s="42" t="inlineStr">
        <is>
          <t>430957</t>
        </is>
      </c>
      <c r="C609" s="38" t="inlineStr">
        <is>
          <t>Y097</t>
        </is>
      </c>
      <c r="D609" s="38" t="inlineStr">
        <is>
          <t>TOTAL</t>
        </is>
      </c>
      <c r="E609" s="38" t="inlineStr">
        <is>
          <t>POP</t>
        </is>
      </c>
      <c r="F609" s="38" t="n">
        <v>0</v>
      </c>
    </row>
    <row r="610" ht="15" customHeight="1" s="39">
      <c r="A610" s="38" t="inlineStr">
        <is>
          <t>2021</t>
        </is>
      </c>
      <c r="B610" s="42" t="inlineStr">
        <is>
          <t>430957</t>
        </is>
      </c>
      <c r="C610" s="38" t="inlineStr">
        <is>
          <t>Y098</t>
        </is>
      </c>
      <c r="D610" s="38" t="inlineStr">
        <is>
          <t>TOTAL</t>
        </is>
      </c>
      <c r="E610" s="38" t="inlineStr">
        <is>
          <t>POP</t>
        </is>
      </c>
      <c r="F610" s="38" t="n">
        <v>2</v>
      </c>
    </row>
    <row r="611" ht="15" customHeight="1" s="39">
      <c r="A611" s="38" t="inlineStr">
        <is>
          <t>2021</t>
        </is>
      </c>
      <c r="B611" s="42" t="inlineStr">
        <is>
          <t>430957</t>
        </is>
      </c>
      <c r="C611" s="38" t="inlineStr">
        <is>
          <t>Y099</t>
        </is>
      </c>
      <c r="D611" s="38" t="inlineStr">
        <is>
          <t>TOTAL</t>
        </is>
      </c>
      <c r="E611" s="38" t="inlineStr">
        <is>
          <t>POP</t>
        </is>
      </c>
      <c r="F611" s="38" t="n">
        <v>1</v>
      </c>
    </row>
    <row r="612" ht="15" customHeight="1" s="39">
      <c r="A612" s="38" t="inlineStr">
        <is>
          <t>2021</t>
        </is>
      </c>
      <c r="B612" s="42" t="inlineStr">
        <is>
          <t>430957</t>
        </is>
      </c>
      <c r="C612" s="38" t="inlineStr">
        <is>
          <t>Y_GE100</t>
        </is>
      </c>
      <c r="D612" s="38" t="inlineStr">
        <is>
          <t>TOTAL</t>
        </is>
      </c>
      <c r="E612" s="38" t="inlineStr">
        <is>
          <t>POP</t>
        </is>
      </c>
      <c r="F612" s="38" t="n">
        <v>0</v>
      </c>
    </row>
    <row r="613" ht="15" customHeight="1" s="39">
      <c r="A613" s="38" t="inlineStr">
        <is>
          <t>2021</t>
        </is>
      </c>
      <c r="B613" s="42" t="inlineStr">
        <is>
          <t>430957</t>
        </is>
      </c>
      <c r="C613" s="38" t="inlineStr">
        <is>
          <t>TOTAL</t>
        </is>
      </c>
      <c r="D613" s="38" t="inlineStr">
        <is>
          <t>TOTAL</t>
        </is>
      </c>
      <c r="E613" s="38" t="inlineStr">
        <is>
          <t>POP</t>
        </is>
      </c>
      <c r="F613" s="38" t="n">
        <v>3727</v>
      </c>
    </row>
    <row r="614" ht="15" customHeight="1" s="39">
      <c r="A614" s="38" t="inlineStr">
        <is>
          <t>2021</t>
        </is>
      </c>
      <c r="B614" s="42" t="inlineStr">
        <is>
          <t>430976</t>
        </is>
      </c>
      <c r="C614" s="38" t="inlineStr">
        <is>
          <t>Y000</t>
        </is>
      </c>
      <c r="D614" s="38" t="inlineStr">
        <is>
          <t>TOTAL</t>
        </is>
      </c>
      <c r="E614" s="38" t="inlineStr">
        <is>
          <t>POP</t>
        </is>
      </c>
      <c r="F614" s="38" t="n">
        <v>2</v>
      </c>
    </row>
    <row r="615" ht="15" customHeight="1" s="39">
      <c r="A615" s="38" t="inlineStr">
        <is>
          <t>2021</t>
        </is>
      </c>
      <c r="B615" s="42" t="inlineStr">
        <is>
          <t>430976</t>
        </is>
      </c>
      <c r="C615" s="38" t="inlineStr">
        <is>
          <t>Y001</t>
        </is>
      </c>
      <c r="D615" s="38" t="inlineStr">
        <is>
          <t>TOTAL</t>
        </is>
      </c>
      <c r="E615" s="38" t="inlineStr">
        <is>
          <t>POP</t>
        </is>
      </c>
      <c r="F615" s="38" t="n">
        <v>3</v>
      </c>
    </row>
    <row r="616" ht="15" customHeight="1" s="39">
      <c r="A616" s="38" t="inlineStr">
        <is>
          <t>2021</t>
        </is>
      </c>
      <c r="B616" s="42" t="inlineStr">
        <is>
          <t>430976</t>
        </is>
      </c>
      <c r="C616" s="38" t="inlineStr">
        <is>
          <t>Y002</t>
        </is>
      </c>
      <c r="D616" s="38" t="inlineStr">
        <is>
          <t>TOTAL</t>
        </is>
      </c>
      <c r="E616" s="38" t="inlineStr">
        <is>
          <t>POP</t>
        </is>
      </c>
      <c r="F616" s="38" t="n">
        <v>9</v>
      </c>
    </row>
    <row r="617" ht="15" customHeight="1" s="39">
      <c r="A617" s="38" t="inlineStr">
        <is>
          <t>2021</t>
        </is>
      </c>
      <c r="B617" s="42" t="inlineStr">
        <is>
          <t>430976</t>
        </is>
      </c>
      <c r="C617" s="38" t="inlineStr">
        <is>
          <t>Y003</t>
        </is>
      </c>
      <c r="D617" s="38" t="inlineStr">
        <is>
          <t>TOTAL</t>
        </is>
      </c>
      <c r="E617" s="38" t="inlineStr">
        <is>
          <t>POP</t>
        </is>
      </c>
      <c r="F617" s="38" t="n">
        <v>6</v>
      </c>
    </row>
    <row r="618" ht="15" customHeight="1" s="39">
      <c r="A618" s="38" t="inlineStr">
        <is>
          <t>2021</t>
        </is>
      </c>
      <c r="B618" s="42" t="inlineStr">
        <is>
          <t>430976</t>
        </is>
      </c>
      <c r="C618" s="38" t="inlineStr">
        <is>
          <t>Y004</t>
        </is>
      </c>
      <c r="D618" s="38" t="inlineStr">
        <is>
          <t>TOTAL</t>
        </is>
      </c>
      <c r="E618" s="38" t="inlineStr">
        <is>
          <t>POP</t>
        </is>
      </c>
      <c r="F618" s="38" t="n">
        <v>9</v>
      </c>
    </row>
    <row r="619" ht="15" customHeight="1" s="39">
      <c r="A619" s="38" t="inlineStr">
        <is>
          <t>2021</t>
        </is>
      </c>
      <c r="B619" s="42" t="inlineStr">
        <is>
          <t>430976</t>
        </is>
      </c>
      <c r="C619" s="38" t="inlineStr">
        <is>
          <t>Y005</t>
        </is>
      </c>
      <c r="D619" s="38" t="inlineStr">
        <is>
          <t>TOTAL</t>
        </is>
      </c>
      <c r="E619" s="38" t="inlineStr">
        <is>
          <t>POP</t>
        </is>
      </c>
      <c r="F619" s="38" t="n">
        <v>10</v>
      </c>
    </row>
    <row r="620" ht="15" customHeight="1" s="39">
      <c r="A620" s="38" t="inlineStr">
        <is>
          <t>2021</t>
        </is>
      </c>
      <c r="B620" s="42" t="inlineStr">
        <is>
          <t>430976</t>
        </is>
      </c>
      <c r="C620" s="38" t="inlineStr">
        <is>
          <t>Y006</t>
        </is>
      </c>
      <c r="D620" s="38" t="inlineStr">
        <is>
          <t>TOTAL</t>
        </is>
      </c>
      <c r="E620" s="38" t="inlineStr">
        <is>
          <t>POP</t>
        </is>
      </c>
      <c r="F620" s="38" t="n">
        <v>11</v>
      </c>
    </row>
    <row r="621" ht="15" customHeight="1" s="39">
      <c r="A621" s="38" t="inlineStr">
        <is>
          <t>2021</t>
        </is>
      </c>
      <c r="B621" s="42" t="inlineStr">
        <is>
          <t>430976</t>
        </is>
      </c>
      <c r="C621" s="38" t="inlineStr">
        <is>
          <t>Y007</t>
        </is>
      </c>
      <c r="D621" s="38" t="inlineStr">
        <is>
          <t>TOTAL</t>
        </is>
      </c>
      <c r="E621" s="38" t="inlineStr">
        <is>
          <t>POP</t>
        </is>
      </c>
      <c r="F621" s="38" t="n">
        <v>7</v>
      </c>
    </row>
    <row r="622" ht="15" customHeight="1" s="39">
      <c r="A622" s="38" t="inlineStr">
        <is>
          <t>2021</t>
        </is>
      </c>
      <c r="B622" s="42" t="inlineStr">
        <is>
          <t>430976</t>
        </is>
      </c>
      <c r="C622" s="38" t="inlineStr">
        <is>
          <t>Y008</t>
        </is>
      </c>
      <c r="D622" s="38" t="inlineStr">
        <is>
          <t>TOTAL</t>
        </is>
      </c>
      <c r="E622" s="38" t="inlineStr">
        <is>
          <t>POP</t>
        </is>
      </c>
      <c r="F622" s="38" t="n">
        <v>8</v>
      </c>
    </row>
    <row r="623" ht="15" customHeight="1" s="39">
      <c r="A623" s="38" t="inlineStr">
        <is>
          <t>2021</t>
        </is>
      </c>
      <c r="B623" s="42" t="inlineStr">
        <is>
          <t>430976</t>
        </is>
      </c>
      <c r="C623" s="38" t="inlineStr">
        <is>
          <t>Y009</t>
        </is>
      </c>
      <c r="D623" s="38" t="inlineStr">
        <is>
          <t>TOTAL</t>
        </is>
      </c>
      <c r="E623" s="38" t="inlineStr">
        <is>
          <t>POP</t>
        </is>
      </c>
      <c r="F623" s="38" t="n">
        <v>14</v>
      </c>
    </row>
    <row r="624" ht="15" customHeight="1" s="39">
      <c r="A624" s="38" t="inlineStr">
        <is>
          <t>2021</t>
        </is>
      </c>
      <c r="B624" s="42" t="inlineStr">
        <is>
          <t>430976</t>
        </is>
      </c>
      <c r="C624" s="38" t="inlineStr">
        <is>
          <t>Y010</t>
        </is>
      </c>
      <c r="D624" s="38" t="inlineStr">
        <is>
          <t>TOTAL</t>
        </is>
      </c>
      <c r="E624" s="38" t="inlineStr">
        <is>
          <t>POP</t>
        </is>
      </c>
      <c r="F624" s="38" t="n">
        <v>8</v>
      </c>
    </row>
    <row r="625" ht="15" customHeight="1" s="39">
      <c r="A625" s="38" t="inlineStr">
        <is>
          <t>2021</t>
        </is>
      </c>
      <c r="B625" s="42" t="inlineStr">
        <is>
          <t>430976</t>
        </is>
      </c>
      <c r="C625" s="38" t="inlineStr">
        <is>
          <t>Y011</t>
        </is>
      </c>
      <c r="D625" s="38" t="inlineStr">
        <is>
          <t>TOTAL</t>
        </is>
      </c>
      <c r="E625" s="38" t="inlineStr">
        <is>
          <t>POP</t>
        </is>
      </c>
      <c r="F625" s="38" t="n">
        <v>9</v>
      </c>
    </row>
    <row r="626" ht="15" customHeight="1" s="39">
      <c r="A626" s="38" t="inlineStr">
        <is>
          <t>2021</t>
        </is>
      </c>
      <c r="B626" s="42" t="inlineStr">
        <is>
          <t>430976</t>
        </is>
      </c>
      <c r="C626" s="38" t="inlineStr">
        <is>
          <t>Y012</t>
        </is>
      </c>
      <c r="D626" s="38" t="inlineStr">
        <is>
          <t>TOTAL</t>
        </is>
      </c>
      <c r="E626" s="38" t="inlineStr">
        <is>
          <t>POP</t>
        </is>
      </c>
      <c r="F626" s="38" t="n">
        <v>8</v>
      </c>
    </row>
    <row r="627" ht="15" customHeight="1" s="39">
      <c r="A627" s="38" t="inlineStr">
        <is>
          <t>2021</t>
        </is>
      </c>
      <c r="B627" s="42" t="inlineStr">
        <is>
          <t>430976</t>
        </is>
      </c>
      <c r="C627" s="38" t="inlineStr">
        <is>
          <t>Y013</t>
        </is>
      </c>
      <c r="D627" s="38" t="inlineStr">
        <is>
          <t>TOTAL</t>
        </is>
      </c>
      <c r="E627" s="38" t="inlineStr">
        <is>
          <t>POP</t>
        </is>
      </c>
      <c r="F627" s="38" t="n">
        <v>14</v>
      </c>
    </row>
    <row r="628" ht="15" customHeight="1" s="39">
      <c r="A628" s="38" t="inlineStr">
        <is>
          <t>2021</t>
        </is>
      </c>
      <c r="B628" s="42" t="inlineStr">
        <is>
          <t>430976</t>
        </is>
      </c>
      <c r="C628" s="38" t="inlineStr">
        <is>
          <t>Y014</t>
        </is>
      </c>
      <c r="D628" s="38" t="inlineStr">
        <is>
          <t>TOTAL</t>
        </is>
      </c>
      <c r="E628" s="38" t="inlineStr">
        <is>
          <t>POP</t>
        </is>
      </c>
      <c r="F628" s="38" t="n">
        <v>8</v>
      </c>
    </row>
    <row r="629" ht="15" customHeight="1" s="39">
      <c r="A629" s="38" t="inlineStr">
        <is>
          <t>2021</t>
        </is>
      </c>
      <c r="B629" s="42" t="inlineStr">
        <is>
          <t>430976</t>
        </is>
      </c>
      <c r="C629" s="38" t="inlineStr">
        <is>
          <t>Y015</t>
        </is>
      </c>
      <c r="D629" s="38" t="inlineStr">
        <is>
          <t>TOTAL</t>
        </is>
      </c>
      <c r="E629" s="38" t="inlineStr">
        <is>
          <t>POP</t>
        </is>
      </c>
      <c r="F629" s="38" t="n">
        <v>11</v>
      </c>
    </row>
    <row r="630" ht="15" customHeight="1" s="39">
      <c r="A630" s="38" t="inlineStr">
        <is>
          <t>2021</t>
        </is>
      </c>
      <c r="B630" s="42" t="inlineStr">
        <is>
          <t>430976</t>
        </is>
      </c>
      <c r="C630" s="38" t="inlineStr">
        <is>
          <t>Y016</t>
        </is>
      </c>
      <c r="D630" s="38" t="inlineStr">
        <is>
          <t>TOTAL</t>
        </is>
      </c>
      <c r="E630" s="38" t="inlineStr">
        <is>
          <t>POP</t>
        </is>
      </c>
      <c r="F630" s="38" t="n">
        <v>11</v>
      </c>
    </row>
    <row r="631" ht="15" customHeight="1" s="39">
      <c r="A631" s="38" t="inlineStr">
        <is>
          <t>2021</t>
        </is>
      </c>
      <c r="B631" s="42" t="inlineStr">
        <is>
          <t>430976</t>
        </is>
      </c>
      <c r="C631" s="38" t="inlineStr">
        <is>
          <t>Y017</t>
        </is>
      </c>
      <c r="D631" s="38" t="inlineStr">
        <is>
          <t>TOTAL</t>
        </is>
      </c>
      <c r="E631" s="38" t="inlineStr">
        <is>
          <t>POP</t>
        </is>
      </c>
      <c r="F631" s="38" t="n">
        <v>7</v>
      </c>
    </row>
    <row r="632" ht="15" customHeight="1" s="39">
      <c r="A632" s="38" t="inlineStr">
        <is>
          <t>2021</t>
        </is>
      </c>
      <c r="B632" s="42" t="inlineStr">
        <is>
          <t>430976</t>
        </is>
      </c>
      <c r="C632" s="38" t="inlineStr">
        <is>
          <t>Y018</t>
        </is>
      </c>
      <c r="D632" s="38" t="inlineStr">
        <is>
          <t>TOTAL</t>
        </is>
      </c>
      <c r="E632" s="38" t="inlineStr">
        <is>
          <t>POP</t>
        </is>
      </c>
      <c r="F632" s="38" t="n">
        <v>8</v>
      </c>
    </row>
    <row r="633" ht="15" customHeight="1" s="39">
      <c r="A633" s="38" t="inlineStr">
        <is>
          <t>2021</t>
        </is>
      </c>
      <c r="B633" s="42" t="inlineStr">
        <is>
          <t>430976</t>
        </is>
      </c>
      <c r="C633" s="38" t="inlineStr">
        <is>
          <t>Y019</t>
        </is>
      </c>
      <c r="D633" s="38" t="inlineStr">
        <is>
          <t>TOTAL</t>
        </is>
      </c>
      <c r="E633" s="38" t="inlineStr">
        <is>
          <t>POP</t>
        </is>
      </c>
      <c r="F633" s="38" t="n">
        <v>13</v>
      </c>
    </row>
    <row r="634" ht="15" customHeight="1" s="39">
      <c r="A634" s="38" t="inlineStr">
        <is>
          <t>2021</t>
        </is>
      </c>
      <c r="B634" s="42" t="inlineStr">
        <is>
          <t>430976</t>
        </is>
      </c>
      <c r="C634" s="38" t="inlineStr">
        <is>
          <t>Y020</t>
        </is>
      </c>
      <c r="D634" s="38" t="inlineStr">
        <is>
          <t>TOTAL</t>
        </is>
      </c>
      <c r="E634" s="38" t="inlineStr">
        <is>
          <t>POP</t>
        </is>
      </c>
      <c r="F634" s="38" t="n">
        <v>9</v>
      </c>
    </row>
    <row r="635" ht="15" customHeight="1" s="39">
      <c r="A635" s="38" t="inlineStr">
        <is>
          <t>2021</t>
        </is>
      </c>
      <c r="B635" s="42" t="inlineStr">
        <is>
          <t>430976</t>
        </is>
      </c>
      <c r="C635" s="38" t="inlineStr">
        <is>
          <t>Y021</t>
        </is>
      </c>
      <c r="D635" s="38" t="inlineStr">
        <is>
          <t>TOTAL</t>
        </is>
      </c>
      <c r="E635" s="38" t="inlineStr">
        <is>
          <t>POP</t>
        </is>
      </c>
      <c r="F635" s="38" t="n">
        <v>4</v>
      </c>
    </row>
    <row r="636" ht="15" customHeight="1" s="39">
      <c r="A636" s="38" t="inlineStr">
        <is>
          <t>2021</t>
        </is>
      </c>
      <c r="B636" s="42" t="inlineStr">
        <is>
          <t>430976</t>
        </is>
      </c>
      <c r="C636" s="38" t="inlineStr">
        <is>
          <t>Y022</t>
        </is>
      </c>
      <c r="D636" s="38" t="inlineStr">
        <is>
          <t>TOTAL</t>
        </is>
      </c>
      <c r="E636" s="38" t="inlineStr">
        <is>
          <t>POP</t>
        </is>
      </c>
      <c r="F636" s="38" t="n">
        <v>5</v>
      </c>
    </row>
    <row r="637" ht="15" customHeight="1" s="39">
      <c r="A637" s="38" t="inlineStr">
        <is>
          <t>2021</t>
        </is>
      </c>
      <c r="B637" s="42" t="inlineStr">
        <is>
          <t>430976</t>
        </is>
      </c>
      <c r="C637" s="38" t="inlineStr">
        <is>
          <t>Y023</t>
        </is>
      </c>
      <c r="D637" s="38" t="inlineStr">
        <is>
          <t>TOTAL</t>
        </is>
      </c>
      <c r="E637" s="38" t="inlineStr">
        <is>
          <t>POP</t>
        </is>
      </c>
      <c r="F637" s="38" t="n">
        <v>6</v>
      </c>
    </row>
    <row r="638" ht="15" customHeight="1" s="39">
      <c r="A638" s="38" t="inlineStr">
        <is>
          <t>2021</t>
        </is>
      </c>
      <c r="B638" s="42" t="inlineStr">
        <is>
          <t>430976</t>
        </is>
      </c>
      <c r="C638" s="38" t="inlineStr">
        <is>
          <t>Y024</t>
        </is>
      </c>
      <c r="D638" s="38" t="inlineStr">
        <is>
          <t>TOTAL</t>
        </is>
      </c>
      <c r="E638" s="38" t="inlineStr">
        <is>
          <t>POP</t>
        </is>
      </c>
      <c r="F638" s="38" t="n">
        <v>0</v>
      </c>
    </row>
    <row r="639" ht="15" customHeight="1" s="39">
      <c r="A639" s="38" t="inlineStr">
        <is>
          <t>2021</t>
        </is>
      </c>
      <c r="B639" s="42" t="inlineStr">
        <is>
          <t>430976</t>
        </is>
      </c>
      <c r="C639" s="38" t="inlineStr">
        <is>
          <t>Y025</t>
        </is>
      </c>
      <c r="D639" s="38" t="inlineStr">
        <is>
          <t>TOTAL</t>
        </is>
      </c>
      <c r="E639" s="38" t="inlineStr">
        <is>
          <t>POP</t>
        </is>
      </c>
      <c r="F639" s="38" t="n">
        <v>4</v>
      </c>
    </row>
    <row r="640" ht="15" customHeight="1" s="39">
      <c r="A640" s="38" t="inlineStr">
        <is>
          <t>2021</t>
        </is>
      </c>
      <c r="B640" s="42" t="inlineStr">
        <is>
          <t>430976</t>
        </is>
      </c>
      <c r="C640" s="38" t="inlineStr">
        <is>
          <t>Y026</t>
        </is>
      </c>
      <c r="D640" s="38" t="inlineStr">
        <is>
          <t>TOTAL</t>
        </is>
      </c>
      <c r="E640" s="38" t="inlineStr">
        <is>
          <t>POP</t>
        </is>
      </c>
      <c r="F640" s="38" t="n">
        <v>5</v>
      </c>
    </row>
    <row r="641" ht="15" customHeight="1" s="39">
      <c r="A641" s="38" t="inlineStr">
        <is>
          <t>2021</t>
        </is>
      </c>
      <c r="B641" s="42" t="inlineStr">
        <is>
          <t>430976</t>
        </is>
      </c>
      <c r="C641" s="38" t="inlineStr">
        <is>
          <t>Y027</t>
        </is>
      </c>
      <c r="D641" s="38" t="inlineStr">
        <is>
          <t>TOTAL</t>
        </is>
      </c>
      <c r="E641" s="38" t="inlineStr">
        <is>
          <t>POP</t>
        </is>
      </c>
      <c r="F641" s="38" t="n">
        <v>5</v>
      </c>
    </row>
    <row r="642" ht="15" customHeight="1" s="39">
      <c r="A642" s="38" t="inlineStr">
        <is>
          <t>2021</t>
        </is>
      </c>
      <c r="B642" s="42" t="inlineStr">
        <is>
          <t>430976</t>
        </is>
      </c>
      <c r="C642" s="38" t="inlineStr">
        <is>
          <t>Y028</t>
        </is>
      </c>
      <c r="D642" s="38" t="inlineStr">
        <is>
          <t>TOTAL</t>
        </is>
      </c>
      <c r="E642" s="38" t="inlineStr">
        <is>
          <t>POP</t>
        </is>
      </c>
      <c r="F642" s="38" t="n">
        <v>6</v>
      </c>
    </row>
    <row r="643" ht="15" customHeight="1" s="39">
      <c r="A643" s="38" t="inlineStr">
        <is>
          <t>2021</t>
        </is>
      </c>
      <c r="B643" s="42" t="inlineStr">
        <is>
          <t>430976</t>
        </is>
      </c>
      <c r="C643" s="38" t="inlineStr">
        <is>
          <t>Y029</t>
        </is>
      </c>
      <c r="D643" s="38" t="inlineStr">
        <is>
          <t>TOTAL</t>
        </is>
      </c>
      <c r="E643" s="38" t="inlineStr">
        <is>
          <t>POP</t>
        </is>
      </c>
      <c r="F643" s="38" t="n">
        <v>3</v>
      </c>
    </row>
    <row r="644" ht="15" customHeight="1" s="39">
      <c r="A644" s="38" t="inlineStr">
        <is>
          <t>2021</t>
        </is>
      </c>
      <c r="B644" s="42" t="inlineStr">
        <is>
          <t>430976</t>
        </is>
      </c>
      <c r="C644" s="38" t="inlineStr">
        <is>
          <t>Y030</t>
        </is>
      </c>
      <c r="D644" s="38" t="inlineStr">
        <is>
          <t>TOTAL</t>
        </is>
      </c>
      <c r="E644" s="38" t="inlineStr">
        <is>
          <t>POP</t>
        </is>
      </c>
      <c r="F644" s="38" t="n">
        <v>7</v>
      </c>
    </row>
    <row r="645" ht="15" customHeight="1" s="39">
      <c r="A645" s="38" t="inlineStr">
        <is>
          <t>2021</t>
        </is>
      </c>
      <c r="B645" s="42" t="inlineStr">
        <is>
          <t>430976</t>
        </is>
      </c>
      <c r="C645" s="38" t="inlineStr">
        <is>
          <t>Y031</t>
        </is>
      </c>
      <c r="D645" s="38" t="inlineStr">
        <is>
          <t>TOTAL</t>
        </is>
      </c>
      <c r="E645" s="38" t="inlineStr">
        <is>
          <t>POP</t>
        </is>
      </c>
      <c r="F645" s="38" t="n">
        <v>3</v>
      </c>
    </row>
    <row r="646" ht="15" customHeight="1" s="39">
      <c r="A646" s="38" t="inlineStr">
        <is>
          <t>2021</t>
        </is>
      </c>
      <c r="B646" s="42" t="inlineStr">
        <is>
          <t>430976</t>
        </is>
      </c>
      <c r="C646" s="38" t="inlineStr">
        <is>
          <t>Y032</t>
        </is>
      </c>
      <c r="D646" s="38" t="inlineStr">
        <is>
          <t>TOTAL</t>
        </is>
      </c>
      <c r="E646" s="38" t="inlineStr">
        <is>
          <t>POP</t>
        </is>
      </c>
      <c r="F646" s="38" t="n">
        <v>7</v>
      </c>
    </row>
    <row r="647" ht="15" customHeight="1" s="39">
      <c r="A647" s="38" t="inlineStr">
        <is>
          <t>2021</t>
        </is>
      </c>
      <c r="B647" s="42" t="inlineStr">
        <is>
          <t>430976</t>
        </is>
      </c>
      <c r="C647" s="38" t="inlineStr">
        <is>
          <t>Y033</t>
        </is>
      </c>
      <c r="D647" s="38" t="inlineStr">
        <is>
          <t>TOTAL</t>
        </is>
      </c>
      <c r="E647" s="38" t="inlineStr">
        <is>
          <t>POP</t>
        </is>
      </c>
      <c r="F647" s="38" t="n">
        <v>4</v>
      </c>
    </row>
    <row r="648" ht="15" customHeight="1" s="39">
      <c r="A648" s="38" t="inlineStr">
        <is>
          <t>2021</t>
        </is>
      </c>
      <c r="B648" s="42" t="inlineStr">
        <is>
          <t>430976</t>
        </is>
      </c>
      <c r="C648" s="38" t="inlineStr">
        <is>
          <t>Y034</t>
        </is>
      </c>
      <c r="D648" s="38" t="inlineStr">
        <is>
          <t>TOTAL</t>
        </is>
      </c>
      <c r="E648" s="38" t="inlineStr">
        <is>
          <t>POP</t>
        </is>
      </c>
      <c r="F648" s="38" t="n">
        <v>6</v>
      </c>
    </row>
    <row r="649" ht="15" customHeight="1" s="39">
      <c r="A649" s="38" t="inlineStr">
        <is>
          <t>2021</t>
        </is>
      </c>
      <c r="B649" s="42" t="inlineStr">
        <is>
          <t>430976</t>
        </is>
      </c>
      <c r="C649" s="38" t="inlineStr">
        <is>
          <t>Y035</t>
        </is>
      </c>
      <c r="D649" s="38" t="inlineStr">
        <is>
          <t>TOTAL</t>
        </is>
      </c>
      <c r="E649" s="38" t="inlineStr">
        <is>
          <t>POP</t>
        </is>
      </c>
      <c r="F649" s="38" t="n">
        <v>7</v>
      </c>
    </row>
    <row r="650" ht="15" customHeight="1" s="39">
      <c r="A650" s="38" t="inlineStr">
        <is>
          <t>2021</t>
        </is>
      </c>
      <c r="B650" s="42" t="inlineStr">
        <is>
          <t>430976</t>
        </is>
      </c>
      <c r="C650" s="38" t="inlineStr">
        <is>
          <t>Y036</t>
        </is>
      </c>
      <c r="D650" s="38" t="inlineStr">
        <is>
          <t>TOTAL</t>
        </is>
      </c>
      <c r="E650" s="38" t="inlineStr">
        <is>
          <t>POP</t>
        </is>
      </c>
      <c r="F650" s="38" t="n">
        <v>4</v>
      </c>
    </row>
    <row r="651" ht="15" customHeight="1" s="39">
      <c r="A651" s="38" t="inlineStr">
        <is>
          <t>2021</t>
        </is>
      </c>
      <c r="B651" s="42" t="inlineStr">
        <is>
          <t>430976</t>
        </is>
      </c>
      <c r="C651" s="38" t="inlineStr">
        <is>
          <t>Y037</t>
        </is>
      </c>
      <c r="D651" s="38" t="inlineStr">
        <is>
          <t>TOTAL</t>
        </is>
      </c>
      <c r="E651" s="38" t="inlineStr">
        <is>
          <t>POP</t>
        </is>
      </c>
      <c r="F651" s="38" t="n">
        <v>14</v>
      </c>
    </row>
    <row r="652" ht="15" customHeight="1" s="39">
      <c r="A652" s="38" t="inlineStr">
        <is>
          <t>2021</t>
        </is>
      </c>
      <c r="B652" s="42" t="inlineStr">
        <is>
          <t>430976</t>
        </is>
      </c>
      <c r="C652" s="38" t="inlineStr">
        <is>
          <t>Y038</t>
        </is>
      </c>
      <c r="D652" s="38" t="inlineStr">
        <is>
          <t>TOTAL</t>
        </is>
      </c>
      <c r="E652" s="38" t="inlineStr">
        <is>
          <t>POP</t>
        </is>
      </c>
      <c r="F652" s="38" t="n">
        <v>9</v>
      </c>
    </row>
    <row r="653" ht="15" customHeight="1" s="39">
      <c r="A653" s="38" t="inlineStr">
        <is>
          <t>2021</t>
        </is>
      </c>
      <c r="B653" s="42" t="inlineStr">
        <is>
          <t>430976</t>
        </is>
      </c>
      <c r="C653" s="38" t="inlineStr">
        <is>
          <t>Y039</t>
        </is>
      </c>
      <c r="D653" s="38" t="inlineStr">
        <is>
          <t>TOTAL</t>
        </is>
      </c>
      <c r="E653" s="38" t="inlineStr">
        <is>
          <t>POP</t>
        </is>
      </c>
      <c r="F653" s="38" t="n">
        <v>7</v>
      </c>
    </row>
    <row r="654" ht="15" customHeight="1" s="39">
      <c r="A654" s="38" t="inlineStr">
        <is>
          <t>2021</t>
        </is>
      </c>
      <c r="B654" s="42" t="inlineStr">
        <is>
          <t>430976</t>
        </is>
      </c>
      <c r="C654" s="38" t="inlineStr">
        <is>
          <t>Y040</t>
        </is>
      </c>
      <c r="D654" s="38" t="inlineStr">
        <is>
          <t>TOTAL</t>
        </is>
      </c>
      <c r="E654" s="38" t="inlineStr">
        <is>
          <t>POP</t>
        </is>
      </c>
      <c r="F654" s="38" t="n">
        <v>11</v>
      </c>
    </row>
    <row r="655" ht="15" customHeight="1" s="39">
      <c r="A655" s="38" t="inlineStr">
        <is>
          <t>2021</t>
        </is>
      </c>
      <c r="B655" s="42" t="inlineStr">
        <is>
          <t>430976</t>
        </is>
      </c>
      <c r="C655" s="38" t="inlineStr">
        <is>
          <t>Y041</t>
        </is>
      </c>
      <c r="D655" s="38" t="inlineStr">
        <is>
          <t>TOTAL</t>
        </is>
      </c>
      <c r="E655" s="38" t="inlineStr">
        <is>
          <t>POP</t>
        </is>
      </c>
      <c r="F655" s="38" t="n">
        <v>4</v>
      </c>
    </row>
    <row r="656" ht="15" customHeight="1" s="39">
      <c r="A656" s="38" t="inlineStr">
        <is>
          <t>2021</t>
        </is>
      </c>
      <c r="B656" s="42" t="inlineStr">
        <is>
          <t>430976</t>
        </is>
      </c>
      <c r="C656" s="38" t="inlineStr">
        <is>
          <t>Y042</t>
        </is>
      </c>
      <c r="D656" s="38" t="inlineStr">
        <is>
          <t>TOTAL</t>
        </is>
      </c>
      <c r="E656" s="38" t="inlineStr">
        <is>
          <t>POP</t>
        </is>
      </c>
      <c r="F656" s="38" t="n">
        <v>10</v>
      </c>
    </row>
    <row r="657" ht="15" customHeight="1" s="39">
      <c r="A657" s="38" t="inlineStr">
        <is>
          <t>2021</t>
        </is>
      </c>
      <c r="B657" s="42" t="inlineStr">
        <is>
          <t>430976</t>
        </is>
      </c>
      <c r="C657" s="38" t="inlineStr">
        <is>
          <t>Y043</t>
        </is>
      </c>
      <c r="D657" s="38" t="inlineStr">
        <is>
          <t>TOTAL</t>
        </is>
      </c>
      <c r="E657" s="38" t="inlineStr">
        <is>
          <t>POP</t>
        </is>
      </c>
      <c r="F657" s="38" t="n">
        <v>15</v>
      </c>
    </row>
    <row r="658" ht="15" customHeight="1" s="39">
      <c r="A658" s="38" t="inlineStr">
        <is>
          <t>2021</t>
        </is>
      </c>
      <c r="B658" s="42" t="inlineStr">
        <is>
          <t>430976</t>
        </is>
      </c>
      <c r="C658" s="38" t="inlineStr">
        <is>
          <t>Y044</t>
        </is>
      </c>
      <c r="D658" s="38" t="inlineStr">
        <is>
          <t>TOTAL</t>
        </is>
      </c>
      <c r="E658" s="38" t="inlineStr">
        <is>
          <t>POP</t>
        </is>
      </c>
      <c r="F658" s="38" t="n">
        <v>11</v>
      </c>
    </row>
    <row r="659" ht="15" customHeight="1" s="39">
      <c r="A659" s="38" t="inlineStr">
        <is>
          <t>2021</t>
        </is>
      </c>
      <c r="B659" s="42" t="inlineStr">
        <is>
          <t>430976</t>
        </is>
      </c>
      <c r="C659" s="38" t="inlineStr">
        <is>
          <t>Y045</t>
        </is>
      </c>
      <c r="D659" s="38" t="inlineStr">
        <is>
          <t>TOTAL</t>
        </is>
      </c>
      <c r="E659" s="38" t="inlineStr">
        <is>
          <t>POP</t>
        </is>
      </c>
      <c r="F659" s="38" t="n">
        <v>9</v>
      </c>
    </row>
    <row r="660" ht="15" customHeight="1" s="39">
      <c r="A660" s="38" t="inlineStr">
        <is>
          <t>2021</t>
        </is>
      </c>
      <c r="B660" s="42" t="inlineStr">
        <is>
          <t>430976</t>
        </is>
      </c>
      <c r="C660" s="38" t="inlineStr">
        <is>
          <t>Y046</t>
        </is>
      </c>
      <c r="D660" s="38" t="inlineStr">
        <is>
          <t>TOTAL</t>
        </is>
      </c>
      <c r="E660" s="38" t="inlineStr">
        <is>
          <t>POP</t>
        </is>
      </c>
      <c r="F660" s="38" t="n">
        <v>10</v>
      </c>
    </row>
    <row r="661" ht="15" customHeight="1" s="39">
      <c r="A661" s="38" t="inlineStr">
        <is>
          <t>2021</t>
        </is>
      </c>
      <c r="B661" s="42" t="inlineStr">
        <is>
          <t>430976</t>
        </is>
      </c>
      <c r="C661" s="38" t="inlineStr">
        <is>
          <t>Y047</t>
        </is>
      </c>
      <c r="D661" s="38" t="inlineStr">
        <is>
          <t>TOTAL</t>
        </is>
      </c>
      <c r="E661" s="38" t="inlineStr">
        <is>
          <t>POP</t>
        </is>
      </c>
      <c r="F661" s="38" t="n">
        <v>9</v>
      </c>
    </row>
    <row r="662" ht="15" customHeight="1" s="39">
      <c r="A662" s="38" t="inlineStr">
        <is>
          <t>2021</t>
        </is>
      </c>
      <c r="B662" s="42" t="inlineStr">
        <is>
          <t>430976</t>
        </is>
      </c>
      <c r="C662" s="38" t="inlineStr">
        <is>
          <t>Y048</t>
        </is>
      </c>
      <c r="D662" s="38" t="inlineStr">
        <is>
          <t>TOTAL</t>
        </is>
      </c>
      <c r="E662" s="38" t="inlineStr">
        <is>
          <t>POP</t>
        </is>
      </c>
      <c r="F662" s="38" t="n">
        <v>21</v>
      </c>
    </row>
    <row r="663" ht="15" customHeight="1" s="39">
      <c r="A663" s="38" t="inlineStr">
        <is>
          <t>2021</t>
        </is>
      </c>
      <c r="B663" s="42" t="inlineStr">
        <is>
          <t>430976</t>
        </is>
      </c>
      <c r="C663" s="38" t="inlineStr">
        <is>
          <t>Y049</t>
        </is>
      </c>
      <c r="D663" s="38" t="inlineStr">
        <is>
          <t>TOTAL</t>
        </is>
      </c>
      <c r="E663" s="38" t="inlineStr">
        <is>
          <t>POP</t>
        </is>
      </c>
      <c r="F663" s="38" t="n">
        <v>14</v>
      </c>
    </row>
    <row r="664" ht="15" customHeight="1" s="39">
      <c r="A664" s="38" t="inlineStr">
        <is>
          <t>2021</t>
        </is>
      </c>
      <c r="B664" s="42" t="inlineStr">
        <is>
          <t>430976</t>
        </is>
      </c>
      <c r="C664" s="38" t="inlineStr">
        <is>
          <t>Y050</t>
        </is>
      </c>
      <c r="D664" s="38" t="inlineStr">
        <is>
          <t>TOTAL</t>
        </is>
      </c>
      <c r="E664" s="38" t="inlineStr">
        <is>
          <t>POP</t>
        </is>
      </c>
      <c r="F664" s="38" t="n">
        <v>10</v>
      </c>
    </row>
    <row r="665" ht="15" customHeight="1" s="39">
      <c r="A665" s="38" t="inlineStr">
        <is>
          <t>2021</t>
        </is>
      </c>
      <c r="B665" s="42" t="inlineStr">
        <is>
          <t>430976</t>
        </is>
      </c>
      <c r="C665" s="38" t="inlineStr">
        <is>
          <t>Y051</t>
        </is>
      </c>
      <c r="D665" s="38" t="inlineStr">
        <is>
          <t>TOTAL</t>
        </is>
      </c>
      <c r="E665" s="38" t="inlineStr">
        <is>
          <t>POP</t>
        </is>
      </c>
      <c r="F665" s="38" t="n">
        <v>12</v>
      </c>
    </row>
    <row r="666" ht="15" customHeight="1" s="39">
      <c r="A666" s="38" t="inlineStr">
        <is>
          <t>2021</t>
        </is>
      </c>
      <c r="B666" s="42" t="inlineStr">
        <is>
          <t>430976</t>
        </is>
      </c>
      <c r="C666" s="38" t="inlineStr">
        <is>
          <t>Y052</t>
        </is>
      </c>
      <c r="D666" s="38" t="inlineStr">
        <is>
          <t>TOTAL</t>
        </is>
      </c>
      <c r="E666" s="38" t="inlineStr">
        <is>
          <t>POP</t>
        </is>
      </c>
      <c r="F666" s="38" t="n">
        <v>9</v>
      </c>
    </row>
    <row r="667" ht="15" customHeight="1" s="39">
      <c r="A667" s="38" t="inlineStr">
        <is>
          <t>2021</t>
        </is>
      </c>
      <c r="B667" s="42" t="inlineStr">
        <is>
          <t>430976</t>
        </is>
      </c>
      <c r="C667" s="38" t="inlineStr">
        <is>
          <t>Y053</t>
        </is>
      </c>
      <c r="D667" s="38" t="inlineStr">
        <is>
          <t>TOTAL</t>
        </is>
      </c>
      <c r="E667" s="38" t="inlineStr">
        <is>
          <t>POP</t>
        </is>
      </c>
      <c r="F667" s="38" t="n">
        <v>7</v>
      </c>
    </row>
    <row r="668" ht="15" customHeight="1" s="39">
      <c r="A668" s="38" t="inlineStr">
        <is>
          <t>2021</t>
        </is>
      </c>
      <c r="B668" s="42" t="inlineStr">
        <is>
          <t>430976</t>
        </is>
      </c>
      <c r="C668" s="38" t="inlineStr">
        <is>
          <t>Y054</t>
        </is>
      </c>
      <c r="D668" s="38" t="inlineStr">
        <is>
          <t>TOTAL</t>
        </is>
      </c>
      <c r="E668" s="38" t="inlineStr">
        <is>
          <t>POP</t>
        </is>
      </c>
      <c r="F668" s="38" t="n">
        <v>11</v>
      </c>
    </row>
    <row r="669" ht="15" customHeight="1" s="39">
      <c r="A669" s="38" t="inlineStr">
        <is>
          <t>2021</t>
        </is>
      </c>
      <c r="B669" s="42" t="inlineStr">
        <is>
          <t>430976</t>
        </is>
      </c>
      <c r="C669" s="38" t="inlineStr">
        <is>
          <t>Y055</t>
        </is>
      </c>
      <c r="D669" s="38" t="inlineStr">
        <is>
          <t>TOTAL</t>
        </is>
      </c>
      <c r="E669" s="38" t="inlineStr">
        <is>
          <t>POP</t>
        </is>
      </c>
      <c r="F669" s="38" t="n">
        <v>4</v>
      </c>
    </row>
    <row r="670" ht="15" customHeight="1" s="39">
      <c r="A670" s="38" t="inlineStr">
        <is>
          <t>2021</t>
        </is>
      </c>
      <c r="B670" s="42" t="inlineStr">
        <is>
          <t>430976</t>
        </is>
      </c>
      <c r="C670" s="38" t="inlineStr">
        <is>
          <t>Y056</t>
        </is>
      </c>
      <c r="D670" s="38" t="inlineStr">
        <is>
          <t>TOTAL</t>
        </is>
      </c>
      <c r="E670" s="38" t="inlineStr">
        <is>
          <t>POP</t>
        </is>
      </c>
      <c r="F670" s="38" t="n">
        <v>5</v>
      </c>
    </row>
    <row r="671" ht="15" customHeight="1" s="39">
      <c r="A671" s="38" t="inlineStr">
        <is>
          <t>2021</t>
        </is>
      </c>
      <c r="B671" s="42" t="inlineStr">
        <is>
          <t>430976</t>
        </is>
      </c>
      <c r="C671" s="38" t="inlineStr">
        <is>
          <t>Y057</t>
        </is>
      </c>
      <c r="D671" s="38" t="inlineStr">
        <is>
          <t>TOTAL</t>
        </is>
      </c>
      <c r="E671" s="38" t="inlineStr">
        <is>
          <t>POP</t>
        </is>
      </c>
      <c r="F671" s="38" t="n">
        <v>8</v>
      </c>
    </row>
    <row r="672" ht="15" customHeight="1" s="39">
      <c r="A672" s="38" t="inlineStr">
        <is>
          <t>2021</t>
        </is>
      </c>
      <c r="B672" s="42" t="inlineStr">
        <is>
          <t>430976</t>
        </is>
      </c>
      <c r="C672" s="38" t="inlineStr">
        <is>
          <t>Y058</t>
        </is>
      </c>
      <c r="D672" s="38" t="inlineStr">
        <is>
          <t>TOTAL</t>
        </is>
      </c>
      <c r="E672" s="38" t="inlineStr">
        <is>
          <t>POP</t>
        </is>
      </c>
      <c r="F672" s="38" t="n">
        <v>9</v>
      </c>
    </row>
    <row r="673" ht="15" customHeight="1" s="39">
      <c r="A673" s="38" t="inlineStr">
        <is>
          <t>2021</t>
        </is>
      </c>
      <c r="B673" s="42" t="inlineStr">
        <is>
          <t>430976</t>
        </is>
      </c>
      <c r="C673" s="38" t="inlineStr">
        <is>
          <t>Y059</t>
        </is>
      </c>
      <c r="D673" s="38" t="inlineStr">
        <is>
          <t>TOTAL</t>
        </is>
      </c>
      <c r="E673" s="38" t="inlineStr">
        <is>
          <t>POP</t>
        </is>
      </c>
      <c r="F673" s="38" t="n">
        <v>6</v>
      </c>
    </row>
    <row r="674" ht="15" customHeight="1" s="39">
      <c r="A674" s="38" t="inlineStr">
        <is>
          <t>2021</t>
        </is>
      </c>
      <c r="B674" s="42" t="inlineStr">
        <is>
          <t>430976</t>
        </is>
      </c>
      <c r="C674" s="38" t="inlineStr">
        <is>
          <t>Y060</t>
        </is>
      </c>
      <c r="D674" s="38" t="inlineStr">
        <is>
          <t>TOTAL</t>
        </is>
      </c>
      <c r="E674" s="38" t="inlineStr">
        <is>
          <t>POP</t>
        </is>
      </c>
      <c r="F674" s="38" t="n">
        <v>10</v>
      </c>
    </row>
    <row r="675" ht="15" customHeight="1" s="39">
      <c r="A675" s="38" t="inlineStr">
        <is>
          <t>2021</t>
        </is>
      </c>
      <c r="B675" s="42" t="inlineStr">
        <is>
          <t>430976</t>
        </is>
      </c>
      <c r="C675" s="38" t="inlineStr">
        <is>
          <t>Y061</t>
        </is>
      </c>
      <c r="D675" s="38" t="inlineStr">
        <is>
          <t>TOTAL</t>
        </is>
      </c>
      <c r="E675" s="38" t="inlineStr">
        <is>
          <t>POP</t>
        </is>
      </c>
      <c r="F675" s="38" t="n">
        <v>5</v>
      </c>
    </row>
    <row r="676" ht="15" customHeight="1" s="39">
      <c r="A676" s="38" t="inlineStr">
        <is>
          <t>2021</t>
        </is>
      </c>
      <c r="B676" s="42" t="inlineStr">
        <is>
          <t>430976</t>
        </is>
      </c>
      <c r="C676" s="38" t="inlineStr">
        <is>
          <t>Y062</t>
        </is>
      </c>
      <c r="D676" s="38" t="inlineStr">
        <is>
          <t>TOTAL</t>
        </is>
      </c>
      <c r="E676" s="38" t="inlineStr">
        <is>
          <t>POP</t>
        </is>
      </c>
      <c r="F676" s="38" t="n">
        <v>3</v>
      </c>
    </row>
    <row r="677" ht="15" customHeight="1" s="39">
      <c r="A677" s="38" t="inlineStr">
        <is>
          <t>2021</t>
        </is>
      </c>
      <c r="B677" s="42" t="inlineStr">
        <is>
          <t>430976</t>
        </is>
      </c>
      <c r="C677" s="38" t="inlineStr">
        <is>
          <t>Y063</t>
        </is>
      </c>
      <c r="D677" s="38" t="inlineStr">
        <is>
          <t>TOTAL</t>
        </is>
      </c>
      <c r="E677" s="38" t="inlineStr">
        <is>
          <t>POP</t>
        </is>
      </c>
      <c r="F677" s="38" t="n">
        <v>6</v>
      </c>
    </row>
    <row r="678" ht="15" customHeight="1" s="39">
      <c r="A678" s="38" t="inlineStr">
        <is>
          <t>2021</t>
        </is>
      </c>
      <c r="B678" s="42" t="inlineStr">
        <is>
          <t>430976</t>
        </is>
      </c>
      <c r="C678" s="38" t="inlineStr">
        <is>
          <t>Y064</t>
        </is>
      </c>
      <c r="D678" s="38" t="inlineStr">
        <is>
          <t>TOTAL</t>
        </is>
      </c>
      <c r="E678" s="38" t="inlineStr">
        <is>
          <t>POP</t>
        </is>
      </c>
      <c r="F678" s="38" t="n">
        <v>4</v>
      </c>
    </row>
    <row r="679" ht="15" customHeight="1" s="39">
      <c r="A679" s="38" t="inlineStr">
        <is>
          <t>2021</t>
        </is>
      </c>
      <c r="B679" s="42" t="inlineStr">
        <is>
          <t>430976</t>
        </is>
      </c>
      <c r="C679" s="38" t="inlineStr">
        <is>
          <t>Y065</t>
        </is>
      </c>
      <c r="D679" s="38" t="inlineStr">
        <is>
          <t>TOTAL</t>
        </is>
      </c>
      <c r="E679" s="38" t="inlineStr">
        <is>
          <t>POP</t>
        </is>
      </c>
      <c r="F679" s="38" t="n">
        <v>3</v>
      </c>
    </row>
    <row r="680" ht="15" customHeight="1" s="39">
      <c r="A680" s="38" t="inlineStr">
        <is>
          <t>2021</t>
        </is>
      </c>
      <c r="B680" s="42" t="inlineStr">
        <is>
          <t>430976</t>
        </is>
      </c>
      <c r="C680" s="38" t="inlineStr">
        <is>
          <t>Y066</t>
        </is>
      </c>
      <c r="D680" s="38" t="inlineStr">
        <is>
          <t>TOTAL</t>
        </is>
      </c>
      <c r="E680" s="38" t="inlineStr">
        <is>
          <t>POP</t>
        </is>
      </c>
      <c r="F680" s="38" t="n">
        <v>2</v>
      </c>
    </row>
    <row r="681" ht="15" customHeight="1" s="39">
      <c r="A681" s="38" t="inlineStr">
        <is>
          <t>2021</t>
        </is>
      </c>
      <c r="B681" s="42" t="inlineStr">
        <is>
          <t>430976</t>
        </is>
      </c>
      <c r="C681" s="38" t="inlineStr">
        <is>
          <t>Y067</t>
        </is>
      </c>
      <c r="D681" s="38" t="inlineStr">
        <is>
          <t>TOTAL</t>
        </is>
      </c>
      <c r="E681" s="38" t="inlineStr">
        <is>
          <t>POP</t>
        </is>
      </c>
      <c r="F681" s="38" t="n">
        <v>4</v>
      </c>
    </row>
    <row r="682" ht="15" customHeight="1" s="39">
      <c r="A682" s="38" t="inlineStr">
        <is>
          <t>2021</t>
        </is>
      </c>
      <c r="B682" s="42" t="inlineStr">
        <is>
          <t>430976</t>
        </is>
      </c>
      <c r="C682" s="38" t="inlineStr">
        <is>
          <t>Y068</t>
        </is>
      </c>
      <c r="D682" s="38" t="inlineStr">
        <is>
          <t>TOTAL</t>
        </is>
      </c>
      <c r="E682" s="38" t="inlineStr">
        <is>
          <t>POP</t>
        </is>
      </c>
      <c r="F682" s="38" t="n">
        <v>4</v>
      </c>
    </row>
    <row r="683" ht="15" customHeight="1" s="39">
      <c r="A683" s="38" t="inlineStr">
        <is>
          <t>2021</t>
        </is>
      </c>
      <c r="B683" s="42" t="inlineStr">
        <is>
          <t>430976</t>
        </is>
      </c>
      <c r="C683" s="38" t="inlineStr">
        <is>
          <t>Y069</t>
        </is>
      </c>
      <c r="D683" s="38" t="inlineStr">
        <is>
          <t>TOTAL</t>
        </is>
      </c>
      <c r="E683" s="38" t="inlineStr">
        <is>
          <t>POP</t>
        </is>
      </c>
      <c r="F683" s="38" t="n">
        <v>4</v>
      </c>
    </row>
    <row r="684" ht="15" customHeight="1" s="39">
      <c r="A684" s="38" t="inlineStr">
        <is>
          <t>2021</t>
        </is>
      </c>
      <c r="B684" s="42" t="inlineStr">
        <is>
          <t>430976</t>
        </is>
      </c>
      <c r="C684" s="38" t="inlineStr">
        <is>
          <t>Y070</t>
        </is>
      </c>
      <c r="D684" s="38" t="inlineStr">
        <is>
          <t>TOTAL</t>
        </is>
      </c>
      <c r="E684" s="38" t="inlineStr">
        <is>
          <t>POP</t>
        </is>
      </c>
      <c r="F684" s="38" t="n">
        <v>7</v>
      </c>
    </row>
    <row r="685" ht="15" customHeight="1" s="39">
      <c r="A685" s="38" t="inlineStr">
        <is>
          <t>2021</t>
        </is>
      </c>
      <c r="B685" s="42" t="inlineStr">
        <is>
          <t>430976</t>
        </is>
      </c>
      <c r="C685" s="38" t="inlineStr">
        <is>
          <t>Y071</t>
        </is>
      </c>
      <c r="D685" s="38" t="inlineStr">
        <is>
          <t>TOTAL</t>
        </is>
      </c>
      <c r="E685" s="38" t="inlineStr">
        <is>
          <t>POP</t>
        </is>
      </c>
      <c r="F685" s="38" t="n">
        <v>6</v>
      </c>
    </row>
    <row r="686" ht="15" customHeight="1" s="39">
      <c r="A686" s="38" t="inlineStr">
        <is>
          <t>2021</t>
        </is>
      </c>
      <c r="B686" s="42" t="inlineStr">
        <is>
          <t>430976</t>
        </is>
      </c>
      <c r="C686" s="38" t="inlineStr">
        <is>
          <t>Y072</t>
        </is>
      </c>
      <c r="D686" s="38" t="inlineStr">
        <is>
          <t>TOTAL</t>
        </is>
      </c>
      <c r="E686" s="38" t="inlineStr">
        <is>
          <t>POP</t>
        </is>
      </c>
      <c r="F686" s="38" t="n">
        <v>2</v>
      </c>
    </row>
    <row r="687" ht="15" customHeight="1" s="39">
      <c r="A687" s="38" t="inlineStr">
        <is>
          <t>2021</t>
        </is>
      </c>
      <c r="B687" s="42" t="inlineStr">
        <is>
          <t>430976</t>
        </is>
      </c>
      <c r="C687" s="38" t="inlineStr">
        <is>
          <t>Y073</t>
        </is>
      </c>
      <c r="D687" s="38" t="inlineStr">
        <is>
          <t>TOTAL</t>
        </is>
      </c>
      <c r="E687" s="38" t="inlineStr">
        <is>
          <t>POP</t>
        </is>
      </c>
      <c r="F687" s="38" t="n">
        <v>6</v>
      </c>
    </row>
    <row r="688" ht="15" customHeight="1" s="39">
      <c r="A688" s="38" t="inlineStr">
        <is>
          <t>2021</t>
        </is>
      </c>
      <c r="B688" s="42" t="inlineStr">
        <is>
          <t>430976</t>
        </is>
      </c>
      <c r="C688" s="38" t="inlineStr">
        <is>
          <t>Y074</t>
        </is>
      </c>
      <c r="D688" s="38" t="inlineStr">
        <is>
          <t>TOTAL</t>
        </is>
      </c>
      <c r="E688" s="38" t="inlineStr">
        <is>
          <t>POP</t>
        </is>
      </c>
      <c r="F688" s="38" t="n">
        <v>5</v>
      </c>
    </row>
    <row r="689" ht="15" customHeight="1" s="39">
      <c r="A689" s="38" t="inlineStr">
        <is>
          <t>2021</t>
        </is>
      </c>
      <c r="B689" s="42" t="inlineStr">
        <is>
          <t>430976</t>
        </is>
      </c>
      <c r="C689" s="38" t="inlineStr">
        <is>
          <t>Y075</t>
        </is>
      </c>
      <c r="D689" s="38" t="inlineStr">
        <is>
          <t>TOTAL</t>
        </is>
      </c>
      <c r="E689" s="38" t="inlineStr">
        <is>
          <t>POP</t>
        </is>
      </c>
      <c r="F689" s="38" t="n">
        <v>8</v>
      </c>
    </row>
    <row r="690" ht="15" customHeight="1" s="39">
      <c r="A690" s="38" t="inlineStr">
        <is>
          <t>2021</t>
        </is>
      </c>
      <c r="B690" s="42" t="inlineStr">
        <is>
          <t>430976</t>
        </is>
      </c>
      <c r="C690" s="38" t="inlineStr">
        <is>
          <t>Y076</t>
        </is>
      </c>
      <c r="D690" s="38" t="inlineStr">
        <is>
          <t>TOTAL</t>
        </is>
      </c>
      <c r="E690" s="38" t="inlineStr">
        <is>
          <t>POP</t>
        </is>
      </c>
      <c r="F690" s="38" t="n">
        <v>8</v>
      </c>
    </row>
    <row r="691" ht="15" customHeight="1" s="39">
      <c r="A691" s="38" t="inlineStr">
        <is>
          <t>2021</t>
        </is>
      </c>
      <c r="B691" s="42" t="inlineStr">
        <is>
          <t>430976</t>
        </is>
      </c>
      <c r="C691" s="38" t="inlineStr">
        <is>
          <t>Y077</t>
        </is>
      </c>
      <c r="D691" s="38" t="inlineStr">
        <is>
          <t>TOTAL</t>
        </is>
      </c>
      <c r="E691" s="38" t="inlineStr">
        <is>
          <t>POP</t>
        </is>
      </c>
      <c r="F691" s="38" t="n">
        <v>4</v>
      </c>
    </row>
    <row r="692" ht="15" customHeight="1" s="39">
      <c r="A692" s="38" t="inlineStr">
        <is>
          <t>2021</t>
        </is>
      </c>
      <c r="B692" s="42" t="inlineStr">
        <is>
          <t>430976</t>
        </is>
      </c>
      <c r="C692" s="38" t="inlineStr">
        <is>
          <t>Y078</t>
        </is>
      </c>
      <c r="D692" s="38" t="inlineStr">
        <is>
          <t>TOTAL</t>
        </is>
      </c>
      <c r="E692" s="38" t="inlineStr">
        <is>
          <t>POP</t>
        </is>
      </c>
      <c r="F692" s="38" t="n">
        <v>3</v>
      </c>
    </row>
    <row r="693" ht="15" customHeight="1" s="39">
      <c r="A693" s="38" t="inlineStr">
        <is>
          <t>2021</t>
        </is>
      </c>
      <c r="B693" s="42" t="inlineStr">
        <is>
          <t>430976</t>
        </is>
      </c>
      <c r="C693" s="38" t="inlineStr">
        <is>
          <t>Y079</t>
        </is>
      </c>
      <c r="D693" s="38" t="inlineStr">
        <is>
          <t>TOTAL</t>
        </is>
      </c>
      <c r="E693" s="38" t="inlineStr">
        <is>
          <t>POP</t>
        </is>
      </c>
      <c r="F693" s="38" t="n">
        <v>2</v>
      </c>
    </row>
    <row r="694" ht="15" customHeight="1" s="39">
      <c r="A694" s="38" t="inlineStr">
        <is>
          <t>2021</t>
        </is>
      </c>
      <c r="B694" s="42" t="inlineStr">
        <is>
          <t>430976</t>
        </is>
      </c>
      <c r="C694" s="38" t="inlineStr">
        <is>
          <t>Y080</t>
        </is>
      </c>
      <c r="D694" s="38" t="inlineStr">
        <is>
          <t>TOTAL</t>
        </is>
      </c>
      <c r="E694" s="38" t="inlineStr">
        <is>
          <t>POP</t>
        </is>
      </c>
      <c r="F694" s="38" t="n">
        <v>4</v>
      </c>
    </row>
    <row r="695" ht="15" customHeight="1" s="39">
      <c r="A695" s="38" t="inlineStr">
        <is>
          <t>2021</t>
        </is>
      </c>
      <c r="B695" s="42" t="inlineStr">
        <is>
          <t>430976</t>
        </is>
      </c>
      <c r="C695" s="38" t="inlineStr">
        <is>
          <t>Y081</t>
        </is>
      </c>
      <c r="D695" s="38" t="inlineStr">
        <is>
          <t>TOTAL</t>
        </is>
      </c>
      <c r="E695" s="38" t="inlineStr">
        <is>
          <t>POP</t>
        </is>
      </c>
      <c r="F695" s="38" t="n">
        <v>3</v>
      </c>
    </row>
    <row r="696" ht="15" customHeight="1" s="39">
      <c r="A696" s="38" t="inlineStr">
        <is>
          <t>2021</t>
        </is>
      </c>
      <c r="B696" s="42" t="inlineStr">
        <is>
          <t>430976</t>
        </is>
      </c>
      <c r="C696" s="38" t="inlineStr">
        <is>
          <t>Y082</t>
        </is>
      </c>
      <c r="D696" s="38" t="inlineStr">
        <is>
          <t>TOTAL</t>
        </is>
      </c>
      <c r="E696" s="38" t="inlineStr">
        <is>
          <t>POP</t>
        </is>
      </c>
      <c r="F696" s="38" t="n">
        <v>5</v>
      </c>
    </row>
    <row r="697" ht="15" customHeight="1" s="39">
      <c r="A697" s="38" t="inlineStr">
        <is>
          <t>2021</t>
        </is>
      </c>
      <c r="B697" s="42" t="inlineStr">
        <is>
          <t>430976</t>
        </is>
      </c>
      <c r="C697" s="38" t="inlineStr">
        <is>
          <t>Y083</t>
        </is>
      </c>
      <c r="D697" s="38" t="inlineStr">
        <is>
          <t>TOTAL</t>
        </is>
      </c>
      <c r="E697" s="38" t="inlineStr">
        <is>
          <t>POP</t>
        </is>
      </c>
      <c r="F697" s="38" t="n">
        <v>2</v>
      </c>
    </row>
    <row r="698" ht="15" customHeight="1" s="39">
      <c r="A698" s="38" t="inlineStr">
        <is>
          <t>2021</t>
        </is>
      </c>
      <c r="B698" s="42" t="inlineStr">
        <is>
          <t>430976</t>
        </is>
      </c>
      <c r="C698" s="38" t="inlineStr">
        <is>
          <t>Y084</t>
        </is>
      </c>
      <c r="D698" s="38" t="inlineStr">
        <is>
          <t>TOTAL</t>
        </is>
      </c>
      <c r="E698" s="38" t="inlineStr">
        <is>
          <t>POP</t>
        </is>
      </c>
      <c r="F698" s="38" t="n">
        <v>2</v>
      </c>
    </row>
    <row r="699" ht="15" customHeight="1" s="39">
      <c r="A699" s="38" t="inlineStr">
        <is>
          <t>2021</t>
        </is>
      </c>
      <c r="B699" s="42" t="inlineStr">
        <is>
          <t>430976</t>
        </is>
      </c>
      <c r="C699" s="38" t="inlineStr">
        <is>
          <t>Y085</t>
        </is>
      </c>
      <c r="D699" s="38" t="inlineStr">
        <is>
          <t>TOTAL</t>
        </is>
      </c>
      <c r="E699" s="38" t="inlineStr">
        <is>
          <t>POP</t>
        </is>
      </c>
      <c r="F699" s="38" t="n">
        <v>1</v>
      </c>
    </row>
    <row r="700" ht="15" customHeight="1" s="39">
      <c r="A700" s="38" t="inlineStr">
        <is>
          <t>2021</t>
        </is>
      </c>
      <c r="B700" s="42" t="inlineStr">
        <is>
          <t>430976</t>
        </is>
      </c>
      <c r="C700" s="38" t="inlineStr">
        <is>
          <t>Y086</t>
        </is>
      </c>
      <c r="D700" s="38" t="inlineStr">
        <is>
          <t>TOTAL</t>
        </is>
      </c>
      <c r="E700" s="38" t="inlineStr">
        <is>
          <t>POP</t>
        </is>
      </c>
      <c r="F700" s="38" t="n">
        <v>0</v>
      </c>
    </row>
    <row r="701" ht="15" customHeight="1" s="39">
      <c r="A701" s="38" t="inlineStr">
        <is>
          <t>2021</t>
        </is>
      </c>
      <c r="B701" s="42" t="inlineStr">
        <is>
          <t>430976</t>
        </is>
      </c>
      <c r="C701" s="38" t="inlineStr">
        <is>
          <t>Y087</t>
        </is>
      </c>
      <c r="D701" s="38" t="inlineStr">
        <is>
          <t>TOTAL</t>
        </is>
      </c>
      <c r="E701" s="38" t="inlineStr">
        <is>
          <t>POP</t>
        </is>
      </c>
      <c r="F701" s="38" t="n">
        <v>3</v>
      </c>
    </row>
    <row r="702" ht="15" customHeight="1" s="39">
      <c r="A702" s="38" t="inlineStr">
        <is>
          <t>2021</t>
        </is>
      </c>
      <c r="B702" s="42" t="inlineStr">
        <is>
          <t>430976</t>
        </is>
      </c>
      <c r="C702" s="38" t="inlineStr">
        <is>
          <t>Y088</t>
        </is>
      </c>
      <c r="D702" s="38" t="inlineStr">
        <is>
          <t>TOTAL</t>
        </is>
      </c>
      <c r="E702" s="38" t="inlineStr">
        <is>
          <t>POP</t>
        </is>
      </c>
      <c r="F702" s="38" t="n">
        <v>1</v>
      </c>
    </row>
    <row r="703" ht="15" customHeight="1" s="39">
      <c r="A703" s="38" t="inlineStr">
        <is>
          <t>2021</t>
        </is>
      </c>
      <c r="B703" s="42" t="inlineStr">
        <is>
          <t>430976</t>
        </is>
      </c>
      <c r="C703" s="38" t="inlineStr">
        <is>
          <t>Y089</t>
        </is>
      </c>
      <c r="D703" s="38" t="inlineStr">
        <is>
          <t>TOTAL</t>
        </is>
      </c>
      <c r="E703" s="38" t="inlineStr">
        <is>
          <t>POP</t>
        </is>
      </c>
      <c r="F703" s="38" t="n">
        <v>8</v>
      </c>
    </row>
    <row r="704" ht="15" customHeight="1" s="39">
      <c r="A704" s="38" t="inlineStr">
        <is>
          <t>2021</t>
        </is>
      </c>
      <c r="B704" s="42" t="inlineStr">
        <is>
          <t>430976</t>
        </is>
      </c>
      <c r="C704" s="38" t="inlineStr">
        <is>
          <t>Y090</t>
        </is>
      </c>
      <c r="D704" s="38" t="inlineStr">
        <is>
          <t>TOTAL</t>
        </is>
      </c>
      <c r="E704" s="38" t="inlineStr">
        <is>
          <t>POP</t>
        </is>
      </c>
      <c r="F704" s="38" t="n">
        <v>1</v>
      </c>
    </row>
    <row r="705" ht="15" customHeight="1" s="39">
      <c r="A705" s="38" t="inlineStr">
        <is>
          <t>2021</t>
        </is>
      </c>
      <c r="B705" s="42" t="inlineStr">
        <is>
          <t>430976</t>
        </is>
      </c>
      <c r="C705" s="38" t="inlineStr">
        <is>
          <t>Y091</t>
        </is>
      </c>
      <c r="D705" s="38" t="inlineStr">
        <is>
          <t>TOTAL</t>
        </is>
      </c>
      <c r="E705" s="38" t="inlineStr">
        <is>
          <t>POP</t>
        </is>
      </c>
      <c r="F705" s="38" t="n">
        <v>0</v>
      </c>
    </row>
    <row r="706" ht="15" customHeight="1" s="39">
      <c r="A706" s="38" t="inlineStr">
        <is>
          <t>2021</t>
        </is>
      </c>
      <c r="B706" s="42" t="inlineStr">
        <is>
          <t>430976</t>
        </is>
      </c>
      <c r="C706" s="38" t="inlineStr">
        <is>
          <t>Y092</t>
        </is>
      </c>
      <c r="D706" s="38" t="inlineStr">
        <is>
          <t>TOTAL</t>
        </is>
      </c>
      <c r="E706" s="38" t="inlineStr">
        <is>
          <t>POP</t>
        </is>
      </c>
      <c r="F706" s="38" t="n">
        <v>1</v>
      </c>
    </row>
    <row r="707" ht="15" customHeight="1" s="39">
      <c r="A707" s="38" t="inlineStr">
        <is>
          <t>2021</t>
        </is>
      </c>
      <c r="B707" s="42" t="inlineStr">
        <is>
          <t>430976</t>
        </is>
      </c>
      <c r="C707" s="38" t="inlineStr">
        <is>
          <t>Y093</t>
        </is>
      </c>
      <c r="D707" s="38" t="inlineStr">
        <is>
          <t>TOTAL</t>
        </is>
      </c>
      <c r="E707" s="38" t="inlineStr">
        <is>
          <t>POP</t>
        </is>
      </c>
      <c r="F707" s="38" t="n">
        <v>0</v>
      </c>
    </row>
    <row r="708" ht="15" customHeight="1" s="39">
      <c r="A708" s="38" t="inlineStr">
        <is>
          <t>2021</t>
        </is>
      </c>
      <c r="B708" s="42" t="inlineStr">
        <is>
          <t>430976</t>
        </is>
      </c>
      <c r="C708" s="38" t="inlineStr">
        <is>
          <t>Y094</t>
        </is>
      </c>
      <c r="D708" s="38" t="inlineStr">
        <is>
          <t>TOTAL</t>
        </is>
      </c>
      <c r="E708" s="38" t="inlineStr">
        <is>
          <t>POP</t>
        </is>
      </c>
      <c r="F708" s="38" t="n">
        <v>3</v>
      </c>
    </row>
    <row r="709" ht="15" customHeight="1" s="39">
      <c r="A709" s="38" t="inlineStr">
        <is>
          <t>2021</t>
        </is>
      </c>
      <c r="B709" s="42" t="inlineStr">
        <is>
          <t>430976</t>
        </is>
      </c>
      <c r="C709" s="38" t="inlineStr">
        <is>
          <t>Y095</t>
        </is>
      </c>
      <c r="D709" s="38" t="inlineStr">
        <is>
          <t>TOTAL</t>
        </is>
      </c>
      <c r="E709" s="38" t="inlineStr">
        <is>
          <t>POP</t>
        </is>
      </c>
      <c r="F709" s="38" t="n">
        <v>0</v>
      </c>
    </row>
    <row r="710" ht="15" customHeight="1" s="39">
      <c r="A710" s="38" t="inlineStr">
        <is>
          <t>2021</t>
        </is>
      </c>
      <c r="B710" s="42" t="inlineStr">
        <is>
          <t>430976</t>
        </is>
      </c>
      <c r="C710" s="38" t="inlineStr">
        <is>
          <t>Y096</t>
        </is>
      </c>
      <c r="D710" s="38" t="inlineStr">
        <is>
          <t>TOTAL</t>
        </is>
      </c>
      <c r="E710" s="38" t="inlineStr">
        <is>
          <t>POP</t>
        </is>
      </c>
      <c r="F710" s="38" t="n">
        <v>1</v>
      </c>
    </row>
    <row r="711" ht="15" customHeight="1" s="39">
      <c r="A711" s="38" t="inlineStr">
        <is>
          <t>2021</t>
        </is>
      </c>
      <c r="B711" s="42" t="inlineStr">
        <is>
          <t>430976</t>
        </is>
      </c>
      <c r="C711" s="38" t="inlineStr">
        <is>
          <t>Y097</t>
        </is>
      </c>
      <c r="D711" s="38" t="inlineStr">
        <is>
          <t>TOTAL</t>
        </is>
      </c>
      <c r="E711" s="38" t="inlineStr">
        <is>
          <t>POP</t>
        </is>
      </c>
      <c r="F711" s="38" t="n">
        <v>0</v>
      </c>
    </row>
    <row r="712" ht="15" customHeight="1" s="39">
      <c r="A712" s="38" t="inlineStr">
        <is>
          <t>2021</t>
        </is>
      </c>
      <c r="B712" s="42" t="inlineStr">
        <is>
          <t>430976</t>
        </is>
      </c>
      <c r="C712" s="38" t="inlineStr">
        <is>
          <t>Y098</t>
        </is>
      </c>
      <c r="D712" s="38" t="inlineStr">
        <is>
          <t>TOTAL</t>
        </is>
      </c>
      <c r="E712" s="38" t="inlineStr">
        <is>
          <t>POP</t>
        </is>
      </c>
      <c r="F712" s="38" t="n">
        <v>0</v>
      </c>
    </row>
    <row r="713" ht="15" customHeight="1" s="39">
      <c r="A713" s="38" t="inlineStr">
        <is>
          <t>2021</t>
        </is>
      </c>
      <c r="B713" s="42" t="inlineStr">
        <is>
          <t>430976</t>
        </is>
      </c>
      <c r="C713" s="38" t="inlineStr">
        <is>
          <t>Y099</t>
        </is>
      </c>
      <c r="D713" s="38" t="inlineStr">
        <is>
          <t>TOTAL</t>
        </is>
      </c>
      <c r="E713" s="38" t="inlineStr">
        <is>
          <t>POP</t>
        </is>
      </c>
      <c r="F713" s="38" t="n">
        <v>0</v>
      </c>
    </row>
    <row r="714" ht="15" customHeight="1" s="39">
      <c r="A714" s="38" t="inlineStr">
        <is>
          <t>2021</t>
        </is>
      </c>
      <c r="B714" s="42" t="inlineStr">
        <is>
          <t>430976</t>
        </is>
      </c>
      <c r="C714" s="38" t="inlineStr">
        <is>
          <t>Y_GE100</t>
        </is>
      </c>
      <c r="D714" s="38" t="inlineStr">
        <is>
          <t>TOTAL</t>
        </is>
      </c>
      <c r="E714" s="38" t="inlineStr">
        <is>
          <t>POP</t>
        </is>
      </c>
      <c r="F714" s="38" t="n">
        <v>0</v>
      </c>
    </row>
    <row r="715" ht="15" customHeight="1" s="39">
      <c r="A715" s="38" t="inlineStr">
        <is>
          <t>2021</t>
        </is>
      </c>
      <c r="B715" s="42" t="inlineStr">
        <is>
          <t>430976</t>
        </is>
      </c>
      <c r="C715" s="38" t="inlineStr">
        <is>
          <t>TOTAL</t>
        </is>
      </c>
      <c r="D715" s="38" t="inlineStr">
        <is>
          <t>TOTAL</t>
        </is>
      </c>
      <c r="E715" s="38" t="inlineStr">
        <is>
          <t>POP</t>
        </is>
      </c>
      <c r="F715" s="38" t="n">
        <v>617</v>
      </c>
    </row>
    <row r="716" ht="15" customHeight="1" s="39">
      <c r="A716" s="38" t="inlineStr">
        <is>
          <t>2021</t>
        </is>
      </c>
      <c r="B716" s="42" t="inlineStr">
        <is>
          <t>431009</t>
        </is>
      </c>
      <c r="C716" s="38" t="inlineStr">
        <is>
          <t>Y000</t>
        </is>
      </c>
      <c r="D716" s="38" t="inlineStr">
        <is>
          <t>TOTAL</t>
        </is>
      </c>
      <c r="E716" s="38" t="inlineStr">
        <is>
          <t>POP</t>
        </is>
      </c>
      <c r="F716" s="38" t="n">
        <v>26</v>
      </c>
    </row>
    <row r="717" ht="15" customHeight="1" s="39">
      <c r="A717" s="38" t="inlineStr">
        <is>
          <t>2021</t>
        </is>
      </c>
      <c r="B717" s="42" t="inlineStr">
        <is>
          <t>431009</t>
        </is>
      </c>
      <c r="C717" s="38" t="inlineStr">
        <is>
          <t>Y001</t>
        </is>
      </c>
      <c r="D717" s="38" t="inlineStr">
        <is>
          <t>TOTAL</t>
        </is>
      </c>
      <c r="E717" s="38" t="inlineStr">
        <is>
          <t>POP</t>
        </is>
      </c>
      <c r="F717" s="38" t="n">
        <v>23</v>
      </c>
    </row>
    <row r="718" ht="15" customHeight="1" s="39">
      <c r="A718" s="38" t="inlineStr">
        <is>
          <t>2021</t>
        </is>
      </c>
      <c r="B718" s="42" t="inlineStr">
        <is>
          <t>431009</t>
        </is>
      </c>
      <c r="C718" s="38" t="inlineStr">
        <is>
          <t>Y002</t>
        </is>
      </c>
      <c r="D718" s="38" t="inlineStr">
        <is>
          <t>TOTAL</t>
        </is>
      </c>
      <c r="E718" s="38" t="inlineStr">
        <is>
          <t>POP</t>
        </is>
      </c>
      <c r="F718" s="38" t="n">
        <v>37</v>
      </c>
    </row>
    <row r="719" ht="15" customHeight="1" s="39">
      <c r="A719" s="38" t="inlineStr">
        <is>
          <t>2021</t>
        </is>
      </c>
      <c r="B719" s="42" t="inlineStr">
        <is>
          <t>431009</t>
        </is>
      </c>
      <c r="C719" s="38" t="inlineStr">
        <is>
          <t>Y003</t>
        </is>
      </c>
      <c r="D719" s="38" t="inlineStr">
        <is>
          <t>TOTAL</t>
        </is>
      </c>
      <c r="E719" s="38" t="inlineStr">
        <is>
          <t>POP</t>
        </is>
      </c>
      <c r="F719" s="38" t="n">
        <v>40</v>
      </c>
    </row>
    <row r="720" ht="15" customHeight="1" s="39">
      <c r="A720" s="38" t="inlineStr">
        <is>
          <t>2021</t>
        </is>
      </c>
      <c r="B720" s="42" t="inlineStr">
        <is>
          <t>431009</t>
        </is>
      </c>
      <c r="C720" s="38" t="inlineStr">
        <is>
          <t>Y004</t>
        </is>
      </c>
      <c r="D720" s="38" t="inlineStr">
        <is>
          <t>TOTAL</t>
        </is>
      </c>
      <c r="E720" s="38" t="inlineStr">
        <is>
          <t>POP</t>
        </is>
      </c>
      <c r="F720" s="38" t="n">
        <v>53</v>
      </c>
    </row>
    <row r="721" ht="15" customHeight="1" s="39">
      <c r="A721" s="38" t="inlineStr">
        <is>
          <t>2021</t>
        </is>
      </c>
      <c r="B721" s="42" t="inlineStr">
        <is>
          <t>431009</t>
        </is>
      </c>
      <c r="C721" s="38" t="inlineStr">
        <is>
          <t>Y005</t>
        </is>
      </c>
      <c r="D721" s="38" t="inlineStr">
        <is>
          <t>TOTAL</t>
        </is>
      </c>
      <c r="E721" s="38" t="inlineStr">
        <is>
          <t>POP</t>
        </is>
      </c>
      <c r="F721" s="38" t="n">
        <v>52</v>
      </c>
    </row>
    <row r="722" ht="15" customHeight="1" s="39">
      <c r="A722" s="38" t="inlineStr">
        <is>
          <t>2021</t>
        </is>
      </c>
      <c r="B722" s="42" t="inlineStr">
        <is>
          <t>431009</t>
        </is>
      </c>
      <c r="C722" s="38" t="inlineStr">
        <is>
          <t>Y006</t>
        </is>
      </c>
      <c r="D722" s="38" t="inlineStr">
        <is>
          <t>TOTAL</t>
        </is>
      </c>
      <c r="E722" s="38" t="inlineStr">
        <is>
          <t>POP</t>
        </is>
      </c>
      <c r="F722" s="38" t="n">
        <v>52</v>
      </c>
    </row>
    <row r="723" ht="15" customHeight="1" s="39">
      <c r="A723" s="38" t="inlineStr">
        <is>
          <t>2021</t>
        </is>
      </c>
      <c r="B723" s="42" t="inlineStr">
        <is>
          <t>431009</t>
        </is>
      </c>
      <c r="C723" s="38" t="inlineStr">
        <is>
          <t>Y007</t>
        </is>
      </c>
      <c r="D723" s="38" t="inlineStr">
        <is>
          <t>TOTAL</t>
        </is>
      </c>
      <c r="E723" s="38" t="inlineStr">
        <is>
          <t>POP</t>
        </is>
      </c>
      <c r="F723" s="38" t="n">
        <v>64</v>
      </c>
    </row>
    <row r="724" ht="15" customHeight="1" s="39">
      <c r="A724" s="38" t="inlineStr">
        <is>
          <t>2021</t>
        </is>
      </c>
      <c r="B724" s="42" t="inlineStr">
        <is>
          <t>431009</t>
        </is>
      </c>
      <c r="C724" s="38" t="inlineStr">
        <is>
          <t>Y008</t>
        </is>
      </c>
      <c r="D724" s="38" t="inlineStr">
        <is>
          <t>TOTAL</t>
        </is>
      </c>
      <c r="E724" s="38" t="inlineStr">
        <is>
          <t>POP</t>
        </is>
      </c>
      <c r="F724" s="38" t="n">
        <v>75</v>
      </c>
    </row>
    <row r="725" ht="15" customHeight="1" s="39">
      <c r="A725" s="38" t="inlineStr">
        <is>
          <t>2021</t>
        </is>
      </c>
      <c r="B725" s="42" t="inlineStr">
        <is>
          <t>431009</t>
        </is>
      </c>
      <c r="C725" s="38" t="inlineStr">
        <is>
          <t>Y009</t>
        </is>
      </c>
      <c r="D725" s="38" t="inlineStr">
        <is>
          <t>TOTAL</t>
        </is>
      </c>
      <c r="E725" s="38" t="inlineStr">
        <is>
          <t>POP</t>
        </is>
      </c>
      <c r="F725" s="38" t="n">
        <v>55</v>
      </c>
    </row>
    <row r="726" ht="15" customHeight="1" s="39">
      <c r="A726" s="38" t="inlineStr">
        <is>
          <t>2021</t>
        </is>
      </c>
      <c r="B726" s="42" t="inlineStr">
        <is>
          <t>431009</t>
        </is>
      </c>
      <c r="C726" s="38" t="inlineStr">
        <is>
          <t>Y010</t>
        </is>
      </c>
      <c r="D726" s="38" t="inlineStr">
        <is>
          <t>TOTAL</t>
        </is>
      </c>
      <c r="E726" s="38" t="inlineStr">
        <is>
          <t>POP</t>
        </is>
      </c>
      <c r="F726" s="38" t="n">
        <v>95</v>
      </c>
    </row>
    <row r="727" ht="15" customHeight="1" s="39">
      <c r="A727" s="38" t="inlineStr">
        <is>
          <t>2021</t>
        </is>
      </c>
      <c r="B727" s="42" t="inlineStr">
        <is>
          <t>431009</t>
        </is>
      </c>
      <c r="C727" s="38" t="inlineStr">
        <is>
          <t>Y011</t>
        </is>
      </c>
      <c r="D727" s="38" t="inlineStr">
        <is>
          <t>TOTAL</t>
        </is>
      </c>
      <c r="E727" s="38" t="inlineStr">
        <is>
          <t>POP</t>
        </is>
      </c>
      <c r="F727" s="38" t="n">
        <v>75</v>
      </c>
    </row>
    <row r="728" ht="15" customHeight="1" s="39">
      <c r="A728" s="38" t="inlineStr">
        <is>
          <t>2021</t>
        </is>
      </c>
      <c r="B728" s="42" t="inlineStr">
        <is>
          <t>431009</t>
        </is>
      </c>
      <c r="C728" s="38" t="inlineStr">
        <is>
          <t>Y012</t>
        </is>
      </c>
      <c r="D728" s="38" t="inlineStr">
        <is>
          <t>TOTAL</t>
        </is>
      </c>
      <c r="E728" s="38" t="inlineStr">
        <is>
          <t>POP</t>
        </is>
      </c>
      <c r="F728" s="38" t="n">
        <v>93</v>
      </c>
    </row>
    <row r="729" ht="15" customHeight="1" s="39">
      <c r="A729" s="38" t="inlineStr">
        <is>
          <t>2021</t>
        </is>
      </c>
      <c r="B729" s="42" t="inlineStr">
        <is>
          <t>431009</t>
        </is>
      </c>
      <c r="C729" s="38" t="inlineStr">
        <is>
          <t>Y013</t>
        </is>
      </c>
      <c r="D729" s="38" t="inlineStr">
        <is>
          <t>TOTAL</t>
        </is>
      </c>
      <c r="E729" s="38" t="inlineStr">
        <is>
          <t>POP</t>
        </is>
      </c>
      <c r="F729" s="38" t="n">
        <v>84</v>
      </c>
    </row>
    <row r="730" ht="15" customHeight="1" s="39">
      <c r="A730" s="38" t="inlineStr">
        <is>
          <t>2021</t>
        </is>
      </c>
      <c r="B730" s="42" t="inlineStr">
        <is>
          <t>431009</t>
        </is>
      </c>
      <c r="C730" s="38" t="inlineStr">
        <is>
          <t>Y014</t>
        </is>
      </c>
      <c r="D730" s="38" t="inlineStr">
        <is>
          <t>TOTAL</t>
        </is>
      </c>
      <c r="E730" s="38" t="inlineStr">
        <is>
          <t>POP</t>
        </is>
      </c>
      <c r="F730" s="38" t="n">
        <v>87</v>
      </c>
    </row>
    <row r="731" ht="15" customHeight="1" s="39">
      <c r="A731" s="38" t="inlineStr">
        <is>
          <t>2021</t>
        </is>
      </c>
      <c r="B731" s="42" t="inlineStr">
        <is>
          <t>431009</t>
        </is>
      </c>
      <c r="C731" s="38" t="inlineStr">
        <is>
          <t>Y015</t>
        </is>
      </c>
      <c r="D731" s="38" t="inlineStr">
        <is>
          <t>TOTAL</t>
        </is>
      </c>
      <c r="E731" s="38" t="inlineStr">
        <is>
          <t>POP</t>
        </is>
      </c>
      <c r="F731" s="38" t="n">
        <v>95</v>
      </c>
    </row>
    <row r="732" ht="15" customHeight="1" s="39">
      <c r="A732" s="38" t="inlineStr">
        <is>
          <t>2021</t>
        </is>
      </c>
      <c r="B732" s="42" t="inlineStr">
        <is>
          <t>431009</t>
        </is>
      </c>
      <c r="C732" s="38" t="inlineStr">
        <is>
          <t>Y016</t>
        </is>
      </c>
      <c r="D732" s="38" t="inlineStr">
        <is>
          <t>TOTAL</t>
        </is>
      </c>
      <c r="E732" s="38" t="inlineStr">
        <is>
          <t>POP</t>
        </is>
      </c>
      <c r="F732" s="38" t="n">
        <v>83</v>
      </c>
    </row>
    <row r="733" ht="15" customHeight="1" s="39">
      <c r="A733" s="38" t="inlineStr">
        <is>
          <t>2021</t>
        </is>
      </c>
      <c r="B733" s="42" t="inlineStr">
        <is>
          <t>431009</t>
        </is>
      </c>
      <c r="C733" s="38" t="inlineStr">
        <is>
          <t>Y017</t>
        </is>
      </c>
      <c r="D733" s="38" t="inlineStr">
        <is>
          <t>TOTAL</t>
        </is>
      </c>
      <c r="E733" s="38" t="inlineStr">
        <is>
          <t>POP</t>
        </is>
      </c>
      <c r="F733" s="38" t="n">
        <v>72</v>
      </c>
    </row>
    <row r="734" ht="15" customHeight="1" s="39">
      <c r="A734" s="38" t="inlineStr">
        <is>
          <t>2021</t>
        </is>
      </c>
      <c r="B734" s="42" t="inlineStr">
        <is>
          <t>431009</t>
        </is>
      </c>
      <c r="C734" s="38" t="inlineStr">
        <is>
          <t>Y018</t>
        </is>
      </c>
      <c r="D734" s="38" t="inlineStr">
        <is>
          <t>TOTAL</t>
        </is>
      </c>
      <c r="E734" s="38" t="inlineStr">
        <is>
          <t>POP</t>
        </is>
      </c>
      <c r="F734" s="38" t="n">
        <v>81</v>
      </c>
    </row>
    <row r="735" ht="15" customHeight="1" s="39">
      <c r="A735" s="38" t="inlineStr">
        <is>
          <t>2021</t>
        </is>
      </c>
      <c r="B735" s="42" t="inlineStr">
        <is>
          <t>431009</t>
        </is>
      </c>
      <c r="C735" s="38" t="inlineStr">
        <is>
          <t>Y019</t>
        </is>
      </c>
      <c r="D735" s="38" t="inlineStr">
        <is>
          <t>TOTAL</t>
        </is>
      </c>
      <c r="E735" s="38" t="inlineStr">
        <is>
          <t>POP</t>
        </is>
      </c>
      <c r="F735" s="38" t="n">
        <v>75</v>
      </c>
    </row>
    <row r="736" ht="15" customHeight="1" s="39">
      <c r="A736" s="38" t="inlineStr">
        <is>
          <t>2021</t>
        </is>
      </c>
      <c r="B736" s="42" t="inlineStr">
        <is>
          <t>431009</t>
        </is>
      </c>
      <c r="C736" s="38" t="inlineStr">
        <is>
          <t>Y020</t>
        </is>
      </c>
      <c r="D736" s="38" t="inlineStr">
        <is>
          <t>TOTAL</t>
        </is>
      </c>
      <c r="E736" s="38" t="inlineStr">
        <is>
          <t>POP</t>
        </is>
      </c>
      <c r="F736" s="38" t="n">
        <v>69</v>
      </c>
    </row>
    <row r="737" ht="15" customHeight="1" s="39">
      <c r="A737" s="38" t="inlineStr">
        <is>
          <t>2021</t>
        </is>
      </c>
      <c r="B737" s="42" t="inlineStr">
        <is>
          <t>431009</t>
        </is>
      </c>
      <c r="C737" s="38" t="inlineStr">
        <is>
          <t>Y021</t>
        </is>
      </c>
      <c r="D737" s="38" t="inlineStr">
        <is>
          <t>TOTAL</t>
        </is>
      </c>
      <c r="E737" s="38" t="inlineStr">
        <is>
          <t>POP</t>
        </is>
      </c>
      <c r="F737" s="38" t="n">
        <v>63</v>
      </c>
    </row>
    <row r="738" ht="15" customHeight="1" s="39">
      <c r="A738" s="38" t="inlineStr">
        <is>
          <t>2021</t>
        </is>
      </c>
      <c r="B738" s="42" t="inlineStr">
        <is>
          <t>431009</t>
        </is>
      </c>
      <c r="C738" s="38" t="inlineStr">
        <is>
          <t>Y022</t>
        </is>
      </c>
      <c r="D738" s="38" t="inlineStr">
        <is>
          <t>TOTAL</t>
        </is>
      </c>
      <c r="E738" s="38" t="inlineStr">
        <is>
          <t>POP</t>
        </is>
      </c>
      <c r="F738" s="38" t="n">
        <v>54</v>
      </c>
    </row>
    <row r="739" ht="15" customHeight="1" s="39">
      <c r="A739" s="38" t="inlineStr">
        <is>
          <t>2021</t>
        </is>
      </c>
      <c r="B739" s="42" t="inlineStr">
        <is>
          <t>431009</t>
        </is>
      </c>
      <c r="C739" s="38" t="inlineStr">
        <is>
          <t>Y023</t>
        </is>
      </c>
      <c r="D739" s="38" t="inlineStr">
        <is>
          <t>TOTAL</t>
        </is>
      </c>
      <c r="E739" s="38" t="inlineStr">
        <is>
          <t>POP</t>
        </is>
      </c>
      <c r="F739" s="38" t="n">
        <v>40</v>
      </c>
    </row>
    <row r="740" ht="15" customHeight="1" s="39">
      <c r="A740" s="38" t="inlineStr">
        <is>
          <t>2021</t>
        </is>
      </c>
      <c r="B740" s="42" t="inlineStr">
        <is>
          <t>431009</t>
        </is>
      </c>
      <c r="C740" s="38" t="inlineStr">
        <is>
          <t>Y024</t>
        </is>
      </c>
      <c r="D740" s="38" t="inlineStr">
        <is>
          <t>TOTAL</t>
        </is>
      </c>
      <c r="E740" s="38" t="inlineStr">
        <is>
          <t>POP</t>
        </is>
      </c>
      <c r="F740" s="38" t="n">
        <v>43</v>
      </c>
    </row>
    <row r="741" ht="15" customHeight="1" s="39">
      <c r="A741" s="38" t="inlineStr">
        <is>
          <t>2021</t>
        </is>
      </c>
      <c r="B741" s="42" t="inlineStr">
        <is>
          <t>431009</t>
        </is>
      </c>
      <c r="C741" s="38" t="inlineStr">
        <is>
          <t>Y025</t>
        </is>
      </c>
      <c r="D741" s="38" t="inlineStr">
        <is>
          <t>TOTAL</t>
        </is>
      </c>
      <c r="E741" s="38" t="inlineStr">
        <is>
          <t>POP</t>
        </is>
      </c>
      <c r="F741" s="38" t="n">
        <v>39</v>
      </c>
    </row>
    <row r="742" ht="15" customHeight="1" s="39">
      <c r="A742" s="38" t="inlineStr">
        <is>
          <t>2021</t>
        </is>
      </c>
      <c r="B742" s="42" t="inlineStr">
        <is>
          <t>431009</t>
        </is>
      </c>
      <c r="C742" s="38" t="inlineStr">
        <is>
          <t>Y026</t>
        </is>
      </c>
      <c r="D742" s="38" t="inlineStr">
        <is>
          <t>TOTAL</t>
        </is>
      </c>
      <c r="E742" s="38" t="inlineStr">
        <is>
          <t>POP</t>
        </is>
      </c>
      <c r="F742" s="38" t="n">
        <v>37</v>
      </c>
    </row>
    <row r="743" ht="15" customHeight="1" s="39">
      <c r="A743" s="38" t="inlineStr">
        <is>
          <t>2021</t>
        </is>
      </c>
      <c r="B743" s="42" t="inlineStr">
        <is>
          <t>431009</t>
        </is>
      </c>
      <c r="C743" s="38" t="inlineStr">
        <is>
          <t>Y027</t>
        </is>
      </c>
      <c r="D743" s="38" t="inlineStr">
        <is>
          <t>TOTAL</t>
        </is>
      </c>
      <c r="E743" s="38" t="inlineStr">
        <is>
          <t>POP</t>
        </is>
      </c>
      <c r="F743" s="38" t="n">
        <v>42</v>
      </c>
    </row>
    <row r="744" ht="15" customHeight="1" s="39">
      <c r="A744" s="38" t="inlineStr">
        <is>
          <t>2021</t>
        </is>
      </c>
      <c r="B744" s="42" t="inlineStr">
        <is>
          <t>431009</t>
        </is>
      </c>
      <c r="C744" s="38" t="inlineStr">
        <is>
          <t>Y028</t>
        </is>
      </c>
      <c r="D744" s="38" t="inlineStr">
        <is>
          <t>TOTAL</t>
        </is>
      </c>
      <c r="E744" s="38" t="inlineStr">
        <is>
          <t>POP</t>
        </is>
      </c>
      <c r="F744" s="38" t="n">
        <v>33</v>
      </c>
    </row>
    <row r="745" ht="15" customHeight="1" s="39">
      <c r="A745" s="38" t="inlineStr">
        <is>
          <t>2021</t>
        </is>
      </c>
      <c r="B745" s="42" t="inlineStr">
        <is>
          <t>431009</t>
        </is>
      </c>
      <c r="C745" s="38" t="inlineStr">
        <is>
          <t>Y029</t>
        </is>
      </c>
      <c r="D745" s="38" t="inlineStr">
        <is>
          <t>TOTAL</t>
        </is>
      </c>
      <c r="E745" s="38" t="inlineStr">
        <is>
          <t>POP</t>
        </is>
      </c>
      <c r="F745" s="38" t="n">
        <v>38</v>
      </c>
    </row>
    <row r="746" ht="15" customHeight="1" s="39">
      <c r="A746" s="38" t="inlineStr">
        <is>
          <t>2021</t>
        </is>
      </c>
      <c r="B746" s="42" t="inlineStr">
        <is>
          <t>431009</t>
        </is>
      </c>
      <c r="C746" s="38" t="inlineStr">
        <is>
          <t>Y030</t>
        </is>
      </c>
      <c r="D746" s="38" t="inlineStr">
        <is>
          <t>TOTAL</t>
        </is>
      </c>
      <c r="E746" s="38" t="inlineStr">
        <is>
          <t>POP</t>
        </is>
      </c>
      <c r="F746" s="38" t="n">
        <v>41</v>
      </c>
    </row>
    <row r="747" ht="15" customHeight="1" s="39">
      <c r="A747" s="38" t="inlineStr">
        <is>
          <t>2021</t>
        </is>
      </c>
      <c r="B747" s="42" t="inlineStr">
        <is>
          <t>431009</t>
        </is>
      </c>
      <c r="C747" s="38" t="inlineStr">
        <is>
          <t>Y031</t>
        </is>
      </c>
      <c r="D747" s="38" t="inlineStr">
        <is>
          <t>TOTAL</t>
        </is>
      </c>
      <c r="E747" s="38" t="inlineStr">
        <is>
          <t>POP</t>
        </is>
      </c>
      <c r="F747" s="38" t="n">
        <v>47</v>
      </c>
    </row>
    <row r="748" ht="15" customHeight="1" s="39">
      <c r="A748" s="38" t="inlineStr">
        <is>
          <t>2021</t>
        </is>
      </c>
      <c r="B748" s="42" t="inlineStr">
        <is>
          <t>431009</t>
        </is>
      </c>
      <c r="C748" s="38" t="inlineStr">
        <is>
          <t>Y032</t>
        </is>
      </c>
      <c r="D748" s="38" t="inlineStr">
        <is>
          <t>TOTAL</t>
        </is>
      </c>
      <c r="E748" s="38" t="inlineStr">
        <is>
          <t>POP</t>
        </is>
      </c>
      <c r="F748" s="38" t="n">
        <v>40</v>
      </c>
    </row>
    <row r="749" ht="15" customHeight="1" s="39">
      <c r="A749" s="38" t="inlineStr">
        <is>
          <t>2021</t>
        </is>
      </c>
      <c r="B749" s="42" t="inlineStr">
        <is>
          <t>431009</t>
        </is>
      </c>
      <c r="C749" s="38" t="inlineStr">
        <is>
          <t>Y033</t>
        </is>
      </c>
      <c r="D749" s="38" t="inlineStr">
        <is>
          <t>TOTAL</t>
        </is>
      </c>
      <c r="E749" s="38" t="inlineStr">
        <is>
          <t>POP</t>
        </is>
      </c>
      <c r="F749" s="38" t="n">
        <v>43</v>
      </c>
    </row>
    <row r="750" ht="15" customHeight="1" s="39">
      <c r="A750" s="38" t="inlineStr">
        <is>
          <t>2021</t>
        </is>
      </c>
      <c r="B750" s="42" t="inlineStr">
        <is>
          <t>431009</t>
        </is>
      </c>
      <c r="C750" s="38" t="inlineStr">
        <is>
          <t>Y034</t>
        </is>
      </c>
      <c r="D750" s="38" t="inlineStr">
        <is>
          <t>TOTAL</t>
        </is>
      </c>
      <c r="E750" s="38" t="inlineStr">
        <is>
          <t>POP</t>
        </is>
      </c>
      <c r="F750" s="38" t="n">
        <v>37</v>
      </c>
    </row>
    <row r="751" ht="15" customHeight="1" s="39">
      <c r="A751" s="38" t="inlineStr">
        <is>
          <t>2021</t>
        </is>
      </c>
      <c r="B751" s="42" t="inlineStr">
        <is>
          <t>431009</t>
        </is>
      </c>
      <c r="C751" s="38" t="inlineStr">
        <is>
          <t>Y035</t>
        </is>
      </c>
      <c r="D751" s="38" t="inlineStr">
        <is>
          <t>TOTAL</t>
        </is>
      </c>
      <c r="E751" s="38" t="inlineStr">
        <is>
          <t>POP</t>
        </is>
      </c>
      <c r="F751" s="38" t="n">
        <v>54</v>
      </c>
    </row>
    <row r="752" ht="15" customHeight="1" s="39">
      <c r="A752" s="38" t="inlineStr">
        <is>
          <t>2021</t>
        </is>
      </c>
      <c r="B752" s="42" t="inlineStr">
        <is>
          <t>431009</t>
        </is>
      </c>
      <c r="C752" s="38" t="inlineStr">
        <is>
          <t>Y036</t>
        </is>
      </c>
      <c r="D752" s="38" t="inlineStr">
        <is>
          <t>TOTAL</t>
        </is>
      </c>
      <c r="E752" s="38" t="inlineStr">
        <is>
          <t>POP</t>
        </is>
      </c>
      <c r="F752" s="38" t="n">
        <v>47</v>
      </c>
    </row>
    <row r="753" ht="15" customHeight="1" s="39">
      <c r="A753" s="38" t="inlineStr">
        <is>
          <t>2021</t>
        </is>
      </c>
      <c r="B753" s="42" t="inlineStr">
        <is>
          <t>431009</t>
        </is>
      </c>
      <c r="C753" s="38" t="inlineStr">
        <is>
          <t>Y037</t>
        </is>
      </c>
      <c r="D753" s="38" t="inlineStr">
        <is>
          <t>TOTAL</t>
        </is>
      </c>
      <c r="E753" s="38" t="inlineStr">
        <is>
          <t>POP</t>
        </is>
      </c>
      <c r="F753" s="38" t="n">
        <v>52</v>
      </c>
    </row>
    <row r="754" ht="15" customHeight="1" s="39">
      <c r="A754" s="38" t="inlineStr">
        <is>
          <t>2021</t>
        </is>
      </c>
      <c r="B754" s="42" t="inlineStr">
        <is>
          <t>431009</t>
        </is>
      </c>
      <c r="C754" s="38" t="inlineStr">
        <is>
          <t>Y038</t>
        </is>
      </c>
      <c r="D754" s="38" t="inlineStr">
        <is>
          <t>TOTAL</t>
        </is>
      </c>
      <c r="E754" s="38" t="inlineStr">
        <is>
          <t>POP</t>
        </is>
      </c>
      <c r="F754" s="38" t="n">
        <v>59</v>
      </c>
    </row>
    <row r="755" ht="15" customHeight="1" s="39">
      <c r="A755" s="38" t="inlineStr">
        <is>
          <t>2021</t>
        </is>
      </c>
      <c r="B755" s="42" t="inlineStr">
        <is>
          <t>431009</t>
        </is>
      </c>
      <c r="C755" s="38" t="inlineStr">
        <is>
          <t>Y039</t>
        </is>
      </c>
      <c r="D755" s="38" t="inlineStr">
        <is>
          <t>TOTAL</t>
        </is>
      </c>
      <c r="E755" s="38" t="inlineStr">
        <is>
          <t>POP</t>
        </is>
      </c>
      <c r="F755" s="38" t="n">
        <v>74</v>
      </c>
    </row>
    <row r="756" ht="15" customHeight="1" s="39">
      <c r="A756" s="38" t="inlineStr">
        <is>
          <t>2021</t>
        </is>
      </c>
      <c r="B756" s="42" t="inlineStr">
        <is>
          <t>431009</t>
        </is>
      </c>
      <c r="C756" s="38" t="inlineStr">
        <is>
          <t>Y040</t>
        </is>
      </c>
      <c r="D756" s="38" t="inlineStr">
        <is>
          <t>TOTAL</t>
        </is>
      </c>
      <c r="E756" s="38" t="inlineStr">
        <is>
          <t>POP</t>
        </is>
      </c>
      <c r="F756" s="38" t="n">
        <v>89</v>
      </c>
    </row>
    <row r="757" ht="15" customHeight="1" s="39">
      <c r="A757" s="38" t="inlineStr">
        <is>
          <t>2021</t>
        </is>
      </c>
      <c r="B757" s="42" t="inlineStr">
        <is>
          <t>431009</t>
        </is>
      </c>
      <c r="C757" s="38" t="inlineStr">
        <is>
          <t>Y041</t>
        </is>
      </c>
      <c r="D757" s="38" t="inlineStr">
        <is>
          <t>TOTAL</t>
        </is>
      </c>
      <c r="E757" s="38" t="inlineStr">
        <is>
          <t>POP</t>
        </is>
      </c>
      <c r="F757" s="38" t="n">
        <v>72</v>
      </c>
    </row>
    <row r="758" ht="15" customHeight="1" s="39">
      <c r="A758" s="38" t="inlineStr">
        <is>
          <t>2021</t>
        </is>
      </c>
      <c r="B758" s="42" t="inlineStr">
        <is>
          <t>431009</t>
        </is>
      </c>
      <c r="C758" s="38" t="inlineStr">
        <is>
          <t>Y042</t>
        </is>
      </c>
      <c r="D758" s="38" t="inlineStr">
        <is>
          <t>TOTAL</t>
        </is>
      </c>
      <c r="E758" s="38" t="inlineStr">
        <is>
          <t>POP</t>
        </is>
      </c>
      <c r="F758" s="38" t="n">
        <v>98</v>
      </c>
    </row>
    <row r="759" ht="15" customHeight="1" s="39">
      <c r="A759" s="38" t="inlineStr">
        <is>
          <t>2021</t>
        </is>
      </c>
      <c r="B759" s="42" t="inlineStr">
        <is>
          <t>431009</t>
        </is>
      </c>
      <c r="C759" s="38" t="inlineStr">
        <is>
          <t>Y043</t>
        </is>
      </c>
      <c r="D759" s="38" t="inlineStr">
        <is>
          <t>TOTAL</t>
        </is>
      </c>
      <c r="E759" s="38" t="inlineStr">
        <is>
          <t>POP</t>
        </is>
      </c>
      <c r="F759" s="38" t="n">
        <v>103</v>
      </c>
    </row>
    <row r="760" ht="15" customHeight="1" s="39">
      <c r="A760" s="38" t="inlineStr">
        <is>
          <t>2021</t>
        </is>
      </c>
      <c r="B760" s="42" t="inlineStr">
        <is>
          <t>431009</t>
        </is>
      </c>
      <c r="C760" s="38" t="inlineStr">
        <is>
          <t>Y044</t>
        </is>
      </c>
      <c r="D760" s="38" t="inlineStr">
        <is>
          <t>TOTAL</t>
        </is>
      </c>
      <c r="E760" s="38" t="inlineStr">
        <is>
          <t>POP</t>
        </is>
      </c>
      <c r="F760" s="38" t="n">
        <v>96</v>
      </c>
    </row>
    <row r="761" ht="15" customHeight="1" s="39">
      <c r="A761" s="38" t="inlineStr">
        <is>
          <t>2021</t>
        </is>
      </c>
      <c r="B761" s="42" t="inlineStr">
        <is>
          <t>431009</t>
        </is>
      </c>
      <c r="C761" s="38" t="inlineStr">
        <is>
          <t>Y045</t>
        </is>
      </c>
      <c r="D761" s="38" t="inlineStr">
        <is>
          <t>TOTAL</t>
        </is>
      </c>
      <c r="E761" s="38" t="inlineStr">
        <is>
          <t>POP</t>
        </is>
      </c>
      <c r="F761" s="38" t="n">
        <v>99</v>
      </c>
    </row>
    <row r="762" ht="15" customHeight="1" s="39">
      <c r="A762" s="38" t="inlineStr">
        <is>
          <t>2021</t>
        </is>
      </c>
      <c r="B762" s="42" t="inlineStr">
        <is>
          <t>431009</t>
        </is>
      </c>
      <c r="C762" s="38" t="inlineStr">
        <is>
          <t>Y046</t>
        </is>
      </c>
      <c r="D762" s="38" t="inlineStr">
        <is>
          <t>TOTAL</t>
        </is>
      </c>
      <c r="E762" s="38" t="inlineStr">
        <is>
          <t>POP</t>
        </is>
      </c>
      <c r="F762" s="38" t="n">
        <v>116</v>
      </c>
    </row>
    <row r="763" ht="15" customHeight="1" s="39">
      <c r="A763" s="38" t="inlineStr">
        <is>
          <t>2021</t>
        </is>
      </c>
      <c r="B763" s="42" t="inlineStr">
        <is>
          <t>431009</t>
        </is>
      </c>
      <c r="C763" s="38" t="inlineStr">
        <is>
          <t>Y047</t>
        </is>
      </c>
      <c r="D763" s="38" t="inlineStr">
        <is>
          <t>TOTAL</t>
        </is>
      </c>
      <c r="E763" s="38" t="inlineStr">
        <is>
          <t>POP</t>
        </is>
      </c>
      <c r="F763" s="38" t="n">
        <v>98</v>
      </c>
    </row>
    <row r="764" ht="15" customHeight="1" s="39">
      <c r="A764" s="38" t="inlineStr">
        <is>
          <t>2021</t>
        </is>
      </c>
      <c r="B764" s="42" t="inlineStr">
        <is>
          <t>431009</t>
        </is>
      </c>
      <c r="C764" s="38" t="inlineStr">
        <is>
          <t>Y048</t>
        </is>
      </c>
      <c r="D764" s="38" t="inlineStr">
        <is>
          <t>TOTAL</t>
        </is>
      </c>
      <c r="E764" s="38" t="inlineStr">
        <is>
          <t>POP</t>
        </is>
      </c>
      <c r="F764" s="38" t="n">
        <v>101</v>
      </c>
    </row>
    <row r="765" ht="15" customHeight="1" s="39">
      <c r="A765" s="38" t="inlineStr">
        <is>
          <t>2021</t>
        </is>
      </c>
      <c r="B765" s="42" t="inlineStr">
        <is>
          <t>431009</t>
        </is>
      </c>
      <c r="C765" s="38" t="inlineStr">
        <is>
          <t>Y049</t>
        </is>
      </c>
      <c r="D765" s="38" t="inlineStr">
        <is>
          <t>TOTAL</t>
        </is>
      </c>
      <c r="E765" s="38" t="inlineStr">
        <is>
          <t>POP</t>
        </is>
      </c>
      <c r="F765" s="38" t="n">
        <v>104</v>
      </c>
    </row>
    <row r="766" ht="15" customHeight="1" s="39">
      <c r="A766" s="38" t="inlineStr">
        <is>
          <t>2021</t>
        </is>
      </c>
      <c r="B766" s="42" t="inlineStr">
        <is>
          <t>431009</t>
        </is>
      </c>
      <c r="C766" s="38" t="inlineStr">
        <is>
          <t>Y050</t>
        </is>
      </c>
      <c r="D766" s="38" t="inlineStr">
        <is>
          <t>TOTAL</t>
        </is>
      </c>
      <c r="E766" s="38" t="inlineStr">
        <is>
          <t>POP</t>
        </is>
      </c>
      <c r="F766" s="38" t="n">
        <v>87</v>
      </c>
    </row>
    <row r="767" ht="15" customHeight="1" s="39">
      <c r="A767" s="38" t="inlineStr">
        <is>
          <t>2021</t>
        </is>
      </c>
      <c r="B767" s="42" t="inlineStr">
        <is>
          <t>431009</t>
        </is>
      </c>
      <c r="C767" s="38" t="inlineStr">
        <is>
          <t>Y051</t>
        </is>
      </c>
      <c r="D767" s="38" t="inlineStr">
        <is>
          <t>TOTAL</t>
        </is>
      </c>
      <c r="E767" s="38" t="inlineStr">
        <is>
          <t>POP</t>
        </is>
      </c>
      <c r="F767" s="38" t="n">
        <v>101</v>
      </c>
    </row>
    <row r="768" ht="15" customHeight="1" s="39">
      <c r="A768" s="38" t="inlineStr">
        <is>
          <t>2021</t>
        </is>
      </c>
      <c r="B768" s="42" t="inlineStr">
        <is>
          <t>431009</t>
        </is>
      </c>
      <c r="C768" s="38" t="inlineStr">
        <is>
          <t>Y052</t>
        </is>
      </c>
      <c r="D768" s="38" t="inlineStr">
        <is>
          <t>TOTAL</t>
        </is>
      </c>
      <c r="E768" s="38" t="inlineStr">
        <is>
          <t>POP</t>
        </is>
      </c>
      <c r="F768" s="38" t="n">
        <v>87</v>
      </c>
    </row>
    <row r="769" ht="15" customHeight="1" s="39">
      <c r="A769" s="38" t="inlineStr">
        <is>
          <t>2021</t>
        </is>
      </c>
      <c r="B769" s="42" t="inlineStr">
        <is>
          <t>431009</t>
        </is>
      </c>
      <c r="C769" s="38" t="inlineStr">
        <is>
          <t>Y053</t>
        </is>
      </c>
      <c r="D769" s="38" t="inlineStr">
        <is>
          <t>TOTAL</t>
        </is>
      </c>
      <c r="E769" s="38" t="inlineStr">
        <is>
          <t>POP</t>
        </is>
      </c>
      <c r="F769" s="38" t="n">
        <v>103</v>
      </c>
    </row>
    <row r="770" ht="15" customHeight="1" s="39">
      <c r="A770" s="38" t="inlineStr">
        <is>
          <t>2021</t>
        </is>
      </c>
      <c r="B770" s="42" t="inlineStr">
        <is>
          <t>431009</t>
        </is>
      </c>
      <c r="C770" s="38" t="inlineStr">
        <is>
          <t>Y054</t>
        </is>
      </c>
      <c r="D770" s="38" t="inlineStr">
        <is>
          <t>TOTAL</t>
        </is>
      </c>
      <c r="E770" s="38" t="inlineStr">
        <is>
          <t>POP</t>
        </is>
      </c>
      <c r="F770" s="38" t="n">
        <v>77</v>
      </c>
    </row>
    <row r="771" ht="15" customHeight="1" s="39">
      <c r="A771" s="38" t="inlineStr">
        <is>
          <t>2021</t>
        </is>
      </c>
      <c r="B771" s="42" t="inlineStr">
        <is>
          <t>431009</t>
        </is>
      </c>
      <c r="C771" s="38" t="inlineStr">
        <is>
          <t>Y055</t>
        </is>
      </c>
      <c r="D771" s="38" t="inlineStr">
        <is>
          <t>TOTAL</t>
        </is>
      </c>
      <c r="E771" s="38" t="inlineStr">
        <is>
          <t>POP</t>
        </is>
      </c>
      <c r="F771" s="38" t="n">
        <v>95</v>
      </c>
    </row>
    <row r="772" ht="15" customHeight="1" s="39">
      <c r="A772" s="38" t="inlineStr">
        <is>
          <t>2021</t>
        </is>
      </c>
      <c r="B772" s="42" t="inlineStr">
        <is>
          <t>431009</t>
        </is>
      </c>
      <c r="C772" s="38" t="inlineStr">
        <is>
          <t>Y056</t>
        </is>
      </c>
      <c r="D772" s="38" t="inlineStr">
        <is>
          <t>TOTAL</t>
        </is>
      </c>
      <c r="E772" s="38" t="inlineStr">
        <is>
          <t>POP</t>
        </is>
      </c>
      <c r="F772" s="38" t="n">
        <v>79</v>
      </c>
    </row>
    <row r="773" ht="15" customHeight="1" s="39">
      <c r="A773" s="38" t="inlineStr">
        <is>
          <t>2021</t>
        </is>
      </c>
      <c r="B773" s="42" t="inlineStr">
        <is>
          <t>431009</t>
        </is>
      </c>
      <c r="C773" s="38" t="inlineStr">
        <is>
          <t>Y057</t>
        </is>
      </c>
      <c r="D773" s="38" t="inlineStr">
        <is>
          <t>TOTAL</t>
        </is>
      </c>
      <c r="E773" s="38" t="inlineStr">
        <is>
          <t>POP</t>
        </is>
      </c>
      <c r="F773" s="38" t="n">
        <v>74</v>
      </c>
    </row>
    <row r="774" ht="15" customHeight="1" s="39">
      <c r="A774" s="38" t="inlineStr">
        <is>
          <t>2021</t>
        </is>
      </c>
      <c r="B774" s="42" t="inlineStr">
        <is>
          <t>431009</t>
        </is>
      </c>
      <c r="C774" s="38" t="inlineStr">
        <is>
          <t>Y058</t>
        </is>
      </c>
      <c r="D774" s="38" t="inlineStr">
        <is>
          <t>TOTAL</t>
        </is>
      </c>
      <c r="E774" s="38" t="inlineStr">
        <is>
          <t>POP</t>
        </is>
      </c>
      <c r="F774" s="38" t="n">
        <v>62</v>
      </c>
    </row>
    <row r="775" ht="15" customHeight="1" s="39">
      <c r="A775" s="38" t="inlineStr">
        <is>
          <t>2021</t>
        </is>
      </c>
      <c r="B775" s="42" t="inlineStr">
        <is>
          <t>431009</t>
        </is>
      </c>
      <c r="C775" s="38" t="inlineStr">
        <is>
          <t>Y059</t>
        </is>
      </c>
      <c r="D775" s="38" t="inlineStr">
        <is>
          <t>TOTAL</t>
        </is>
      </c>
      <c r="E775" s="38" t="inlineStr">
        <is>
          <t>POP</t>
        </is>
      </c>
      <c r="F775" s="38" t="n">
        <v>62</v>
      </c>
    </row>
    <row r="776" ht="15" customHeight="1" s="39">
      <c r="A776" s="38" t="inlineStr">
        <is>
          <t>2021</t>
        </is>
      </c>
      <c r="B776" s="42" t="inlineStr">
        <is>
          <t>431009</t>
        </is>
      </c>
      <c r="C776" s="38" t="inlineStr">
        <is>
          <t>Y060</t>
        </is>
      </c>
      <c r="D776" s="38" t="inlineStr">
        <is>
          <t>TOTAL</t>
        </is>
      </c>
      <c r="E776" s="38" t="inlineStr">
        <is>
          <t>POP</t>
        </is>
      </c>
      <c r="F776" s="38" t="n">
        <v>56</v>
      </c>
    </row>
    <row r="777" ht="15" customHeight="1" s="39">
      <c r="A777" s="38" t="inlineStr">
        <is>
          <t>2021</t>
        </is>
      </c>
      <c r="B777" s="42" t="inlineStr">
        <is>
          <t>431009</t>
        </is>
      </c>
      <c r="C777" s="38" t="inlineStr">
        <is>
          <t>Y061</t>
        </is>
      </c>
      <c r="D777" s="38" t="inlineStr">
        <is>
          <t>TOTAL</t>
        </is>
      </c>
      <c r="E777" s="38" t="inlineStr">
        <is>
          <t>POP</t>
        </is>
      </c>
      <c r="F777" s="38" t="n">
        <v>52</v>
      </c>
    </row>
    <row r="778" ht="15" customHeight="1" s="39">
      <c r="A778" s="38" t="inlineStr">
        <is>
          <t>2021</t>
        </is>
      </c>
      <c r="B778" s="42" t="inlineStr">
        <is>
          <t>431009</t>
        </is>
      </c>
      <c r="C778" s="38" t="inlineStr">
        <is>
          <t>Y062</t>
        </is>
      </c>
      <c r="D778" s="38" t="inlineStr">
        <is>
          <t>TOTAL</t>
        </is>
      </c>
      <c r="E778" s="38" t="inlineStr">
        <is>
          <t>POP</t>
        </is>
      </c>
      <c r="F778" s="38" t="n">
        <v>38</v>
      </c>
    </row>
    <row r="779" ht="15" customHeight="1" s="39">
      <c r="A779" s="38" t="inlineStr">
        <is>
          <t>2021</t>
        </is>
      </c>
      <c r="B779" s="42" t="inlineStr">
        <is>
          <t>431009</t>
        </is>
      </c>
      <c r="C779" s="38" t="inlineStr">
        <is>
          <t>Y063</t>
        </is>
      </c>
      <c r="D779" s="38" t="inlineStr">
        <is>
          <t>TOTAL</t>
        </is>
      </c>
      <c r="E779" s="38" t="inlineStr">
        <is>
          <t>POP</t>
        </is>
      </c>
      <c r="F779" s="38" t="n">
        <v>51</v>
      </c>
    </row>
    <row r="780" ht="15" customHeight="1" s="39">
      <c r="A780" s="38" t="inlineStr">
        <is>
          <t>2021</t>
        </is>
      </c>
      <c r="B780" s="42" t="inlineStr">
        <is>
          <t>431009</t>
        </is>
      </c>
      <c r="C780" s="38" t="inlineStr">
        <is>
          <t>Y064</t>
        </is>
      </c>
      <c r="D780" s="38" t="inlineStr">
        <is>
          <t>TOTAL</t>
        </is>
      </c>
      <c r="E780" s="38" t="inlineStr">
        <is>
          <t>POP</t>
        </is>
      </c>
      <c r="F780" s="38" t="n">
        <v>53</v>
      </c>
    </row>
    <row r="781" ht="15" customHeight="1" s="39">
      <c r="A781" s="38" t="inlineStr">
        <is>
          <t>2021</t>
        </is>
      </c>
      <c r="B781" s="42" t="inlineStr">
        <is>
          <t>431009</t>
        </is>
      </c>
      <c r="C781" s="38" t="inlineStr">
        <is>
          <t>Y065</t>
        </is>
      </c>
      <c r="D781" s="38" t="inlineStr">
        <is>
          <t>TOTAL</t>
        </is>
      </c>
      <c r="E781" s="38" t="inlineStr">
        <is>
          <t>POP</t>
        </is>
      </c>
      <c r="F781" s="38" t="n">
        <v>42</v>
      </c>
    </row>
    <row r="782" ht="15" customHeight="1" s="39">
      <c r="A782" s="38" t="inlineStr">
        <is>
          <t>2021</t>
        </is>
      </c>
      <c r="B782" s="42" t="inlineStr">
        <is>
          <t>431009</t>
        </is>
      </c>
      <c r="C782" s="38" t="inlineStr">
        <is>
          <t>Y066</t>
        </is>
      </c>
      <c r="D782" s="38" t="inlineStr">
        <is>
          <t>TOTAL</t>
        </is>
      </c>
      <c r="E782" s="38" t="inlineStr">
        <is>
          <t>POP</t>
        </is>
      </c>
      <c r="F782" s="38" t="n">
        <v>35</v>
      </c>
    </row>
    <row r="783" ht="15" customHeight="1" s="39">
      <c r="A783" s="38" t="inlineStr">
        <is>
          <t>2021</t>
        </is>
      </c>
      <c r="B783" s="42" t="inlineStr">
        <is>
          <t>431009</t>
        </is>
      </c>
      <c r="C783" s="38" t="inlineStr">
        <is>
          <t>Y067</t>
        </is>
      </c>
      <c r="D783" s="38" t="inlineStr">
        <is>
          <t>TOTAL</t>
        </is>
      </c>
      <c r="E783" s="38" t="inlineStr">
        <is>
          <t>POP</t>
        </is>
      </c>
      <c r="F783" s="38" t="n">
        <v>34</v>
      </c>
    </row>
    <row r="784" ht="15" customHeight="1" s="39">
      <c r="A784" s="38" t="inlineStr">
        <is>
          <t>2021</t>
        </is>
      </c>
      <c r="B784" s="42" t="inlineStr">
        <is>
          <t>431009</t>
        </is>
      </c>
      <c r="C784" s="38" t="inlineStr">
        <is>
          <t>Y068</t>
        </is>
      </c>
      <c r="D784" s="38" t="inlineStr">
        <is>
          <t>TOTAL</t>
        </is>
      </c>
      <c r="E784" s="38" t="inlineStr">
        <is>
          <t>POP</t>
        </is>
      </c>
      <c r="F784" s="38" t="n">
        <v>29</v>
      </c>
    </row>
    <row r="785" ht="15" customHeight="1" s="39">
      <c r="A785" s="38" t="inlineStr">
        <is>
          <t>2021</t>
        </is>
      </c>
      <c r="B785" s="42" t="inlineStr">
        <is>
          <t>431009</t>
        </is>
      </c>
      <c r="C785" s="38" t="inlineStr">
        <is>
          <t>Y069</t>
        </is>
      </c>
      <c r="D785" s="38" t="inlineStr">
        <is>
          <t>TOTAL</t>
        </is>
      </c>
      <c r="E785" s="38" t="inlineStr">
        <is>
          <t>POP</t>
        </is>
      </c>
      <c r="F785" s="38" t="n">
        <v>40</v>
      </c>
    </row>
    <row r="786" ht="15" customHeight="1" s="39">
      <c r="A786" s="38" t="inlineStr">
        <is>
          <t>2021</t>
        </is>
      </c>
      <c r="B786" s="42" t="inlineStr">
        <is>
          <t>431009</t>
        </is>
      </c>
      <c r="C786" s="38" t="inlineStr">
        <is>
          <t>Y070</t>
        </is>
      </c>
      <c r="D786" s="38" t="inlineStr">
        <is>
          <t>TOTAL</t>
        </is>
      </c>
      <c r="E786" s="38" t="inlineStr">
        <is>
          <t>POP</t>
        </is>
      </c>
      <c r="F786" s="38" t="n">
        <v>23</v>
      </c>
    </row>
    <row r="787" ht="15" customHeight="1" s="39">
      <c r="A787" s="38" t="inlineStr">
        <is>
          <t>2021</t>
        </is>
      </c>
      <c r="B787" s="42" t="inlineStr">
        <is>
          <t>431009</t>
        </is>
      </c>
      <c r="C787" s="38" t="inlineStr">
        <is>
          <t>Y071</t>
        </is>
      </c>
      <c r="D787" s="38" t="inlineStr">
        <is>
          <t>TOTAL</t>
        </is>
      </c>
      <c r="E787" s="38" t="inlineStr">
        <is>
          <t>POP</t>
        </is>
      </c>
      <c r="F787" s="38" t="n">
        <v>24</v>
      </c>
    </row>
    <row r="788" ht="15" customHeight="1" s="39">
      <c r="A788" s="38" t="inlineStr">
        <is>
          <t>2021</t>
        </is>
      </c>
      <c r="B788" s="42" t="inlineStr">
        <is>
          <t>431009</t>
        </is>
      </c>
      <c r="C788" s="38" t="inlineStr">
        <is>
          <t>Y072</t>
        </is>
      </c>
      <c r="D788" s="38" t="inlineStr">
        <is>
          <t>TOTAL</t>
        </is>
      </c>
      <c r="E788" s="38" t="inlineStr">
        <is>
          <t>POP</t>
        </is>
      </c>
      <c r="F788" s="38" t="n">
        <v>27</v>
      </c>
    </row>
    <row r="789" ht="15" customHeight="1" s="39">
      <c r="A789" s="38" t="inlineStr">
        <is>
          <t>2021</t>
        </is>
      </c>
      <c r="B789" s="42" t="inlineStr">
        <is>
          <t>431009</t>
        </is>
      </c>
      <c r="C789" s="38" t="inlineStr">
        <is>
          <t>Y073</t>
        </is>
      </c>
      <c r="D789" s="38" t="inlineStr">
        <is>
          <t>TOTAL</t>
        </is>
      </c>
      <c r="E789" s="38" t="inlineStr">
        <is>
          <t>POP</t>
        </is>
      </c>
      <c r="F789" s="38" t="n">
        <v>21</v>
      </c>
    </row>
    <row r="790" ht="15" customHeight="1" s="39">
      <c r="A790" s="38" t="inlineStr">
        <is>
          <t>2021</t>
        </is>
      </c>
      <c r="B790" s="42" t="inlineStr">
        <is>
          <t>431009</t>
        </is>
      </c>
      <c r="C790" s="38" t="inlineStr">
        <is>
          <t>Y074</t>
        </is>
      </c>
      <c r="D790" s="38" t="inlineStr">
        <is>
          <t>TOTAL</t>
        </is>
      </c>
      <c r="E790" s="38" t="inlineStr">
        <is>
          <t>POP</t>
        </is>
      </c>
      <c r="F790" s="38" t="n">
        <v>18</v>
      </c>
    </row>
    <row r="791" ht="15" customHeight="1" s="39">
      <c r="A791" s="38" t="inlineStr">
        <is>
          <t>2021</t>
        </is>
      </c>
      <c r="B791" s="42" t="inlineStr">
        <is>
          <t>431009</t>
        </is>
      </c>
      <c r="C791" s="38" t="inlineStr">
        <is>
          <t>Y075</t>
        </is>
      </c>
      <c r="D791" s="38" t="inlineStr">
        <is>
          <t>TOTAL</t>
        </is>
      </c>
      <c r="E791" s="38" t="inlineStr">
        <is>
          <t>POP</t>
        </is>
      </c>
      <c r="F791" s="38" t="n">
        <v>26</v>
      </c>
    </row>
    <row r="792" ht="15" customHeight="1" s="39">
      <c r="A792" s="38" t="inlineStr">
        <is>
          <t>2021</t>
        </is>
      </c>
      <c r="B792" s="42" t="inlineStr">
        <is>
          <t>431009</t>
        </is>
      </c>
      <c r="C792" s="38" t="inlineStr">
        <is>
          <t>Y076</t>
        </is>
      </c>
      <c r="D792" s="38" t="inlineStr">
        <is>
          <t>TOTAL</t>
        </is>
      </c>
      <c r="E792" s="38" t="inlineStr">
        <is>
          <t>POP</t>
        </is>
      </c>
      <c r="F792" s="38" t="n">
        <v>20</v>
      </c>
    </row>
    <row r="793" ht="15" customHeight="1" s="39">
      <c r="A793" s="38" t="inlineStr">
        <is>
          <t>2021</t>
        </is>
      </c>
      <c r="B793" s="42" t="inlineStr">
        <is>
          <t>431009</t>
        </is>
      </c>
      <c r="C793" s="38" t="inlineStr">
        <is>
          <t>Y077</t>
        </is>
      </c>
      <c r="D793" s="38" t="inlineStr">
        <is>
          <t>TOTAL</t>
        </is>
      </c>
      <c r="E793" s="38" t="inlineStr">
        <is>
          <t>POP</t>
        </is>
      </c>
      <c r="F793" s="38" t="n">
        <v>19</v>
      </c>
    </row>
    <row r="794" ht="15" customHeight="1" s="39">
      <c r="A794" s="38" t="inlineStr">
        <is>
          <t>2021</t>
        </is>
      </c>
      <c r="B794" s="42" t="inlineStr">
        <is>
          <t>431009</t>
        </is>
      </c>
      <c r="C794" s="38" t="inlineStr">
        <is>
          <t>Y078</t>
        </is>
      </c>
      <c r="D794" s="38" t="inlineStr">
        <is>
          <t>TOTAL</t>
        </is>
      </c>
      <c r="E794" s="38" t="inlineStr">
        <is>
          <t>POP</t>
        </is>
      </c>
      <c r="F794" s="38" t="n">
        <v>15</v>
      </c>
    </row>
    <row r="795" ht="15" customHeight="1" s="39">
      <c r="A795" s="38" t="inlineStr">
        <is>
          <t>2021</t>
        </is>
      </c>
      <c r="B795" s="42" t="inlineStr">
        <is>
          <t>431009</t>
        </is>
      </c>
      <c r="C795" s="38" t="inlineStr">
        <is>
          <t>Y079</t>
        </is>
      </c>
      <c r="D795" s="38" t="inlineStr">
        <is>
          <t>TOTAL</t>
        </is>
      </c>
      <c r="E795" s="38" t="inlineStr">
        <is>
          <t>POP</t>
        </is>
      </c>
      <c r="F795" s="38" t="n">
        <v>13</v>
      </c>
    </row>
    <row r="796" ht="15" customHeight="1" s="39">
      <c r="A796" s="38" t="inlineStr">
        <is>
          <t>2021</t>
        </is>
      </c>
      <c r="B796" s="42" t="inlineStr">
        <is>
          <t>431009</t>
        </is>
      </c>
      <c r="C796" s="38" t="inlineStr">
        <is>
          <t>Y080</t>
        </is>
      </c>
      <c r="D796" s="38" t="inlineStr">
        <is>
          <t>TOTAL</t>
        </is>
      </c>
      <c r="E796" s="38" t="inlineStr">
        <is>
          <t>POP</t>
        </is>
      </c>
      <c r="F796" s="38" t="n">
        <v>25</v>
      </c>
    </row>
    <row r="797" ht="15" customHeight="1" s="39">
      <c r="A797" s="38" t="inlineStr">
        <is>
          <t>2021</t>
        </is>
      </c>
      <c r="B797" s="42" t="inlineStr">
        <is>
          <t>431009</t>
        </is>
      </c>
      <c r="C797" s="38" t="inlineStr">
        <is>
          <t>Y081</t>
        </is>
      </c>
      <c r="D797" s="38" t="inlineStr">
        <is>
          <t>TOTAL</t>
        </is>
      </c>
      <c r="E797" s="38" t="inlineStr">
        <is>
          <t>POP</t>
        </is>
      </c>
      <c r="F797" s="38" t="n">
        <v>10</v>
      </c>
    </row>
    <row r="798" ht="15" customHeight="1" s="39">
      <c r="A798" s="38" t="inlineStr">
        <is>
          <t>2021</t>
        </is>
      </c>
      <c r="B798" s="42" t="inlineStr">
        <is>
          <t>431009</t>
        </is>
      </c>
      <c r="C798" s="38" t="inlineStr">
        <is>
          <t>Y082</t>
        </is>
      </c>
      <c r="D798" s="38" t="inlineStr">
        <is>
          <t>TOTAL</t>
        </is>
      </c>
      <c r="E798" s="38" t="inlineStr">
        <is>
          <t>POP</t>
        </is>
      </c>
      <c r="F798" s="38" t="n">
        <v>10</v>
      </c>
    </row>
    <row r="799" ht="15" customHeight="1" s="39">
      <c r="A799" s="38" t="inlineStr">
        <is>
          <t>2021</t>
        </is>
      </c>
      <c r="B799" s="42" t="inlineStr">
        <is>
          <t>431009</t>
        </is>
      </c>
      <c r="C799" s="38" t="inlineStr">
        <is>
          <t>Y083</t>
        </is>
      </c>
      <c r="D799" s="38" t="inlineStr">
        <is>
          <t>TOTAL</t>
        </is>
      </c>
      <c r="E799" s="38" t="inlineStr">
        <is>
          <t>POP</t>
        </is>
      </c>
      <c r="F799" s="38" t="n">
        <v>11</v>
      </c>
    </row>
    <row r="800" ht="15" customHeight="1" s="39">
      <c r="A800" s="38" t="inlineStr">
        <is>
          <t>2021</t>
        </is>
      </c>
      <c r="B800" s="42" t="inlineStr">
        <is>
          <t>431009</t>
        </is>
      </c>
      <c r="C800" s="38" t="inlineStr">
        <is>
          <t>Y084</t>
        </is>
      </c>
      <c r="D800" s="38" t="inlineStr">
        <is>
          <t>TOTAL</t>
        </is>
      </c>
      <c r="E800" s="38" t="inlineStr">
        <is>
          <t>POP</t>
        </is>
      </c>
      <c r="F800" s="38" t="n">
        <v>12</v>
      </c>
    </row>
    <row r="801" ht="15" customHeight="1" s="39">
      <c r="A801" s="38" t="inlineStr">
        <is>
          <t>2021</t>
        </is>
      </c>
      <c r="B801" s="42" t="inlineStr">
        <is>
          <t>431009</t>
        </is>
      </c>
      <c r="C801" s="38" t="inlineStr">
        <is>
          <t>Y085</t>
        </is>
      </c>
      <c r="D801" s="38" t="inlineStr">
        <is>
          <t>TOTAL</t>
        </is>
      </c>
      <c r="E801" s="38" t="inlineStr">
        <is>
          <t>POP</t>
        </is>
      </c>
      <c r="F801" s="38" t="n">
        <v>10</v>
      </c>
    </row>
    <row r="802" ht="15" customHeight="1" s="39">
      <c r="A802" s="38" t="inlineStr">
        <is>
          <t>2021</t>
        </is>
      </c>
      <c r="B802" s="42" t="inlineStr">
        <is>
          <t>431009</t>
        </is>
      </c>
      <c r="C802" s="38" t="inlineStr">
        <is>
          <t>Y086</t>
        </is>
      </c>
      <c r="D802" s="38" t="inlineStr">
        <is>
          <t>TOTAL</t>
        </is>
      </c>
      <c r="E802" s="38" t="inlineStr">
        <is>
          <t>POP</t>
        </is>
      </c>
      <c r="F802" s="38" t="n">
        <v>9</v>
      </c>
    </row>
    <row r="803" ht="15" customHeight="1" s="39">
      <c r="A803" s="38" t="inlineStr">
        <is>
          <t>2021</t>
        </is>
      </c>
      <c r="B803" s="42" t="inlineStr">
        <is>
          <t>431009</t>
        </is>
      </c>
      <c r="C803" s="38" t="inlineStr">
        <is>
          <t>Y087</t>
        </is>
      </c>
      <c r="D803" s="38" t="inlineStr">
        <is>
          <t>TOTAL</t>
        </is>
      </c>
      <c r="E803" s="38" t="inlineStr">
        <is>
          <t>POP</t>
        </is>
      </c>
      <c r="F803" s="38" t="n">
        <v>13</v>
      </c>
    </row>
    <row r="804" ht="15" customHeight="1" s="39">
      <c r="A804" s="38" t="inlineStr">
        <is>
          <t>2021</t>
        </is>
      </c>
      <c r="B804" s="42" t="inlineStr">
        <is>
          <t>431009</t>
        </is>
      </c>
      <c r="C804" s="38" t="inlineStr">
        <is>
          <t>Y088</t>
        </is>
      </c>
      <c r="D804" s="38" t="inlineStr">
        <is>
          <t>TOTAL</t>
        </is>
      </c>
      <c r="E804" s="38" t="inlineStr">
        <is>
          <t>POP</t>
        </is>
      </c>
      <c r="F804" s="38" t="n">
        <v>13</v>
      </c>
    </row>
    <row r="805" ht="15" customHeight="1" s="39">
      <c r="A805" s="38" t="inlineStr">
        <is>
          <t>2021</t>
        </is>
      </c>
      <c r="B805" s="42" t="inlineStr">
        <is>
          <t>431009</t>
        </is>
      </c>
      <c r="C805" s="38" t="inlineStr">
        <is>
          <t>Y089</t>
        </is>
      </c>
      <c r="D805" s="38" t="inlineStr">
        <is>
          <t>TOTAL</t>
        </is>
      </c>
      <c r="E805" s="38" t="inlineStr">
        <is>
          <t>POP</t>
        </is>
      </c>
      <c r="F805" s="38" t="n">
        <v>7</v>
      </c>
    </row>
    <row r="806" ht="15" customHeight="1" s="39">
      <c r="A806" s="38" t="inlineStr">
        <is>
          <t>2021</t>
        </is>
      </c>
      <c r="B806" s="42" t="inlineStr">
        <is>
          <t>431009</t>
        </is>
      </c>
      <c r="C806" s="38" t="inlineStr">
        <is>
          <t>Y090</t>
        </is>
      </c>
      <c r="D806" s="38" t="inlineStr">
        <is>
          <t>TOTAL</t>
        </is>
      </c>
      <c r="E806" s="38" t="inlineStr">
        <is>
          <t>POP</t>
        </is>
      </c>
      <c r="F806" s="38" t="n">
        <v>10</v>
      </c>
    </row>
    <row r="807" ht="15" customHeight="1" s="39">
      <c r="A807" s="38" t="inlineStr">
        <is>
          <t>2021</t>
        </is>
      </c>
      <c r="B807" s="42" t="inlineStr">
        <is>
          <t>431009</t>
        </is>
      </c>
      <c r="C807" s="38" t="inlineStr">
        <is>
          <t>Y091</t>
        </is>
      </c>
      <c r="D807" s="38" t="inlineStr">
        <is>
          <t>TOTAL</t>
        </is>
      </c>
      <c r="E807" s="38" t="inlineStr">
        <is>
          <t>POP</t>
        </is>
      </c>
      <c r="F807" s="38" t="n">
        <v>5</v>
      </c>
    </row>
    <row r="808" ht="15" customHeight="1" s="39">
      <c r="A808" s="38" t="inlineStr">
        <is>
          <t>2021</t>
        </is>
      </c>
      <c r="B808" s="42" t="inlineStr">
        <is>
          <t>431009</t>
        </is>
      </c>
      <c r="C808" s="38" t="inlineStr">
        <is>
          <t>Y092</t>
        </is>
      </c>
      <c r="D808" s="38" t="inlineStr">
        <is>
          <t>TOTAL</t>
        </is>
      </c>
      <c r="E808" s="38" t="inlineStr">
        <is>
          <t>POP</t>
        </is>
      </c>
      <c r="F808" s="38" t="n">
        <v>8</v>
      </c>
    </row>
    <row r="809" ht="15" customHeight="1" s="39">
      <c r="A809" s="38" t="inlineStr">
        <is>
          <t>2021</t>
        </is>
      </c>
      <c r="B809" s="42" t="inlineStr">
        <is>
          <t>431009</t>
        </is>
      </c>
      <c r="C809" s="38" t="inlineStr">
        <is>
          <t>Y093</t>
        </is>
      </c>
      <c r="D809" s="38" t="inlineStr">
        <is>
          <t>TOTAL</t>
        </is>
      </c>
      <c r="E809" s="38" t="inlineStr">
        <is>
          <t>POP</t>
        </is>
      </c>
      <c r="F809" s="38" t="n">
        <v>3</v>
      </c>
    </row>
    <row r="810" ht="15" customHeight="1" s="39">
      <c r="A810" s="38" t="inlineStr">
        <is>
          <t>2021</t>
        </is>
      </c>
      <c r="B810" s="42" t="inlineStr">
        <is>
          <t>431009</t>
        </is>
      </c>
      <c r="C810" s="38" t="inlineStr">
        <is>
          <t>Y094</t>
        </is>
      </c>
      <c r="D810" s="38" t="inlineStr">
        <is>
          <t>TOTAL</t>
        </is>
      </c>
      <c r="E810" s="38" t="inlineStr">
        <is>
          <t>POP</t>
        </is>
      </c>
      <c r="F810" s="38" t="n">
        <v>12</v>
      </c>
    </row>
    <row r="811" ht="15" customHeight="1" s="39">
      <c r="A811" s="38" t="inlineStr">
        <is>
          <t>2021</t>
        </is>
      </c>
      <c r="B811" s="42" t="inlineStr">
        <is>
          <t>431009</t>
        </is>
      </c>
      <c r="C811" s="38" t="inlineStr">
        <is>
          <t>Y095</t>
        </is>
      </c>
      <c r="D811" s="38" t="inlineStr">
        <is>
          <t>TOTAL</t>
        </is>
      </c>
      <c r="E811" s="38" t="inlineStr">
        <is>
          <t>POP</t>
        </is>
      </c>
      <c r="F811" s="38" t="n">
        <v>1</v>
      </c>
    </row>
    <row r="812" ht="15" customHeight="1" s="39">
      <c r="A812" s="38" t="inlineStr">
        <is>
          <t>2021</t>
        </is>
      </c>
      <c r="B812" s="42" t="inlineStr">
        <is>
          <t>431009</t>
        </is>
      </c>
      <c r="C812" s="38" t="inlineStr">
        <is>
          <t>Y096</t>
        </is>
      </c>
      <c r="D812" s="38" t="inlineStr">
        <is>
          <t>TOTAL</t>
        </is>
      </c>
      <c r="E812" s="38" t="inlineStr">
        <is>
          <t>POP</t>
        </is>
      </c>
      <c r="F812" s="38" t="n">
        <v>3</v>
      </c>
    </row>
    <row r="813" ht="15" customHeight="1" s="39">
      <c r="A813" s="38" t="inlineStr">
        <is>
          <t>2021</t>
        </is>
      </c>
      <c r="B813" s="42" t="inlineStr">
        <is>
          <t>431009</t>
        </is>
      </c>
      <c r="C813" s="38" t="inlineStr">
        <is>
          <t>Y097</t>
        </is>
      </c>
      <c r="D813" s="38" t="inlineStr">
        <is>
          <t>TOTAL</t>
        </is>
      </c>
      <c r="E813" s="38" t="inlineStr">
        <is>
          <t>POP</t>
        </is>
      </c>
      <c r="F813" s="38" t="n">
        <v>3</v>
      </c>
    </row>
    <row r="814" ht="15" customHeight="1" s="39">
      <c r="A814" s="38" t="inlineStr">
        <is>
          <t>2021</t>
        </is>
      </c>
      <c r="B814" s="42" t="inlineStr">
        <is>
          <t>431009</t>
        </is>
      </c>
      <c r="C814" s="38" t="inlineStr">
        <is>
          <t>Y098</t>
        </is>
      </c>
      <c r="D814" s="38" t="inlineStr">
        <is>
          <t>TOTAL</t>
        </is>
      </c>
      <c r="E814" s="38" t="inlineStr">
        <is>
          <t>POP</t>
        </is>
      </c>
      <c r="F814" s="38" t="n">
        <v>0</v>
      </c>
    </row>
    <row r="815" ht="15" customHeight="1" s="39">
      <c r="A815" s="38" t="inlineStr">
        <is>
          <t>2021</t>
        </is>
      </c>
      <c r="B815" s="42" t="inlineStr">
        <is>
          <t>431009</t>
        </is>
      </c>
      <c r="C815" s="38" t="inlineStr">
        <is>
          <t>Y099</t>
        </is>
      </c>
      <c r="D815" s="38" t="inlineStr">
        <is>
          <t>TOTAL</t>
        </is>
      </c>
      <c r="E815" s="38" t="inlineStr">
        <is>
          <t>POP</t>
        </is>
      </c>
      <c r="F815" s="38" t="n">
        <v>0</v>
      </c>
    </row>
    <row r="816" ht="15" customHeight="1" s="39">
      <c r="A816" s="38" t="inlineStr">
        <is>
          <t>2021</t>
        </is>
      </c>
      <c r="B816" s="42" t="inlineStr">
        <is>
          <t>431009</t>
        </is>
      </c>
      <c r="C816" s="38" t="inlineStr">
        <is>
          <t>Y_GE100</t>
        </is>
      </c>
      <c r="D816" s="38" t="inlineStr">
        <is>
          <t>TOTAL</t>
        </is>
      </c>
      <c r="E816" s="38" t="inlineStr">
        <is>
          <t>POP</t>
        </is>
      </c>
      <c r="F816" s="38" t="n">
        <v>1</v>
      </c>
    </row>
    <row r="817" ht="15" customHeight="1" s="39">
      <c r="A817" s="38" t="inlineStr">
        <is>
          <t>2021</t>
        </is>
      </c>
      <c r="B817" s="42" t="inlineStr">
        <is>
          <t>431009</t>
        </is>
      </c>
      <c r="C817" s="38" t="inlineStr">
        <is>
          <t>TOTAL</t>
        </is>
      </c>
      <c r="D817" s="38" t="inlineStr">
        <is>
          <t>TOTAL</t>
        </is>
      </c>
      <c r="E817" s="38" t="inlineStr">
        <is>
          <t>POP</t>
        </is>
      </c>
      <c r="F817" s="38" t="n">
        <v>4874</v>
      </c>
    </row>
    <row r="818" ht="15" customHeight="1" s="39">
      <c r="A818" s="38" t="inlineStr">
        <is>
          <t>2021</t>
        </is>
      </c>
      <c r="B818" s="42" t="inlineStr">
        <is>
          <t>431037</t>
        </is>
      </c>
      <c r="C818" s="38" t="inlineStr">
        <is>
          <t>Y000</t>
        </is>
      </c>
      <c r="D818" s="38" t="inlineStr">
        <is>
          <t>TOTAL</t>
        </is>
      </c>
      <c r="E818" s="38" t="inlineStr">
        <is>
          <t>POP</t>
        </is>
      </c>
      <c r="F818" s="38" t="n">
        <v>7</v>
      </c>
    </row>
    <row r="819" ht="15" customHeight="1" s="39">
      <c r="A819" s="38" t="inlineStr">
        <is>
          <t>2021</t>
        </is>
      </c>
      <c r="B819" s="42" t="inlineStr">
        <is>
          <t>431037</t>
        </is>
      </c>
      <c r="C819" s="38" t="inlineStr">
        <is>
          <t>Y001</t>
        </is>
      </c>
      <c r="D819" s="38" t="inlineStr">
        <is>
          <t>TOTAL</t>
        </is>
      </c>
      <c r="E819" s="38" t="inlineStr">
        <is>
          <t>POP</t>
        </is>
      </c>
      <c r="F819" s="38" t="n">
        <v>12</v>
      </c>
    </row>
    <row r="820" ht="15" customHeight="1" s="39">
      <c r="A820" s="38" t="inlineStr">
        <is>
          <t>2021</t>
        </is>
      </c>
      <c r="B820" s="42" t="inlineStr">
        <is>
          <t>431037</t>
        </is>
      </c>
      <c r="C820" s="38" t="inlineStr">
        <is>
          <t>Y002</t>
        </is>
      </c>
      <c r="D820" s="38" t="inlineStr">
        <is>
          <t>TOTAL</t>
        </is>
      </c>
      <c r="E820" s="38" t="inlineStr">
        <is>
          <t>POP</t>
        </is>
      </c>
      <c r="F820" s="38" t="n">
        <v>15</v>
      </c>
    </row>
    <row r="821" ht="15" customHeight="1" s="39">
      <c r="A821" s="38" t="inlineStr">
        <is>
          <t>2021</t>
        </is>
      </c>
      <c r="B821" s="42" t="inlineStr">
        <is>
          <t>431037</t>
        </is>
      </c>
      <c r="C821" s="38" t="inlineStr">
        <is>
          <t>Y003</t>
        </is>
      </c>
      <c r="D821" s="38" t="inlineStr">
        <is>
          <t>TOTAL</t>
        </is>
      </c>
      <c r="E821" s="38" t="inlineStr">
        <is>
          <t>POP</t>
        </is>
      </c>
      <c r="F821" s="38" t="n">
        <v>11</v>
      </c>
    </row>
    <row r="822" ht="15" customHeight="1" s="39">
      <c r="A822" s="38" t="inlineStr">
        <is>
          <t>2021</t>
        </is>
      </c>
      <c r="B822" s="42" t="inlineStr">
        <is>
          <t>431037</t>
        </is>
      </c>
      <c r="C822" s="38" t="inlineStr">
        <is>
          <t>Y004</t>
        </is>
      </c>
      <c r="D822" s="38" t="inlineStr">
        <is>
          <t>TOTAL</t>
        </is>
      </c>
      <c r="E822" s="38" t="inlineStr">
        <is>
          <t>POP</t>
        </is>
      </c>
      <c r="F822" s="38" t="n">
        <v>6</v>
      </c>
    </row>
    <row r="823" ht="15" customHeight="1" s="39">
      <c r="A823" s="38" t="inlineStr">
        <is>
          <t>2021</t>
        </is>
      </c>
      <c r="B823" s="42" t="inlineStr">
        <is>
          <t>431037</t>
        </is>
      </c>
      <c r="C823" s="38" t="inlineStr">
        <is>
          <t>Y005</t>
        </is>
      </c>
      <c r="D823" s="38" t="inlineStr">
        <is>
          <t>TOTAL</t>
        </is>
      </c>
      <c r="E823" s="38" t="inlineStr">
        <is>
          <t>POP</t>
        </is>
      </c>
      <c r="F823" s="38" t="n">
        <v>14</v>
      </c>
    </row>
    <row r="824" ht="15" customHeight="1" s="39">
      <c r="A824" s="38" t="inlineStr">
        <is>
          <t>2021</t>
        </is>
      </c>
      <c r="B824" s="42" t="inlineStr">
        <is>
          <t>431037</t>
        </is>
      </c>
      <c r="C824" s="38" t="inlineStr">
        <is>
          <t>Y006</t>
        </is>
      </c>
      <c r="D824" s="38" t="inlineStr">
        <is>
          <t>TOTAL</t>
        </is>
      </c>
      <c r="E824" s="38" t="inlineStr">
        <is>
          <t>POP</t>
        </is>
      </c>
      <c r="F824" s="38" t="n">
        <v>13</v>
      </c>
    </row>
    <row r="825" ht="15" customHeight="1" s="39">
      <c r="A825" s="38" t="inlineStr">
        <is>
          <t>2021</t>
        </is>
      </c>
      <c r="B825" s="42" t="inlineStr">
        <is>
          <t>431037</t>
        </is>
      </c>
      <c r="C825" s="38" t="inlineStr">
        <is>
          <t>Y007</t>
        </is>
      </c>
      <c r="D825" s="38" t="inlineStr">
        <is>
          <t>TOTAL</t>
        </is>
      </c>
      <c r="E825" s="38" t="inlineStr">
        <is>
          <t>POP</t>
        </is>
      </c>
      <c r="F825" s="38" t="n">
        <v>18</v>
      </c>
    </row>
    <row r="826" ht="15" customHeight="1" s="39">
      <c r="A826" s="38" t="inlineStr">
        <is>
          <t>2021</t>
        </is>
      </c>
      <c r="B826" s="42" t="inlineStr">
        <is>
          <t>431037</t>
        </is>
      </c>
      <c r="C826" s="38" t="inlineStr">
        <is>
          <t>Y008</t>
        </is>
      </c>
      <c r="D826" s="38" t="inlineStr">
        <is>
          <t>TOTAL</t>
        </is>
      </c>
      <c r="E826" s="38" t="inlineStr">
        <is>
          <t>POP</t>
        </is>
      </c>
      <c r="F826" s="38" t="n">
        <v>25</v>
      </c>
    </row>
    <row r="827" ht="15" customHeight="1" s="39">
      <c r="A827" s="38" t="inlineStr">
        <is>
          <t>2021</t>
        </is>
      </c>
      <c r="B827" s="42" t="inlineStr">
        <is>
          <t>431037</t>
        </is>
      </c>
      <c r="C827" s="38" t="inlineStr">
        <is>
          <t>Y009</t>
        </is>
      </c>
      <c r="D827" s="38" t="inlineStr">
        <is>
          <t>TOTAL</t>
        </is>
      </c>
      <c r="E827" s="38" t="inlineStr">
        <is>
          <t>POP</t>
        </is>
      </c>
      <c r="F827" s="38" t="n">
        <v>14</v>
      </c>
    </row>
    <row r="828" ht="15" customHeight="1" s="39">
      <c r="A828" s="38" t="inlineStr">
        <is>
          <t>2021</t>
        </is>
      </c>
      <c r="B828" s="42" t="inlineStr">
        <is>
          <t>431037</t>
        </is>
      </c>
      <c r="C828" s="38" t="inlineStr">
        <is>
          <t>Y010</t>
        </is>
      </c>
      <c r="D828" s="38" t="inlineStr">
        <is>
          <t>TOTAL</t>
        </is>
      </c>
      <c r="E828" s="38" t="inlineStr">
        <is>
          <t>POP</t>
        </is>
      </c>
      <c r="F828" s="38" t="n">
        <v>28</v>
      </c>
    </row>
    <row r="829" ht="15" customHeight="1" s="39">
      <c r="A829" s="38" t="inlineStr">
        <is>
          <t>2021</t>
        </is>
      </c>
      <c r="B829" s="42" t="inlineStr">
        <is>
          <t>431037</t>
        </is>
      </c>
      <c r="C829" s="38" t="inlineStr">
        <is>
          <t>Y011</t>
        </is>
      </c>
      <c r="D829" s="38" t="inlineStr">
        <is>
          <t>TOTAL</t>
        </is>
      </c>
      <c r="E829" s="38" t="inlineStr">
        <is>
          <t>POP</t>
        </is>
      </c>
      <c r="F829" s="38" t="n">
        <v>17</v>
      </c>
    </row>
    <row r="830" ht="15" customHeight="1" s="39">
      <c r="A830" s="38" t="inlineStr">
        <is>
          <t>2021</t>
        </is>
      </c>
      <c r="B830" s="42" t="inlineStr">
        <is>
          <t>431037</t>
        </is>
      </c>
      <c r="C830" s="38" t="inlineStr">
        <is>
          <t>Y012</t>
        </is>
      </c>
      <c r="D830" s="38" t="inlineStr">
        <is>
          <t>TOTAL</t>
        </is>
      </c>
      <c r="E830" s="38" t="inlineStr">
        <is>
          <t>POP</t>
        </is>
      </c>
      <c r="F830" s="38" t="n">
        <v>24</v>
      </c>
    </row>
    <row r="831" ht="15" customHeight="1" s="39">
      <c r="A831" s="38" t="inlineStr">
        <is>
          <t>2021</t>
        </is>
      </c>
      <c r="B831" s="42" t="inlineStr">
        <is>
          <t>431037</t>
        </is>
      </c>
      <c r="C831" s="38" t="inlineStr">
        <is>
          <t>Y013</t>
        </is>
      </c>
      <c r="D831" s="38" t="inlineStr">
        <is>
          <t>TOTAL</t>
        </is>
      </c>
      <c r="E831" s="38" t="inlineStr">
        <is>
          <t>POP</t>
        </is>
      </c>
      <c r="F831" s="38" t="n">
        <v>14</v>
      </c>
    </row>
    <row r="832" ht="15" customHeight="1" s="39">
      <c r="A832" s="38" t="inlineStr">
        <is>
          <t>2021</t>
        </is>
      </c>
      <c r="B832" s="42" t="inlineStr">
        <is>
          <t>431037</t>
        </is>
      </c>
      <c r="C832" s="38" t="inlineStr">
        <is>
          <t>Y014</t>
        </is>
      </c>
      <c r="D832" s="38" t="inlineStr">
        <is>
          <t>TOTAL</t>
        </is>
      </c>
      <c r="E832" s="38" t="inlineStr">
        <is>
          <t>POP</t>
        </is>
      </c>
      <c r="F832" s="38" t="n">
        <v>22</v>
      </c>
    </row>
    <row r="833" ht="15" customHeight="1" s="39">
      <c r="A833" s="38" t="inlineStr">
        <is>
          <t>2021</t>
        </is>
      </c>
      <c r="B833" s="42" t="inlineStr">
        <is>
          <t>431037</t>
        </is>
      </c>
      <c r="C833" s="38" t="inlineStr">
        <is>
          <t>Y015</t>
        </is>
      </c>
      <c r="D833" s="38" t="inlineStr">
        <is>
          <t>TOTAL</t>
        </is>
      </c>
      <c r="E833" s="38" t="inlineStr">
        <is>
          <t>POP</t>
        </is>
      </c>
      <c r="F833" s="38" t="n">
        <v>22</v>
      </c>
    </row>
    <row r="834" ht="15" customHeight="1" s="39">
      <c r="A834" s="38" t="inlineStr">
        <is>
          <t>2021</t>
        </is>
      </c>
      <c r="B834" s="42" t="inlineStr">
        <is>
          <t>431037</t>
        </is>
      </c>
      <c r="C834" s="38" t="inlineStr">
        <is>
          <t>Y016</t>
        </is>
      </c>
      <c r="D834" s="38" t="inlineStr">
        <is>
          <t>TOTAL</t>
        </is>
      </c>
      <c r="E834" s="38" t="inlineStr">
        <is>
          <t>POP</t>
        </is>
      </c>
      <c r="F834" s="38" t="n">
        <v>14</v>
      </c>
    </row>
    <row r="835" ht="15" customHeight="1" s="39">
      <c r="A835" s="38" t="inlineStr">
        <is>
          <t>2021</t>
        </is>
      </c>
      <c r="B835" s="42" t="inlineStr">
        <is>
          <t>431037</t>
        </is>
      </c>
      <c r="C835" s="38" t="inlineStr">
        <is>
          <t>Y017</t>
        </is>
      </c>
      <c r="D835" s="38" t="inlineStr">
        <is>
          <t>TOTAL</t>
        </is>
      </c>
      <c r="E835" s="38" t="inlineStr">
        <is>
          <t>POP</t>
        </is>
      </c>
      <c r="F835" s="38" t="n">
        <v>17</v>
      </c>
    </row>
    <row r="836" ht="15" customHeight="1" s="39">
      <c r="A836" s="38" t="inlineStr">
        <is>
          <t>2021</t>
        </is>
      </c>
      <c r="B836" s="42" t="inlineStr">
        <is>
          <t>431037</t>
        </is>
      </c>
      <c r="C836" s="38" t="inlineStr">
        <is>
          <t>Y018</t>
        </is>
      </c>
      <c r="D836" s="38" t="inlineStr">
        <is>
          <t>TOTAL</t>
        </is>
      </c>
      <c r="E836" s="38" t="inlineStr">
        <is>
          <t>POP</t>
        </is>
      </c>
      <c r="F836" s="38" t="n">
        <v>14</v>
      </c>
    </row>
    <row r="837" ht="15" customHeight="1" s="39">
      <c r="A837" s="38" t="inlineStr">
        <is>
          <t>2021</t>
        </is>
      </c>
      <c r="B837" s="42" t="inlineStr">
        <is>
          <t>431037</t>
        </is>
      </c>
      <c r="C837" s="38" t="inlineStr">
        <is>
          <t>Y019</t>
        </is>
      </c>
      <c r="D837" s="38" t="inlineStr">
        <is>
          <t>TOTAL</t>
        </is>
      </c>
      <c r="E837" s="38" t="inlineStr">
        <is>
          <t>POP</t>
        </is>
      </c>
      <c r="F837" s="38" t="n">
        <v>13</v>
      </c>
    </row>
    <row r="838" ht="15" customHeight="1" s="39">
      <c r="A838" s="38" t="inlineStr">
        <is>
          <t>2021</t>
        </is>
      </c>
      <c r="B838" s="42" t="inlineStr">
        <is>
          <t>431037</t>
        </is>
      </c>
      <c r="C838" s="38" t="inlineStr">
        <is>
          <t>Y020</t>
        </is>
      </c>
      <c r="D838" s="38" t="inlineStr">
        <is>
          <t>TOTAL</t>
        </is>
      </c>
      <c r="E838" s="38" t="inlineStr">
        <is>
          <t>POP</t>
        </is>
      </c>
      <c r="F838" s="38" t="n">
        <v>14</v>
      </c>
    </row>
    <row r="839" ht="15" customHeight="1" s="39">
      <c r="A839" s="38" t="inlineStr">
        <is>
          <t>2021</t>
        </is>
      </c>
      <c r="B839" s="42" t="inlineStr">
        <is>
          <t>431037</t>
        </is>
      </c>
      <c r="C839" s="38" t="inlineStr">
        <is>
          <t>Y021</t>
        </is>
      </c>
      <c r="D839" s="38" t="inlineStr">
        <is>
          <t>TOTAL</t>
        </is>
      </c>
      <c r="E839" s="38" t="inlineStr">
        <is>
          <t>POP</t>
        </is>
      </c>
      <c r="F839" s="38" t="n">
        <v>17</v>
      </c>
    </row>
    <row r="840" ht="15" customHeight="1" s="39">
      <c r="A840" s="38" t="inlineStr">
        <is>
          <t>2021</t>
        </is>
      </c>
      <c r="B840" s="42" t="inlineStr">
        <is>
          <t>431037</t>
        </is>
      </c>
      <c r="C840" s="38" t="inlineStr">
        <is>
          <t>Y022</t>
        </is>
      </c>
      <c r="D840" s="38" t="inlineStr">
        <is>
          <t>TOTAL</t>
        </is>
      </c>
      <c r="E840" s="38" t="inlineStr">
        <is>
          <t>POP</t>
        </is>
      </c>
      <c r="F840" s="38" t="n">
        <v>14</v>
      </c>
    </row>
    <row r="841" ht="15" customHeight="1" s="39">
      <c r="A841" s="38" t="inlineStr">
        <is>
          <t>2021</t>
        </is>
      </c>
      <c r="B841" s="42" t="inlineStr">
        <is>
          <t>431037</t>
        </is>
      </c>
      <c r="C841" s="38" t="inlineStr">
        <is>
          <t>Y023</t>
        </is>
      </c>
      <c r="D841" s="38" t="inlineStr">
        <is>
          <t>TOTAL</t>
        </is>
      </c>
      <c r="E841" s="38" t="inlineStr">
        <is>
          <t>POP</t>
        </is>
      </c>
      <c r="F841" s="38" t="n">
        <v>14</v>
      </c>
    </row>
    <row r="842" ht="15" customHeight="1" s="39">
      <c r="A842" s="38" t="inlineStr">
        <is>
          <t>2021</t>
        </is>
      </c>
      <c r="B842" s="42" t="inlineStr">
        <is>
          <t>431037</t>
        </is>
      </c>
      <c r="C842" s="38" t="inlineStr">
        <is>
          <t>Y024</t>
        </is>
      </c>
      <c r="D842" s="38" t="inlineStr">
        <is>
          <t>TOTAL</t>
        </is>
      </c>
      <c r="E842" s="38" t="inlineStr">
        <is>
          <t>POP</t>
        </is>
      </c>
      <c r="F842" s="38" t="n">
        <v>11</v>
      </c>
    </row>
    <row r="843" ht="15" customHeight="1" s="39">
      <c r="A843" s="38" t="inlineStr">
        <is>
          <t>2021</t>
        </is>
      </c>
      <c r="B843" s="42" t="inlineStr">
        <is>
          <t>431037</t>
        </is>
      </c>
      <c r="C843" s="38" t="inlineStr">
        <is>
          <t>Y025</t>
        </is>
      </c>
      <c r="D843" s="38" t="inlineStr">
        <is>
          <t>TOTAL</t>
        </is>
      </c>
      <c r="E843" s="38" t="inlineStr">
        <is>
          <t>POP</t>
        </is>
      </c>
      <c r="F843" s="38" t="n">
        <v>6</v>
      </c>
    </row>
    <row r="844" ht="15" customHeight="1" s="39">
      <c r="A844" s="38" t="inlineStr">
        <is>
          <t>2021</t>
        </is>
      </c>
      <c r="B844" s="42" t="inlineStr">
        <is>
          <t>431037</t>
        </is>
      </c>
      <c r="C844" s="38" t="inlineStr">
        <is>
          <t>Y026</t>
        </is>
      </c>
      <c r="D844" s="38" t="inlineStr">
        <is>
          <t>TOTAL</t>
        </is>
      </c>
      <c r="E844" s="38" t="inlineStr">
        <is>
          <t>POP</t>
        </is>
      </c>
      <c r="F844" s="38" t="n">
        <v>10</v>
      </c>
    </row>
    <row r="845" ht="15" customHeight="1" s="39">
      <c r="A845" s="38" t="inlineStr">
        <is>
          <t>2021</t>
        </is>
      </c>
      <c r="B845" s="42" t="inlineStr">
        <is>
          <t>431037</t>
        </is>
      </c>
      <c r="C845" s="38" t="inlineStr">
        <is>
          <t>Y027</t>
        </is>
      </c>
      <c r="D845" s="38" t="inlineStr">
        <is>
          <t>TOTAL</t>
        </is>
      </c>
      <c r="E845" s="38" t="inlineStr">
        <is>
          <t>POP</t>
        </is>
      </c>
      <c r="F845" s="38" t="n">
        <v>8</v>
      </c>
    </row>
    <row r="846" ht="15" customHeight="1" s="39">
      <c r="A846" s="38" t="inlineStr">
        <is>
          <t>2021</t>
        </is>
      </c>
      <c r="B846" s="42" t="inlineStr">
        <is>
          <t>431037</t>
        </is>
      </c>
      <c r="C846" s="38" t="inlineStr">
        <is>
          <t>Y028</t>
        </is>
      </c>
      <c r="D846" s="38" t="inlineStr">
        <is>
          <t>TOTAL</t>
        </is>
      </c>
      <c r="E846" s="38" t="inlineStr">
        <is>
          <t>POP</t>
        </is>
      </c>
      <c r="F846" s="38" t="n">
        <v>9</v>
      </c>
    </row>
    <row r="847" ht="15" customHeight="1" s="39">
      <c r="A847" s="38" t="inlineStr">
        <is>
          <t>2021</t>
        </is>
      </c>
      <c r="B847" s="42" t="inlineStr">
        <is>
          <t>431037</t>
        </is>
      </c>
      <c r="C847" s="38" t="inlineStr">
        <is>
          <t>Y029</t>
        </is>
      </c>
      <c r="D847" s="38" t="inlineStr">
        <is>
          <t>TOTAL</t>
        </is>
      </c>
      <c r="E847" s="38" t="inlineStr">
        <is>
          <t>POP</t>
        </is>
      </c>
      <c r="F847" s="38" t="n">
        <v>15</v>
      </c>
    </row>
    <row r="848" ht="15" customHeight="1" s="39">
      <c r="A848" s="38" t="inlineStr">
        <is>
          <t>2021</t>
        </is>
      </c>
      <c r="B848" s="42" t="inlineStr">
        <is>
          <t>431037</t>
        </is>
      </c>
      <c r="C848" s="38" t="inlineStr">
        <is>
          <t>Y030</t>
        </is>
      </c>
      <c r="D848" s="38" t="inlineStr">
        <is>
          <t>TOTAL</t>
        </is>
      </c>
      <c r="E848" s="38" t="inlineStr">
        <is>
          <t>POP</t>
        </is>
      </c>
      <c r="F848" s="38" t="n">
        <v>10</v>
      </c>
    </row>
    <row r="849" ht="15" customHeight="1" s="39">
      <c r="A849" s="38" t="inlineStr">
        <is>
          <t>2021</t>
        </is>
      </c>
      <c r="B849" s="42" t="inlineStr">
        <is>
          <t>431037</t>
        </is>
      </c>
      <c r="C849" s="38" t="inlineStr">
        <is>
          <t>Y031</t>
        </is>
      </c>
      <c r="D849" s="38" t="inlineStr">
        <is>
          <t>TOTAL</t>
        </is>
      </c>
      <c r="E849" s="38" t="inlineStr">
        <is>
          <t>POP</t>
        </is>
      </c>
      <c r="F849" s="38" t="n">
        <v>14</v>
      </c>
    </row>
    <row r="850" ht="15" customHeight="1" s="39">
      <c r="A850" s="38" t="inlineStr">
        <is>
          <t>2021</t>
        </is>
      </c>
      <c r="B850" s="42" t="inlineStr">
        <is>
          <t>431037</t>
        </is>
      </c>
      <c r="C850" s="38" t="inlineStr">
        <is>
          <t>Y032</t>
        </is>
      </c>
      <c r="D850" s="38" t="inlineStr">
        <is>
          <t>TOTAL</t>
        </is>
      </c>
      <c r="E850" s="38" t="inlineStr">
        <is>
          <t>POP</t>
        </is>
      </c>
      <c r="F850" s="38" t="n">
        <v>13</v>
      </c>
    </row>
    <row r="851" ht="15" customHeight="1" s="39">
      <c r="A851" s="38" t="inlineStr">
        <is>
          <t>2021</t>
        </is>
      </c>
      <c r="B851" s="42" t="inlineStr">
        <is>
          <t>431037</t>
        </is>
      </c>
      <c r="C851" s="38" t="inlineStr">
        <is>
          <t>Y033</t>
        </is>
      </c>
      <c r="D851" s="38" t="inlineStr">
        <is>
          <t>TOTAL</t>
        </is>
      </c>
      <c r="E851" s="38" t="inlineStr">
        <is>
          <t>POP</t>
        </is>
      </c>
      <c r="F851" s="38" t="n">
        <v>17</v>
      </c>
    </row>
    <row r="852" ht="15" customHeight="1" s="39">
      <c r="A852" s="38" t="inlineStr">
        <is>
          <t>2021</t>
        </is>
      </c>
      <c r="B852" s="42" t="inlineStr">
        <is>
          <t>431037</t>
        </is>
      </c>
      <c r="C852" s="38" t="inlineStr">
        <is>
          <t>Y034</t>
        </is>
      </c>
      <c r="D852" s="38" t="inlineStr">
        <is>
          <t>TOTAL</t>
        </is>
      </c>
      <c r="E852" s="38" t="inlineStr">
        <is>
          <t>POP</t>
        </is>
      </c>
      <c r="F852" s="38" t="n">
        <v>12</v>
      </c>
    </row>
    <row r="853" ht="15" customHeight="1" s="39">
      <c r="A853" s="38" t="inlineStr">
        <is>
          <t>2021</t>
        </is>
      </c>
      <c r="B853" s="42" t="inlineStr">
        <is>
          <t>431037</t>
        </is>
      </c>
      <c r="C853" s="38" t="inlineStr">
        <is>
          <t>Y035</t>
        </is>
      </c>
      <c r="D853" s="38" t="inlineStr">
        <is>
          <t>TOTAL</t>
        </is>
      </c>
      <c r="E853" s="38" t="inlineStr">
        <is>
          <t>POP</t>
        </is>
      </c>
      <c r="F853" s="38" t="n">
        <v>13</v>
      </c>
    </row>
    <row r="854" ht="15" customHeight="1" s="39">
      <c r="A854" s="38" t="inlineStr">
        <is>
          <t>2021</t>
        </is>
      </c>
      <c r="B854" s="42" t="inlineStr">
        <is>
          <t>431037</t>
        </is>
      </c>
      <c r="C854" s="38" t="inlineStr">
        <is>
          <t>Y036</t>
        </is>
      </c>
      <c r="D854" s="38" t="inlineStr">
        <is>
          <t>TOTAL</t>
        </is>
      </c>
      <c r="E854" s="38" t="inlineStr">
        <is>
          <t>POP</t>
        </is>
      </c>
      <c r="F854" s="38" t="n">
        <v>19</v>
      </c>
    </row>
    <row r="855" ht="15" customHeight="1" s="39">
      <c r="A855" s="38" t="inlineStr">
        <is>
          <t>2021</t>
        </is>
      </c>
      <c r="B855" s="42" t="inlineStr">
        <is>
          <t>431037</t>
        </is>
      </c>
      <c r="C855" s="38" t="inlineStr">
        <is>
          <t>Y037</t>
        </is>
      </c>
      <c r="D855" s="38" t="inlineStr">
        <is>
          <t>TOTAL</t>
        </is>
      </c>
      <c r="E855" s="38" t="inlineStr">
        <is>
          <t>POP</t>
        </is>
      </c>
      <c r="F855" s="38" t="n">
        <v>27</v>
      </c>
    </row>
    <row r="856" ht="15" customHeight="1" s="39">
      <c r="A856" s="38" t="inlineStr">
        <is>
          <t>2021</t>
        </is>
      </c>
      <c r="B856" s="42" t="inlineStr">
        <is>
          <t>431037</t>
        </is>
      </c>
      <c r="C856" s="38" t="inlineStr">
        <is>
          <t>Y038</t>
        </is>
      </c>
      <c r="D856" s="38" t="inlineStr">
        <is>
          <t>TOTAL</t>
        </is>
      </c>
      <c r="E856" s="38" t="inlineStr">
        <is>
          <t>POP</t>
        </is>
      </c>
      <c r="F856" s="38" t="n">
        <v>22</v>
      </c>
    </row>
    <row r="857" ht="15" customHeight="1" s="39">
      <c r="A857" s="38" t="inlineStr">
        <is>
          <t>2021</t>
        </is>
      </c>
      <c r="B857" s="42" t="inlineStr">
        <is>
          <t>431037</t>
        </is>
      </c>
      <c r="C857" s="38" t="inlineStr">
        <is>
          <t>Y039</t>
        </is>
      </c>
      <c r="D857" s="38" t="inlineStr">
        <is>
          <t>TOTAL</t>
        </is>
      </c>
      <c r="E857" s="38" t="inlineStr">
        <is>
          <t>POP</t>
        </is>
      </c>
      <c r="F857" s="38" t="n">
        <v>30</v>
      </c>
    </row>
    <row r="858" ht="15" customHeight="1" s="39">
      <c r="A858" s="38" t="inlineStr">
        <is>
          <t>2021</t>
        </is>
      </c>
      <c r="B858" s="42" t="inlineStr">
        <is>
          <t>431037</t>
        </is>
      </c>
      <c r="C858" s="38" t="inlineStr">
        <is>
          <t>Y040</t>
        </is>
      </c>
      <c r="D858" s="38" t="inlineStr">
        <is>
          <t>TOTAL</t>
        </is>
      </c>
      <c r="E858" s="38" t="inlineStr">
        <is>
          <t>POP</t>
        </is>
      </c>
      <c r="F858" s="38" t="n">
        <v>24</v>
      </c>
    </row>
    <row r="859" ht="15" customHeight="1" s="39">
      <c r="A859" s="38" t="inlineStr">
        <is>
          <t>2021</t>
        </is>
      </c>
      <c r="B859" s="42" t="inlineStr">
        <is>
          <t>431037</t>
        </is>
      </c>
      <c r="C859" s="38" t="inlineStr">
        <is>
          <t>Y041</t>
        </is>
      </c>
      <c r="D859" s="38" t="inlineStr">
        <is>
          <t>TOTAL</t>
        </is>
      </c>
      <c r="E859" s="38" t="inlineStr">
        <is>
          <t>POP</t>
        </is>
      </c>
      <c r="F859" s="38" t="n">
        <v>28</v>
      </c>
    </row>
    <row r="860" ht="15" customHeight="1" s="39">
      <c r="A860" s="38" t="inlineStr">
        <is>
          <t>2021</t>
        </is>
      </c>
      <c r="B860" s="42" t="inlineStr">
        <is>
          <t>431037</t>
        </is>
      </c>
      <c r="C860" s="38" t="inlineStr">
        <is>
          <t>Y042</t>
        </is>
      </c>
      <c r="D860" s="38" t="inlineStr">
        <is>
          <t>TOTAL</t>
        </is>
      </c>
      <c r="E860" s="38" t="inlineStr">
        <is>
          <t>POP</t>
        </is>
      </c>
      <c r="F860" s="38" t="n">
        <v>29</v>
      </c>
    </row>
    <row r="861" ht="15" customHeight="1" s="39">
      <c r="A861" s="38" t="inlineStr">
        <is>
          <t>2021</t>
        </is>
      </c>
      <c r="B861" s="42" t="inlineStr">
        <is>
          <t>431037</t>
        </is>
      </c>
      <c r="C861" s="38" t="inlineStr">
        <is>
          <t>Y043</t>
        </is>
      </c>
      <c r="D861" s="38" t="inlineStr">
        <is>
          <t>TOTAL</t>
        </is>
      </c>
      <c r="E861" s="38" t="inlineStr">
        <is>
          <t>POP</t>
        </is>
      </c>
      <c r="F861" s="38" t="n">
        <v>38</v>
      </c>
    </row>
    <row r="862" ht="15" customHeight="1" s="39">
      <c r="A862" s="38" t="inlineStr">
        <is>
          <t>2021</t>
        </is>
      </c>
      <c r="B862" s="42" t="inlineStr">
        <is>
          <t>431037</t>
        </is>
      </c>
      <c r="C862" s="38" t="inlineStr">
        <is>
          <t>Y044</t>
        </is>
      </c>
      <c r="D862" s="38" t="inlineStr">
        <is>
          <t>TOTAL</t>
        </is>
      </c>
      <c r="E862" s="38" t="inlineStr">
        <is>
          <t>POP</t>
        </is>
      </c>
      <c r="F862" s="38" t="n">
        <v>39</v>
      </c>
    </row>
    <row r="863" ht="15" customHeight="1" s="39">
      <c r="A863" s="38" t="inlineStr">
        <is>
          <t>2021</t>
        </is>
      </c>
      <c r="B863" s="42" t="inlineStr">
        <is>
          <t>431037</t>
        </is>
      </c>
      <c r="C863" s="38" t="inlineStr">
        <is>
          <t>Y045</t>
        </is>
      </c>
      <c r="D863" s="38" t="inlineStr">
        <is>
          <t>TOTAL</t>
        </is>
      </c>
      <c r="E863" s="38" t="inlineStr">
        <is>
          <t>POP</t>
        </is>
      </c>
      <c r="F863" s="38" t="n">
        <v>25</v>
      </c>
    </row>
    <row r="864" ht="15" customHeight="1" s="39">
      <c r="A864" s="38" t="inlineStr">
        <is>
          <t>2021</t>
        </is>
      </c>
      <c r="B864" s="42" t="inlineStr">
        <is>
          <t>431037</t>
        </is>
      </c>
      <c r="C864" s="38" t="inlineStr">
        <is>
          <t>Y046</t>
        </is>
      </c>
      <c r="D864" s="38" t="inlineStr">
        <is>
          <t>TOTAL</t>
        </is>
      </c>
      <c r="E864" s="38" t="inlineStr">
        <is>
          <t>POP</t>
        </is>
      </c>
      <c r="F864" s="38" t="n">
        <v>26</v>
      </c>
    </row>
    <row r="865" ht="15" customHeight="1" s="39">
      <c r="A865" s="38" t="inlineStr">
        <is>
          <t>2021</t>
        </is>
      </c>
      <c r="B865" s="42" t="inlineStr">
        <is>
          <t>431037</t>
        </is>
      </c>
      <c r="C865" s="38" t="inlineStr">
        <is>
          <t>Y047</t>
        </is>
      </c>
      <c r="D865" s="38" t="inlineStr">
        <is>
          <t>TOTAL</t>
        </is>
      </c>
      <c r="E865" s="38" t="inlineStr">
        <is>
          <t>POP</t>
        </is>
      </c>
      <c r="F865" s="38" t="n">
        <v>25</v>
      </c>
    </row>
    <row r="866" ht="15" customHeight="1" s="39">
      <c r="A866" s="38" t="inlineStr">
        <is>
          <t>2021</t>
        </is>
      </c>
      <c r="B866" s="42" t="inlineStr">
        <is>
          <t>431037</t>
        </is>
      </c>
      <c r="C866" s="38" t="inlineStr">
        <is>
          <t>Y048</t>
        </is>
      </c>
      <c r="D866" s="38" t="inlineStr">
        <is>
          <t>TOTAL</t>
        </is>
      </c>
      <c r="E866" s="38" t="inlineStr">
        <is>
          <t>POP</t>
        </is>
      </c>
      <c r="F866" s="38" t="n">
        <v>24</v>
      </c>
    </row>
    <row r="867" ht="15" customHeight="1" s="39">
      <c r="A867" s="38" t="inlineStr">
        <is>
          <t>2021</t>
        </is>
      </c>
      <c r="B867" s="42" t="inlineStr">
        <is>
          <t>431037</t>
        </is>
      </c>
      <c r="C867" s="38" t="inlineStr">
        <is>
          <t>Y049</t>
        </is>
      </c>
      <c r="D867" s="38" t="inlineStr">
        <is>
          <t>TOTAL</t>
        </is>
      </c>
      <c r="E867" s="38" t="inlineStr">
        <is>
          <t>POP</t>
        </is>
      </c>
      <c r="F867" s="38" t="n">
        <v>22</v>
      </c>
    </row>
    <row r="868" ht="15" customHeight="1" s="39">
      <c r="A868" s="38" t="inlineStr">
        <is>
          <t>2021</t>
        </is>
      </c>
      <c r="B868" s="42" t="inlineStr">
        <is>
          <t>431037</t>
        </is>
      </c>
      <c r="C868" s="38" t="inlineStr">
        <is>
          <t>Y050</t>
        </is>
      </c>
      <c r="D868" s="38" t="inlineStr">
        <is>
          <t>TOTAL</t>
        </is>
      </c>
      <c r="E868" s="38" t="inlineStr">
        <is>
          <t>POP</t>
        </is>
      </c>
      <c r="F868" s="38" t="n">
        <v>18</v>
      </c>
    </row>
    <row r="869" ht="15" customHeight="1" s="39">
      <c r="A869" s="38" t="inlineStr">
        <is>
          <t>2021</t>
        </is>
      </c>
      <c r="B869" s="42" t="inlineStr">
        <is>
          <t>431037</t>
        </is>
      </c>
      <c r="C869" s="38" t="inlineStr">
        <is>
          <t>Y051</t>
        </is>
      </c>
      <c r="D869" s="38" t="inlineStr">
        <is>
          <t>TOTAL</t>
        </is>
      </c>
      <c r="E869" s="38" t="inlineStr">
        <is>
          <t>POP</t>
        </is>
      </c>
      <c r="F869" s="38" t="n">
        <v>31</v>
      </c>
    </row>
    <row r="870" ht="15" customHeight="1" s="39">
      <c r="A870" s="38" t="inlineStr">
        <is>
          <t>2021</t>
        </is>
      </c>
      <c r="B870" s="42" t="inlineStr">
        <is>
          <t>431037</t>
        </is>
      </c>
      <c r="C870" s="38" t="inlineStr">
        <is>
          <t>Y052</t>
        </is>
      </c>
      <c r="D870" s="38" t="inlineStr">
        <is>
          <t>TOTAL</t>
        </is>
      </c>
      <c r="E870" s="38" t="inlineStr">
        <is>
          <t>POP</t>
        </is>
      </c>
      <c r="F870" s="38" t="n">
        <v>22</v>
      </c>
    </row>
    <row r="871" ht="15" customHeight="1" s="39">
      <c r="A871" s="38" t="inlineStr">
        <is>
          <t>2021</t>
        </is>
      </c>
      <c r="B871" s="42" t="inlineStr">
        <is>
          <t>431037</t>
        </is>
      </c>
      <c r="C871" s="38" t="inlineStr">
        <is>
          <t>Y053</t>
        </is>
      </c>
      <c r="D871" s="38" t="inlineStr">
        <is>
          <t>TOTAL</t>
        </is>
      </c>
      <c r="E871" s="38" t="inlineStr">
        <is>
          <t>POP</t>
        </is>
      </c>
      <c r="F871" s="38" t="n">
        <v>16</v>
      </c>
    </row>
    <row r="872" ht="15" customHeight="1" s="39">
      <c r="A872" s="38" t="inlineStr">
        <is>
          <t>2021</t>
        </is>
      </c>
      <c r="B872" s="42" t="inlineStr">
        <is>
          <t>431037</t>
        </is>
      </c>
      <c r="C872" s="38" t="inlineStr">
        <is>
          <t>Y054</t>
        </is>
      </c>
      <c r="D872" s="38" t="inlineStr">
        <is>
          <t>TOTAL</t>
        </is>
      </c>
      <c r="E872" s="38" t="inlineStr">
        <is>
          <t>POP</t>
        </is>
      </c>
      <c r="F872" s="38" t="n">
        <v>23</v>
      </c>
    </row>
    <row r="873" ht="15" customHeight="1" s="39">
      <c r="A873" s="38" t="inlineStr">
        <is>
          <t>2021</t>
        </is>
      </c>
      <c r="B873" s="42" t="inlineStr">
        <is>
          <t>431037</t>
        </is>
      </c>
      <c r="C873" s="38" t="inlineStr">
        <is>
          <t>Y055</t>
        </is>
      </c>
      <c r="D873" s="38" t="inlineStr">
        <is>
          <t>TOTAL</t>
        </is>
      </c>
      <c r="E873" s="38" t="inlineStr">
        <is>
          <t>POP</t>
        </is>
      </c>
      <c r="F873" s="38" t="n">
        <v>12</v>
      </c>
    </row>
    <row r="874" ht="15" customHeight="1" s="39">
      <c r="A874" s="38" t="inlineStr">
        <is>
          <t>2021</t>
        </is>
      </c>
      <c r="B874" s="42" t="inlineStr">
        <is>
          <t>431037</t>
        </is>
      </c>
      <c r="C874" s="38" t="inlineStr">
        <is>
          <t>Y056</t>
        </is>
      </c>
      <c r="D874" s="38" t="inlineStr">
        <is>
          <t>TOTAL</t>
        </is>
      </c>
      <c r="E874" s="38" t="inlineStr">
        <is>
          <t>POP</t>
        </is>
      </c>
      <c r="F874" s="38" t="n">
        <v>16</v>
      </c>
    </row>
    <row r="875" ht="15" customHeight="1" s="39">
      <c r="A875" s="38" t="inlineStr">
        <is>
          <t>2021</t>
        </is>
      </c>
      <c r="B875" s="42" t="inlineStr">
        <is>
          <t>431037</t>
        </is>
      </c>
      <c r="C875" s="38" t="inlineStr">
        <is>
          <t>Y057</t>
        </is>
      </c>
      <c r="D875" s="38" t="inlineStr">
        <is>
          <t>TOTAL</t>
        </is>
      </c>
      <c r="E875" s="38" t="inlineStr">
        <is>
          <t>POP</t>
        </is>
      </c>
      <c r="F875" s="38" t="n">
        <v>12</v>
      </c>
    </row>
    <row r="876" ht="15" customHeight="1" s="39">
      <c r="A876" s="38" t="inlineStr">
        <is>
          <t>2021</t>
        </is>
      </c>
      <c r="B876" s="42" t="inlineStr">
        <is>
          <t>431037</t>
        </is>
      </c>
      <c r="C876" s="38" t="inlineStr">
        <is>
          <t>Y058</t>
        </is>
      </c>
      <c r="D876" s="38" t="inlineStr">
        <is>
          <t>TOTAL</t>
        </is>
      </c>
      <c r="E876" s="38" t="inlineStr">
        <is>
          <t>POP</t>
        </is>
      </c>
      <c r="F876" s="38" t="n">
        <v>15</v>
      </c>
    </row>
    <row r="877" ht="15" customHeight="1" s="39">
      <c r="A877" s="38" t="inlineStr">
        <is>
          <t>2021</t>
        </is>
      </c>
      <c r="B877" s="42" t="inlineStr">
        <is>
          <t>431037</t>
        </is>
      </c>
      <c r="C877" s="38" t="inlineStr">
        <is>
          <t>Y059</t>
        </is>
      </c>
      <c r="D877" s="38" t="inlineStr">
        <is>
          <t>TOTAL</t>
        </is>
      </c>
      <c r="E877" s="38" t="inlineStr">
        <is>
          <t>POP</t>
        </is>
      </c>
      <c r="F877" s="38" t="n">
        <v>11</v>
      </c>
    </row>
    <row r="878" ht="15" customHeight="1" s="39">
      <c r="A878" s="38" t="inlineStr">
        <is>
          <t>2021</t>
        </is>
      </c>
      <c r="B878" s="42" t="inlineStr">
        <is>
          <t>431037</t>
        </is>
      </c>
      <c r="C878" s="38" t="inlineStr">
        <is>
          <t>Y060</t>
        </is>
      </c>
      <c r="D878" s="38" t="inlineStr">
        <is>
          <t>TOTAL</t>
        </is>
      </c>
      <c r="E878" s="38" t="inlineStr">
        <is>
          <t>POP</t>
        </is>
      </c>
      <c r="F878" s="38" t="n">
        <v>13</v>
      </c>
    </row>
    <row r="879" ht="15" customHeight="1" s="39">
      <c r="A879" s="38" t="inlineStr">
        <is>
          <t>2021</t>
        </is>
      </c>
      <c r="B879" s="42" t="inlineStr">
        <is>
          <t>431037</t>
        </is>
      </c>
      <c r="C879" s="38" t="inlineStr">
        <is>
          <t>Y061</t>
        </is>
      </c>
      <c r="D879" s="38" t="inlineStr">
        <is>
          <t>TOTAL</t>
        </is>
      </c>
      <c r="E879" s="38" t="inlineStr">
        <is>
          <t>POP</t>
        </is>
      </c>
      <c r="F879" s="38" t="n">
        <v>12</v>
      </c>
    </row>
    <row r="880" ht="15" customHeight="1" s="39">
      <c r="A880" s="38" t="inlineStr">
        <is>
          <t>2021</t>
        </is>
      </c>
      <c r="B880" s="42" t="inlineStr">
        <is>
          <t>431037</t>
        </is>
      </c>
      <c r="C880" s="38" t="inlineStr">
        <is>
          <t>Y062</t>
        </is>
      </c>
      <c r="D880" s="38" t="inlineStr">
        <is>
          <t>TOTAL</t>
        </is>
      </c>
      <c r="E880" s="38" t="inlineStr">
        <is>
          <t>POP</t>
        </is>
      </c>
      <c r="F880" s="38" t="n">
        <v>13</v>
      </c>
    </row>
    <row r="881" ht="15" customHeight="1" s="39">
      <c r="A881" s="38" t="inlineStr">
        <is>
          <t>2021</t>
        </is>
      </c>
      <c r="B881" s="42" t="inlineStr">
        <is>
          <t>431037</t>
        </is>
      </c>
      <c r="C881" s="38" t="inlineStr">
        <is>
          <t>Y063</t>
        </is>
      </c>
      <c r="D881" s="38" t="inlineStr">
        <is>
          <t>TOTAL</t>
        </is>
      </c>
      <c r="E881" s="38" t="inlineStr">
        <is>
          <t>POP</t>
        </is>
      </c>
      <c r="F881" s="38" t="n">
        <v>14</v>
      </c>
    </row>
    <row r="882" ht="15" customHeight="1" s="39">
      <c r="A882" s="38" t="inlineStr">
        <is>
          <t>2021</t>
        </is>
      </c>
      <c r="B882" s="42" t="inlineStr">
        <is>
          <t>431037</t>
        </is>
      </c>
      <c r="C882" s="38" t="inlineStr">
        <is>
          <t>Y064</t>
        </is>
      </c>
      <c r="D882" s="38" t="inlineStr">
        <is>
          <t>TOTAL</t>
        </is>
      </c>
      <c r="E882" s="38" t="inlineStr">
        <is>
          <t>POP</t>
        </is>
      </c>
      <c r="F882" s="38" t="n">
        <v>10</v>
      </c>
    </row>
    <row r="883" ht="15" customHeight="1" s="39">
      <c r="A883" s="38" t="inlineStr">
        <is>
          <t>2021</t>
        </is>
      </c>
      <c r="B883" s="42" t="inlineStr">
        <is>
          <t>431037</t>
        </is>
      </c>
      <c r="C883" s="38" t="inlineStr">
        <is>
          <t>Y065</t>
        </is>
      </c>
      <c r="D883" s="38" t="inlineStr">
        <is>
          <t>TOTAL</t>
        </is>
      </c>
      <c r="E883" s="38" t="inlineStr">
        <is>
          <t>POP</t>
        </is>
      </c>
      <c r="F883" s="38" t="n">
        <v>6</v>
      </c>
    </row>
    <row r="884" ht="15" customHeight="1" s="39">
      <c r="A884" s="38" t="inlineStr">
        <is>
          <t>2021</t>
        </is>
      </c>
      <c r="B884" s="42" t="inlineStr">
        <is>
          <t>431037</t>
        </is>
      </c>
      <c r="C884" s="38" t="inlineStr">
        <is>
          <t>Y066</t>
        </is>
      </c>
      <c r="D884" s="38" t="inlineStr">
        <is>
          <t>TOTAL</t>
        </is>
      </c>
      <c r="E884" s="38" t="inlineStr">
        <is>
          <t>POP</t>
        </is>
      </c>
      <c r="F884" s="38" t="n">
        <v>9</v>
      </c>
    </row>
    <row r="885" ht="15" customHeight="1" s="39">
      <c r="A885" s="38" t="inlineStr">
        <is>
          <t>2021</t>
        </is>
      </c>
      <c r="B885" s="42" t="inlineStr">
        <is>
          <t>431037</t>
        </is>
      </c>
      <c r="C885" s="38" t="inlineStr">
        <is>
          <t>Y067</t>
        </is>
      </c>
      <c r="D885" s="38" t="inlineStr">
        <is>
          <t>TOTAL</t>
        </is>
      </c>
      <c r="E885" s="38" t="inlineStr">
        <is>
          <t>POP</t>
        </is>
      </c>
      <c r="F885" s="38" t="n">
        <v>5</v>
      </c>
    </row>
    <row r="886" ht="15" customHeight="1" s="39">
      <c r="A886" s="38" t="inlineStr">
        <is>
          <t>2021</t>
        </is>
      </c>
      <c r="B886" s="42" t="inlineStr">
        <is>
          <t>431037</t>
        </is>
      </c>
      <c r="C886" s="38" t="inlineStr">
        <is>
          <t>Y068</t>
        </is>
      </c>
      <c r="D886" s="38" t="inlineStr">
        <is>
          <t>TOTAL</t>
        </is>
      </c>
      <c r="E886" s="38" t="inlineStr">
        <is>
          <t>POP</t>
        </is>
      </c>
      <c r="F886" s="38" t="n">
        <v>6</v>
      </c>
    </row>
    <row r="887" ht="15" customHeight="1" s="39">
      <c r="A887" s="38" t="inlineStr">
        <is>
          <t>2021</t>
        </is>
      </c>
      <c r="B887" s="42" t="inlineStr">
        <is>
          <t>431037</t>
        </is>
      </c>
      <c r="C887" s="38" t="inlineStr">
        <is>
          <t>Y069</t>
        </is>
      </c>
      <c r="D887" s="38" t="inlineStr">
        <is>
          <t>TOTAL</t>
        </is>
      </c>
      <c r="E887" s="38" t="inlineStr">
        <is>
          <t>POP</t>
        </is>
      </c>
      <c r="F887" s="38" t="n">
        <v>9</v>
      </c>
    </row>
    <row r="888" ht="15" customHeight="1" s="39">
      <c r="A888" s="38" t="inlineStr">
        <is>
          <t>2021</t>
        </is>
      </c>
      <c r="B888" s="42" t="inlineStr">
        <is>
          <t>431037</t>
        </is>
      </c>
      <c r="C888" s="38" t="inlineStr">
        <is>
          <t>Y070</t>
        </is>
      </c>
      <c r="D888" s="38" t="inlineStr">
        <is>
          <t>TOTAL</t>
        </is>
      </c>
      <c r="E888" s="38" t="inlineStr">
        <is>
          <t>POP</t>
        </is>
      </c>
      <c r="F888" s="38" t="n">
        <v>11</v>
      </c>
    </row>
    <row r="889" ht="15" customHeight="1" s="39">
      <c r="A889" s="38" t="inlineStr">
        <is>
          <t>2021</t>
        </is>
      </c>
      <c r="B889" s="42" t="inlineStr">
        <is>
          <t>431037</t>
        </is>
      </c>
      <c r="C889" s="38" t="inlineStr">
        <is>
          <t>Y071</t>
        </is>
      </c>
      <c r="D889" s="38" t="inlineStr">
        <is>
          <t>TOTAL</t>
        </is>
      </c>
      <c r="E889" s="38" t="inlineStr">
        <is>
          <t>POP</t>
        </is>
      </c>
      <c r="F889" s="38" t="n">
        <v>11</v>
      </c>
    </row>
    <row r="890" ht="15" customHeight="1" s="39">
      <c r="A890" s="38" t="inlineStr">
        <is>
          <t>2021</t>
        </is>
      </c>
      <c r="B890" s="42" t="inlineStr">
        <is>
          <t>431037</t>
        </is>
      </c>
      <c r="C890" s="38" t="inlineStr">
        <is>
          <t>Y072</t>
        </is>
      </c>
      <c r="D890" s="38" t="inlineStr">
        <is>
          <t>TOTAL</t>
        </is>
      </c>
      <c r="E890" s="38" t="inlineStr">
        <is>
          <t>POP</t>
        </is>
      </c>
      <c r="F890" s="38" t="n">
        <v>8</v>
      </c>
    </row>
    <row r="891" ht="15" customHeight="1" s="39">
      <c r="A891" s="38" t="inlineStr">
        <is>
          <t>2021</t>
        </is>
      </c>
      <c r="B891" s="42" t="inlineStr">
        <is>
          <t>431037</t>
        </is>
      </c>
      <c r="C891" s="38" t="inlineStr">
        <is>
          <t>Y073</t>
        </is>
      </c>
      <c r="D891" s="38" t="inlineStr">
        <is>
          <t>TOTAL</t>
        </is>
      </c>
      <c r="E891" s="38" t="inlineStr">
        <is>
          <t>POP</t>
        </is>
      </c>
      <c r="F891" s="38" t="n">
        <v>6</v>
      </c>
    </row>
    <row r="892" ht="15" customHeight="1" s="39">
      <c r="A892" s="38" t="inlineStr">
        <is>
          <t>2021</t>
        </is>
      </c>
      <c r="B892" s="42" t="inlineStr">
        <is>
          <t>431037</t>
        </is>
      </c>
      <c r="C892" s="38" t="inlineStr">
        <is>
          <t>Y074</t>
        </is>
      </c>
      <c r="D892" s="38" t="inlineStr">
        <is>
          <t>TOTAL</t>
        </is>
      </c>
      <c r="E892" s="38" t="inlineStr">
        <is>
          <t>POP</t>
        </is>
      </c>
      <c r="F892" s="38" t="n">
        <v>7</v>
      </c>
    </row>
    <row r="893" ht="15" customHeight="1" s="39">
      <c r="A893" s="38" t="inlineStr">
        <is>
          <t>2021</t>
        </is>
      </c>
      <c r="B893" s="42" t="inlineStr">
        <is>
          <t>431037</t>
        </is>
      </c>
      <c r="C893" s="38" t="inlineStr">
        <is>
          <t>Y075</t>
        </is>
      </c>
      <c r="D893" s="38" t="inlineStr">
        <is>
          <t>TOTAL</t>
        </is>
      </c>
      <c r="E893" s="38" t="inlineStr">
        <is>
          <t>POP</t>
        </is>
      </c>
      <c r="F893" s="38" t="n">
        <v>11</v>
      </c>
    </row>
    <row r="894" ht="15" customHeight="1" s="39">
      <c r="A894" s="38" t="inlineStr">
        <is>
          <t>2021</t>
        </is>
      </c>
      <c r="B894" s="42" t="inlineStr">
        <is>
          <t>431037</t>
        </is>
      </c>
      <c r="C894" s="38" t="inlineStr">
        <is>
          <t>Y076</t>
        </is>
      </c>
      <c r="D894" s="38" t="inlineStr">
        <is>
          <t>TOTAL</t>
        </is>
      </c>
      <c r="E894" s="38" t="inlineStr">
        <is>
          <t>POP</t>
        </is>
      </c>
      <c r="F894" s="38" t="n">
        <v>7</v>
      </c>
    </row>
    <row r="895" ht="15" customHeight="1" s="39">
      <c r="A895" s="38" t="inlineStr">
        <is>
          <t>2021</t>
        </is>
      </c>
      <c r="B895" s="42" t="inlineStr">
        <is>
          <t>431037</t>
        </is>
      </c>
      <c r="C895" s="38" t="inlineStr">
        <is>
          <t>Y077</t>
        </is>
      </c>
      <c r="D895" s="38" t="inlineStr">
        <is>
          <t>TOTAL</t>
        </is>
      </c>
      <c r="E895" s="38" t="inlineStr">
        <is>
          <t>POP</t>
        </is>
      </c>
      <c r="F895" s="38" t="n">
        <v>5</v>
      </c>
    </row>
    <row r="896" ht="15" customHeight="1" s="39">
      <c r="A896" s="38" t="inlineStr">
        <is>
          <t>2021</t>
        </is>
      </c>
      <c r="B896" s="42" t="inlineStr">
        <is>
          <t>431037</t>
        </is>
      </c>
      <c r="C896" s="38" t="inlineStr">
        <is>
          <t>Y078</t>
        </is>
      </c>
      <c r="D896" s="38" t="inlineStr">
        <is>
          <t>TOTAL</t>
        </is>
      </c>
      <c r="E896" s="38" t="inlineStr">
        <is>
          <t>POP</t>
        </is>
      </c>
      <c r="F896" s="38" t="n">
        <v>3</v>
      </c>
    </row>
    <row r="897" ht="15" customHeight="1" s="39">
      <c r="A897" s="38" t="inlineStr">
        <is>
          <t>2021</t>
        </is>
      </c>
      <c r="B897" s="42" t="inlineStr">
        <is>
          <t>431037</t>
        </is>
      </c>
      <c r="C897" s="38" t="inlineStr">
        <is>
          <t>Y079</t>
        </is>
      </c>
      <c r="D897" s="38" t="inlineStr">
        <is>
          <t>TOTAL</t>
        </is>
      </c>
      <c r="E897" s="38" t="inlineStr">
        <is>
          <t>POP</t>
        </is>
      </c>
      <c r="F897" s="38" t="n">
        <v>5</v>
      </c>
    </row>
    <row r="898" ht="15" customHeight="1" s="39">
      <c r="A898" s="38" t="inlineStr">
        <is>
          <t>2021</t>
        </is>
      </c>
      <c r="B898" s="42" t="inlineStr">
        <is>
          <t>431037</t>
        </is>
      </c>
      <c r="C898" s="38" t="inlineStr">
        <is>
          <t>Y080</t>
        </is>
      </c>
      <c r="D898" s="38" t="inlineStr">
        <is>
          <t>TOTAL</t>
        </is>
      </c>
      <c r="E898" s="38" t="inlineStr">
        <is>
          <t>POP</t>
        </is>
      </c>
      <c r="F898" s="38" t="n">
        <v>7</v>
      </c>
    </row>
    <row r="899" ht="15" customHeight="1" s="39">
      <c r="A899" s="38" t="inlineStr">
        <is>
          <t>2021</t>
        </is>
      </c>
      <c r="B899" s="42" t="inlineStr">
        <is>
          <t>431037</t>
        </is>
      </c>
      <c r="C899" s="38" t="inlineStr">
        <is>
          <t>Y081</t>
        </is>
      </c>
      <c r="D899" s="38" t="inlineStr">
        <is>
          <t>TOTAL</t>
        </is>
      </c>
      <c r="E899" s="38" t="inlineStr">
        <is>
          <t>POP</t>
        </is>
      </c>
      <c r="F899" s="38" t="n">
        <v>4</v>
      </c>
    </row>
    <row r="900" ht="15" customHeight="1" s="39">
      <c r="A900" s="38" t="inlineStr">
        <is>
          <t>2021</t>
        </is>
      </c>
      <c r="B900" s="42" t="inlineStr">
        <is>
          <t>431037</t>
        </is>
      </c>
      <c r="C900" s="38" t="inlineStr">
        <is>
          <t>Y082</t>
        </is>
      </c>
      <c r="D900" s="38" t="inlineStr">
        <is>
          <t>TOTAL</t>
        </is>
      </c>
      <c r="E900" s="38" t="inlineStr">
        <is>
          <t>POP</t>
        </is>
      </c>
      <c r="F900" s="38" t="n">
        <v>2</v>
      </c>
    </row>
    <row r="901" ht="15" customHeight="1" s="39">
      <c r="A901" s="38" t="inlineStr">
        <is>
          <t>2021</t>
        </is>
      </c>
      <c r="B901" s="42" t="inlineStr">
        <is>
          <t>431037</t>
        </is>
      </c>
      <c r="C901" s="38" t="inlineStr">
        <is>
          <t>Y083</t>
        </is>
      </c>
      <c r="D901" s="38" t="inlineStr">
        <is>
          <t>TOTAL</t>
        </is>
      </c>
      <c r="E901" s="38" t="inlineStr">
        <is>
          <t>POP</t>
        </is>
      </c>
      <c r="F901" s="38" t="n">
        <v>6</v>
      </c>
    </row>
    <row r="902" ht="15" customHeight="1" s="39">
      <c r="A902" s="38" t="inlineStr">
        <is>
          <t>2021</t>
        </is>
      </c>
      <c r="B902" s="42" t="inlineStr">
        <is>
          <t>431037</t>
        </is>
      </c>
      <c r="C902" s="38" t="inlineStr">
        <is>
          <t>Y084</t>
        </is>
      </c>
      <c r="D902" s="38" t="inlineStr">
        <is>
          <t>TOTAL</t>
        </is>
      </c>
      <c r="E902" s="38" t="inlineStr">
        <is>
          <t>POP</t>
        </is>
      </c>
      <c r="F902" s="38" t="n">
        <v>6</v>
      </c>
    </row>
    <row r="903" ht="15" customHeight="1" s="39">
      <c r="A903" s="38" t="inlineStr">
        <is>
          <t>2021</t>
        </is>
      </c>
      <c r="B903" s="42" t="inlineStr">
        <is>
          <t>431037</t>
        </is>
      </c>
      <c r="C903" s="38" t="inlineStr">
        <is>
          <t>Y085</t>
        </is>
      </c>
      <c r="D903" s="38" t="inlineStr">
        <is>
          <t>TOTAL</t>
        </is>
      </c>
      <c r="E903" s="38" t="inlineStr">
        <is>
          <t>POP</t>
        </is>
      </c>
      <c r="F903" s="38" t="n">
        <v>5</v>
      </c>
    </row>
    <row r="904" ht="15" customHeight="1" s="39">
      <c r="A904" s="38" t="inlineStr">
        <is>
          <t>2021</t>
        </is>
      </c>
      <c r="B904" s="42" t="inlineStr">
        <is>
          <t>431037</t>
        </is>
      </c>
      <c r="C904" s="38" t="inlineStr">
        <is>
          <t>Y086</t>
        </is>
      </c>
      <c r="D904" s="38" t="inlineStr">
        <is>
          <t>TOTAL</t>
        </is>
      </c>
      <c r="E904" s="38" t="inlineStr">
        <is>
          <t>POP</t>
        </is>
      </c>
      <c r="F904" s="38" t="n">
        <v>0</v>
      </c>
    </row>
    <row r="905" ht="15" customHeight="1" s="39">
      <c r="A905" s="38" t="inlineStr">
        <is>
          <t>2021</t>
        </is>
      </c>
      <c r="B905" s="42" t="inlineStr">
        <is>
          <t>431037</t>
        </is>
      </c>
      <c r="C905" s="38" t="inlineStr">
        <is>
          <t>Y087</t>
        </is>
      </c>
      <c r="D905" s="38" t="inlineStr">
        <is>
          <t>TOTAL</t>
        </is>
      </c>
      <c r="E905" s="38" t="inlineStr">
        <is>
          <t>POP</t>
        </is>
      </c>
      <c r="F905" s="38" t="n">
        <v>3</v>
      </c>
    </row>
    <row r="906" ht="15" customHeight="1" s="39">
      <c r="A906" s="38" t="inlineStr">
        <is>
          <t>2021</t>
        </is>
      </c>
      <c r="B906" s="42" t="inlineStr">
        <is>
          <t>431037</t>
        </is>
      </c>
      <c r="C906" s="38" t="inlineStr">
        <is>
          <t>Y088</t>
        </is>
      </c>
      <c r="D906" s="38" t="inlineStr">
        <is>
          <t>TOTAL</t>
        </is>
      </c>
      <c r="E906" s="38" t="inlineStr">
        <is>
          <t>POP</t>
        </is>
      </c>
      <c r="F906" s="38" t="n">
        <v>4</v>
      </c>
    </row>
    <row r="907" ht="15" customHeight="1" s="39">
      <c r="A907" s="38" t="inlineStr">
        <is>
          <t>2021</t>
        </is>
      </c>
      <c r="B907" s="42" t="inlineStr">
        <is>
          <t>431037</t>
        </is>
      </c>
      <c r="C907" s="38" t="inlineStr">
        <is>
          <t>Y089</t>
        </is>
      </c>
      <c r="D907" s="38" t="inlineStr">
        <is>
          <t>TOTAL</t>
        </is>
      </c>
      <c r="E907" s="38" t="inlineStr">
        <is>
          <t>POP</t>
        </is>
      </c>
      <c r="F907" s="38" t="n">
        <v>1</v>
      </c>
    </row>
    <row r="908" ht="15" customHeight="1" s="39">
      <c r="A908" s="38" t="inlineStr">
        <is>
          <t>2021</t>
        </is>
      </c>
      <c r="B908" s="42" t="inlineStr">
        <is>
          <t>431037</t>
        </is>
      </c>
      <c r="C908" s="38" t="inlineStr">
        <is>
          <t>Y090</t>
        </is>
      </c>
      <c r="D908" s="38" t="inlineStr">
        <is>
          <t>TOTAL</t>
        </is>
      </c>
      <c r="E908" s="38" t="inlineStr">
        <is>
          <t>POP</t>
        </is>
      </c>
      <c r="F908" s="38" t="n">
        <v>2</v>
      </c>
    </row>
    <row r="909" ht="15" customHeight="1" s="39">
      <c r="A909" s="38" t="inlineStr">
        <is>
          <t>2021</t>
        </is>
      </c>
      <c r="B909" s="42" t="inlineStr">
        <is>
          <t>431037</t>
        </is>
      </c>
      <c r="C909" s="38" t="inlineStr">
        <is>
          <t>Y091</t>
        </is>
      </c>
      <c r="D909" s="38" t="inlineStr">
        <is>
          <t>TOTAL</t>
        </is>
      </c>
      <c r="E909" s="38" t="inlineStr">
        <is>
          <t>POP</t>
        </is>
      </c>
      <c r="F909" s="38" t="n">
        <v>1</v>
      </c>
    </row>
    <row r="910" ht="15" customHeight="1" s="39">
      <c r="A910" s="38" t="inlineStr">
        <is>
          <t>2021</t>
        </is>
      </c>
      <c r="B910" s="42" t="inlineStr">
        <is>
          <t>431037</t>
        </is>
      </c>
      <c r="C910" s="38" t="inlineStr">
        <is>
          <t>Y092</t>
        </is>
      </c>
      <c r="D910" s="38" t="inlineStr">
        <is>
          <t>TOTAL</t>
        </is>
      </c>
      <c r="E910" s="38" t="inlineStr">
        <is>
          <t>POP</t>
        </is>
      </c>
      <c r="F910" s="38" t="n">
        <v>2</v>
      </c>
    </row>
    <row r="911" ht="15" customHeight="1" s="39">
      <c r="A911" s="38" t="inlineStr">
        <is>
          <t>2021</t>
        </is>
      </c>
      <c r="B911" s="42" t="inlineStr">
        <is>
          <t>431037</t>
        </is>
      </c>
      <c r="C911" s="38" t="inlineStr">
        <is>
          <t>Y093</t>
        </is>
      </c>
      <c r="D911" s="38" t="inlineStr">
        <is>
          <t>TOTAL</t>
        </is>
      </c>
      <c r="E911" s="38" t="inlineStr">
        <is>
          <t>POP</t>
        </is>
      </c>
      <c r="F911" s="38" t="n">
        <v>1</v>
      </c>
    </row>
    <row r="912" ht="15" customHeight="1" s="39">
      <c r="A912" s="38" t="inlineStr">
        <is>
          <t>2021</t>
        </is>
      </c>
      <c r="B912" s="42" t="inlineStr">
        <is>
          <t>431037</t>
        </is>
      </c>
      <c r="C912" s="38" t="inlineStr">
        <is>
          <t>Y094</t>
        </is>
      </c>
      <c r="D912" s="38" t="inlineStr">
        <is>
          <t>TOTAL</t>
        </is>
      </c>
      <c r="E912" s="38" t="inlineStr">
        <is>
          <t>POP</t>
        </is>
      </c>
      <c r="F912" s="38" t="n">
        <v>0</v>
      </c>
    </row>
    <row r="913" ht="15" customHeight="1" s="39">
      <c r="A913" s="38" t="inlineStr">
        <is>
          <t>2021</t>
        </is>
      </c>
      <c r="B913" s="42" t="inlineStr">
        <is>
          <t>431037</t>
        </is>
      </c>
      <c r="C913" s="38" t="inlineStr">
        <is>
          <t>Y095</t>
        </is>
      </c>
      <c r="D913" s="38" t="inlineStr">
        <is>
          <t>TOTAL</t>
        </is>
      </c>
      <c r="E913" s="38" t="inlineStr">
        <is>
          <t>POP</t>
        </is>
      </c>
      <c r="F913" s="38" t="n">
        <v>1</v>
      </c>
    </row>
    <row r="914" ht="15" customHeight="1" s="39">
      <c r="A914" s="38" t="inlineStr">
        <is>
          <t>2021</t>
        </is>
      </c>
      <c r="B914" s="42" t="inlineStr">
        <is>
          <t>431037</t>
        </is>
      </c>
      <c r="C914" s="38" t="inlineStr">
        <is>
          <t>Y096</t>
        </is>
      </c>
      <c r="D914" s="38" t="inlineStr">
        <is>
          <t>TOTAL</t>
        </is>
      </c>
      <c r="E914" s="38" t="inlineStr">
        <is>
          <t>POP</t>
        </is>
      </c>
      <c r="F914" s="38" t="n">
        <v>0</v>
      </c>
    </row>
    <row r="915" ht="15" customHeight="1" s="39">
      <c r="A915" s="38" t="inlineStr">
        <is>
          <t>2021</t>
        </is>
      </c>
      <c r="B915" s="42" t="inlineStr">
        <is>
          <t>431037</t>
        </is>
      </c>
      <c r="C915" s="38" t="inlineStr">
        <is>
          <t>Y097</t>
        </is>
      </c>
      <c r="D915" s="38" t="inlineStr">
        <is>
          <t>TOTAL</t>
        </is>
      </c>
      <c r="E915" s="38" t="inlineStr">
        <is>
          <t>POP</t>
        </is>
      </c>
      <c r="F915" s="38" t="n">
        <v>0</v>
      </c>
    </row>
    <row r="916" ht="15" customHeight="1" s="39">
      <c r="A916" s="38" t="inlineStr">
        <is>
          <t>2021</t>
        </is>
      </c>
      <c r="B916" s="42" t="inlineStr">
        <is>
          <t>431037</t>
        </is>
      </c>
      <c r="C916" s="38" t="inlineStr">
        <is>
          <t>Y098</t>
        </is>
      </c>
      <c r="D916" s="38" t="inlineStr">
        <is>
          <t>TOTAL</t>
        </is>
      </c>
      <c r="E916" s="38" t="inlineStr">
        <is>
          <t>POP</t>
        </is>
      </c>
      <c r="F916" s="38" t="n">
        <v>0</v>
      </c>
    </row>
    <row r="917" ht="15" customHeight="1" s="39">
      <c r="A917" s="38" t="inlineStr">
        <is>
          <t>2021</t>
        </is>
      </c>
      <c r="B917" s="42" t="inlineStr">
        <is>
          <t>431037</t>
        </is>
      </c>
      <c r="C917" s="38" t="inlineStr">
        <is>
          <t>Y099</t>
        </is>
      </c>
      <c r="D917" s="38" t="inlineStr">
        <is>
          <t>TOTAL</t>
        </is>
      </c>
      <c r="E917" s="38" t="inlineStr">
        <is>
          <t>POP</t>
        </is>
      </c>
      <c r="F917" s="38" t="n">
        <v>0</v>
      </c>
    </row>
    <row r="918" ht="15" customHeight="1" s="39">
      <c r="A918" s="38" t="inlineStr">
        <is>
          <t>2021</t>
        </is>
      </c>
      <c r="B918" s="42" t="inlineStr">
        <is>
          <t>431037</t>
        </is>
      </c>
      <c r="C918" s="38" t="inlineStr">
        <is>
          <t>Y_GE100</t>
        </is>
      </c>
      <c r="D918" s="38" t="inlineStr">
        <is>
          <t>TOTAL</t>
        </is>
      </c>
      <c r="E918" s="38" t="inlineStr">
        <is>
          <t>POP</t>
        </is>
      </c>
      <c r="F918" s="38" t="n">
        <v>0</v>
      </c>
    </row>
    <row r="919" ht="15" customHeight="1" s="39">
      <c r="A919" s="38" t="inlineStr">
        <is>
          <t>2021</t>
        </is>
      </c>
      <c r="B919" s="42" t="inlineStr">
        <is>
          <t>431037</t>
        </is>
      </c>
      <c r="C919" s="38" t="inlineStr">
        <is>
          <t>TOTAL</t>
        </is>
      </c>
      <c r="D919" s="38" t="inlineStr">
        <is>
          <t>TOTAL</t>
        </is>
      </c>
      <c r="E919" s="38" t="inlineStr">
        <is>
          <t>POP</t>
        </is>
      </c>
      <c r="F919" s="38" t="n">
        <v>1287</v>
      </c>
    </row>
    <row r="920" ht="15" customHeight="1" s="39">
      <c r="A920" s="38" t="inlineStr">
        <is>
          <t>2021</t>
        </is>
      </c>
      <c r="B920" s="42" t="inlineStr">
        <is>
          <t>431093</t>
        </is>
      </c>
      <c r="C920" s="38" t="inlineStr">
        <is>
          <t>Y000</t>
        </is>
      </c>
      <c r="D920" s="38" t="inlineStr">
        <is>
          <t>TOTAL</t>
        </is>
      </c>
      <c r="E920" s="38" t="inlineStr">
        <is>
          <t>POP</t>
        </is>
      </c>
      <c r="F920" s="38" t="n">
        <v>61</v>
      </c>
    </row>
    <row r="921" ht="15" customHeight="1" s="39">
      <c r="A921" s="38" t="inlineStr">
        <is>
          <t>2021</t>
        </is>
      </c>
      <c r="B921" s="42" t="inlineStr">
        <is>
          <t>431093</t>
        </is>
      </c>
      <c r="C921" s="38" t="inlineStr">
        <is>
          <t>Y001</t>
        </is>
      </c>
      <c r="D921" s="38" t="inlineStr">
        <is>
          <t>TOTAL</t>
        </is>
      </c>
      <c r="E921" s="38" t="inlineStr">
        <is>
          <t>POP</t>
        </is>
      </c>
      <c r="F921" s="38" t="n">
        <v>58</v>
      </c>
    </row>
    <row r="922" ht="15" customHeight="1" s="39">
      <c r="A922" s="38" t="inlineStr">
        <is>
          <t>2021</t>
        </is>
      </c>
      <c r="B922" s="42" t="inlineStr">
        <is>
          <t>431093</t>
        </is>
      </c>
      <c r="C922" s="38" t="inlineStr">
        <is>
          <t>Y002</t>
        </is>
      </c>
      <c r="D922" s="38" t="inlineStr">
        <is>
          <t>TOTAL</t>
        </is>
      </c>
      <c r="E922" s="38" t="inlineStr">
        <is>
          <t>POP</t>
        </is>
      </c>
      <c r="F922" s="38" t="n">
        <v>65</v>
      </c>
    </row>
    <row r="923" ht="15" customHeight="1" s="39">
      <c r="A923" s="38" t="inlineStr">
        <is>
          <t>2021</t>
        </is>
      </c>
      <c r="B923" s="42" t="inlineStr">
        <is>
          <t>431093</t>
        </is>
      </c>
      <c r="C923" s="38" t="inlineStr">
        <is>
          <t>Y003</t>
        </is>
      </c>
      <c r="D923" s="38" t="inlineStr">
        <is>
          <t>TOTAL</t>
        </is>
      </c>
      <c r="E923" s="38" t="inlineStr">
        <is>
          <t>POP</t>
        </is>
      </c>
      <c r="F923" s="38" t="n">
        <v>50</v>
      </c>
    </row>
    <row r="924" ht="15" customHeight="1" s="39">
      <c r="A924" s="38" t="inlineStr">
        <is>
          <t>2021</t>
        </is>
      </c>
      <c r="B924" s="42" t="inlineStr">
        <is>
          <t>431093</t>
        </is>
      </c>
      <c r="C924" s="38" t="inlineStr">
        <is>
          <t>Y004</t>
        </is>
      </c>
      <c r="D924" s="38" t="inlineStr">
        <is>
          <t>TOTAL</t>
        </is>
      </c>
      <c r="E924" s="38" t="inlineStr">
        <is>
          <t>POP</t>
        </is>
      </c>
      <c r="F924" s="38" t="n">
        <v>60</v>
      </c>
    </row>
    <row r="925" ht="15" customHeight="1" s="39">
      <c r="A925" s="38" t="inlineStr">
        <is>
          <t>2021</t>
        </is>
      </c>
      <c r="B925" s="42" t="inlineStr">
        <is>
          <t>431093</t>
        </is>
      </c>
      <c r="C925" s="38" t="inlineStr">
        <is>
          <t>Y005</t>
        </is>
      </c>
      <c r="D925" s="38" t="inlineStr">
        <is>
          <t>TOTAL</t>
        </is>
      </c>
      <c r="E925" s="38" t="inlineStr">
        <is>
          <t>POP</t>
        </is>
      </c>
      <c r="F925" s="38" t="n">
        <v>73</v>
      </c>
    </row>
    <row r="926" ht="15" customHeight="1" s="39">
      <c r="A926" s="38" t="inlineStr">
        <is>
          <t>2021</t>
        </is>
      </c>
      <c r="B926" s="42" t="inlineStr">
        <is>
          <t>431093</t>
        </is>
      </c>
      <c r="C926" s="38" t="inlineStr">
        <is>
          <t>Y006</t>
        </is>
      </c>
      <c r="D926" s="38" t="inlineStr">
        <is>
          <t>TOTAL</t>
        </is>
      </c>
      <c r="E926" s="38" t="inlineStr">
        <is>
          <t>POP</t>
        </is>
      </c>
      <c r="F926" s="38" t="n">
        <v>67</v>
      </c>
    </row>
    <row r="927" ht="15" customHeight="1" s="39">
      <c r="A927" s="38" t="inlineStr">
        <is>
          <t>2021</t>
        </is>
      </c>
      <c r="B927" s="42" t="inlineStr">
        <is>
          <t>431093</t>
        </is>
      </c>
      <c r="C927" s="38" t="inlineStr">
        <is>
          <t>Y007</t>
        </is>
      </c>
      <c r="D927" s="38" t="inlineStr">
        <is>
          <t>TOTAL</t>
        </is>
      </c>
      <c r="E927" s="38" t="inlineStr">
        <is>
          <t>POP</t>
        </is>
      </c>
      <c r="F927" s="38" t="n">
        <v>56</v>
      </c>
    </row>
    <row r="928" ht="15" customHeight="1" s="39">
      <c r="A928" s="38" t="inlineStr">
        <is>
          <t>2021</t>
        </is>
      </c>
      <c r="B928" s="42" t="inlineStr">
        <is>
          <t>431093</t>
        </is>
      </c>
      <c r="C928" s="38" t="inlineStr">
        <is>
          <t>Y008</t>
        </is>
      </c>
      <c r="D928" s="38" t="inlineStr">
        <is>
          <t>TOTAL</t>
        </is>
      </c>
      <c r="E928" s="38" t="inlineStr">
        <is>
          <t>POP</t>
        </is>
      </c>
      <c r="F928" s="38" t="n">
        <v>73</v>
      </c>
    </row>
    <row r="929" ht="15" customHeight="1" s="39">
      <c r="A929" s="38" t="inlineStr">
        <is>
          <t>2021</t>
        </is>
      </c>
      <c r="B929" s="42" t="inlineStr">
        <is>
          <t>431093</t>
        </is>
      </c>
      <c r="C929" s="38" t="inlineStr">
        <is>
          <t>Y009</t>
        </is>
      </c>
      <c r="D929" s="38" t="inlineStr">
        <is>
          <t>TOTAL</t>
        </is>
      </c>
      <c r="E929" s="38" t="inlineStr">
        <is>
          <t>POP</t>
        </is>
      </c>
      <c r="F929" s="38" t="n">
        <v>63</v>
      </c>
    </row>
    <row r="930" ht="15" customHeight="1" s="39">
      <c r="A930" s="38" t="inlineStr">
        <is>
          <t>2021</t>
        </is>
      </c>
      <c r="B930" s="42" t="inlineStr">
        <is>
          <t>431093</t>
        </is>
      </c>
      <c r="C930" s="38" t="inlineStr">
        <is>
          <t>Y010</t>
        </is>
      </c>
      <c r="D930" s="38" t="inlineStr">
        <is>
          <t>TOTAL</t>
        </is>
      </c>
      <c r="E930" s="38" t="inlineStr">
        <is>
          <t>POP</t>
        </is>
      </c>
      <c r="F930" s="38" t="n">
        <v>62</v>
      </c>
    </row>
    <row r="931" ht="15" customHeight="1" s="39">
      <c r="A931" s="38" t="inlineStr">
        <is>
          <t>2021</t>
        </is>
      </c>
      <c r="B931" s="42" t="inlineStr">
        <is>
          <t>431093</t>
        </is>
      </c>
      <c r="C931" s="38" t="inlineStr">
        <is>
          <t>Y011</t>
        </is>
      </c>
      <c r="D931" s="38" t="inlineStr">
        <is>
          <t>TOTAL</t>
        </is>
      </c>
      <c r="E931" s="38" t="inlineStr">
        <is>
          <t>POP</t>
        </is>
      </c>
      <c r="F931" s="38" t="n">
        <v>54</v>
      </c>
    </row>
    <row r="932" ht="15" customHeight="1" s="39">
      <c r="A932" s="38" t="inlineStr">
        <is>
          <t>2021</t>
        </is>
      </c>
      <c r="B932" s="42" t="inlineStr">
        <is>
          <t>431093</t>
        </is>
      </c>
      <c r="C932" s="38" t="inlineStr">
        <is>
          <t>Y012</t>
        </is>
      </c>
      <c r="D932" s="38" t="inlineStr">
        <is>
          <t>TOTAL</t>
        </is>
      </c>
      <c r="E932" s="38" t="inlineStr">
        <is>
          <t>POP</t>
        </is>
      </c>
      <c r="F932" s="38" t="n">
        <v>53</v>
      </c>
    </row>
    <row r="933" ht="15" customHeight="1" s="39">
      <c r="A933" s="38" t="inlineStr">
        <is>
          <t>2021</t>
        </is>
      </c>
      <c r="B933" s="42" t="inlineStr">
        <is>
          <t>431093</t>
        </is>
      </c>
      <c r="C933" s="38" t="inlineStr">
        <is>
          <t>Y013</t>
        </is>
      </c>
      <c r="D933" s="38" t="inlineStr">
        <is>
          <t>TOTAL</t>
        </is>
      </c>
      <c r="E933" s="38" t="inlineStr">
        <is>
          <t>POP</t>
        </is>
      </c>
      <c r="F933" s="38" t="n">
        <v>34</v>
      </c>
    </row>
    <row r="934" ht="15" customHeight="1" s="39">
      <c r="A934" s="38" t="inlineStr">
        <is>
          <t>2021</t>
        </is>
      </c>
      <c r="B934" s="42" t="inlineStr">
        <is>
          <t>431093</t>
        </is>
      </c>
      <c r="C934" s="38" t="inlineStr">
        <is>
          <t>Y014</t>
        </is>
      </c>
      <c r="D934" s="38" t="inlineStr">
        <is>
          <t>TOTAL</t>
        </is>
      </c>
      <c r="E934" s="38" t="inlineStr">
        <is>
          <t>POP</t>
        </is>
      </c>
      <c r="F934" s="38" t="n">
        <v>38</v>
      </c>
    </row>
    <row r="935" ht="15" customHeight="1" s="39">
      <c r="A935" s="38" t="inlineStr">
        <is>
          <t>2021</t>
        </is>
      </c>
      <c r="B935" s="42" t="inlineStr">
        <is>
          <t>431093</t>
        </is>
      </c>
      <c r="C935" s="38" t="inlineStr">
        <is>
          <t>Y015</t>
        </is>
      </c>
      <c r="D935" s="38" t="inlineStr">
        <is>
          <t>TOTAL</t>
        </is>
      </c>
      <c r="E935" s="38" t="inlineStr">
        <is>
          <t>POP</t>
        </is>
      </c>
      <c r="F935" s="38" t="n">
        <v>46</v>
      </c>
    </row>
    <row r="936" ht="15" customHeight="1" s="39">
      <c r="A936" s="38" t="inlineStr">
        <is>
          <t>2021</t>
        </is>
      </c>
      <c r="B936" s="42" t="inlineStr">
        <is>
          <t>431093</t>
        </is>
      </c>
      <c r="C936" s="38" t="inlineStr">
        <is>
          <t>Y016</t>
        </is>
      </c>
      <c r="D936" s="38" t="inlineStr">
        <is>
          <t>TOTAL</t>
        </is>
      </c>
      <c r="E936" s="38" t="inlineStr">
        <is>
          <t>POP</t>
        </is>
      </c>
      <c r="F936" s="38" t="n">
        <v>44</v>
      </c>
    </row>
    <row r="937" ht="15" customHeight="1" s="39">
      <c r="A937" s="38" t="inlineStr">
        <is>
          <t>2021</t>
        </is>
      </c>
      <c r="B937" s="42" t="inlineStr">
        <is>
          <t>431093</t>
        </is>
      </c>
      <c r="C937" s="38" t="inlineStr">
        <is>
          <t>Y017</t>
        </is>
      </c>
      <c r="D937" s="38" t="inlineStr">
        <is>
          <t>TOTAL</t>
        </is>
      </c>
      <c r="E937" s="38" t="inlineStr">
        <is>
          <t>POP</t>
        </is>
      </c>
      <c r="F937" s="38" t="n">
        <v>40</v>
      </c>
    </row>
    <row r="938" ht="15" customHeight="1" s="39">
      <c r="A938" s="38" t="inlineStr">
        <is>
          <t>2021</t>
        </is>
      </c>
      <c r="B938" s="42" t="inlineStr">
        <is>
          <t>431093</t>
        </is>
      </c>
      <c r="C938" s="38" t="inlineStr">
        <is>
          <t>Y018</t>
        </is>
      </c>
      <c r="D938" s="38" t="inlineStr">
        <is>
          <t>TOTAL</t>
        </is>
      </c>
      <c r="E938" s="38" t="inlineStr">
        <is>
          <t>POP</t>
        </is>
      </c>
      <c r="F938" s="38" t="n">
        <v>36</v>
      </c>
    </row>
    <row r="939" ht="15" customHeight="1" s="39">
      <c r="A939" s="38" t="inlineStr">
        <is>
          <t>2021</t>
        </is>
      </c>
      <c r="B939" s="42" t="inlineStr">
        <is>
          <t>431093</t>
        </is>
      </c>
      <c r="C939" s="38" t="inlineStr">
        <is>
          <t>Y019</t>
        </is>
      </c>
      <c r="D939" s="38" t="inlineStr">
        <is>
          <t>TOTAL</t>
        </is>
      </c>
      <c r="E939" s="38" t="inlineStr">
        <is>
          <t>POP</t>
        </is>
      </c>
      <c r="F939" s="38" t="n">
        <v>38</v>
      </c>
    </row>
    <row r="940" ht="15" customHeight="1" s="39">
      <c r="A940" s="38" t="inlineStr">
        <is>
          <t>2021</t>
        </is>
      </c>
      <c r="B940" s="42" t="inlineStr">
        <is>
          <t>431093</t>
        </is>
      </c>
      <c r="C940" s="38" t="inlineStr">
        <is>
          <t>Y020</t>
        </is>
      </c>
      <c r="D940" s="38" t="inlineStr">
        <is>
          <t>TOTAL</t>
        </is>
      </c>
      <c r="E940" s="38" t="inlineStr">
        <is>
          <t>POP</t>
        </is>
      </c>
      <c r="F940" s="38" t="n">
        <v>55</v>
      </c>
    </row>
    <row r="941" ht="15" customHeight="1" s="39">
      <c r="A941" s="38" t="inlineStr">
        <is>
          <t>2021</t>
        </is>
      </c>
      <c r="B941" s="42" t="inlineStr">
        <is>
          <t>431093</t>
        </is>
      </c>
      <c r="C941" s="38" t="inlineStr">
        <is>
          <t>Y021</t>
        </is>
      </c>
      <c r="D941" s="38" t="inlineStr">
        <is>
          <t>TOTAL</t>
        </is>
      </c>
      <c r="E941" s="38" t="inlineStr">
        <is>
          <t>POP</t>
        </is>
      </c>
      <c r="F941" s="38" t="n">
        <v>42</v>
      </c>
    </row>
    <row r="942" ht="15" customHeight="1" s="39">
      <c r="A942" s="38" t="inlineStr">
        <is>
          <t>2021</t>
        </is>
      </c>
      <c r="B942" s="42" t="inlineStr">
        <is>
          <t>431093</t>
        </is>
      </c>
      <c r="C942" s="38" t="inlineStr">
        <is>
          <t>Y022</t>
        </is>
      </c>
      <c r="D942" s="38" t="inlineStr">
        <is>
          <t>TOTAL</t>
        </is>
      </c>
      <c r="E942" s="38" t="inlineStr">
        <is>
          <t>POP</t>
        </is>
      </c>
      <c r="F942" s="38" t="n">
        <v>43</v>
      </c>
    </row>
    <row r="943" ht="15" customHeight="1" s="39">
      <c r="A943" s="38" t="inlineStr">
        <is>
          <t>2021</t>
        </is>
      </c>
      <c r="B943" s="42" t="inlineStr">
        <is>
          <t>431093</t>
        </is>
      </c>
      <c r="C943" s="38" t="inlineStr">
        <is>
          <t>Y023</t>
        </is>
      </c>
      <c r="D943" s="38" t="inlineStr">
        <is>
          <t>TOTAL</t>
        </is>
      </c>
      <c r="E943" s="38" t="inlineStr">
        <is>
          <t>POP</t>
        </is>
      </c>
      <c r="F943" s="38" t="n">
        <v>35</v>
      </c>
    </row>
    <row r="944" ht="15" customHeight="1" s="39">
      <c r="A944" s="38" t="inlineStr">
        <is>
          <t>2021</t>
        </is>
      </c>
      <c r="B944" s="42" t="inlineStr">
        <is>
          <t>431093</t>
        </is>
      </c>
      <c r="C944" s="38" t="inlineStr">
        <is>
          <t>Y024</t>
        </is>
      </c>
      <c r="D944" s="38" t="inlineStr">
        <is>
          <t>TOTAL</t>
        </is>
      </c>
      <c r="E944" s="38" t="inlineStr">
        <is>
          <t>POP</t>
        </is>
      </c>
      <c r="F944" s="38" t="n">
        <v>33</v>
      </c>
    </row>
    <row r="945" ht="15" customHeight="1" s="39">
      <c r="A945" s="38" t="inlineStr">
        <is>
          <t>2021</t>
        </is>
      </c>
      <c r="B945" s="42" t="inlineStr">
        <is>
          <t>431093</t>
        </is>
      </c>
      <c r="C945" s="38" t="inlineStr">
        <is>
          <t>Y025</t>
        </is>
      </c>
      <c r="D945" s="38" t="inlineStr">
        <is>
          <t>TOTAL</t>
        </is>
      </c>
      <c r="E945" s="38" t="inlineStr">
        <is>
          <t>POP</t>
        </is>
      </c>
      <c r="F945" s="38" t="n">
        <v>41</v>
      </c>
    </row>
    <row r="946" ht="15" customHeight="1" s="39">
      <c r="A946" s="38" t="inlineStr">
        <is>
          <t>2021</t>
        </is>
      </c>
      <c r="B946" s="42" t="inlineStr">
        <is>
          <t>431093</t>
        </is>
      </c>
      <c r="C946" s="38" t="inlineStr">
        <is>
          <t>Y026</t>
        </is>
      </c>
      <c r="D946" s="38" t="inlineStr">
        <is>
          <t>TOTAL</t>
        </is>
      </c>
      <c r="E946" s="38" t="inlineStr">
        <is>
          <t>POP</t>
        </is>
      </c>
      <c r="F946" s="38" t="n">
        <v>53</v>
      </c>
    </row>
    <row r="947" ht="15" customHeight="1" s="39">
      <c r="A947" s="38" t="inlineStr">
        <is>
          <t>2021</t>
        </is>
      </c>
      <c r="B947" s="42" t="inlineStr">
        <is>
          <t>431093</t>
        </is>
      </c>
      <c r="C947" s="38" t="inlineStr">
        <is>
          <t>Y027</t>
        </is>
      </c>
      <c r="D947" s="38" t="inlineStr">
        <is>
          <t>TOTAL</t>
        </is>
      </c>
      <c r="E947" s="38" t="inlineStr">
        <is>
          <t>POP</t>
        </is>
      </c>
      <c r="F947" s="38" t="n">
        <v>47</v>
      </c>
    </row>
    <row r="948" ht="15" customHeight="1" s="39">
      <c r="A948" s="38" t="inlineStr">
        <is>
          <t>2021</t>
        </is>
      </c>
      <c r="B948" s="42" t="inlineStr">
        <is>
          <t>431093</t>
        </is>
      </c>
      <c r="C948" s="38" t="inlineStr">
        <is>
          <t>Y028</t>
        </is>
      </c>
      <c r="D948" s="38" t="inlineStr">
        <is>
          <t>TOTAL</t>
        </is>
      </c>
      <c r="E948" s="38" t="inlineStr">
        <is>
          <t>POP</t>
        </is>
      </c>
      <c r="F948" s="38" t="n">
        <v>75</v>
      </c>
    </row>
    <row r="949" ht="15" customHeight="1" s="39">
      <c r="A949" s="38" t="inlineStr">
        <is>
          <t>2021</t>
        </is>
      </c>
      <c r="B949" s="42" t="inlineStr">
        <is>
          <t>431093</t>
        </is>
      </c>
      <c r="C949" s="38" t="inlineStr">
        <is>
          <t>Y029</t>
        </is>
      </c>
      <c r="D949" s="38" t="inlineStr">
        <is>
          <t>TOTAL</t>
        </is>
      </c>
      <c r="E949" s="38" t="inlineStr">
        <is>
          <t>POP</t>
        </is>
      </c>
      <c r="F949" s="38" t="n">
        <v>72</v>
      </c>
    </row>
    <row r="950" ht="15" customHeight="1" s="39">
      <c r="A950" s="38" t="inlineStr">
        <is>
          <t>2021</t>
        </is>
      </c>
      <c r="B950" s="42" t="inlineStr">
        <is>
          <t>431093</t>
        </is>
      </c>
      <c r="C950" s="38" t="inlineStr">
        <is>
          <t>Y030</t>
        </is>
      </c>
      <c r="D950" s="38" t="inlineStr">
        <is>
          <t>TOTAL</t>
        </is>
      </c>
      <c r="E950" s="38" t="inlineStr">
        <is>
          <t>POP</t>
        </is>
      </c>
      <c r="F950" s="38" t="n">
        <v>53</v>
      </c>
    </row>
    <row r="951" ht="15" customHeight="1" s="39">
      <c r="A951" s="38" t="inlineStr">
        <is>
          <t>2021</t>
        </is>
      </c>
      <c r="B951" s="42" t="inlineStr">
        <is>
          <t>431093</t>
        </is>
      </c>
      <c r="C951" s="38" t="inlineStr">
        <is>
          <t>Y031</t>
        </is>
      </c>
      <c r="D951" s="38" t="inlineStr">
        <is>
          <t>TOTAL</t>
        </is>
      </c>
      <c r="E951" s="38" t="inlineStr">
        <is>
          <t>POP</t>
        </is>
      </c>
      <c r="F951" s="38" t="n">
        <v>53</v>
      </c>
    </row>
    <row r="952" ht="15" customHeight="1" s="39">
      <c r="A952" s="38" t="inlineStr">
        <is>
          <t>2021</t>
        </is>
      </c>
      <c r="B952" s="42" t="inlineStr">
        <is>
          <t>431093</t>
        </is>
      </c>
      <c r="C952" s="38" t="inlineStr">
        <is>
          <t>Y032</t>
        </is>
      </c>
      <c r="D952" s="38" t="inlineStr">
        <is>
          <t>TOTAL</t>
        </is>
      </c>
      <c r="E952" s="38" t="inlineStr">
        <is>
          <t>POP</t>
        </is>
      </c>
      <c r="F952" s="38" t="n">
        <v>92</v>
      </c>
    </row>
    <row r="953" ht="15" customHeight="1" s="39">
      <c r="A953" s="38" t="inlineStr">
        <is>
          <t>2021</t>
        </is>
      </c>
      <c r="B953" s="42" t="inlineStr">
        <is>
          <t>431093</t>
        </is>
      </c>
      <c r="C953" s="38" t="inlineStr">
        <is>
          <t>Y033</t>
        </is>
      </c>
      <c r="D953" s="38" t="inlineStr">
        <is>
          <t>TOTAL</t>
        </is>
      </c>
      <c r="E953" s="38" t="inlineStr">
        <is>
          <t>POP</t>
        </is>
      </c>
      <c r="F953" s="38" t="n">
        <v>84</v>
      </c>
    </row>
    <row r="954" ht="15" customHeight="1" s="39">
      <c r="A954" s="38" t="inlineStr">
        <is>
          <t>2021</t>
        </is>
      </c>
      <c r="B954" s="42" t="inlineStr">
        <is>
          <t>431093</t>
        </is>
      </c>
      <c r="C954" s="38" t="inlineStr">
        <is>
          <t>Y034</t>
        </is>
      </c>
      <c r="D954" s="38" t="inlineStr">
        <is>
          <t>TOTAL</t>
        </is>
      </c>
      <c r="E954" s="38" t="inlineStr">
        <is>
          <t>POP</t>
        </is>
      </c>
      <c r="F954" s="38" t="n">
        <v>59</v>
      </c>
    </row>
    <row r="955" ht="15" customHeight="1" s="39">
      <c r="A955" s="38" t="inlineStr">
        <is>
          <t>2021</t>
        </is>
      </c>
      <c r="B955" s="42" t="inlineStr">
        <is>
          <t>431093</t>
        </is>
      </c>
      <c r="C955" s="38" t="inlineStr">
        <is>
          <t>Y035</t>
        </is>
      </c>
      <c r="D955" s="38" t="inlineStr">
        <is>
          <t>TOTAL</t>
        </is>
      </c>
      <c r="E955" s="38" t="inlineStr">
        <is>
          <t>POP</t>
        </is>
      </c>
      <c r="F955" s="38" t="n">
        <v>95</v>
      </c>
    </row>
    <row r="956" ht="15" customHeight="1" s="39">
      <c r="A956" s="38" t="inlineStr">
        <is>
          <t>2021</t>
        </is>
      </c>
      <c r="B956" s="42" t="inlineStr">
        <is>
          <t>431093</t>
        </is>
      </c>
      <c r="C956" s="38" t="inlineStr">
        <is>
          <t>Y036</t>
        </is>
      </c>
      <c r="D956" s="38" t="inlineStr">
        <is>
          <t>TOTAL</t>
        </is>
      </c>
      <c r="E956" s="38" t="inlineStr">
        <is>
          <t>POP</t>
        </is>
      </c>
      <c r="F956" s="38" t="n">
        <v>95</v>
      </c>
    </row>
    <row r="957" ht="15" customHeight="1" s="39">
      <c r="A957" s="38" t="inlineStr">
        <is>
          <t>2021</t>
        </is>
      </c>
      <c r="B957" s="42" t="inlineStr">
        <is>
          <t>431093</t>
        </is>
      </c>
      <c r="C957" s="38" t="inlineStr">
        <is>
          <t>Y037</t>
        </is>
      </c>
      <c r="D957" s="38" t="inlineStr">
        <is>
          <t>TOTAL</t>
        </is>
      </c>
      <c r="E957" s="38" t="inlineStr">
        <is>
          <t>POP</t>
        </is>
      </c>
      <c r="F957" s="38" t="n">
        <v>109</v>
      </c>
    </row>
    <row r="958" ht="15" customHeight="1" s="39">
      <c r="A958" s="38" t="inlineStr">
        <is>
          <t>2021</t>
        </is>
      </c>
      <c r="B958" s="42" t="inlineStr">
        <is>
          <t>431093</t>
        </is>
      </c>
      <c r="C958" s="38" t="inlineStr">
        <is>
          <t>Y038</t>
        </is>
      </c>
      <c r="D958" s="38" t="inlineStr">
        <is>
          <t>TOTAL</t>
        </is>
      </c>
      <c r="E958" s="38" t="inlineStr">
        <is>
          <t>POP</t>
        </is>
      </c>
      <c r="F958" s="38" t="n">
        <v>90</v>
      </c>
    </row>
    <row r="959" ht="15" customHeight="1" s="39">
      <c r="A959" s="38" t="inlineStr">
        <is>
          <t>2021</t>
        </is>
      </c>
      <c r="B959" s="42" t="inlineStr">
        <is>
          <t>431093</t>
        </is>
      </c>
      <c r="C959" s="38" t="inlineStr">
        <is>
          <t>Y039</t>
        </is>
      </c>
      <c r="D959" s="38" t="inlineStr">
        <is>
          <t>TOTAL</t>
        </is>
      </c>
      <c r="E959" s="38" t="inlineStr">
        <is>
          <t>POP</t>
        </is>
      </c>
      <c r="F959" s="38" t="n">
        <v>103</v>
      </c>
    </row>
    <row r="960" ht="15" customHeight="1" s="39">
      <c r="A960" s="38" t="inlineStr">
        <is>
          <t>2021</t>
        </is>
      </c>
      <c r="B960" s="42" t="inlineStr">
        <is>
          <t>431093</t>
        </is>
      </c>
      <c r="C960" s="38" t="inlineStr">
        <is>
          <t>Y040</t>
        </is>
      </c>
      <c r="D960" s="38" t="inlineStr">
        <is>
          <t>TOTAL</t>
        </is>
      </c>
      <c r="E960" s="38" t="inlineStr">
        <is>
          <t>POP</t>
        </is>
      </c>
      <c r="F960" s="38" t="n">
        <v>93</v>
      </c>
    </row>
    <row r="961" ht="15" customHeight="1" s="39">
      <c r="A961" s="38" t="inlineStr">
        <is>
          <t>2021</t>
        </is>
      </c>
      <c r="B961" s="42" t="inlineStr">
        <is>
          <t>431093</t>
        </is>
      </c>
      <c r="C961" s="38" t="inlineStr">
        <is>
          <t>Y041</t>
        </is>
      </c>
      <c r="D961" s="38" t="inlineStr">
        <is>
          <t>TOTAL</t>
        </is>
      </c>
      <c r="E961" s="38" t="inlineStr">
        <is>
          <t>POP</t>
        </is>
      </c>
      <c r="F961" s="38" t="n">
        <v>94</v>
      </c>
    </row>
    <row r="962" ht="15" customHeight="1" s="39">
      <c r="A962" s="38" t="inlineStr">
        <is>
          <t>2021</t>
        </is>
      </c>
      <c r="B962" s="42" t="inlineStr">
        <is>
          <t>431093</t>
        </is>
      </c>
      <c r="C962" s="38" t="inlineStr">
        <is>
          <t>Y042</t>
        </is>
      </c>
      <c r="D962" s="38" t="inlineStr">
        <is>
          <t>TOTAL</t>
        </is>
      </c>
      <c r="E962" s="38" t="inlineStr">
        <is>
          <t>POP</t>
        </is>
      </c>
      <c r="F962" s="38" t="n">
        <v>75</v>
      </c>
    </row>
    <row r="963" ht="15" customHeight="1" s="39">
      <c r="A963" s="38" t="inlineStr">
        <is>
          <t>2021</t>
        </is>
      </c>
      <c r="B963" s="42" t="inlineStr">
        <is>
          <t>431093</t>
        </is>
      </c>
      <c r="C963" s="38" t="inlineStr">
        <is>
          <t>Y043</t>
        </is>
      </c>
      <c r="D963" s="38" t="inlineStr">
        <is>
          <t>TOTAL</t>
        </is>
      </c>
      <c r="E963" s="38" t="inlineStr">
        <is>
          <t>POP</t>
        </is>
      </c>
      <c r="F963" s="38" t="n">
        <v>75</v>
      </c>
    </row>
    <row r="964" ht="15" customHeight="1" s="39">
      <c r="A964" s="38" t="inlineStr">
        <is>
          <t>2021</t>
        </is>
      </c>
      <c r="B964" s="42" t="inlineStr">
        <is>
          <t>431093</t>
        </is>
      </c>
      <c r="C964" s="38" t="inlineStr">
        <is>
          <t>Y044</t>
        </is>
      </c>
      <c r="D964" s="38" t="inlineStr">
        <is>
          <t>TOTAL</t>
        </is>
      </c>
      <c r="E964" s="38" t="inlineStr">
        <is>
          <t>POP</t>
        </is>
      </c>
      <c r="F964" s="38" t="n">
        <v>82</v>
      </c>
    </row>
    <row r="965" ht="15" customHeight="1" s="39">
      <c r="A965" s="38" t="inlineStr">
        <is>
          <t>2021</t>
        </is>
      </c>
      <c r="B965" s="42" t="inlineStr">
        <is>
          <t>431093</t>
        </is>
      </c>
      <c r="C965" s="38" t="inlineStr">
        <is>
          <t>Y045</t>
        </is>
      </c>
      <c r="D965" s="38" t="inlineStr">
        <is>
          <t>TOTAL</t>
        </is>
      </c>
      <c r="E965" s="38" t="inlineStr">
        <is>
          <t>POP</t>
        </is>
      </c>
      <c r="F965" s="38" t="n">
        <v>74</v>
      </c>
    </row>
    <row r="966" ht="15" customHeight="1" s="39">
      <c r="A966" s="38" t="inlineStr">
        <is>
          <t>2021</t>
        </is>
      </c>
      <c r="B966" s="42" t="inlineStr">
        <is>
          <t>431093</t>
        </is>
      </c>
      <c r="C966" s="38" t="inlineStr">
        <is>
          <t>Y046</t>
        </is>
      </c>
      <c r="D966" s="38" t="inlineStr">
        <is>
          <t>TOTAL</t>
        </is>
      </c>
      <c r="E966" s="38" t="inlineStr">
        <is>
          <t>POP</t>
        </is>
      </c>
      <c r="F966" s="38" t="n">
        <v>65</v>
      </c>
    </row>
    <row r="967" ht="15" customHeight="1" s="39">
      <c r="A967" s="38" t="inlineStr">
        <is>
          <t>2021</t>
        </is>
      </c>
      <c r="B967" s="42" t="inlineStr">
        <is>
          <t>431093</t>
        </is>
      </c>
      <c r="C967" s="38" t="inlineStr">
        <is>
          <t>Y047</t>
        </is>
      </c>
      <c r="D967" s="38" t="inlineStr">
        <is>
          <t>TOTAL</t>
        </is>
      </c>
      <c r="E967" s="38" t="inlineStr">
        <is>
          <t>POP</t>
        </is>
      </c>
      <c r="F967" s="38" t="n">
        <v>58</v>
      </c>
    </row>
    <row r="968" ht="15" customHeight="1" s="39">
      <c r="A968" s="38" t="inlineStr">
        <is>
          <t>2021</t>
        </is>
      </c>
      <c r="B968" s="42" t="inlineStr">
        <is>
          <t>431093</t>
        </is>
      </c>
      <c r="C968" s="38" t="inlineStr">
        <is>
          <t>Y048</t>
        </is>
      </c>
      <c r="D968" s="38" t="inlineStr">
        <is>
          <t>TOTAL</t>
        </is>
      </c>
      <c r="E968" s="38" t="inlineStr">
        <is>
          <t>POP</t>
        </is>
      </c>
      <c r="F968" s="38" t="n">
        <v>60</v>
      </c>
    </row>
    <row r="969" ht="15" customHeight="1" s="39">
      <c r="A969" s="38" t="inlineStr">
        <is>
          <t>2021</t>
        </is>
      </c>
      <c r="B969" s="42" t="inlineStr">
        <is>
          <t>431093</t>
        </is>
      </c>
      <c r="C969" s="38" t="inlineStr">
        <is>
          <t>Y049</t>
        </is>
      </c>
      <c r="D969" s="38" t="inlineStr">
        <is>
          <t>TOTAL</t>
        </is>
      </c>
      <c r="E969" s="38" t="inlineStr">
        <is>
          <t>POP</t>
        </is>
      </c>
      <c r="F969" s="38" t="n">
        <v>47</v>
      </c>
    </row>
    <row r="970" ht="15" customHeight="1" s="39">
      <c r="A970" s="38" t="inlineStr">
        <is>
          <t>2021</t>
        </is>
      </c>
      <c r="B970" s="42" t="inlineStr">
        <is>
          <t>431093</t>
        </is>
      </c>
      <c r="C970" s="38" t="inlineStr">
        <is>
          <t>Y050</t>
        </is>
      </c>
      <c r="D970" s="38" t="inlineStr">
        <is>
          <t>TOTAL</t>
        </is>
      </c>
      <c r="E970" s="38" t="inlineStr">
        <is>
          <t>POP</t>
        </is>
      </c>
      <c r="F970" s="38" t="n">
        <v>45</v>
      </c>
    </row>
    <row r="971" ht="15" customHeight="1" s="39">
      <c r="A971" s="38" t="inlineStr">
        <is>
          <t>2021</t>
        </is>
      </c>
      <c r="B971" s="42" t="inlineStr">
        <is>
          <t>431093</t>
        </is>
      </c>
      <c r="C971" s="38" t="inlineStr">
        <is>
          <t>Y051</t>
        </is>
      </c>
      <c r="D971" s="38" t="inlineStr">
        <is>
          <t>TOTAL</t>
        </is>
      </c>
      <c r="E971" s="38" t="inlineStr">
        <is>
          <t>POP</t>
        </is>
      </c>
      <c r="F971" s="38" t="n">
        <v>53</v>
      </c>
    </row>
    <row r="972" ht="15" customHeight="1" s="39">
      <c r="A972" s="38" t="inlineStr">
        <is>
          <t>2021</t>
        </is>
      </c>
      <c r="B972" s="42" t="inlineStr">
        <is>
          <t>431093</t>
        </is>
      </c>
      <c r="C972" s="38" t="inlineStr">
        <is>
          <t>Y052</t>
        </is>
      </c>
      <c r="D972" s="38" t="inlineStr">
        <is>
          <t>TOTAL</t>
        </is>
      </c>
      <c r="E972" s="38" t="inlineStr">
        <is>
          <t>POP</t>
        </is>
      </c>
      <c r="F972" s="38" t="n">
        <v>55</v>
      </c>
    </row>
    <row r="973" ht="15" customHeight="1" s="39">
      <c r="A973" s="38" t="inlineStr">
        <is>
          <t>2021</t>
        </is>
      </c>
      <c r="B973" s="42" t="inlineStr">
        <is>
          <t>431093</t>
        </is>
      </c>
      <c r="C973" s="38" t="inlineStr">
        <is>
          <t>Y053</t>
        </is>
      </c>
      <c r="D973" s="38" t="inlineStr">
        <is>
          <t>TOTAL</t>
        </is>
      </c>
      <c r="E973" s="38" t="inlineStr">
        <is>
          <t>POP</t>
        </is>
      </c>
      <c r="F973" s="38" t="n">
        <v>43</v>
      </c>
    </row>
    <row r="974" ht="15" customHeight="1" s="39">
      <c r="A974" s="38" t="inlineStr">
        <is>
          <t>2021</t>
        </is>
      </c>
      <c r="B974" s="42" t="inlineStr">
        <is>
          <t>431093</t>
        </is>
      </c>
      <c r="C974" s="38" t="inlineStr">
        <is>
          <t>Y054</t>
        </is>
      </c>
      <c r="D974" s="38" t="inlineStr">
        <is>
          <t>TOTAL</t>
        </is>
      </c>
      <c r="E974" s="38" t="inlineStr">
        <is>
          <t>POP</t>
        </is>
      </c>
      <c r="F974" s="38" t="n">
        <v>42</v>
      </c>
    </row>
    <row r="975" ht="15" customHeight="1" s="39">
      <c r="A975" s="38" t="inlineStr">
        <is>
          <t>2021</t>
        </is>
      </c>
      <c r="B975" s="42" t="inlineStr">
        <is>
          <t>431093</t>
        </is>
      </c>
      <c r="C975" s="38" t="inlineStr">
        <is>
          <t>Y055</t>
        </is>
      </c>
      <c r="D975" s="38" t="inlineStr">
        <is>
          <t>TOTAL</t>
        </is>
      </c>
      <c r="E975" s="38" t="inlineStr">
        <is>
          <t>POP</t>
        </is>
      </c>
      <c r="F975" s="38" t="n">
        <v>44</v>
      </c>
    </row>
    <row r="976" ht="15" customHeight="1" s="39">
      <c r="A976" s="38" t="inlineStr">
        <is>
          <t>2021</t>
        </is>
      </c>
      <c r="B976" s="42" t="inlineStr">
        <is>
          <t>431093</t>
        </is>
      </c>
      <c r="C976" s="38" t="inlineStr">
        <is>
          <t>Y056</t>
        </is>
      </c>
      <c r="D976" s="38" t="inlineStr">
        <is>
          <t>TOTAL</t>
        </is>
      </c>
      <c r="E976" s="38" t="inlineStr">
        <is>
          <t>POP</t>
        </is>
      </c>
      <c r="F976" s="38" t="n">
        <v>37</v>
      </c>
    </row>
    <row r="977" ht="15" customHeight="1" s="39">
      <c r="A977" s="38" t="inlineStr">
        <is>
          <t>2021</t>
        </is>
      </c>
      <c r="B977" s="42" t="inlineStr">
        <is>
          <t>431093</t>
        </is>
      </c>
      <c r="C977" s="38" t="inlineStr">
        <is>
          <t>Y057</t>
        </is>
      </c>
      <c r="D977" s="38" t="inlineStr">
        <is>
          <t>TOTAL</t>
        </is>
      </c>
      <c r="E977" s="38" t="inlineStr">
        <is>
          <t>POP</t>
        </is>
      </c>
      <c r="F977" s="38" t="n">
        <v>41</v>
      </c>
    </row>
    <row r="978" ht="15" customHeight="1" s="39">
      <c r="A978" s="38" t="inlineStr">
        <is>
          <t>2021</t>
        </is>
      </c>
      <c r="B978" s="42" t="inlineStr">
        <is>
          <t>431093</t>
        </is>
      </c>
      <c r="C978" s="38" t="inlineStr">
        <is>
          <t>Y058</t>
        </is>
      </c>
      <c r="D978" s="38" t="inlineStr">
        <is>
          <t>TOTAL</t>
        </is>
      </c>
      <c r="E978" s="38" t="inlineStr">
        <is>
          <t>POP</t>
        </is>
      </c>
      <c r="F978" s="38" t="n">
        <v>33</v>
      </c>
    </row>
    <row r="979" ht="15" customHeight="1" s="39">
      <c r="A979" s="38" t="inlineStr">
        <is>
          <t>2021</t>
        </is>
      </c>
      <c r="B979" s="42" t="inlineStr">
        <is>
          <t>431093</t>
        </is>
      </c>
      <c r="C979" s="38" t="inlineStr">
        <is>
          <t>Y059</t>
        </is>
      </c>
      <c r="D979" s="38" t="inlineStr">
        <is>
          <t>TOTAL</t>
        </is>
      </c>
      <c r="E979" s="38" t="inlineStr">
        <is>
          <t>POP</t>
        </is>
      </c>
      <c r="F979" s="38" t="n">
        <v>36</v>
      </c>
    </row>
    <row r="980" ht="15" customHeight="1" s="39">
      <c r="A980" s="38" t="inlineStr">
        <is>
          <t>2021</t>
        </is>
      </c>
      <c r="B980" s="42" t="inlineStr">
        <is>
          <t>431093</t>
        </is>
      </c>
      <c r="C980" s="38" t="inlineStr">
        <is>
          <t>Y060</t>
        </is>
      </c>
      <c r="D980" s="38" t="inlineStr">
        <is>
          <t>TOTAL</t>
        </is>
      </c>
      <c r="E980" s="38" t="inlineStr">
        <is>
          <t>POP</t>
        </is>
      </c>
      <c r="F980" s="38" t="n">
        <v>39</v>
      </c>
    </row>
    <row r="981" ht="15" customHeight="1" s="39">
      <c r="A981" s="38" t="inlineStr">
        <is>
          <t>2021</t>
        </is>
      </c>
      <c r="B981" s="42" t="inlineStr">
        <is>
          <t>431093</t>
        </is>
      </c>
      <c r="C981" s="38" t="inlineStr">
        <is>
          <t>Y061</t>
        </is>
      </c>
      <c r="D981" s="38" t="inlineStr">
        <is>
          <t>TOTAL</t>
        </is>
      </c>
      <c r="E981" s="38" t="inlineStr">
        <is>
          <t>POP</t>
        </is>
      </c>
      <c r="F981" s="38" t="n">
        <v>28</v>
      </c>
    </row>
    <row r="982" ht="15" customHeight="1" s="39">
      <c r="A982" s="38" t="inlineStr">
        <is>
          <t>2021</t>
        </is>
      </c>
      <c r="B982" s="42" t="inlineStr">
        <is>
          <t>431093</t>
        </is>
      </c>
      <c r="C982" s="38" t="inlineStr">
        <is>
          <t>Y062</t>
        </is>
      </c>
      <c r="D982" s="38" t="inlineStr">
        <is>
          <t>TOTAL</t>
        </is>
      </c>
      <c r="E982" s="38" t="inlineStr">
        <is>
          <t>POP</t>
        </is>
      </c>
      <c r="F982" s="38" t="n">
        <v>32</v>
      </c>
    </row>
    <row r="983" ht="15" customHeight="1" s="39">
      <c r="A983" s="38" t="inlineStr">
        <is>
          <t>2021</t>
        </is>
      </c>
      <c r="B983" s="42" t="inlineStr">
        <is>
          <t>431093</t>
        </is>
      </c>
      <c r="C983" s="38" t="inlineStr">
        <is>
          <t>Y063</t>
        </is>
      </c>
      <c r="D983" s="38" t="inlineStr">
        <is>
          <t>TOTAL</t>
        </is>
      </c>
      <c r="E983" s="38" t="inlineStr">
        <is>
          <t>POP</t>
        </is>
      </c>
      <c r="F983" s="38" t="n">
        <v>32</v>
      </c>
    </row>
    <row r="984" ht="15" customHeight="1" s="39">
      <c r="A984" s="38" t="inlineStr">
        <is>
          <t>2021</t>
        </is>
      </c>
      <c r="B984" s="42" t="inlineStr">
        <is>
          <t>431093</t>
        </is>
      </c>
      <c r="C984" s="38" t="inlineStr">
        <is>
          <t>Y064</t>
        </is>
      </c>
      <c r="D984" s="38" t="inlineStr">
        <is>
          <t>TOTAL</t>
        </is>
      </c>
      <c r="E984" s="38" t="inlineStr">
        <is>
          <t>POP</t>
        </is>
      </c>
      <c r="F984" s="38" t="n">
        <v>29</v>
      </c>
    </row>
    <row r="985" ht="15" customHeight="1" s="39">
      <c r="A985" s="38" t="inlineStr">
        <is>
          <t>2021</t>
        </is>
      </c>
      <c r="B985" s="42" t="inlineStr">
        <is>
          <t>431093</t>
        </is>
      </c>
      <c r="C985" s="38" t="inlineStr">
        <is>
          <t>Y065</t>
        </is>
      </c>
      <c r="D985" s="38" t="inlineStr">
        <is>
          <t>TOTAL</t>
        </is>
      </c>
      <c r="E985" s="38" t="inlineStr">
        <is>
          <t>POP</t>
        </is>
      </c>
      <c r="F985" s="38" t="n">
        <v>19</v>
      </c>
    </row>
    <row r="986" ht="15" customHeight="1" s="39">
      <c r="A986" s="38" t="inlineStr">
        <is>
          <t>2021</t>
        </is>
      </c>
      <c r="B986" s="42" t="inlineStr">
        <is>
          <t>431093</t>
        </is>
      </c>
      <c r="C986" s="38" t="inlineStr">
        <is>
          <t>Y066</t>
        </is>
      </c>
      <c r="D986" s="38" t="inlineStr">
        <is>
          <t>TOTAL</t>
        </is>
      </c>
      <c r="E986" s="38" t="inlineStr">
        <is>
          <t>POP</t>
        </is>
      </c>
      <c r="F986" s="38" t="n">
        <v>20</v>
      </c>
    </row>
    <row r="987" ht="15" customHeight="1" s="39">
      <c r="A987" s="38" t="inlineStr">
        <is>
          <t>2021</t>
        </is>
      </c>
      <c r="B987" s="42" t="inlineStr">
        <is>
          <t>431093</t>
        </is>
      </c>
      <c r="C987" s="38" t="inlineStr">
        <is>
          <t>Y067</t>
        </is>
      </c>
      <c r="D987" s="38" t="inlineStr">
        <is>
          <t>TOTAL</t>
        </is>
      </c>
      <c r="E987" s="38" t="inlineStr">
        <is>
          <t>POP</t>
        </is>
      </c>
      <c r="F987" s="38" t="n">
        <v>20</v>
      </c>
    </row>
    <row r="988" ht="15" customHeight="1" s="39">
      <c r="A988" s="38" t="inlineStr">
        <is>
          <t>2021</t>
        </is>
      </c>
      <c r="B988" s="42" t="inlineStr">
        <is>
          <t>431093</t>
        </is>
      </c>
      <c r="C988" s="38" t="inlineStr">
        <is>
          <t>Y068</t>
        </is>
      </c>
      <c r="D988" s="38" t="inlineStr">
        <is>
          <t>TOTAL</t>
        </is>
      </c>
      <c r="E988" s="38" t="inlineStr">
        <is>
          <t>POP</t>
        </is>
      </c>
      <c r="F988" s="38" t="n">
        <v>19</v>
      </c>
    </row>
    <row r="989" ht="15" customHeight="1" s="39">
      <c r="A989" s="38" t="inlineStr">
        <is>
          <t>2021</t>
        </is>
      </c>
      <c r="B989" s="42" t="inlineStr">
        <is>
          <t>431093</t>
        </is>
      </c>
      <c r="C989" s="38" t="inlineStr">
        <is>
          <t>Y069</t>
        </is>
      </c>
      <c r="D989" s="38" t="inlineStr">
        <is>
          <t>TOTAL</t>
        </is>
      </c>
      <c r="E989" s="38" t="inlineStr">
        <is>
          <t>POP</t>
        </is>
      </c>
      <c r="F989" s="38" t="n">
        <v>20</v>
      </c>
    </row>
    <row r="990" ht="15" customHeight="1" s="39">
      <c r="A990" s="38" t="inlineStr">
        <is>
          <t>2021</t>
        </is>
      </c>
      <c r="B990" s="42" t="inlineStr">
        <is>
          <t>431093</t>
        </is>
      </c>
      <c r="C990" s="38" t="inlineStr">
        <is>
          <t>Y070</t>
        </is>
      </c>
      <c r="D990" s="38" t="inlineStr">
        <is>
          <t>TOTAL</t>
        </is>
      </c>
      <c r="E990" s="38" t="inlineStr">
        <is>
          <t>POP</t>
        </is>
      </c>
      <c r="F990" s="38" t="n">
        <v>18</v>
      </c>
    </row>
    <row r="991" ht="15" customHeight="1" s="39">
      <c r="A991" s="38" t="inlineStr">
        <is>
          <t>2021</t>
        </is>
      </c>
      <c r="B991" s="42" t="inlineStr">
        <is>
          <t>431093</t>
        </is>
      </c>
      <c r="C991" s="38" t="inlineStr">
        <is>
          <t>Y071</t>
        </is>
      </c>
      <c r="D991" s="38" t="inlineStr">
        <is>
          <t>TOTAL</t>
        </is>
      </c>
      <c r="E991" s="38" t="inlineStr">
        <is>
          <t>POP</t>
        </is>
      </c>
      <c r="F991" s="38" t="n">
        <v>25</v>
      </c>
    </row>
    <row r="992" ht="15" customHeight="1" s="39">
      <c r="A992" s="38" t="inlineStr">
        <is>
          <t>2021</t>
        </is>
      </c>
      <c r="B992" s="42" t="inlineStr">
        <is>
          <t>431093</t>
        </is>
      </c>
      <c r="C992" s="38" t="inlineStr">
        <is>
          <t>Y072</t>
        </is>
      </c>
      <c r="D992" s="38" t="inlineStr">
        <is>
          <t>TOTAL</t>
        </is>
      </c>
      <c r="E992" s="38" t="inlineStr">
        <is>
          <t>POP</t>
        </is>
      </c>
      <c r="F992" s="38" t="n">
        <v>21</v>
      </c>
    </row>
    <row r="993" ht="15" customHeight="1" s="39">
      <c r="A993" s="38" t="inlineStr">
        <is>
          <t>2021</t>
        </is>
      </c>
      <c r="B993" s="42" t="inlineStr">
        <is>
          <t>431093</t>
        </is>
      </c>
      <c r="C993" s="38" t="inlineStr">
        <is>
          <t>Y073</t>
        </is>
      </c>
      <c r="D993" s="38" t="inlineStr">
        <is>
          <t>TOTAL</t>
        </is>
      </c>
      <c r="E993" s="38" t="inlineStr">
        <is>
          <t>POP</t>
        </is>
      </c>
      <c r="F993" s="38" t="n">
        <v>18</v>
      </c>
    </row>
    <row r="994" ht="15" customHeight="1" s="39">
      <c r="A994" s="38" t="inlineStr">
        <is>
          <t>2021</t>
        </is>
      </c>
      <c r="B994" s="42" t="inlineStr">
        <is>
          <t>431093</t>
        </is>
      </c>
      <c r="C994" s="38" t="inlineStr">
        <is>
          <t>Y074</t>
        </is>
      </c>
      <c r="D994" s="38" t="inlineStr">
        <is>
          <t>TOTAL</t>
        </is>
      </c>
      <c r="E994" s="38" t="inlineStr">
        <is>
          <t>POP</t>
        </is>
      </c>
      <c r="F994" s="38" t="n">
        <v>20</v>
      </c>
    </row>
    <row r="995" ht="15" customHeight="1" s="39">
      <c r="A995" s="38" t="inlineStr">
        <is>
          <t>2021</t>
        </is>
      </c>
      <c r="B995" s="42" t="inlineStr">
        <is>
          <t>431093</t>
        </is>
      </c>
      <c r="C995" s="38" t="inlineStr">
        <is>
          <t>Y075</t>
        </is>
      </c>
      <c r="D995" s="38" t="inlineStr">
        <is>
          <t>TOTAL</t>
        </is>
      </c>
      <c r="E995" s="38" t="inlineStr">
        <is>
          <t>POP</t>
        </is>
      </c>
      <c r="F995" s="38" t="n">
        <v>15</v>
      </c>
    </row>
    <row r="996" ht="15" customHeight="1" s="39">
      <c r="A996" s="38" t="inlineStr">
        <is>
          <t>2021</t>
        </is>
      </c>
      <c r="B996" s="42" t="inlineStr">
        <is>
          <t>431093</t>
        </is>
      </c>
      <c r="C996" s="38" t="inlineStr">
        <is>
          <t>Y076</t>
        </is>
      </c>
      <c r="D996" s="38" t="inlineStr">
        <is>
          <t>TOTAL</t>
        </is>
      </c>
      <c r="E996" s="38" t="inlineStr">
        <is>
          <t>POP</t>
        </is>
      </c>
      <c r="F996" s="38" t="n">
        <v>10</v>
      </c>
    </row>
    <row r="997" ht="15" customHeight="1" s="39">
      <c r="A997" s="38" t="inlineStr">
        <is>
          <t>2021</t>
        </is>
      </c>
      <c r="B997" s="42" t="inlineStr">
        <is>
          <t>431093</t>
        </is>
      </c>
      <c r="C997" s="38" t="inlineStr">
        <is>
          <t>Y077</t>
        </is>
      </c>
      <c r="D997" s="38" t="inlineStr">
        <is>
          <t>TOTAL</t>
        </is>
      </c>
      <c r="E997" s="38" t="inlineStr">
        <is>
          <t>POP</t>
        </is>
      </c>
      <c r="F997" s="38" t="n">
        <v>12</v>
      </c>
    </row>
    <row r="998" ht="15" customHeight="1" s="39">
      <c r="A998" s="38" t="inlineStr">
        <is>
          <t>2021</t>
        </is>
      </c>
      <c r="B998" s="42" t="inlineStr">
        <is>
          <t>431093</t>
        </is>
      </c>
      <c r="C998" s="38" t="inlineStr">
        <is>
          <t>Y078</t>
        </is>
      </c>
      <c r="D998" s="38" t="inlineStr">
        <is>
          <t>TOTAL</t>
        </is>
      </c>
      <c r="E998" s="38" t="inlineStr">
        <is>
          <t>POP</t>
        </is>
      </c>
      <c r="F998" s="38" t="n">
        <v>13</v>
      </c>
    </row>
    <row r="999" ht="15" customHeight="1" s="39">
      <c r="A999" s="38" t="inlineStr">
        <is>
          <t>2021</t>
        </is>
      </c>
      <c r="B999" s="42" t="inlineStr">
        <is>
          <t>431093</t>
        </is>
      </c>
      <c r="C999" s="38" t="inlineStr">
        <is>
          <t>Y079</t>
        </is>
      </c>
      <c r="D999" s="38" t="inlineStr">
        <is>
          <t>TOTAL</t>
        </is>
      </c>
      <c r="E999" s="38" t="inlineStr">
        <is>
          <t>POP</t>
        </is>
      </c>
      <c r="F999" s="38" t="n">
        <v>4</v>
      </c>
    </row>
    <row r="1000" ht="15" customHeight="1" s="39">
      <c r="A1000" s="38" t="inlineStr">
        <is>
          <t>2021</t>
        </is>
      </c>
      <c r="B1000" s="42" t="inlineStr">
        <is>
          <t>431093</t>
        </is>
      </c>
      <c r="C1000" s="38" t="inlineStr">
        <is>
          <t>Y080</t>
        </is>
      </c>
      <c r="D1000" s="38" t="inlineStr">
        <is>
          <t>TOTAL</t>
        </is>
      </c>
      <c r="E1000" s="38" t="inlineStr">
        <is>
          <t>POP</t>
        </is>
      </c>
      <c r="F1000" s="38" t="n">
        <v>6</v>
      </c>
    </row>
    <row r="1001" ht="15" customHeight="1" s="39">
      <c r="A1001" s="38" t="inlineStr">
        <is>
          <t>2021</t>
        </is>
      </c>
      <c r="B1001" s="42" t="inlineStr">
        <is>
          <t>431093</t>
        </is>
      </c>
      <c r="C1001" s="38" t="inlineStr">
        <is>
          <t>Y081</t>
        </is>
      </c>
      <c r="D1001" s="38" t="inlineStr">
        <is>
          <t>TOTAL</t>
        </is>
      </c>
      <c r="E1001" s="38" t="inlineStr">
        <is>
          <t>POP</t>
        </is>
      </c>
      <c r="F1001" s="38" t="n">
        <v>3</v>
      </c>
    </row>
    <row r="1002" ht="15" customHeight="1" s="39">
      <c r="A1002" s="38" t="inlineStr">
        <is>
          <t>2021</t>
        </is>
      </c>
      <c r="B1002" s="42" t="inlineStr">
        <is>
          <t>431093</t>
        </is>
      </c>
      <c r="C1002" s="38" t="inlineStr">
        <is>
          <t>Y082</t>
        </is>
      </c>
      <c r="D1002" s="38" t="inlineStr">
        <is>
          <t>TOTAL</t>
        </is>
      </c>
      <c r="E1002" s="38" t="inlineStr">
        <is>
          <t>POP</t>
        </is>
      </c>
      <c r="F1002" s="38" t="n">
        <v>6</v>
      </c>
    </row>
    <row r="1003" ht="15" customHeight="1" s="39">
      <c r="A1003" s="38" t="inlineStr">
        <is>
          <t>2021</t>
        </is>
      </c>
      <c r="B1003" s="42" t="inlineStr">
        <is>
          <t>431093</t>
        </is>
      </c>
      <c r="C1003" s="38" t="inlineStr">
        <is>
          <t>Y083</t>
        </is>
      </c>
      <c r="D1003" s="38" t="inlineStr">
        <is>
          <t>TOTAL</t>
        </is>
      </c>
      <c r="E1003" s="38" t="inlineStr">
        <is>
          <t>POP</t>
        </is>
      </c>
      <c r="F1003" s="38" t="n">
        <v>5</v>
      </c>
    </row>
    <row r="1004" ht="15" customHeight="1" s="39">
      <c r="A1004" s="38" t="inlineStr">
        <is>
          <t>2021</t>
        </is>
      </c>
      <c r="B1004" s="42" t="inlineStr">
        <is>
          <t>431093</t>
        </is>
      </c>
      <c r="C1004" s="38" t="inlineStr">
        <is>
          <t>Y084</t>
        </is>
      </c>
      <c r="D1004" s="38" t="inlineStr">
        <is>
          <t>TOTAL</t>
        </is>
      </c>
      <c r="E1004" s="38" t="inlineStr">
        <is>
          <t>POP</t>
        </is>
      </c>
      <c r="F1004" s="38" t="n">
        <v>7</v>
      </c>
    </row>
    <row r="1005" ht="15" customHeight="1" s="39">
      <c r="A1005" s="38" t="inlineStr">
        <is>
          <t>2021</t>
        </is>
      </c>
      <c r="B1005" s="42" t="inlineStr">
        <is>
          <t>431093</t>
        </is>
      </c>
      <c r="C1005" s="38" t="inlineStr">
        <is>
          <t>Y085</t>
        </is>
      </c>
      <c r="D1005" s="38" t="inlineStr">
        <is>
          <t>TOTAL</t>
        </is>
      </c>
      <c r="E1005" s="38" t="inlineStr">
        <is>
          <t>POP</t>
        </is>
      </c>
      <c r="F1005" s="38" t="n">
        <v>13</v>
      </c>
    </row>
    <row r="1006" ht="15" customHeight="1" s="39">
      <c r="A1006" s="38" t="inlineStr">
        <is>
          <t>2021</t>
        </is>
      </c>
      <c r="B1006" s="42" t="inlineStr">
        <is>
          <t>431093</t>
        </is>
      </c>
      <c r="C1006" s="38" t="inlineStr">
        <is>
          <t>Y086</t>
        </is>
      </c>
      <c r="D1006" s="38" t="inlineStr">
        <is>
          <t>TOTAL</t>
        </is>
      </c>
      <c r="E1006" s="38" t="inlineStr">
        <is>
          <t>POP</t>
        </is>
      </c>
      <c r="F1006" s="38" t="n">
        <v>7</v>
      </c>
    </row>
    <row r="1007" ht="15" customHeight="1" s="39">
      <c r="A1007" s="38" t="inlineStr">
        <is>
          <t>2021</t>
        </is>
      </c>
      <c r="B1007" s="42" t="inlineStr">
        <is>
          <t>431093</t>
        </is>
      </c>
      <c r="C1007" s="38" t="inlineStr">
        <is>
          <t>Y087</t>
        </is>
      </c>
      <c r="D1007" s="38" t="inlineStr">
        <is>
          <t>TOTAL</t>
        </is>
      </c>
      <c r="E1007" s="38" t="inlineStr">
        <is>
          <t>POP</t>
        </is>
      </c>
      <c r="F1007" s="38" t="n">
        <v>5</v>
      </c>
    </row>
    <row r="1008" ht="15" customHeight="1" s="39">
      <c r="A1008" s="38" t="inlineStr">
        <is>
          <t>2021</t>
        </is>
      </c>
      <c r="B1008" s="42" t="inlineStr">
        <is>
          <t>431093</t>
        </is>
      </c>
      <c r="C1008" s="38" t="inlineStr">
        <is>
          <t>Y088</t>
        </is>
      </c>
      <c r="D1008" s="38" t="inlineStr">
        <is>
          <t>TOTAL</t>
        </is>
      </c>
      <c r="E1008" s="38" t="inlineStr">
        <is>
          <t>POP</t>
        </is>
      </c>
      <c r="F1008" s="38" t="n">
        <v>4</v>
      </c>
    </row>
    <row r="1009" ht="15" customHeight="1" s="39">
      <c r="A1009" s="38" t="inlineStr">
        <is>
          <t>2021</t>
        </is>
      </c>
      <c r="B1009" s="42" t="inlineStr">
        <is>
          <t>431093</t>
        </is>
      </c>
      <c r="C1009" s="38" t="inlineStr">
        <is>
          <t>Y089</t>
        </is>
      </c>
      <c r="D1009" s="38" t="inlineStr">
        <is>
          <t>TOTAL</t>
        </is>
      </c>
      <c r="E1009" s="38" t="inlineStr">
        <is>
          <t>POP</t>
        </is>
      </c>
      <c r="F1009" s="38" t="n">
        <v>3</v>
      </c>
    </row>
    <row r="1010" ht="15" customHeight="1" s="39">
      <c r="A1010" s="38" t="inlineStr">
        <is>
          <t>2021</t>
        </is>
      </c>
      <c r="B1010" s="42" t="inlineStr">
        <is>
          <t>431093</t>
        </is>
      </c>
      <c r="C1010" s="38" t="inlineStr">
        <is>
          <t>Y090</t>
        </is>
      </c>
      <c r="D1010" s="38" t="inlineStr">
        <is>
          <t>TOTAL</t>
        </is>
      </c>
      <c r="E1010" s="38" t="inlineStr">
        <is>
          <t>POP</t>
        </is>
      </c>
      <c r="F1010" s="38" t="n">
        <v>4</v>
      </c>
    </row>
    <row r="1011" ht="15" customHeight="1" s="39">
      <c r="A1011" s="38" t="inlineStr">
        <is>
          <t>2021</t>
        </is>
      </c>
      <c r="B1011" s="42" t="inlineStr">
        <is>
          <t>431093</t>
        </is>
      </c>
      <c r="C1011" s="38" t="inlineStr">
        <is>
          <t>Y091</t>
        </is>
      </c>
      <c r="D1011" s="38" t="inlineStr">
        <is>
          <t>TOTAL</t>
        </is>
      </c>
      <c r="E1011" s="38" t="inlineStr">
        <is>
          <t>POP</t>
        </is>
      </c>
      <c r="F1011" s="38" t="n">
        <v>5</v>
      </c>
    </row>
    <row r="1012" ht="15" customHeight="1" s="39">
      <c r="A1012" s="38" t="inlineStr">
        <is>
          <t>2021</t>
        </is>
      </c>
      <c r="B1012" s="42" t="inlineStr">
        <is>
          <t>431093</t>
        </is>
      </c>
      <c r="C1012" s="38" t="inlineStr">
        <is>
          <t>Y092</t>
        </is>
      </c>
      <c r="D1012" s="38" t="inlineStr">
        <is>
          <t>TOTAL</t>
        </is>
      </c>
      <c r="E1012" s="38" t="inlineStr">
        <is>
          <t>POP</t>
        </is>
      </c>
      <c r="F1012" s="38" t="n">
        <v>2</v>
      </c>
    </row>
    <row r="1013" ht="15" customHeight="1" s="39">
      <c r="A1013" s="38" t="inlineStr">
        <is>
          <t>2021</t>
        </is>
      </c>
      <c r="B1013" s="42" t="inlineStr">
        <is>
          <t>431093</t>
        </is>
      </c>
      <c r="C1013" s="38" t="inlineStr">
        <is>
          <t>Y093</t>
        </is>
      </c>
      <c r="D1013" s="38" t="inlineStr">
        <is>
          <t>TOTAL</t>
        </is>
      </c>
      <c r="E1013" s="38" t="inlineStr">
        <is>
          <t>POP</t>
        </is>
      </c>
      <c r="F1013" s="38" t="n">
        <v>3</v>
      </c>
    </row>
    <row r="1014" ht="15" customHeight="1" s="39">
      <c r="A1014" s="38" t="inlineStr">
        <is>
          <t>2021</t>
        </is>
      </c>
      <c r="B1014" s="42" t="inlineStr">
        <is>
          <t>431093</t>
        </is>
      </c>
      <c r="C1014" s="38" t="inlineStr">
        <is>
          <t>Y094</t>
        </is>
      </c>
      <c r="D1014" s="38" t="inlineStr">
        <is>
          <t>TOTAL</t>
        </is>
      </c>
      <c r="E1014" s="38" t="inlineStr">
        <is>
          <t>POP</t>
        </is>
      </c>
      <c r="F1014" s="38" t="n">
        <v>1</v>
      </c>
    </row>
    <row r="1015" ht="15" customHeight="1" s="39">
      <c r="A1015" s="38" t="inlineStr">
        <is>
          <t>2021</t>
        </is>
      </c>
      <c r="B1015" s="42" t="inlineStr">
        <is>
          <t>431093</t>
        </is>
      </c>
      <c r="C1015" s="38" t="inlineStr">
        <is>
          <t>Y095</t>
        </is>
      </c>
      <c r="D1015" s="38" t="inlineStr">
        <is>
          <t>TOTAL</t>
        </is>
      </c>
      <c r="E1015" s="38" t="inlineStr">
        <is>
          <t>POP</t>
        </is>
      </c>
      <c r="F1015" s="38" t="n">
        <v>1</v>
      </c>
    </row>
    <row r="1016" ht="15" customHeight="1" s="39">
      <c r="A1016" s="38" t="inlineStr">
        <is>
          <t>2021</t>
        </is>
      </c>
      <c r="B1016" s="42" t="inlineStr">
        <is>
          <t>431093</t>
        </is>
      </c>
      <c r="C1016" s="38" t="inlineStr">
        <is>
          <t>Y096</t>
        </is>
      </c>
      <c r="D1016" s="38" t="inlineStr">
        <is>
          <t>TOTAL</t>
        </is>
      </c>
      <c r="E1016" s="38" t="inlineStr">
        <is>
          <t>POP</t>
        </is>
      </c>
      <c r="F1016" s="38" t="n">
        <v>1</v>
      </c>
    </row>
    <row r="1017" ht="15" customHeight="1" s="39">
      <c r="A1017" s="38" t="inlineStr">
        <is>
          <t>2021</t>
        </is>
      </c>
      <c r="B1017" s="42" t="inlineStr">
        <is>
          <t>431093</t>
        </is>
      </c>
      <c r="C1017" s="38" t="inlineStr">
        <is>
          <t>Y097</t>
        </is>
      </c>
      <c r="D1017" s="38" t="inlineStr">
        <is>
          <t>TOTAL</t>
        </is>
      </c>
      <c r="E1017" s="38" t="inlineStr">
        <is>
          <t>POP</t>
        </is>
      </c>
      <c r="F1017" s="38" t="n">
        <v>1</v>
      </c>
    </row>
    <row r="1018" ht="15" customHeight="1" s="39">
      <c r="A1018" s="38" t="inlineStr">
        <is>
          <t>2021</t>
        </is>
      </c>
      <c r="B1018" s="42" t="inlineStr">
        <is>
          <t>431093</t>
        </is>
      </c>
      <c r="C1018" s="38" t="inlineStr">
        <is>
          <t>Y098</t>
        </is>
      </c>
      <c r="D1018" s="38" t="inlineStr">
        <is>
          <t>TOTAL</t>
        </is>
      </c>
      <c r="E1018" s="38" t="inlineStr">
        <is>
          <t>POP</t>
        </is>
      </c>
      <c r="F1018" s="38" t="n">
        <v>0</v>
      </c>
    </row>
    <row r="1019" ht="15" customHeight="1" s="39">
      <c r="A1019" s="38" t="inlineStr">
        <is>
          <t>2021</t>
        </is>
      </c>
      <c r="B1019" s="42" t="inlineStr">
        <is>
          <t>431093</t>
        </is>
      </c>
      <c r="C1019" s="38" t="inlineStr">
        <is>
          <t>Y099</t>
        </is>
      </c>
      <c r="D1019" s="38" t="inlineStr">
        <is>
          <t>TOTAL</t>
        </is>
      </c>
      <c r="E1019" s="38" t="inlineStr">
        <is>
          <t>POP</t>
        </is>
      </c>
      <c r="F1019" s="38" t="n">
        <v>1</v>
      </c>
    </row>
    <row r="1020" ht="15" customHeight="1" s="39">
      <c r="A1020" s="38" t="inlineStr">
        <is>
          <t>2021</t>
        </is>
      </c>
      <c r="B1020" s="42" t="inlineStr">
        <is>
          <t>431093</t>
        </is>
      </c>
      <c r="C1020" s="38" t="inlineStr">
        <is>
          <t>Y_GE100</t>
        </is>
      </c>
      <c r="D1020" s="38" t="inlineStr">
        <is>
          <t>TOTAL</t>
        </is>
      </c>
      <c r="E1020" s="38" t="inlineStr">
        <is>
          <t>POP</t>
        </is>
      </c>
      <c r="F1020" s="38" t="n">
        <v>0</v>
      </c>
    </row>
    <row r="1021" ht="15" customHeight="1" s="39">
      <c r="A1021" s="38" t="inlineStr">
        <is>
          <t>2021</t>
        </is>
      </c>
      <c r="B1021" s="42" t="inlineStr">
        <is>
          <t>431093</t>
        </is>
      </c>
      <c r="C1021" s="38" t="inlineStr">
        <is>
          <t>TOTAL</t>
        </is>
      </c>
      <c r="D1021" s="38" t="inlineStr">
        <is>
          <t>TOTAL</t>
        </is>
      </c>
      <c r="E1021" s="38" t="inlineStr">
        <is>
          <t>POP</t>
        </is>
      </c>
      <c r="F1021" s="38" t="n">
        <v>4044</v>
      </c>
    </row>
    <row r="1022" ht="15" customHeight="1" s="39">
      <c r="A1022" s="38" t="inlineStr">
        <is>
          <t>2021</t>
        </is>
      </c>
      <c r="B1022" s="42" t="inlineStr">
        <is>
          <t>431114</t>
        </is>
      </c>
      <c r="C1022" s="38" t="inlineStr">
        <is>
          <t>Y000</t>
        </is>
      </c>
      <c r="D1022" s="38" t="inlineStr">
        <is>
          <t>TOTAL</t>
        </is>
      </c>
      <c r="E1022" s="38" t="inlineStr">
        <is>
          <t>POP</t>
        </is>
      </c>
      <c r="F1022" s="38" t="n">
        <v>17</v>
      </c>
    </row>
    <row r="1023" ht="15" customHeight="1" s="39">
      <c r="A1023" s="38" t="inlineStr">
        <is>
          <t>2021</t>
        </is>
      </c>
      <c r="B1023" s="42" t="inlineStr">
        <is>
          <t>431114</t>
        </is>
      </c>
      <c r="C1023" s="38" t="inlineStr">
        <is>
          <t>Y001</t>
        </is>
      </c>
      <c r="D1023" s="38" t="inlineStr">
        <is>
          <t>TOTAL</t>
        </is>
      </c>
      <c r="E1023" s="38" t="inlineStr">
        <is>
          <t>POP</t>
        </is>
      </c>
      <c r="F1023" s="38" t="n">
        <v>18</v>
      </c>
    </row>
    <row r="1024" ht="15" customHeight="1" s="39">
      <c r="A1024" s="38" t="inlineStr">
        <is>
          <t>2021</t>
        </is>
      </c>
      <c r="B1024" s="42" t="inlineStr">
        <is>
          <t>431114</t>
        </is>
      </c>
      <c r="C1024" s="38" t="inlineStr">
        <is>
          <t>Y002</t>
        </is>
      </c>
      <c r="D1024" s="38" t="inlineStr">
        <is>
          <t>TOTAL</t>
        </is>
      </c>
      <c r="E1024" s="38" t="inlineStr">
        <is>
          <t>POP</t>
        </is>
      </c>
      <c r="F1024" s="38" t="n">
        <v>16</v>
      </c>
    </row>
    <row r="1025" ht="15" customHeight="1" s="39">
      <c r="A1025" s="38" t="inlineStr">
        <is>
          <t>2021</t>
        </is>
      </c>
      <c r="B1025" s="42" t="inlineStr">
        <is>
          <t>431114</t>
        </is>
      </c>
      <c r="C1025" s="38" t="inlineStr">
        <is>
          <t>Y003</t>
        </is>
      </c>
      <c r="D1025" s="38" t="inlineStr">
        <is>
          <t>TOTAL</t>
        </is>
      </c>
      <c r="E1025" s="38" t="inlineStr">
        <is>
          <t>POP</t>
        </is>
      </c>
      <c r="F1025" s="38" t="n">
        <v>21</v>
      </c>
    </row>
    <row r="1026" ht="15" customHeight="1" s="39">
      <c r="A1026" s="38" t="inlineStr">
        <is>
          <t>2021</t>
        </is>
      </c>
      <c r="B1026" s="42" t="inlineStr">
        <is>
          <t>431114</t>
        </is>
      </c>
      <c r="C1026" s="38" t="inlineStr">
        <is>
          <t>Y004</t>
        </is>
      </c>
      <c r="D1026" s="38" t="inlineStr">
        <is>
          <t>TOTAL</t>
        </is>
      </c>
      <c r="E1026" s="38" t="inlineStr">
        <is>
          <t>POP</t>
        </is>
      </c>
      <c r="F1026" s="38" t="n">
        <v>30</v>
      </c>
    </row>
    <row r="1027" ht="15" customHeight="1" s="39">
      <c r="A1027" s="38" t="inlineStr">
        <is>
          <t>2021</t>
        </is>
      </c>
      <c r="B1027" s="42" t="inlineStr">
        <is>
          <t>431114</t>
        </is>
      </c>
      <c r="C1027" s="38" t="inlineStr">
        <is>
          <t>Y005</t>
        </is>
      </c>
      <c r="D1027" s="38" t="inlineStr">
        <is>
          <t>TOTAL</t>
        </is>
      </c>
      <c r="E1027" s="38" t="inlineStr">
        <is>
          <t>POP</t>
        </is>
      </c>
      <c r="F1027" s="38" t="n">
        <v>25</v>
      </c>
    </row>
    <row r="1028" ht="15" customHeight="1" s="39">
      <c r="A1028" s="38" t="inlineStr">
        <is>
          <t>2021</t>
        </is>
      </c>
      <c r="B1028" s="42" t="inlineStr">
        <is>
          <t>431114</t>
        </is>
      </c>
      <c r="C1028" s="38" t="inlineStr">
        <is>
          <t>Y006</t>
        </is>
      </c>
      <c r="D1028" s="38" t="inlineStr">
        <is>
          <t>TOTAL</t>
        </is>
      </c>
      <c r="E1028" s="38" t="inlineStr">
        <is>
          <t>POP</t>
        </is>
      </c>
      <c r="F1028" s="38" t="n">
        <v>38</v>
      </c>
    </row>
    <row r="1029" ht="15" customHeight="1" s="39">
      <c r="A1029" s="38" t="inlineStr">
        <is>
          <t>2021</t>
        </is>
      </c>
      <c r="B1029" s="42" t="inlineStr">
        <is>
          <t>431114</t>
        </is>
      </c>
      <c r="C1029" s="38" t="inlineStr">
        <is>
          <t>Y007</t>
        </is>
      </c>
      <c r="D1029" s="38" t="inlineStr">
        <is>
          <t>TOTAL</t>
        </is>
      </c>
      <c r="E1029" s="38" t="inlineStr">
        <is>
          <t>POP</t>
        </is>
      </c>
      <c r="F1029" s="38" t="n">
        <v>20</v>
      </c>
    </row>
    <row r="1030" ht="15" customHeight="1" s="39">
      <c r="A1030" s="38" t="inlineStr">
        <is>
          <t>2021</t>
        </is>
      </c>
      <c r="B1030" s="42" t="inlineStr">
        <is>
          <t>431114</t>
        </is>
      </c>
      <c r="C1030" s="38" t="inlineStr">
        <is>
          <t>Y008</t>
        </is>
      </c>
      <c r="D1030" s="38" t="inlineStr">
        <is>
          <t>TOTAL</t>
        </is>
      </c>
      <c r="E1030" s="38" t="inlineStr">
        <is>
          <t>POP</t>
        </is>
      </c>
      <c r="F1030" s="38" t="n">
        <v>34</v>
      </c>
    </row>
    <row r="1031" ht="15" customHeight="1" s="39">
      <c r="A1031" s="38" t="inlineStr">
        <is>
          <t>2021</t>
        </is>
      </c>
      <c r="B1031" s="42" t="inlineStr">
        <is>
          <t>431114</t>
        </is>
      </c>
      <c r="C1031" s="38" t="inlineStr">
        <is>
          <t>Y009</t>
        </is>
      </c>
      <c r="D1031" s="38" t="inlineStr">
        <is>
          <t>TOTAL</t>
        </is>
      </c>
      <c r="E1031" s="38" t="inlineStr">
        <is>
          <t>POP</t>
        </is>
      </c>
      <c r="F1031" s="38" t="n">
        <v>33</v>
      </c>
    </row>
    <row r="1032" ht="15" customHeight="1" s="39">
      <c r="A1032" s="38" t="inlineStr">
        <is>
          <t>2021</t>
        </is>
      </c>
      <c r="B1032" s="42" t="inlineStr">
        <is>
          <t>431114</t>
        </is>
      </c>
      <c r="C1032" s="38" t="inlineStr">
        <is>
          <t>Y010</t>
        </is>
      </c>
      <c r="D1032" s="38" t="inlineStr">
        <is>
          <t>TOTAL</t>
        </is>
      </c>
      <c r="E1032" s="38" t="inlineStr">
        <is>
          <t>POP</t>
        </is>
      </c>
      <c r="F1032" s="38" t="n">
        <v>31</v>
      </c>
    </row>
    <row r="1033" ht="15" customHeight="1" s="39">
      <c r="A1033" s="38" t="inlineStr">
        <is>
          <t>2021</t>
        </is>
      </c>
      <c r="B1033" s="42" t="inlineStr">
        <is>
          <t>431114</t>
        </is>
      </c>
      <c r="C1033" s="38" t="inlineStr">
        <is>
          <t>Y011</t>
        </is>
      </c>
      <c r="D1033" s="38" t="inlineStr">
        <is>
          <t>TOTAL</t>
        </is>
      </c>
      <c r="E1033" s="38" t="inlineStr">
        <is>
          <t>POP</t>
        </is>
      </c>
      <c r="F1033" s="38" t="n">
        <v>38</v>
      </c>
    </row>
    <row r="1034" ht="15" customHeight="1" s="39">
      <c r="A1034" s="38" t="inlineStr">
        <is>
          <t>2021</t>
        </is>
      </c>
      <c r="B1034" s="42" t="inlineStr">
        <is>
          <t>431114</t>
        </is>
      </c>
      <c r="C1034" s="38" t="inlineStr">
        <is>
          <t>Y012</t>
        </is>
      </c>
      <c r="D1034" s="38" t="inlineStr">
        <is>
          <t>TOTAL</t>
        </is>
      </c>
      <c r="E1034" s="38" t="inlineStr">
        <is>
          <t>POP</t>
        </is>
      </c>
      <c r="F1034" s="38" t="n">
        <v>44</v>
      </c>
    </row>
    <row r="1035" ht="15" customHeight="1" s="39">
      <c r="A1035" s="38" t="inlineStr">
        <is>
          <t>2021</t>
        </is>
      </c>
      <c r="B1035" s="42" t="inlineStr">
        <is>
          <t>431114</t>
        </is>
      </c>
      <c r="C1035" s="38" t="inlineStr">
        <is>
          <t>Y013</t>
        </is>
      </c>
      <c r="D1035" s="38" t="inlineStr">
        <is>
          <t>TOTAL</t>
        </is>
      </c>
      <c r="E1035" s="38" t="inlineStr">
        <is>
          <t>POP</t>
        </is>
      </c>
      <c r="F1035" s="38" t="n">
        <v>33</v>
      </c>
    </row>
    <row r="1036" ht="15" customHeight="1" s="39">
      <c r="A1036" s="38" t="inlineStr">
        <is>
          <t>2021</t>
        </is>
      </c>
      <c r="B1036" s="42" t="inlineStr">
        <is>
          <t>431114</t>
        </is>
      </c>
      <c r="C1036" s="38" t="inlineStr">
        <is>
          <t>Y014</t>
        </is>
      </c>
      <c r="D1036" s="38" t="inlineStr">
        <is>
          <t>TOTAL</t>
        </is>
      </c>
      <c r="E1036" s="38" t="inlineStr">
        <is>
          <t>POP</t>
        </is>
      </c>
      <c r="F1036" s="38" t="n">
        <v>47</v>
      </c>
    </row>
    <row r="1037" ht="15" customHeight="1" s="39">
      <c r="A1037" s="38" t="inlineStr">
        <is>
          <t>2021</t>
        </is>
      </c>
      <c r="B1037" s="42" t="inlineStr">
        <is>
          <t>431114</t>
        </is>
      </c>
      <c r="C1037" s="38" t="inlineStr">
        <is>
          <t>Y015</t>
        </is>
      </c>
      <c r="D1037" s="38" t="inlineStr">
        <is>
          <t>TOTAL</t>
        </is>
      </c>
      <c r="E1037" s="38" t="inlineStr">
        <is>
          <t>POP</t>
        </is>
      </c>
      <c r="F1037" s="38" t="n">
        <v>40</v>
      </c>
    </row>
    <row r="1038" ht="15" customHeight="1" s="39">
      <c r="A1038" s="38" t="inlineStr">
        <is>
          <t>2021</t>
        </is>
      </c>
      <c r="B1038" s="42" t="inlineStr">
        <is>
          <t>431114</t>
        </is>
      </c>
      <c r="C1038" s="38" t="inlineStr">
        <is>
          <t>Y016</t>
        </is>
      </c>
      <c r="D1038" s="38" t="inlineStr">
        <is>
          <t>TOTAL</t>
        </is>
      </c>
      <c r="E1038" s="38" t="inlineStr">
        <is>
          <t>POP</t>
        </is>
      </c>
      <c r="F1038" s="38" t="n">
        <v>33</v>
      </c>
    </row>
    <row r="1039" ht="15" customHeight="1" s="39">
      <c r="A1039" s="38" t="inlineStr">
        <is>
          <t>2021</t>
        </is>
      </c>
      <c r="B1039" s="42" t="inlineStr">
        <is>
          <t>431114</t>
        </is>
      </c>
      <c r="C1039" s="38" t="inlineStr">
        <is>
          <t>Y017</t>
        </is>
      </c>
      <c r="D1039" s="38" t="inlineStr">
        <is>
          <t>TOTAL</t>
        </is>
      </c>
      <c r="E1039" s="38" t="inlineStr">
        <is>
          <t>POP</t>
        </is>
      </c>
      <c r="F1039" s="38" t="n">
        <v>31</v>
      </c>
    </row>
    <row r="1040" ht="15" customHeight="1" s="39">
      <c r="A1040" s="38" t="inlineStr">
        <is>
          <t>2021</t>
        </is>
      </c>
      <c r="B1040" s="42" t="inlineStr">
        <is>
          <t>431114</t>
        </is>
      </c>
      <c r="C1040" s="38" t="inlineStr">
        <is>
          <t>Y018</t>
        </is>
      </c>
      <c r="D1040" s="38" t="inlineStr">
        <is>
          <t>TOTAL</t>
        </is>
      </c>
      <c r="E1040" s="38" t="inlineStr">
        <is>
          <t>POP</t>
        </is>
      </c>
      <c r="F1040" s="38" t="n">
        <v>32</v>
      </c>
    </row>
    <row r="1041" ht="15" customHeight="1" s="39">
      <c r="A1041" s="38" t="inlineStr">
        <is>
          <t>2021</t>
        </is>
      </c>
      <c r="B1041" s="42" t="inlineStr">
        <is>
          <t>431114</t>
        </is>
      </c>
      <c r="C1041" s="38" t="inlineStr">
        <is>
          <t>Y019</t>
        </is>
      </c>
      <c r="D1041" s="38" t="inlineStr">
        <is>
          <t>TOTAL</t>
        </is>
      </c>
      <c r="E1041" s="38" t="inlineStr">
        <is>
          <t>POP</t>
        </is>
      </c>
      <c r="F1041" s="38" t="n">
        <v>23</v>
      </c>
    </row>
    <row r="1042" ht="15" customHeight="1" s="39">
      <c r="A1042" s="38" t="inlineStr">
        <is>
          <t>2021</t>
        </is>
      </c>
      <c r="B1042" s="42" t="inlineStr">
        <is>
          <t>431114</t>
        </is>
      </c>
      <c r="C1042" s="38" t="inlineStr">
        <is>
          <t>Y020</t>
        </is>
      </c>
      <c r="D1042" s="38" t="inlineStr">
        <is>
          <t>TOTAL</t>
        </is>
      </c>
      <c r="E1042" s="38" t="inlineStr">
        <is>
          <t>POP</t>
        </is>
      </c>
      <c r="F1042" s="38" t="n">
        <v>23</v>
      </c>
    </row>
    <row r="1043" ht="15" customHeight="1" s="39">
      <c r="A1043" s="38" t="inlineStr">
        <is>
          <t>2021</t>
        </is>
      </c>
      <c r="B1043" s="42" t="inlineStr">
        <is>
          <t>431114</t>
        </is>
      </c>
      <c r="C1043" s="38" t="inlineStr">
        <is>
          <t>Y021</t>
        </is>
      </c>
      <c r="D1043" s="38" t="inlineStr">
        <is>
          <t>TOTAL</t>
        </is>
      </c>
      <c r="E1043" s="38" t="inlineStr">
        <is>
          <t>POP</t>
        </is>
      </c>
      <c r="F1043" s="38" t="n">
        <v>30</v>
      </c>
    </row>
    <row r="1044" ht="15" customHeight="1" s="39">
      <c r="A1044" s="38" t="inlineStr">
        <is>
          <t>2021</t>
        </is>
      </c>
      <c r="B1044" s="42" t="inlineStr">
        <is>
          <t>431114</t>
        </is>
      </c>
      <c r="C1044" s="38" t="inlineStr">
        <is>
          <t>Y022</t>
        </is>
      </c>
      <c r="D1044" s="38" t="inlineStr">
        <is>
          <t>TOTAL</t>
        </is>
      </c>
      <c r="E1044" s="38" t="inlineStr">
        <is>
          <t>POP</t>
        </is>
      </c>
      <c r="F1044" s="38" t="n">
        <v>26</v>
      </c>
    </row>
    <row r="1045" ht="15" customHeight="1" s="39">
      <c r="A1045" s="38" t="inlineStr">
        <is>
          <t>2021</t>
        </is>
      </c>
      <c r="B1045" s="42" t="inlineStr">
        <is>
          <t>431114</t>
        </is>
      </c>
      <c r="C1045" s="38" t="inlineStr">
        <is>
          <t>Y023</t>
        </is>
      </c>
      <c r="D1045" s="38" t="inlineStr">
        <is>
          <t>TOTAL</t>
        </is>
      </c>
      <c r="E1045" s="38" t="inlineStr">
        <is>
          <t>POP</t>
        </is>
      </c>
      <c r="F1045" s="38" t="n">
        <v>22</v>
      </c>
    </row>
    <row r="1046" ht="15" customHeight="1" s="39">
      <c r="A1046" s="38" t="inlineStr">
        <is>
          <t>2021</t>
        </is>
      </c>
      <c r="B1046" s="42" t="inlineStr">
        <is>
          <t>431114</t>
        </is>
      </c>
      <c r="C1046" s="38" t="inlineStr">
        <is>
          <t>Y024</t>
        </is>
      </c>
      <c r="D1046" s="38" t="inlineStr">
        <is>
          <t>TOTAL</t>
        </is>
      </c>
      <c r="E1046" s="38" t="inlineStr">
        <is>
          <t>POP</t>
        </is>
      </c>
      <c r="F1046" s="38" t="n">
        <v>30</v>
      </c>
    </row>
    <row r="1047" ht="15" customHeight="1" s="39">
      <c r="A1047" s="38" t="inlineStr">
        <is>
          <t>2021</t>
        </is>
      </c>
      <c r="B1047" s="42" t="inlineStr">
        <is>
          <t>431114</t>
        </is>
      </c>
      <c r="C1047" s="38" t="inlineStr">
        <is>
          <t>Y025</t>
        </is>
      </c>
      <c r="D1047" s="38" t="inlineStr">
        <is>
          <t>TOTAL</t>
        </is>
      </c>
      <c r="E1047" s="38" t="inlineStr">
        <is>
          <t>POP</t>
        </is>
      </c>
      <c r="F1047" s="38" t="n">
        <v>21</v>
      </c>
    </row>
    <row r="1048" ht="15" customHeight="1" s="39">
      <c r="A1048" s="38" t="inlineStr">
        <is>
          <t>2021</t>
        </is>
      </c>
      <c r="B1048" s="42" t="inlineStr">
        <is>
          <t>431114</t>
        </is>
      </c>
      <c r="C1048" s="38" t="inlineStr">
        <is>
          <t>Y026</t>
        </is>
      </c>
      <c r="D1048" s="38" t="inlineStr">
        <is>
          <t>TOTAL</t>
        </is>
      </c>
      <c r="E1048" s="38" t="inlineStr">
        <is>
          <t>POP</t>
        </is>
      </c>
      <c r="F1048" s="38" t="n">
        <v>21</v>
      </c>
    </row>
    <row r="1049" ht="15" customHeight="1" s="39">
      <c r="A1049" s="38" t="inlineStr">
        <is>
          <t>2021</t>
        </is>
      </c>
      <c r="B1049" s="42" t="inlineStr">
        <is>
          <t>431114</t>
        </is>
      </c>
      <c r="C1049" s="38" t="inlineStr">
        <is>
          <t>Y027</t>
        </is>
      </c>
      <c r="D1049" s="38" t="inlineStr">
        <is>
          <t>TOTAL</t>
        </is>
      </c>
      <c r="E1049" s="38" t="inlineStr">
        <is>
          <t>POP</t>
        </is>
      </c>
      <c r="F1049" s="38" t="n">
        <v>34</v>
      </c>
    </row>
    <row r="1050" ht="15" customHeight="1" s="39">
      <c r="A1050" s="38" t="inlineStr">
        <is>
          <t>2021</t>
        </is>
      </c>
      <c r="B1050" s="42" t="inlineStr">
        <is>
          <t>431114</t>
        </is>
      </c>
      <c r="C1050" s="38" t="inlineStr">
        <is>
          <t>Y028</t>
        </is>
      </c>
      <c r="D1050" s="38" t="inlineStr">
        <is>
          <t>TOTAL</t>
        </is>
      </c>
      <c r="E1050" s="38" t="inlineStr">
        <is>
          <t>POP</t>
        </is>
      </c>
      <c r="F1050" s="38" t="n">
        <v>25</v>
      </c>
    </row>
    <row r="1051" ht="15" customHeight="1" s="39">
      <c r="A1051" s="38" t="inlineStr">
        <is>
          <t>2021</t>
        </is>
      </c>
      <c r="B1051" s="42" t="inlineStr">
        <is>
          <t>431114</t>
        </is>
      </c>
      <c r="C1051" s="38" t="inlineStr">
        <is>
          <t>Y029</t>
        </is>
      </c>
      <c r="D1051" s="38" t="inlineStr">
        <is>
          <t>TOTAL</t>
        </is>
      </c>
      <c r="E1051" s="38" t="inlineStr">
        <is>
          <t>POP</t>
        </is>
      </c>
      <c r="F1051" s="38" t="n">
        <v>25</v>
      </c>
    </row>
    <row r="1052" ht="15" customHeight="1" s="39">
      <c r="A1052" s="38" t="inlineStr">
        <is>
          <t>2021</t>
        </is>
      </c>
      <c r="B1052" s="42" t="inlineStr">
        <is>
          <t>431114</t>
        </is>
      </c>
      <c r="C1052" s="38" t="inlineStr">
        <is>
          <t>Y030</t>
        </is>
      </c>
      <c r="D1052" s="38" t="inlineStr">
        <is>
          <t>TOTAL</t>
        </is>
      </c>
      <c r="E1052" s="38" t="inlineStr">
        <is>
          <t>POP</t>
        </is>
      </c>
      <c r="F1052" s="38" t="n">
        <v>29</v>
      </c>
    </row>
    <row r="1053" ht="15" customHeight="1" s="39">
      <c r="A1053" s="38" t="inlineStr">
        <is>
          <t>2021</t>
        </is>
      </c>
      <c r="B1053" s="42" t="inlineStr">
        <is>
          <t>431114</t>
        </is>
      </c>
      <c r="C1053" s="38" t="inlineStr">
        <is>
          <t>Y031</t>
        </is>
      </c>
      <c r="D1053" s="38" t="inlineStr">
        <is>
          <t>TOTAL</t>
        </is>
      </c>
      <c r="E1053" s="38" t="inlineStr">
        <is>
          <t>POP</t>
        </is>
      </c>
      <c r="F1053" s="38" t="n">
        <v>23</v>
      </c>
    </row>
    <row r="1054" ht="15" customHeight="1" s="39">
      <c r="A1054" s="38" t="inlineStr">
        <is>
          <t>2021</t>
        </is>
      </c>
      <c r="B1054" s="42" t="inlineStr">
        <is>
          <t>431114</t>
        </is>
      </c>
      <c r="C1054" s="38" t="inlineStr">
        <is>
          <t>Y032</t>
        </is>
      </c>
      <c r="D1054" s="38" t="inlineStr">
        <is>
          <t>TOTAL</t>
        </is>
      </c>
      <c r="E1054" s="38" t="inlineStr">
        <is>
          <t>POP</t>
        </is>
      </c>
      <c r="F1054" s="38" t="n">
        <v>29</v>
      </c>
    </row>
    <row r="1055" ht="15" customHeight="1" s="39">
      <c r="A1055" s="38" t="inlineStr">
        <is>
          <t>2021</t>
        </is>
      </c>
      <c r="B1055" s="42" t="inlineStr">
        <is>
          <t>431114</t>
        </is>
      </c>
      <c r="C1055" s="38" t="inlineStr">
        <is>
          <t>Y033</t>
        </is>
      </c>
      <c r="D1055" s="38" t="inlineStr">
        <is>
          <t>TOTAL</t>
        </is>
      </c>
      <c r="E1055" s="38" t="inlineStr">
        <is>
          <t>POP</t>
        </is>
      </c>
      <c r="F1055" s="38" t="n">
        <v>36</v>
      </c>
    </row>
    <row r="1056" ht="15" customHeight="1" s="39">
      <c r="A1056" s="38" t="inlineStr">
        <is>
          <t>2021</t>
        </is>
      </c>
      <c r="B1056" s="42" t="inlineStr">
        <is>
          <t>431114</t>
        </is>
      </c>
      <c r="C1056" s="38" t="inlineStr">
        <is>
          <t>Y034</t>
        </is>
      </c>
      <c r="D1056" s="38" t="inlineStr">
        <is>
          <t>TOTAL</t>
        </is>
      </c>
      <c r="E1056" s="38" t="inlineStr">
        <is>
          <t>POP</t>
        </is>
      </c>
      <c r="F1056" s="38" t="n">
        <v>28</v>
      </c>
    </row>
    <row r="1057" ht="15" customHeight="1" s="39">
      <c r="A1057" s="38" t="inlineStr">
        <is>
          <t>2021</t>
        </is>
      </c>
      <c r="B1057" s="42" t="inlineStr">
        <is>
          <t>431114</t>
        </is>
      </c>
      <c r="C1057" s="38" t="inlineStr">
        <is>
          <t>Y035</t>
        </is>
      </c>
      <c r="D1057" s="38" t="inlineStr">
        <is>
          <t>TOTAL</t>
        </is>
      </c>
      <c r="E1057" s="38" t="inlineStr">
        <is>
          <t>POP</t>
        </is>
      </c>
      <c r="F1057" s="38" t="n">
        <v>41</v>
      </c>
    </row>
    <row r="1058" ht="15" customHeight="1" s="39">
      <c r="A1058" s="38" t="inlineStr">
        <is>
          <t>2021</t>
        </is>
      </c>
      <c r="B1058" s="42" t="inlineStr">
        <is>
          <t>431114</t>
        </is>
      </c>
      <c r="C1058" s="38" t="inlineStr">
        <is>
          <t>Y036</t>
        </is>
      </c>
      <c r="D1058" s="38" t="inlineStr">
        <is>
          <t>TOTAL</t>
        </is>
      </c>
      <c r="E1058" s="38" t="inlineStr">
        <is>
          <t>POP</t>
        </is>
      </c>
      <c r="F1058" s="38" t="n">
        <v>36</v>
      </c>
    </row>
    <row r="1059" ht="15" customHeight="1" s="39">
      <c r="A1059" s="38" t="inlineStr">
        <is>
          <t>2021</t>
        </is>
      </c>
      <c r="B1059" s="42" t="inlineStr">
        <is>
          <t>431114</t>
        </is>
      </c>
      <c r="C1059" s="38" t="inlineStr">
        <is>
          <t>Y037</t>
        </is>
      </c>
      <c r="D1059" s="38" t="inlineStr">
        <is>
          <t>TOTAL</t>
        </is>
      </c>
      <c r="E1059" s="38" t="inlineStr">
        <is>
          <t>POP</t>
        </is>
      </c>
      <c r="F1059" s="38" t="n">
        <v>33</v>
      </c>
    </row>
    <row r="1060" ht="15" customHeight="1" s="39">
      <c r="A1060" s="38" t="inlineStr">
        <is>
          <t>2021</t>
        </is>
      </c>
      <c r="B1060" s="42" t="inlineStr">
        <is>
          <t>431114</t>
        </is>
      </c>
      <c r="C1060" s="38" t="inlineStr">
        <is>
          <t>Y038</t>
        </is>
      </c>
      <c r="D1060" s="38" t="inlineStr">
        <is>
          <t>TOTAL</t>
        </is>
      </c>
      <c r="E1060" s="38" t="inlineStr">
        <is>
          <t>POP</t>
        </is>
      </c>
      <c r="F1060" s="38" t="n">
        <v>39</v>
      </c>
    </row>
    <row r="1061" ht="15" customHeight="1" s="39">
      <c r="A1061" s="38" t="inlineStr">
        <is>
          <t>2021</t>
        </is>
      </c>
      <c r="B1061" s="42" t="inlineStr">
        <is>
          <t>431114</t>
        </is>
      </c>
      <c r="C1061" s="38" t="inlineStr">
        <is>
          <t>Y039</t>
        </is>
      </c>
      <c r="D1061" s="38" t="inlineStr">
        <is>
          <t>TOTAL</t>
        </is>
      </c>
      <c r="E1061" s="38" t="inlineStr">
        <is>
          <t>POP</t>
        </is>
      </c>
      <c r="F1061" s="38" t="n">
        <v>51</v>
      </c>
    </row>
    <row r="1062" ht="15" customHeight="1" s="39">
      <c r="A1062" s="38" t="inlineStr">
        <is>
          <t>2021</t>
        </is>
      </c>
      <c r="B1062" s="42" t="inlineStr">
        <is>
          <t>431114</t>
        </is>
      </c>
      <c r="C1062" s="38" t="inlineStr">
        <is>
          <t>Y040</t>
        </is>
      </c>
      <c r="D1062" s="38" t="inlineStr">
        <is>
          <t>TOTAL</t>
        </is>
      </c>
      <c r="E1062" s="38" t="inlineStr">
        <is>
          <t>POP</t>
        </is>
      </c>
      <c r="F1062" s="38" t="n">
        <v>46</v>
      </c>
    </row>
    <row r="1063" ht="15" customHeight="1" s="39">
      <c r="A1063" s="38" t="inlineStr">
        <is>
          <t>2021</t>
        </is>
      </c>
      <c r="B1063" s="42" t="inlineStr">
        <is>
          <t>431114</t>
        </is>
      </c>
      <c r="C1063" s="38" t="inlineStr">
        <is>
          <t>Y041</t>
        </is>
      </c>
      <c r="D1063" s="38" t="inlineStr">
        <is>
          <t>TOTAL</t>
        </is>
      </c>
      <c r="E1063" s="38" t="inlineStr">
        <is>
          <t>POP</t>
        </is>
      </c>
      <c r="F1063" s="38" t="n">
        <v>59</v>
      </c>
    </row>
    <row r="1064" ht="15" customHeight="1" s="39">
      <c r="A1064" s="38" t="inlineStr">
        <is>
          <t>2021</t>
        </is>
      </c>
      <c r="B1064" s="42" t="inlineStr">
        <is>
          <t>431114</t>
        </is>
      </c>
      <c r="C1064" s="38" t="inlineStr">
        <is>
          <t>Y042</t>
        </is>
      </c>
      <c r="D1064" s="38" t="inlineStr">
        <is>
          <t>TOTAL</t>
        </is>
      </c>
      <c r="E1064" s="38" t="inlineStr">
        <is>
          <t>POP</t>
        </is>
      </c>
      <c r="F1064" s="38" t="n">
        <v>66</v>
      </c>
    </row>
    <row r="1065" ht="15" customHeight="1" s="39">
      <c r="A1065" s="38" t="inlineStr">
        <is>
          <t>2021</t>
        </is>
      </c>
      <c r="B1065" s="42" t="inlineStr">
        <is>
          <t>431114</t>
        </is>
      </c>
      <c r="C1065" s="38" t="inlineStr">
        <is>
          <t>Y043</t>
        </is>
      </c>
      <c r="D1065" s="38" t="inlineStr">
        <is>
          <t>TOTAL</t>
        </is>
      </c>
      <c r="E1065" s="38" t="inlineStr">
        <is>
          <t>POP</t>
        </is>
      </c>
      <c r="F1065" s="38" t="n">
        <v>53</v>
      </c>
    </row>
    <row r="1066" ht="15" customHeight="1" s="39">
      <c r="A1066" s="38" t="inlineStr">
        <is>
          <t>2021</t>
        </is>
      </c>
      <c r="B1066" s="42" t="inlineStr">
        <is>
          <t>431114</t>
        </is>
      </c>
      <c r="C1066" s="38" t="inlineStr">
        <is>
          <t>Y044</t>
        </is>
      </c>
      <c r="D1066" s="38" t="inlineStr">
        <is>
          <t>TOTAL</t>
        </is>
      </c>
      <c r="E1066" s="38" t="inlineStr">
        <is>
          <t>POP</t>
        </is>
      </c>
      <c r="F1066" s="38" t="n">
        <v>70</v>
      </c>
    </row>
    <row r="1067" ht="15" customHeight="1" s="39">
      <c r="A1067" s="38" t="inlineStr">
        <is>
          <t>2021</t>
        </is>
      </c>
      <c r="B1067" s="42" t="inlineStr">
        <is>
          <t>431114</t>
        </is>
      </c>
      <c r="C1067" s="38" t="inlineStr">
        <is>
          <t>Y045</t>
        </is>
      </c>
      <c r="D1067" s="38" t="inlineStr">
        <is>
          <t>TOTAL</t>
        </is>
      </c>
      <c r="E1067" s="38" t="inlineStr">
        <is>
          <t>POP</t>
        </is>
      </c>
      <c r="F1067" s="38" t="n">
        <v>58</v>
      </c>
    </row>
    <row r="1068" ht="15" customHeight="1" s="39">
      <c r="A1068" s="38" t="inlineStr">
        <is>
          <t>2021</t>
        </is>
      </c>
      <c r="B1068" s="42" t="inlineStr">
        <is>
          <t>431114</t>
        </is>
      </c>
      <c r="C1068" s="38" t="inlineStr">
        <is>
          <t>Y046</t>
        </is>
      </c>
      <c r="D1068" s="38" t="inlineStr">
        <is>
          <t>TOTAL</t>
        </is>
      </c>
      <c r="E1068" s="38" t="inlineStr">
        <is>
          <t>POP</t>
        </is>
      </c>
      <c r="F1068" s="38" t="n">
        <v>49</v>
      </c>
    </row>
    <row r="1069" ht="15" customHeight="1" s="39">
      <c r="A1069" s="38" t="inlineStr">
        <is>
          <t>2021</t>
        </is>
      </c>
      <c r="B1069" s="42" t="inlineStr">
        <is>
          <t>431114</t>
        </is>
      </c>
      <c r="C1069" s="38" t="inlineStr">
        <is>
          <t>Y047</t>
        </is>
      </c>
      <c r="D1069" s="38" t="inlineStr">
        <is>
          <t>TOTAL</t>
        </is>
      </c>
      <c r="E1069" s="38" t="inlineStr">
        <is>
          <t>POP</t>
        </is>
      </c>
      <c r="F1069" s="38" t="n">
        <v>56</v>
      </c>
    </row>
    <row r="1070" ht="15" customHeight="1" s="39">
      <c r="A1070" s="38" t="inlineStr">
        <is>
          <t>2021</t>
        </is>
      </c>
      <c r="B1070" s="42" t="inlineStr">
        <is>
          <t>431114</t>
        </is>
      </c>
      <c r="C1070" s="38" t="inlineStr">
        <is>
          <t>Y048</t>
        </is>
      </c>
      <c r="D1070" s="38" t="inlineStr">
        <is>
          <t>TOTAL</t>
        </is>
      </c>
      <c r="E1070" s="38" t="inlineStr">
        <is>
          <t>POP</t>
        </is>
      </c>
      <c r="F1070" s="38" t="n">
        <v>49</v>
      </c>
    </row>
    <row r="1071" ht="15" customHeight="1" s="39">
      <c r="A1071" s="38" t="inlineStr">
        <is>
          <t>2021</t>
        </is>
      </c>
      <c r="B1071" s="42" t="inlineStr">
        <is>
          <t>431114</t>
        </is>
      </c>
      <c r="C1071" s="38" t="inlineStr">
        <is>
          <t>Y049</t>
        </is>
      </c>
      <c r="D1071" s="38" t="inlineStr">
        <is>
          <t>TOTAL</t>
        </is>
      </c>
      <c r="E1071" s="38" t="inlineStr">
        <is>
          <t>POP</t>
        </is>
      </c>
      <c r="F1071" s="38" t="n">
        <v>48</v>
      </c>
    </row>
    <row r="1072" ht="15" customHeight="1" s="39">
      <c r="A1072" s="38" t="inlineStr">
        <is>
          <t>2021</t>
        </is>
      </c>
      <c r="B1072" s="42" t="inlineStr">
        <is>
          <t>431114</t>
        </is>
      </c>
      <c r="C1072" s="38" t="inlineStr">
        <is>
          <t>Y050</t>
        </is>
      </c>
      <c r="D1072" s="38" t="inlineStr">
        <is>
          <t>TOTAL</t>
        </is>
      </c>
      <c r="E1072" s="38" t="inlineStr">
        <is>
          <t>POP</t>
        </is>
      </c>
      <c r="F1072" s="38" t="n">
        <v>52</v>
      </c>
    </row>
    <row r="1073" ht="15" customHeight="1" s="39">
      <c r="A1073" s="38" t="inlineStr">
        <is>
          <t>2021</t>
        </is>
      </c>
      <c r="B1073" s="42" t="inlineStr">
        <is>
          <t>431114</t>
        </is>
      </c>
      <c r="C1073" s="38" t="inlineStr">
        <is>
          <t>Y051</t>
        </is>
      </c>
      <c r="D1073" s="38" t="inlineStr">
        <is>
          <t>TOTAL</t>
        </is>
      </c>
      <c r="E1073" s="38" t="inlineStr">
        <is>
          <t>POP</t>
        </is>
      </c>
      <c r="F1073" s="38" t="n">
        <v>57</v>
      </c>
    </row>
    <row r="1074" ht="15" customHeight="1" s="39">
      <c r="A1074" s="38" t="inlineStr">
        <is>
          <t>2021</t>
        </is>
      </c>
      <c r="B1074" s="42" t="inlineStr">
        <is>
          <t>431114</t>
        </is>
      </c>
      <c r="C1074" s="38" t="inlineStr">
        <is>
          <t>Y052</t>
        </is>
      </c>
      <c r="D1074" s="38" t="inlineStr">
        <is>
          <t>TOTAL</t>
        </is>
      </c>
      <c r="E1074" s="38" t="inlineStr">
        <is>
          <t>POP</t>
        </is>
      </c>
      <c r="F1074" s="38" t="n">
        <v>48</v>
      </c>
    </row>
    <row r="1075" ht="15" customHeight="1" s="39">
      <c r="A1075" s="38" t="inlineStr">
        <is>
          <t>2021</t>
        </is>
      </c>
      <c r="B1075" s="42" t="inlineStr">
        <is>
          <t>431114</t>
        </is>
      </c>
      <c r="C1075" s="38" t="inlineStr">
        <is>
          <t>Y053</t>
        </is>
      </c>
      <c r="D1075" s="38" t="inlineStr">
        <is>
          <t>TOTAL</t>
        </is>
      </c>
      <c r="E1075" s="38" t="inlineStr">
        <is>
          <t>POP</t>
        </is>
      </c>
      <c r="F1075" s="38" t="n">
        <v>49</v>
      </c>
    </row>
    <row r="1076" ht="15" customHeight="1" s="39">
      <c r="A1076" s="38" t="inlineStr">
        <is>
          <t>2021</t>
        </is>
      </c>
      <c r="B1076" s="42" t="inlineStr">
        <is>
          <t>431114</t>
        </is>
      </c>
      <c r="C1076" s="38" t="inlineStr">
        <is>
          <t>Y054</t>
        </is>
      </c>
      <c r="D1076" s="38" t="inlineStr">
        <is>
          <t>TOTAL</t>
        </is>
      </c>
      <c r="E1076" s="38" t="inlineStr">
        <is>
          <t>POP</t>
        </is>
      </c>
      <c r="F1076" s="38" t="n">
        <v>52</v>
      </c>
    </row>
    <row r="1077" ht="15" customHeight="1" s="39">
      <c r="A1077" s="38" t="inlineStr">
        <is>
          <t>2021</t>
        </is>
      </c>
      <c r="B1077" s="42" t="inlineStr">
        <is>
          <t>431114</t>
        </is>
      </c>
      <c r="C1077" s="38" t="inlineStr">
        <is>
          <t>Y055</t>
        </is>
      </c>
      <c r="D1077" s="38" t="inlineStr">
        <is>
          <t>TOTAL</t>
        </is>
      </c>
      <c r="E1077" s="38" t="inlineStr">
        <is>
          <t>POP</t>
        </is>
      </c>
      <c r="F1077" s="38" t="n">
        <v>35</v>
      </c>
    </row>
    <row r="1078" ht="15" customHeight="1" s="39">
      <c r="A1078" s="38" t="inlineStr">
        <is>
          <t>2021</t>
        </is>
      </c>
      <c r="B1078" s="42" t="inlineStr">
        <is>
          <t>431114</t>
        </is>
      </c>
      <c r="C1078" s="38" t="inlineStr">
        <is>
          <t>Y056</t>
        </is>
      </c>
      <c r="D1078" s="38" t="inlineStr">
        <is>
          <t>TOTAL</t>
        </is>
      </c>
      <c r="E1078" s="38" t="inlineStr">
        <is>
          <t>POP</t>
        </is>
      </c>
      <c r="F1078" s="38" t="n">
        <v>41</v>
      </c>
    </row>
    <row r="1079" ht="15" customHeight="1" s="39">
      <c r="A1079" s="38" t="inlineStr">
        <is>
          <t>2021</t>
        </is>
      </c>
      <c r="B1079" s="42" t="inlineStr">
        <is>
          <t>431114</t>
        </is>
      </c>
      <c r="C1079" s="38" t="inlineStr">
        <is>
          <t>Y057</t>
        </is>
      </c>
      <c r="D1079" s="38" t="inlineStr">
        <is>
          <t>TOTAL</t>
        </is>
      </c>
      <c r="E1079" s="38" t="inlineStr">
        <is>
          <t>POP</t>
        </is>
      </c>
      <c r="F1079" s="38" t="n">
        <v>40</v>
      </c>
    </row>
    <row r="1080" ht="15" customHeight="1" s="39">
      <c r="A1080" s="38" t="inlineStr">
        <is>
          <t>2021</t>
        </is>
      </c>
      <c r="B1080" s="42" t="inlineStr">
        <is>
          <t>431114</t>
        </is>
      </c>
      <c r="C1080" s="38" t="inlineStr">
        <is>
          <t>Y058</t>
        </is>
      </c>
      <c r="D1080" s="38" t="inlineStr">
        <is>
          <t>TOTAL</t>
        </is>
      </c>
      <c r="E1080" s="38" t="inlineStr">
        <is>
          <t>POP</t>
        </is>
      </c>
      <c r="F1080" s="38" t="n">
        <v>46</v>
      </c>
    </row>
    <row r="1081" ht="15" customHeight="1" s="39">
      <c r="A1081" s="38" t="inlineStr">
        <is>
          <t>2021</t>
        </is>
      </c>
      <c r="B1081" s="42" t="inlineStr">
        <is>
          <t>431114</t>
        </is>
      </c>
      <c r="C1081" s="38" t="inlineStr">
        <is>
          <t>Y059</t>
        </is>
      </c>
      <c r="D1081" s="38" t="inlineStr">
        <is>
          <t>TOTAL</t>
        </is>
      </c>
      <c r="E1081" s="38" t="inlineStr">
        <is>
          <t>POP</t>
        </is>
      </c>
      <c r="F1081" s="38" t="n">
        <v>31</v>
      </c>
    </row>
    <row r="1082" ht="15" customHeight="1" s="39">
      <c r="A1082" s="38" t="inlineStr">
        <is>
          <t>2021</t>
        </is>
      </c>
      <c r="B1082" s="42" t="inlineStr">
        <is>
          <t>431114</t>
        </is>
      </c>
      <c r="C1082" s="38" t="inlineStr">
        <is>
          <t>Y060</t>
        </is>
      </c>
      <c r="D1082" s="38" t="inlineStr">
        <is>
          <t>TOTAL</t>
        </is>
      </c>
      <c r="E1082" s="38" t="inlineStr">
        <is>
          <t>POP</t>
        </is>
      </c>
      <c r="F1082" s="38" t="n">
        <v>51</v>
      </c>
    </row>
    <row r="1083" ht="15" customHeight="1" s="39">
      <c r="A1083" s="38" t="inlineStr">
        <is>
          <t>2021</t>
        </is>
      </c>
      <c r="B1083" s="42" t="inlineStr">
        <is>
          <t>431114</t>
        </is>
      </c>
      <c r="C1083" s="38" t="inlineStr">
        <is>
          <t>Y061</t>
        </is>
      </c>
      <c r="D1083" s="38" t="inlineStr">
        <is>
          <t>TOTAL</t>
        </is>
      </c>
      <c r="E1083" s="38" t="inlineStr">
        <is>
          <t>POP</t>
        </is>
      </c>
      <c r="F1083" s="38" t="n">
        <v>36</v>
      </c>
    </row>
    <row r="1084" ht="15" customHeight="1" s="39">
      <c r="A1084" s="38" t="inlineStr">
        <is>
          <t>2021</t>
        </is>
      </c>
      <c r="B1084" s="42" t="inlineStr">
        <is>
          <t>431114</t>
        </is>
      </c>
      <c r="C1084" s="38" t="inlineStr">
        <is>
          <t>Y062</t>
        </is>
      </c>
      <c r="D1084" s="38" t="inlineStr">
        <is>
          <t>TOTAL</t>
        </is>
      </c>
      <c r="E1084" s="38" t="inlineStr">
        <is>
          <t>POP</t>
        </is>
      </c>
      <c r="F1084" s="38" t="n">
        <v>31</v>
      </c>
    </row>
    <row r="1085" ht="15" customHeight="1" s="39">
      <c r="A1085" s="38" t="inlineStr">
        <is>
          <t>2021</t>
        </is>
      </c>
      <c r="B1085" s="42" t="inlineStr">
        <is>
          <t>431114</t>
        </is>
      </c>
      <c r="C1085" s="38" t="inlineStr">
        <is>
          <t>Y063</t>
        </is>
      </c>
      <c r="D1085" s="38" t="inlineStr">
        <is>
          <t>TOTAL</t>
        </is>
      </c>
      <c r="E1085" s="38" t="inlineStr">
        <is>
          <t>POP</t>
        </is>
      </c>
      <c r="F1085" s="38" t="n">
        <v>43</v>
      </c>
    </row>
    <row r="1086" ht="15" customHeight="1" s="39">
      <c r="A1086" s="38" t="inlineStr">
        <is>
          <t>2021</t>
        </is>
      </c>
      <c r="B1086" s="42" t="inlineStr">
        <is>
          <t>431114</t>
        </is>
      </c>
      <c r="C1086" s="38" t="inlineStr">
        <is>
          <t>Y064</t>
        </is>
      </c>
      <c r="D1086" s="38" t="inlineStr">
        <is>
          <t>TOTAL</t>
        </is>
      </c>
      <c r="E1086" s="38" t="inlineStr">
        <is>
          <t>POP</t>
        </is>
      </c>
      <c r="F1086" s="38" t="n">
        <v>28</v>
      </c>
    </row>
    <row r="1087" ht="15" customHeight="1" s="39">
      <c r="A1087" s="38" t="inlineStr">
        <is>
          <t>2021</t>
        </is>
      </c>
      <c r="B1087" s="42" t="inlineStr">
        <is>
          <t>431114</t>
        </is>
      </c>
      <c r="C1087" s="38" t="inlineStr">
        <is>
          <t>Y065</t>
        </is>
      </c>
      <c r="D1087" s="38" t="inlineStr">
        <is>
          <t>TOTAL</t>
        </is>
      </c>
      <c r="E1087" s="38" t="inlineStr">
        <is>
          <t>POP</t>
        </is>
      </c>
      <c r="F1087" s="38" t="n">
        <v>27</v>
      </c>
    </row>
    <row r="1088" ht="15" customHeight="1" s="39">
      <c r="A1088" s="38" t="inlineStr">
        <is>
          <t>2021</t>
        </is>
      </c>
      <c r="B1088" s="42" t="inlineStr">
        <is>
          <t>431114</t>
        </is>
      </c>
      <c r="C1088" s="38" t="inlineStr">
        <is>
          <t>Y066</t>
        </is>
      </c>
      <c r="D1088" s="38" t="inlineStr">
        <is>
          <t>TOTAL</t>
        </is>
      </c>
      <c r="E1088" s="38" t="inlineStr">
        <is>
          <t>POP</t>
        </is>
      </c>
      <c r="F1088" s="38" t="n">
        <v>32</v>
      </c>
    </row>
    <row r="1089" ht="15" customHeight="1" s="39">
      <c r="A1089" s="38" t="inlineStr">
        <is>
          <t>2021</t>
        </is>
      </c>
      <c r="B1089" s="42" t="inlineStr">
        <is>
          <t>431114</t>
        </is>
      </c>
      <c r="C1089" s="38" t="inlineStr">
        <is>
          <t>Y067</t>
        </is>
      </c>
      <c r="D1089" s="38" t="inlineStr">
        <is>
          <t>TOTAL</t>
        </is>
      </c>
      <c r="E1089" s="38" t="inlineStr">
        <is>
          <t>POP</t>
        </is>
      </c>
      <c r="F1089" s="38" t="n">
        <v>46</v>
      </c>
    </row>
    <row r="1090" ht="15" customHeight="1" s="39">
      <c r="A1090" s="38" t="inlineStr">
        <is>
          <t>2021</t>
        </is>
      </c>
      <c r="B1090" s="42" t="inlineStr">
        <is>
          <t>431114</t>
        </is>
      </c>
      <c r="C1090" s="38" t="inlineStr">
        <is>
          <t>Y068</t>
        </is>
      </c>
      <c r="D1090" s="38" t="inlineStr">
        <is>
          <t>TOTAL</t>
        </is>
      </c>
      <c r="E1090" s="38" t="inlineStr">
        <is>
          <t>POP</t>
        </is>
      </c>
      <c r="F1090" s="38" t="n">
        <v>33</v>
      </c>
    </row>
    <row r="1091" ht="15" customHeight="1" s="39">
      <c r="A1091" s="38" t="inlineStr">
        <is>
          <t>2021</t>
        </is>
      </c>
      <c r="B1091" s="42" t="inlineStr">
        <is>
          <t>431114</t>
        </is>
      </c>
      <c r="C1091" s="38" t="inlineStr">
        <is>
          <t>Y069</t>
        </is>
      </c>
      <c r="D1091" s="38" t="inlineStr">
        <is>
          <t>TOTAL</t>
        </is>
      </c>
      <c r="E1091" s="38" t="inlineStr">
        <is>
          <t>POP</t>
        </is>
      </c>
      <c r="F1091" s="38" t="n">
        <v>27</v>
      </c>
    </row>
    <row r="1092" ht="15" customHeight="1" s="39">
      <c r="A1092" s="38" t="inlineStr">
        <is>
          <t>2021</t>
        </is>
      </c>
      <c r="B1092" s="42" t="inlineStr">
        <is>
          <t>431114</t>
        </is>
      </c>
      <c r="C1092" s="38" t="inlineStr">
        <is>
          <t>Y070</t>
        </is>
      </c>
      <c r="D1092" s="38" t="inlineStr">
        <is>
          <t>TOTAL</t>
        </is>
      </c>
      <c r="E1092" s="38" t="inlineStr">
        <is>
          <t>POP</t>
        </is>
      </c>
      <c r="F1092" s="38" t="n">
        <v>30</v>
      </c>
    </row>
    <row r="1093" ht="15" customHeight="1" s="39">
      <c r="A1093" s="38" t="inlineStr">
        <is>
          <t>2021</t>
        </is>
      </c>
      <c r="B1093" s="42" t="inlineStr">
        <is>
          <t>431114</t>
        </is>
      </c>
      <c r="C1093" s="38" t="inlineStr">
        <is>
          <t>Y071</t>
        </is>
      </c>
      <c r="D1093" s="38" t="inlineStr">
        <is>
          <t>TOTAL</t>
        </is>
      </c>
      <c r="E1093" s="38" t="inlineStr">
        <is>
          <t>POP</t>
        </is>
      </c>
      <c r="F1093" s="38" t="n">
        <v>34</v>
      </c>
    </row>
    <row r="1094" ht="15" customHeight="1" s="39">
      <c r="A1094" s="38" t="inlineStr">
        <is>
          <t>2021</t>
        </is>
      </c>
      <c r="B1094" s="42" t="inlineStr">
        <is>
          <t>431114</t>
        </is>
      </c>
      <c r="C1094" s="38" t="inlineStr">
        <is>
          <t>Y072</t>
        </is>
      </c>
      <c r="D1094" s="38" t="inlineStr">
        <is>
          <t>TOTAL</t>
        </is>
      </c>
      <c r="E1094" s="38" t="inlineStr">
        <is>
          <t>POP</t>
        </is>
      </c>
      <c r="F1094" s="38" t="n">
        <v>30</v>
      </c>
    </row>
    <row r="1095" ht="15" customHeight="1" s="39">
      <c r="A1095" s="38" t="inlineStr">
        <is>
          <t>2021</t>
        </is>
      </c>
      <c r="B1095" s="42" t="inlineStr">
        <is>
          <t>431114</t>
        </is>
      </c>
      <c r="C1095" s="38" t="inlineStr">
        <is>
          <t>Y073</t>
        </is>
      </c>
      <c r="D1095" s="38" t="inlineStr">
        <is>
          <t>TOTAL</t>
        </is>
      </c>
      <c r="E1095" s="38" t="inlineStr">
        <is>
          <t>POP</t>
        </is>
      </c>
      <c r="F1095" s="38" t="n">
        <v>35</v>
      </c>
    </row>
    <row r="1096" ht="15" customHeight="1" s="39">
      <c r="A1096" s="38" t="inlineStr">
        <is>
          <t>2021</t>
        </is>
      </c>
      <c r="B1096" s="42" t="inlineStr">
        <is>
          <t>431114</t>
        </is>
      </c>
      <c r="C1096" s="38" t="inlineStr">
        <is>
          <t>Y074</t>
        </is>
      </c>
      <c r="D1096" s="38" t="inlineStr">
        <is>
          <t>TOTAL</t>
        </is>
      </c>
      <c r="E1096" s="38" t="inlineStr">
        <is>
          <t>POP</t>
        </is>
      </c>
      <c r="F1096" s="38" t="n">
        <v>27</v>
      </c>
    </row>
    <row r="1097" ht="15" customHeight="1" s="39">
      <c r="A1097" s="38" t="inlineStr">
        <is>
          <t>2021</t>
        </is>
      </c>
      <c r="B1097" s="42" t="inlineStr">
        <is>
          <t>431114</t>
        </is>
      </c>
      <c r="C1097" s="38" t="inlineStr">
        <is>
          <t>Y075</t>
        </is>
      </c>
      <c r="D1097" s="38" t="inlineStr">
        <is>
          <t>TOTAL</t>
        </is>
      </c>
      <c r="E1097" s="38" t="inlineStr">
        <is>
          <t>POP</t>
        </is>
      </c>
      <c r="F1097" s="38" t="n">
        <v>25</v>
      </c>
    </row>
    <row r="1098" ht="15" customHeight="1" s="39">
      <c r="A1098" s="38" t="inlineStr">
        <is>
          <t>2021</t>
        </is>
      </c>
      <c r="B1098" s="42" t="inlineStr">
        <is>
          <t>431114</t>
        </is>
      </c>
      <c r="C1098" s="38" t="inlineStr">
        <is>
          <t>Y076</t>
        </is>
      </c>
      <c r="D1098" s="38" t="inlineStr">
        <is>
          <t>TOTAL</t>
        </is>
      </c>
      <c r="E1098" s="38" t="inlineStr">
        <is>
          <t>POP</t>
        </is>
      </c>
      <c r="F1098" s="38" t="n">
        <v>28</v>
      </c>
    </row>
    <row r="1099" ht="15" customHeight="1" s="39">
      <c r="A1099" s="38" t="inlineStr">
        <is>
          <t>2021</t>
        </is>
      </c>
      <c r="B1099" s="42" t="inlineStr">
        <is>
          <t>431114</t>
        </is>
      </c>
      <c r="C1099" s="38" t="inlineStr">
        <is>
          <t>Y077</t>
        </is>
      </c>
      <c r="D1099" s="38" t="inlineStr">
        <is>
          <t>TOTAL</t>
        </is>
      </c>
      <c r="E1099" s="38" t="inlineStr">
        <is>
          <t>POP</t>
        </is>
      </c>
      <c r="F1099" s="38" t="n">
        <v>37</v>
      </c>
    </row>
    <row r="1100" ht="15" customHeight="1" s="39">
      <c r="A1100" s="38" t="inlineStr">
        <is>
          <t>2021</t>
        </is>
      </c>
      <c r="B1100" s="42" t="inlineStr">
        <is>
          <t>431114</t>
        </is>
      </c>
      <c r="C1100" s="38" t="inlineStr">
        <is>
          <t>Y078</t>
        </is>
      </c>
      <c r="D1100" s="38" t="inlineStr">
        <is>
          <t>TOTAL</t>
        </is>
      </c>
      <c r="E1100" s="38" t="inlineStr">
        <is>
          <t>POP</t>
        </is>
      </c>
      <c r="F1100" s="38" t="n">
        <v>24</v>
      </c>
    </row>
    <row r="1101" ht="15" customHeight="1" s="39">
      <c r="A1101" s="38" t="inlineStr">
        <is>
          <t>2021</t>
        </is>
      </c>
      <c r="B1101" s="42" t="inlineStr">
        <is>
          <t>431114</t>
        </is>
      </c>
      <c r="C1101" s="38" t="inlineStr">
        <is>
          <t>Y079</t>
        </is>
      </c>
      <c r="D1101" s="38" t="inlineStr">
        <is>
          <t>TOTAL</t>
        </is>
      </c>
      <c r="E1101" s="38" t="inlineStr">
        <is>
          <t>POP</t>
        </is>
      </c>
      <c r="F1101" s="38" t="n">
        <v>16</v>
      </c>
    </row>
    <row r="1102" ht="15" customHeight="1" s="39">
      <c r="A1102" s="38" t="inlineStr">
        <is>
          <t>2021</t>
        </is>
      </c>
      <c r="B1102" s="42" t="inlineStr">
        <is>
          <t>431114</t>
        </is>
      </c>
      <c r="C1102" s="38" t="inlineStr">
        <is>
          <t>Y080</t>
        </is>
      </c>
      <c r="D1102" s="38" t="inlineStr">
        <is>
          <t>TOTAL</t>
        </is>
      </c>
      <c r="E1102" s="38" t="inlineStr">
        <is>
          <t>POP</t>
        </is>
      </c>
      <c r="F1102" s="38" t="n">
        <v>22</v>
      </c>
    </row>
    <row r="1103" ht="15" customHeight="1" s="39">
      <c r="A1103" s="38" t="inlineStr">
        <is>
          <t>2021</t>
        </is>
      </c>
      <c r="B1103" s="42" t="inlineStr">
        <is>
          <t>431114</t>
        </is>
      </c>
      <c r="C1103" s="38" t="inlineStr">
        <is>
          <t>Y081</t>
        </is>
      </c>
      <c r="D1103" s="38" t="inlineStr">
        <is>
          <t>TOTAL</t>
        </is>
      </c>
      <c r="E1103" s="38" t="inlineStr">
        <is>
          <t>POP</t>
        </is>
      </c>
      <c r="F1103" s="38" t="n">
        <v>15</v>
      </c>
    </row>
    <row r="1104" ht="15" customHeight="1" s="39">
      <c r="A1104" s="38" t="inlineStr">
        <is>
          <t>2021</t>
        </is>
      </c>
      <c r="B1104" s="42" t="inlineStr">
        <is>
          <t>431114</t>
        </is>
      </c>
      <c r="C1104" s="38" t="inlineStr">
        <is>
          <t>Y082</t>
        </is>
      </c>
      <c r="D1104" s="38" t="inlineStr">
        <is>
          <t>TOTAL</t>
        </is>
      </c>
      <c r="E1104" s="38" t="inlineStr">
        <is>
          <t>POP</t>
        </is>
      </c>
      <c r="F1104" s="38" t="n">
        <v>11</v>
      </c>
    </row>
    <row r="1105" ht="15" customHeight="1" s="39">
      <c r="A1105" s="38" t="inlineStr">
        <is>
          <t>2021</t>
        </is>
      </c>
      <c r="B1105" s="42" t="inlineStr">
        <is>
          <t>431114</t>
        </is>
      </c>
      <c r="C1105" s="38" t="inlineStr">
        <is>
          <t>Y083</t>
        </is>
      </c>
      <c r="D1105" s="38" t="inlineStr">
        <is>
          <t>TOTAL</t>
        </is>
      </c>
      <c r="E1105" s="38" t="inlineStr">
        <is>
          <t>POP</t>
        </is>
      </c>
      <c r="F1105" s="38" t="n">
        <v>18</v>
      </c>
    </row>
    <row r="1106" ht="15" customHeight="1" s="39">
      <c r="A1106" s="38" t="inlineStr">
        <is>
          <t>2021</t>
        </is>
      </c>
      <c r="B1106" s="42" t="inlineStr">
        <is>
          <t>431114</t>
        </is>
      </c>
      <c r="C1106" s="38" t="inlineStr">
        <is>
          <t>Y084</t>
        </is>
      </c>
      <c r="D1106" s="38" t="inlineStr">
        <is>
          <t>TOTAL</t>
        </is>
      </c>
      <c r="E1106" s="38" t="inlineStr">
        <is>
          <t>POP</t>
        </is>
      </c>
      <c r="F1106" s="38" t="n">
        <v>14</v>
      </c>
    </row>
    <row r="1107" ht="15" customHeight="1" s="39">
      <c r="A1107" s="38" t="inlineStr">
        <is>
          <t>2021</t>
        </is>
      </c>
      <c r="B1107" s="42" t="inlineStr">
        <is>
          <t>431114</t>
        </is>
      </c>
      <c r="C1107" s="38" t="inlineStr">
        <is>
          <t>Y085</t>
        </is>
      </c>
      <c r="D1107" s="38" t="inlineStr">
        <is>
          <t>TOTAL</t>
        </is>
      </c>
      <c r="E1107" s="38" t="inlineStr">
        <is>
          <t>POP</t>
        </is>
      </c>
      <c r="F1107" s="38" t="n">
        <v>12</v>
      </c>
    </row>
    <row r="1108" ht="15" customHeight="1" s="39">
      <c r="A1108" s="38" t="inlineStr">
        <is>
          <t>2021</t>
        </is>
      </c>
      <c r="B1108" s="42" t="inlineStr">
        <is>
          <t>431114</t>
        </is>
      </c>
      <c r="C1108" s="38" t="inlineStr">
        <is>
          <t>Y086</t>
        </is>
      </c>
      <c r="D1108" s="38" t="inlineStr">
        <is>
          <t>TOTAL</t>
        </is>
      </c>
      <c r="E1108" s="38" t="inlineStr">
        <is>
          <t>POP</t>
        </is>
      </c>
      <c r="F1108" s="38" t="n">
        <v>14</v>
      </c>
    </row>
    <row r="1109" ht="15" customHeight="1" s="39">
      <c r="A1109" s="38" t="inlineStr">
        <is>
          <t>2021</t>
        </is>
      </c>
      <c r="B1109" s="42" t="inlineStr">
        <is>
          <t>431114</t>
        </is>
      </c>
      <c r="C1109" s="38" t="inlineStr">
        <is>
          <t>Y087</t>
        </is>
      </c>
      <c r="D1109" s="38" t="inlineStr">
        <is>
          <t>TOTAL</t>
        </is>
      </c>
      <c r="E1109" s="38" t="inlineStr">
        <is>
          <t>POP</t>
        </is>
      </c>
      <c r="F1109" s="38" t="n">
        <v>7</v>
      </c>
    </row>
    <row r="1110" ht="15" customHeight="1" s="39">
      <c r="A1110" s="38" t="inlineStr">
        <is>
          <t>2021</t>
        </is>
      </c>
      <c r="B1110" s="42" t="inlineStr">
        <is>
          <t>431114</t>
        </is>
      </c>
      <c r="C1110" s="38" t="inlineStr">
        <is>
          <t>Y088</t>
        </is>
      </c>
      <c r="D1110" s="38" t="inlineStr">
        <is>
          <t>TOTAL</t>
        </is>
      </c>
      <c r="E1110" s="38" t="inlineStr">
        <is>
          <t>POP</t>
        </is>
      </c>
      <c r="F1110" s="38" t="n">
        <v>14</v>
      </c>
    </row>
    <row r="1111" ht="15" customHeight="1" s="39">
      <c r="A1111" s="38" t="inlineStr">
        <is>
          <t>2021</t>
        </is>
      </c>
      <c r="B1111" s="42" t="inlineStr">
        <is>
          <t>431114</t>
        </is>
      </c>
      <c r="C1111" s="38" t="inlineStr">
        <is>
          <t>Y089</t>
        </is>
      </c>
      <c r="D1111" s="38" t="inlineStr">
        <is>
          <t>TOTAL</t>
        </is>
      </c>
      <c r="E1111" s="38" t="inlineStr">
        <is>
          <t>POP</t>
        </is>
      </c>
      <c r="F1111" s="38" t="n">
        <v>9</v>
      </c>
    </row>
    <row r="1112" ht="15" customHeight="1" s="39">
      <c r="A1112" s="38" t="inlineStr">
        <is>
          <t>2021</t>
        </is>
      </c>
      <c r="B1112" s="42" t="inlineStr">
        <is>
          <t>431114</t>
        </is>
      </c>
      <c r="C1112" s="38" t="inlineStr">
        <is>
          <t>Y090</t>
        </is>
      </c>
      <c r="D1112" s="38" t="inlineStr">
        <is>
          <t>TOTAL</t>
        </is>
      </c>
      <c r="E1112" s="38" t="inlineStr">
        <is>
          <t>POP</t>
        </is>
      </c>
      <c r="F1112" s="38" t="n">
        <v>4</v>
      </c>
    </row>
    <row r="1113" ht="15" customHeight="1" s="39">
      <c r="A1113" s="38" t="inlineStr">
        <is>
          <t>2021</t>
        </is>
      </c>
      <c r="B1113" s="42" t="inlineStr">
        <is>
          <t>431114</t>
        </is>
      </c>
      <c r="C1113" s="38" t="inlineStr">
        <is>
          <t>Y091</t>
        </is>
      </c>
      <c r="D1113" s="38" t="inlineStr">
        <is>
          <t>TOTAL</t>
        </is>
      </c>
      <c r="E1113" s="38" t="inlineStr">
        <is>
          <t>POP</t>
        </is>
      </c>
      <c r="F1113" s="38" t="n">
        <v>6</v>
      </c>
    </row>
    <row r="1114" ht="15" customHeight="1" s="39">
      <c r="A1114" s="38" t="inlineStr">
        <is>
          <t>2021</t>
        </is>
      </c>
      <c r="B1114" s="42" t="inlineStr">
        <is>
          <t>431114</t>
        </is>
      </c>
      <c r="C1114" s="38" t="inlineStr">
        <is>
          <t>Y092</t>
        </is>
      </c>
      <c r="D1114" s="38" t="inlineStr">
        <is>
          <t>TOTAL</t>
        </is>
      </c>
      <c r="E1114" s="38" t="inlineStr">
        <is>
          <t>POP</t>
        </is>
      </c>
      <c r="F1114" s="38" t="n">
        <v>1</v>
      </c>
    </row>
    <row r="1115" ht="15" customHeight="1" s="39">
      <c r="A1115" s="38" t="inlineStr">
        <is>
          <t>2021</t>
        </is>
      </c>
      <c r="B1115" s="42" t="inlineStr">
        <is>
          <t>431114</t>
        </is>
      </c>
      <c r="C1115" s="38" t="inlineStr">
        <is>
          <t>Y093</t>
        </is>
      </c>
      <c r="D1115" s="38" t="inlineStr">
        <is>
          <t>TOTAL</t>
        </is>
      </c>
      <c r="E1115" s="38" t="inlineStr">
        <is>
          <t>POP</t>
        </is>
      </c>
      <c r="F1115" s="38" t="n">
        <v>1</v>
      </c>
    </row>
    <row r="1116" ht="15" customHeight="1" s="39">
      <c r="A1116" s="38" t="inlineStr">
        <is>
          <t>2021</t>
        </is>
      </c>
      <c r="B1116" s="42" t="inlineStr">
        <is>
          <t>431114</t>
        </is>
      </c>
      <c r="C1116" s="38" t="inlineStr">
        <is>
          <t>Y094</t>
        </is>
      </c>
      <c r="D1116" s="38" t="inlineStr">
        <is>
          <t>TOTAL</t>
        </is>
      </c>
      <c r="E1116" s="38" t="inlineStr">
        <is>
          <t>POP</t>
        </is>
      </c>
      <c r="F1116" s="38" t="n">
        <v>0</v>
      </c>
    </row>
    <row r="1117" ht="15" customHeight="1" s="39">
      <c r="A1117" s="38" t="inlineStr">
        <is>
          <t>2021</t>
        </is>
      </c>
      <c r="B1117" s="42" t="inlineStr">
        <is>
          <t>431114</t>
        </is>
      </c>
      <c r="C1117" s="38" t="inlineStr">
        <is>
          <t>Y095</t>
        </is>
      </c>
      <c r="D1117" s="38" t="inlineStr">
        <is>
          <t>TOTAL</t>
        </is>
      </c>
      <c r="E1117" s="38" t="inlineStr">
        <is>
          <t>POP</t>
        </is>
      </c>
      <c r="F1117" s="38" t="n">
        <v>1</v>
      </c>
    </row>
    <row r="1118" ht="15" customHeight="1" s="39">
      <c r="A1118" s="38" t="inlineStr">
        <is>
          <t>2021</t>
        </is>
      </c>
      <c r="B1118" s="42" t="inlineStr">
        <is>
          <t>431114</t>
        </is>
      </c>
      <c r="C1118" s="38" t="inlineStr">
        <is>
          <t>Y096</t>
        </is>
      </c>
      <c r="D1118" s="38" t="inlineStr">
        <is>
          <t>TOTAL</t>
        </is>
      </c>
      <c r="E1118" s="38" t="inlineStr">
        <is>
          <t>POP</t>
        </is>
      </c>
      <c r="F1118" s="38" t="n">
        <v>1</v>
      </c>
    </row>
    <row r="1119" ht="15" customHeight="1" s="39">
      <c r="A1119" s="38" t="inlineStr">
        <is>
          <t>2021</t>
        </is>
      </c>
      <c r="B1119" s="42" t="inlineStr">
        <is>
          <t>431114</t>
        </is>
      </c>
      <c r="C1119" s="38" t="inlineStr">
        <is>
          <t>Y097</t>
        </is>
      </c>
      <c r="D1119" s="38" t="inlineStr">
        <is>
          <t>TOTAL</t>
        </is>
      </c>
      <c r="E1119" s="38" t="inlineStr">
        <is>
          <t>POP</t>
        </is>
      </c>
      <c r="F1119" s="38" t="n">
        <v>0</v>
      </c>
    </row>
    <row r="1120" ht="15" customHeight="1" s="39">
      <c r="A1120" s="38" t="inlineStr">
        <is>
          <t>2021</t>
        </is>
      </c>
      <c r="B1120" s="42" t="inlineStr">
        <is>
          <t>431114</t>
        </is>
      </c>
      <c r="C1120" s="38" t="inlineStr">
        <is>
          <t>Y098</t>
        </is>
      </c>
      <c r="D1120" s="38" t="inlineStr">
        <is>
          <t>TOTAL</t>
        </is>
      </c>
      <c r="E1120" s="38" t="inlineStr">
        <is>
          <t>POP</t>
        </is>
      </c>
      <c r="F1120" s="38" t="n">
        <v>0</v>
      </c>
    </row>
    <row r="1121" ht="15" customHeight="1" s="39">
      <c r="A1121" s="38" t="inlineStr">
        <is>
          <t>2021</t>
        </is>
      </c>
      <c r="B1121" s="42" t="inlineStr">
        <is>
          <t>431114</t>
        </is>
      </c>
      <c r="C1121" s="38" t="inlineStr">
        <is>
          <t>Y099</t>
        </is>
      </c>
      <c r="D1121" s="38" t="inlineStr">
        <is>
          <t>TOTAL</t>
        </is>
      </c>
      <c r="E1121" s="38" t="inlineStr">
        <is>
          <t>POP</t>
        </is>
      </c>
      <c r="F1121" s="38" t="n">
        <v>0</v>
      </c>
    </row>
    <row r="1122" ht="15" customHeight="1" s="39">
      <c r="A1122" s="38" t="inlineStr">
        <is>
          <t>2021</t>
        </is>
      </c>
      <c r="B1122" s="42" t="inlineStr">
        <is>
          <t>431114</t>
        </is>
      </c>
      <c r="C1122" s="38" t="inlineStr">
        <is>
          <t>Y_GE100</t>
        </is>
      </c>
      <c r="D1122" s="38" t="inlineStr">
        <is>
          <t>TOTAL</t>
        </is>
      </c>
      <c r="E1122" s="38" t="inlineStr">
        <is>
          <t>POP</t>
        </is>
      </c>
      <c r="F1122" s="38" t="n">
        <v>1</v>
      </c>
    </row>
    <row r="1123" ht="15" customHeight="1" s="39">
      <c r="A1123" s="38" t="inlineStr">
        <is>
          <t>2021</t>
        </is>
      </c>
      <c r="B1123" s="42" t="inlineStr">
        <is>
          <t>431114</t>
        </is>
      </c>
      <c r="C1123" s="38" t="inlineStr">
        <is>
          <t>TOTAL</t>
        </is>
      </c>
      <c r="D1123" s="38" t="inlineStr">
        <is>
          <t>TOTAL</t>
        </is>
      </c>
      <c r="E1123" s="38" t="inlineStr">
        <is>
          <t>POP</t>
        </is>
      </c>
      <c r="F1123" s="38" t="n">
        <v>3002</v>
      </c>
    </row>
    <row r="1124" ht="15" customHeight="1" s="39">
      <c r="A1124" s="38" t="inlineStr">
        <is>
          <t>2021</t>
        </is>
      </c>
      <c r="B1124" s="42" t="inlineStr">
        <is>
          <t>431227</t>
        </is>
      </c>
      <c r="C1124" s="38" t="inlineStr">
        <is>
          <t>Y000</t>
        </is>
      </c>
      <c r="D1124" s="38" t="inlineStr">
        <is>
          <t>TOTAL</t>
        </is>
      </c>
      <c r="E1124" s="38" t="inlineStr">
        <is>
          <t>POP</t>
        </is>
      </c>
      <c r="F1124" s="38" t="n">
        <v>0</v>
      </c>
    </row>
    <row r="1125" ht="15" customHeight="1" s="39">
      <c r="A1125" s="38" t="inlineStr">
        <is>
          <t>2021</t>
        </is>
      </c>
      <c r="B1125" s="42" t="inlineStr">
        <is>
          <t>431227</t>
        </is>
      </c>
      <c r="C1125" s="38" t="inlineStr">
        <is>
          <t>Y001</t>
        </is>
      </c>
      <c r="D1125" s="38" t="inlineStr">
        <is>
          <t>TOTAL</t>
        </is>
      </c>
      <c r="E1125" s="38" t="inlineStr">
        <is>
          <t>POP</t>
        </is>
      </c>
      <c r="F1125" s="38" t="n">
        <v>2</v>
      </c>
    </row>
    <row r="1126" ht="15" customHeight="1" s="39">
      <c r="A1126" s="38" t="inlineStr">
        <is>
          <t>2021</t>
        </is>
      </c>
      <c r="B1126" s="42" t="inlineStr">
        <is>
          <t>431227</t>
        </is>
      </c>
      <c r="C1126" s="38" t="inlineStr">
        <is>
          <t>Y002</t>
        </is>
      </c>
      <c r="D1126" s="38" t="inlineStr">
        <is>
          <t>TOTAL</t>
        </is>
      </c>
      <c r="E1126" s="38" t="inlineStr">
        <is>
          <t>POP</t>
        </is>
      </c>
      <c r="F1126" s="38" t="n">
        <v>2</v>
      </c>
    </row>
    <row r="1127" ht="15" customHeight="1" s="39">
      <c r="A1127" s="38" t="inlineStr">
        <is>
          <t>2021</t>
        </is>
      </c>
      <c r="B1127" s="42" t="inlineStr">
        <is>
          <t>431227</t>
        </is>
      </c>
      <c r="C1127" s="38" t="inlineStr">
        <is>
          <t>Y003</t>
        </is>
      </c>
      <c r="D1127" s="38" t="inlineStr">
        <is>
          <t>TOTAL</t>
        </is>
      </c>
      <c r="E1127" s="38" t="inlineStr">
        <is>
          <t>POP</t>
        </is>
      </c>
      <c r="F1127" s="38" t="n">
        <v>4</v>
      </c>
    </row>
    <row r="1128" ht="15" customHeight="1" s="39">
      <c r="A1128" s="38" t="inlineStr">
        <is>
          <t>2021</t>
        </is>
      </c>
      <c r="B1128" s="42" t="inlineStr">
        <is>
          <t>431227</t>
        </is>
      </c>
      <c r="C1128" s="38" t="inlineStr">
        <is>
          <t>Y004</t>
        </is>
      </c>
      <c r="D1128" s="38" t="inlineStr">
        <is>
          <t>TOTAL</t>
        </is>
      </c>
      <c r="E1128" s="38" t="inlineStr">
        <is>
          <t>POP</t>
        </is>
      </c>
      <c r="F1128" s="38" t="n">
        <v>2</v>
      </c>
    </row>
    <row r="1129" ht="15" customHeight="1" s="39">
      <c r="A1129" s="38" t="inlineStr">
        <is>
          <t>2021</t>
        </is>
      </c>
      <c r="B1129" s="42" t="inlineStr">
        <is>
          <t>431227</t>
        </is>
      </c>
      <c r="C1129" s="38" t="inlineStr">
        <is>
          <t>Y005</t>
        </is>
      </c>
      <c r="D1129" s="38" t="inlineStr">
        <is>
          <t>TOTAL</t>
        </is>
      </c>
      <c r="E1129" s="38" t="inlineStr">
        <is>
          <t>POP</t>
        </is>
      </c>
      <c r="F1129" s="38" t="n">
        <v>2</v>
      </c>
    </row>
    <row r="1130" ht="15" customHeight="1" s="39">
      <c r="A1130" s="38" t="inlineStr">
        <is>
          <t>2021</t>
        </is>
      </c>
      <c r="B1130" s="42" t="inlineStr">
        <is>
          <t>431227</t>
        </is>
      </c>
      <c r="C1130" s="38" t="inlineStr">
        <is>
          <t>Y006</t>
        </is>
      </c>
      <c r="D1130" s="38" t="inlineStr">
        <is>
          <t>TOTAL</t>
        </is>
      </c>
      <c r="E1130" s="38" t="inlineStr">
        <is>
          <t>POP</t>
        </is>
      </c>
      <c r="F1130" s="38" t="n">
        <v>1</v>
      </c>
    </row>
    <row r="1131" ht="15" customHeight="1" s="39">
      <c r="A1131" s="38" t="inlineStr">
        <is>
          <t>2021</t>
        </is>
      </c>
      <c r="B1131" s="42" t="inlineStr">
        <is>
          <t>431227</t>
        </is>
      </c>
      <c r="C1131" s="38" t="inlineStr">
        <is>
          <t>Y007</t>
        </is>
      </c>
      <c r="D1131" s="38" t="inlineStr">
        <is>
          <t>TOTAL</t>
        </is>
      </c>
      <c r="E1131" s="38" t="inlineStr">
        <is>
          <t>POP</t>
        </is>
      </c>
      <c r="F1131" s="38" t="n">
        <v>0</v>
      </c>
    </row>
    <row r="1132" ht="15" customHeight="1" s="39">
      <c r="A1132" s="38" t="inlineStr">
        <is>
          <t>2021</t>
        </is>
      </c>
      <c r="B1132" s="42" t="inlineStr">
        <is>
          <t>431227</t>
        </is>
      </c>
      <c r="C1132" s="38" t="inlineStr">
        <is>
          <t>Y008</t>
        </is>
      </c>
      <c r="D1132" s="38" t="inlineStr">
        <is>
          <t>TOTAL</t>
        </is>
      </c>
      <c r="E1132" s="38" t="inlineStr">
        <is>
          <t>POP</t>
        </is>
      </c>
      <c r="F1132" s="38" t="n">
        <v>3</v>
      </c>
    </row>
    <row r="1133" ht="15" customHeight="1" s="39">
      <c r="A1133" s="38" t="inlineStr">
        <is>
          <t>2021</t>
        </is>
      </c>
      <c r="B1133" s="42" t="inlineStr">
        <is>
          <t>431227</t>
        </is>
      </c>
      <c r="C1133" s="38" t="inlineStr">
        <is>
          <t>Y009</t>
        </is>
      </c>
      <c r="D1133" s="38" t="inlineStr">
        <is>
          <t>TOTAL</t>
        </is>
      </c>
      <c r="E1133" s="38" t="inlineStr">
        <is>
          <t>POP</t>
        </is>
      </c>
      <c r="F1133" s="38" t="n">
        <v>7</v>
      </c>
    </row>
    <row r="1134" ht="15" customHeight="1" s="39">
      <c r="A1134" s="38" t="inlineStr">
        <is>
          <t>2021</t>
        </is>
      </c>
      <c r="B1134" s="42" t="inlineStr">
        <is>
          <t>431227</t>
        </is>
      </c>
      <c r="C1134" s="38" t="inlineStr">
        <is>
          <t>Y010</t>
        </is>
      </c>
      <c r="D1134" s="38" t="inlineStr">
        <is>
          <t>TOTAL</t>
        </is>
      </c>
      <c r="E1134" s="38" t="inlineStr">
        <is>
          <t>POP</t>
        </is>
      </c>
      <c r="F1134" s="38" t="n">
        <v>5</v>
      </c>
    </row>
    <row r="1135" ht="15" customHeight="1" s="39">
      <c r="A1135" s="38" t="inlineStr">
        <is>
          <t>2021</t>
        </is>
      </c>
      <c r="B1135" s="42" t="inlineStr">
        <is>
          <t>431227</t>
        </is>
      </c>
      <c r="C1135" s="38" t="inlineStr">
        <is>
          <t>Y011</t>
        </is>
      </c>
      <c r="D1135" s="38" t="inlineStr">
        <is>
          <t>TOTAL</t>
        </is>
      </c>
      <c r="E1135" s="38" t="inlineStr">
        <is>
          <t>POP</t>
        </is>
      </c>
      <c r="F1135" s="38" t="n">
        <v>0</v>
      </c>
    </row>
    <row r="1136" ht="15" customHeight="1" s="39">
      <c r="A1136" s="38" t="inlineStr">
        <is>
          <t>2021</t>
        </is>
      </c>
      <c r="B1136" s="42" t="inlineStr">
        <is>
          <t>431227</t>
        </is>
      </c>
      <c r="C1136" s="38" t="inlineStr">
        <is>
          <t>Y012</t>
        </is>
      </c>
      <c r="D1136" s="38" t="inlineStr">
        <is>
          <t>TOTAL</t>
        </is>
      </c>
      <c r="E1136" s="38" t="inlineStr">
        <is>
          <t>POP</t>
        </is>
      </c>
      <c r="F1136" s="38" t="n">
        <v>1</v>
      </c>
    </row>
    <row r="1137" ht="15" customHeight="1" s="39">
      <c r="A1137" s="38" t="inlineStr">
        <is>
          <t>2021</t>
        </is>
      </c>
      <c r="B1137" s="42" t="inlineStr">
        <is>
          <t>431227</t>
        </is>
      </c>
      <c r="C1137" s="38" t="inlineStr">
        <is>
          <t>Y013</t>
        </is>
      </c>
      <c r="D1137" s="38" t="inlineStr">
        <is>
          <t>TOTAL</t>
        </is>
      </c>
      <c r="E1137" s="38" t="inlineStr">
        <is>
          <t>POP</t>
        </is>
      </c>
      <c r="F1137" s="38" t="n">
        <v>1</v>
      </c>
    </row>
    <row r="1138" ht="15" customHeight="1" s="39">
      <c r="A1138" s="38" t="inlineStr">
        <is>
          <t>2021</t>
        </is>
      </c>
      <c r="B1138" s="42" t="inlineStr">
        <is>
          <t>431227</t>
        </is>
      </c>
      <c r="C1138" s="38" t="inlineStr">
        <is>
          <t>Y014</t>
        </is>
      </c>
      <c r="D1138" s="38" t="inlineStr">
        <is>
          <t>TOTAL</t>
        </is>
      </c>
      <c r="E1138" s="38" t="inlineStr">
        <is>
          <t>POP</t>
        </is>
      </c>
      <c r="F1138" s="38" t="n">
        <v>1</v>
      </c>
    </row>
    <row r="1139" ht="15" customHeight="1" s="39">
      <c r="A1139" s="38" t="inlineStr">
        <is>
          <t>2021</t>
        </is>
      </c>
      <c r="B1139" s="42" t="inlineStr">
        <is>
          <t>431227</t>
        </is>
      </c>
      <c r="C1139" s="38" t="inlineStr">
        <is>
          <t>Y015</t>
        </is>
      </c>
      <c r="D1139" s="38" t="inlineStr">
        <is>
          <t>TOTAL</t>
        </is>
      </c>
      <c r="E1139" s="38" t="inlineStr">
        <is>
          <t>POP</t>
        </is>
      </c>
      <c r="F1139" s="38" t="n">
        <v>2</v>
      </c>
    </row>
    <row r="1140" ht="15" customHeight="1" s="39">
      <c r="A1140" s="38" t="inlineStr">
        <is>
          <t>2021</t>
        </is>
      </c>
      <c r="B1140" s="42" t="inlineStr">
        <is>
          <t>431227</t>
        </is>
      </c>
      <c r="C1140" s="38" t="inlineStr">
        <is>
          <t>Y016</t>
        </is>
      </c>
      <c r="D1140" s="38" t="inlineStr">
        <is>
          <t>TOTAL</t>
        </is>
      </c>
      <c r="E1140" s="38" t="inlineStr">
        <is>
          <t>POP</t>
        </is>
      </c>
      <c r="F1140" s="38" t="n">
        <v>4</v>
      </c>
    </row>
    <row r="1141" ht="15" customHeight="1" s="39">
      <c r="A1141" s="38" t="inlineStr">
        <is>
          <t>2021</t>
        </is>
      </c>
      <c r="B1141" s="42" t="inlineStr">
        <is>
          <t>431227</t>
        </is>
      </c>
      <c r="C1141" s="38" t="inlineStr">
        <is>
          <t>Y017</t>
        </is>
      </c>
      <c r="D1141" s="38" t="inlineStr">
        <is>
          <t>TOTAL</t>
        </is>
      </c>
      <c r="E1141" s="38" t="inlineStr">
        <is>
          <t>POP</t>
        </is>
      </c>
      <c r="F1141" s="38" t="n">
        <v>0</v>
      </c>
    </row>
    <row r="1142" ht="15" customHeight="1" s="39">
      <c r="A1142" s="38" t="inlineStr">
        <is>
          <t>2021</t>
        </is>
      </c>
      <c r="B1142" s="42" t="inlineStr">
        <is>
          <t>431227</t>
        </is>
      </c>
      <c r="C1142" s="38" t="inlineStr">
        <is>
          <t>Y018</t>
        </is>
      </c>
      <c r="D1142" s="38" t="inlineStr">
        <is>
          <t>TOTAL</t>
        </is>
      </c>
      <c r="E1142" s="38" t="inlineStr">
        <is>
          <t>POP</t>
        </is>
      </c>
      <c r="F1142" s="38" t="n">
        <v>1</v>
      </c>
    </row>
    <row r="1143" ht="15" customHeight="1" s="39">
      <c r="A1143" s="38" t="inlineStr">
        <is>
          <t>2021</t>
        </is>
      </c>
      <c r="B1143" s="42" t="inlineStr">
        <is>
          <t>431227</t>
        </is>
      </c>
      <c r="C1143" s="38" t="inlineStr">
        <is>
          <t>Y019</t>
        </is>
      </c>
      <c r="D1143" s="38" t="inlineStr">
        <is>
          <t>TOTAL</t>
        </is>
      </c>
      <c r="E1143" s="38" t="inlineStr">
        <is>
          <t>POP</t>
        </is>
      </c>
      <c r="F1143" s="38" t="n">
        <v>2</v>
      </c>
    </row>
    <row r="1144" ht="15" customHeight="1" s="39">
      <c r="A1144" s="38" t="inlineStr">
        <is>
          <t>2021</t>
        </is>
      </c>
      <c r="B1144" s="42" t="inlineStr">
        <is>
          <t>431227</t>
        </is>
      </c>
      <c r="C1144" s="38" t="inlineStr">
        <is>
          <t>Y020</t>
        </is>
      </c>
      <c r="D1144" s="38" t="inlineStr">
        <is>
          <t>TOTAL</t>
        </is>
      </c>
      <c r="E1144" s="38" t="inlineStr">
        <is>
          <t>POP</t>
        </is>
      </c>
      <c r="F1144" s="38" t="n">
        <v>0</v>
      </c>
    </row>
    <row r="1145" ht="15" customHeight="1" s="39">
      <c r="A1145" s="38" t="inlineStr">
        <is>
          <t>2021</t>
        </is>
      </c>
      <c r="B1145" s="42" t="inlineStr">
        <is>
          <t>431227</t>
        </is>
      </c>
      <c r="C1145" s="38" t="inlineStr">
        <is>
          <t>Y021</t>
        </is>
      </c>
      <c r="D1145" s="38" t="inlineStr">
        <is>
          <t>TOTAL</t>
        </is>
      </c>
      <c r="E1145" s="38" t="inlineStr">
        <is>
          <t>POP</t>
        </is>
      </c>
      <c r="F1145" s="38" t="n">
        <v>1</v>
      </c>
    </row>
    <row r="1146" ht="15" customHeight="1" s="39">
      <c r="A1146" s="38" t="inlineStr">
        <is>
          <t>2021</t>
        </is>
      </c>
      <c r="B1146" s="42" t="inlineStr">
        <is>
          <t>431227</t>
        </is>
      </c>
      <c r="C1146" s="38" t="inlineStr">
        <is>
          <t>Y022</t>
        </is>
      </c>
      <c r="D1146" s="38" t="inlineStr">
        <is>
          <t>TOTAL</t>
        </is>
      </c>
      <c r="E1146" s="38" t="inlineStr">
        <is>
          <t>POP</t>
        </is>
      </c>
      <c r="F1146" s="38" t="n">
        <v>2</v>
      </c>
    </row>
    <row r="1147" ht="15" customHeight="1" s="39">
      <c r="A1147" s="38" t="inlineStr">
        <is>
          <t>2021</t>
        </is>
      </c>
      <c r="B1147" s="42" t="inlineStr">
        <is>
          <t>431227</t>
        </is>
      </c>
      <c r="C1147" s="38" t="inlineStr">
        <is>
          <t>Y023</t>
        </is>
      </c>
      <c r="D1147" s="38" t="inlineStr">
        <is>
          <t>TOTAL</t>
        </is>
      </c>
      <c r="E1147" s="38" t="inlineStr">
        <is>
          <t>POP</t>
        </is>
      </c>
      <c r="F1147" s="38" t="n">
        <v>0</v>
      </c>
    </row>
    <row r="1148" ht="15" customHeight="1" s="39">
      <c r="A1148" s="38" t="inlineStr">
        <is>
          <t>2021</t>
        </is>
      </c>
      <c r="B1148" s="42" t="inlineStr">
        <is>
          <t>431227</t>
        </is>
      </c>
      <c r="C1148" s="38" t="inlineStr">
        <is>
          <t>Y024</t>
        </is>
      </c>
      <c r="D1148" s="38" t="inlineStr">
        <is>
          <t>TOTAL</t>
        </is>
      </c>
      <c r="E1148" s="38" t="inlineStr">
        <is>
          <t>POP</t>
        </is>
      </c>
      <c r="F1148" s="38" t="n">
        <v>0</v>
      </c>
    </row>
    <row r="1149" ht="15" customHeight="1" s="39">
      <c r="A1149" s="38" t="inlineStr">
        <is>
          <t>2021</t>
        </is>
      </c>
      <c r="B1149" s="42" t="inlineStr">
        <is>
          <t>431227</t>
        </is>
      </c>
      <c r="C1149" s="38" t="inlineStr">
        <is>
          <t>Y025</t>
        </is>
      </c>
      <c r="D1149" s="38" t="inlineStr">
        <is>
          <t>TOTAL</t>
        </is>
      </c>
      <c r="E1149" s="38" t="inlineStr">
        <is>
          <t>POP</t>
        </is>
      </c>
      <c r="F1149" s="38" t="n">
        <v>2</v>
      </c>
    </row>
    <row r="1150" ht="15" customHeight="1" s="39">
      <c r="A1150" s="38" t="inlineStr">
        <is>
          <t>2021</t>
        </is>
      </c>
      <c r="B1150" s="42" t="inlineStr">
        <is>
          <t>431227</t>
        </is>
      </c>
      <c r="C1150" s="38" t="inlineStr">
        <is>
          <t>Y026</t>
        </is>
      </c>
      <c r="D1150" s="38" t="inlineStr">
        <is>
          <t>TOTAL</t>
        </is>
      </c>
      <c r="E1150" s="38" t="inlineStr">
        <is>
          <t>POP</t>
        </is>
      </c>
      <c r="F1150" s="38" t="n">
        <v>2</v>
      </c>
    </row>
    <row r="1151" ht="15" customHeight="1" s="39">
      <c r="A1151" s="38" t="inlineStr">
        <is>
          <t>2021</t>
        </is>
      </c>
      <c r="B1151" s="42" t="inlineStr">
        <is>
          <t>431227</t>
        </is>
      </c>
      <c r="C1151" s="38" t="inlineStr">
        <is>
          <t>Y027</t>
        </is>
      </c>
      <c r="D1151" s="38" t="inlineStr">
        <is>
          <t>TOTAL</t>
        </is>
      </c>
      <c r="E1151" s="38" t="inlineStr">
        <is>
          <t>POP</t>
        </is>
      </c>
      <c r="F1151" s="38" t="n">
        <v>1</v>
      </c>
    </row>
    <row r="1152" ht="15" customHeight="1" s="39">
      <c r="A1152" s="38" t="inlineStr">
        <is>
          <t>2021</t>
        </is>
      </c>
      <c r="B1152" s="42" t="inlineStr">
        <is>
          <t>431227</t>
        </is>
      </c>
      <c r="C1152" s="38" t="inlineStr">
        <is>
          <t>Y028</t>
        </is>
      </c>
      <c r="D1152" s="38" t="inlineStr">
        <is>
          <t>TOTAL</t>
        </is>
      </c>
      <c r="E1152" s="38" t="inlineStr">
        <is>
          <t>POP</t>
        </is>
      </c>
      <c r="F1152" s="38" t="n">
        <v>0</v>
      </c>
    </row>
    <row r="1153" ht="15" customHeight="1" s="39">
      <c r="A1153" s="38" t="inlineStr">
        <is>
          <t>2021</t>
        </is>
      </c>
      <c r="B1153" s="42" t="inlineStr">
        <is>
          <t>431227</t>
        </is>
      </c>
      <c r="C1153" s="38" t="inlineStr">
        <is>
          <t>Y029</t>
        </is>
      </c>
      <c r="D1153" s="38" t="inlineStr">
        <is>
          <t>TOTAL</t>
        </is>
      </c>
      <c r="E1153" s="38" t="inlineStr">
        <is>
          <t>POP</t>
        </is>
      </c>
      <c r="F1153" s="38" t="n">
        <v>2</v>
      </c>
    </row>
    <row r="1154" ht="15" customHeight="1" s="39">
      <c r="A1154" s="38" t="inlineStr">
        <is>
          <t>2021</t>
        </is>
      </c>
      <c r="B1154" s="42" t="inlineStr">
        <is>
          <t>431227</t>
        </is>
      </c>
      <c r="C1154" s="38" t="inlineStr">
        <is>
          <t>Y030</t>
        </is>
      </c>
      <c r="D1154" s="38" t="inlineStr">
        <is>
          <t>TOTAL</t>
        </is>
      </c>
      <c r="E1154" s="38" t="inlineStr">
        <is>
          <t>POP</t>
        </is>
      </c>
      <c r="F1154" s="38" t="n">
        <v>2</v>
      </c>
    </row>
    <row r="1155" ht="15" customHeight="1" s="39">
      <c r="A1155" s="38" t="inlineStr">
        <is>
          <t>2021</t>
        </is>
      </c>
      <c r="B1155" s="42" t="inlineStr">
        <is>
          <t>431227</t>
        </is>
      </c>
      <c r="C1155" s="38" t="inlineStr">
        <is>
          <t>Y031</t>
        </is>
      </c>
      <c r="D1155" s="38" t="inlineStr">
        <is>
          <t>TOTAL</t>
        </is>
      </c>
      <c r="E1155" s="38" t="inlineStr">
        <is>
          <t>POP</t>
        </is>
      </c>
      <c r="F1155" s="38" t="n">
        <v>2</v>
      </c>
    </row>
    <row r="1156" ht="15" customHeight="1" s="39">
      <c r="A1156" s="38" t="inlineStr">
        <is>
          <t>2021</t>
        </is>
      </c>
      <c r="B1156" s="42" t="inlineStr">
        <is>
          <t>431227</t>
        </is>
      </c>
      <c r="C1156" s="38" t="inlineStr">
        <is>
          <t>Y032</t>
        </is>
      </c>
      <c r="D1156" s="38" t="inlineStr">
        <is>
          <t>TOTAL</t>
        </is>
      </c>
      <c r="E1156" s="38" t="inlineStr">
        <is>
          <t>POP</t>
        </is>
      </c>
      <c r="F1156" s="38" t="n">
        <v>3</v>
      </c>
    </row>
    <row r="1157" ht="15" customHeight="1" s="39">
      <c r="A1157" s="38" t="inlineStr">
        <is>
          <t>2021</t>
        </is>
      </c>
      <c r="B1157" s="42" t="inlineStr">
        <is>
          <t>431227</t>
        </is>
      </c>
      <c r="C1157" s="38" t="inlineStr">
        <is>
          <t>Y033</t>
        </is>
      </c>
      <c r="D1157" s="38" t="inlineStr">
        <is>
          <t>TOTAL</t>
        </is>
      </c>
      <c r="E1157" s="38" t="inlineStr">
        <is>
          <t>POP</t>
        </is>
      </c>
      <c r="F1157" s="38" t="n">
        <v>2</v>
      </c>
    </row>
    <row r="1158" ht="15" customHeight="1" s="39">
      <c r="A1158" s="38" t="inlineStr">
        <is>
          <t>2021</t>
        </is>
      </c>
      <c r="B1158" s="42" t="inlineStr">
        <is>
          <t>431227</t>
        </is>
      </c>
      <c r="C1158" s="38" t="inlineStr">
        <is>
          <t>Y034</t>
        </is>
      </c>
      <c r="D1158" s="38" t="inlineStr">
        <is>
          <t>TOTAL</t>
        </is>
      </c>
      <c r="E1158" s="38" t="inlineStr">
        <is>
          <t>POP</t>
        </is>
      </c>
      <c r="F1158" s="38" t="n">
        <v>1</v>
      </c>
    </row>
    <row r="1159" ht="15" customHeight="1" s="39">
      <c r="A1159" s="38" t="inlineStr">
        <is>
          <t>2021</t>
        </is>
      </c>
      <c r="B1159" s="42" t="inlineStr">
        <is>
          <t>431227</t>
        </is>
      </c>
      <c r="C1159" s="38" t="inlineStr">
        <is>
          <t>Y035</t>
        </is>
      </c>
      <c r="D1159" s="38" t="inlineStr">
        <is>
          <t>TOTAL</t>
        </is>
      </c>
      <c r="E1159" s="38" t="inlineStr">
        <is>
          <t>POP</t>
        </is>
      </c>
      <c r="F1159" s="38" t="n">
        <v>3</v>
      </c>
    </row>
    <row r="1160" ht="15" customHeight="1" s="39">
      <c r="A1160" s="38" t="inlineStr">
        <is>
          <t>2021</t>
        </is>
      </c>
      <c r="B1160" s="42" t="inlineStr">
        <is>
          <t>431227</t>
        </is>
      </c>
      <c r="C1160" s="38" t="inlineStr">
        <is>
          <t>Y036</t>
        </is>
      </c>
      <c r="D1160" s="38" t="inlineStr">
        <is>
          <t>TOTAL</t>
        </is>
      </c>
      <c r="E1160" s="38" t="inlineStr">
        <is>
          <t>POP</t>
        </is>
      </c>
      <c r="F1160" s="38" t="n">
        <v>2</v>
      </c>
    </row>
    <row r="1161" ht="15" customHeight="1" s="39">
      <c r="A1161" s="38" t="inlineStr">
        <is>
          <t>2021</t>
        </is>
      </c>
      <c r="B1161" s="42" t="inlineStr">
        <is>
          <t>431227</t>
        </is>
      </c>
      <c r="C1161" s="38" t="inlineStr">
        <is>
          <t>Y037</t>
        </is>
      </c>
      <c r="D1161" s="38" t="inlineStr">
        <is>
          <t>TOTAL</t>
        </is>
      </c>
      <c r="E1161" s="38" t="inlineStr">
        <is>
          <t>POP</t>
        </is>
      </c>
      <c r="F1161" s="38" t="n">
        <v>1</v>
      </c>
    </row>
    <row r="1162" ht="15" customHeight="1" s="39">
      <c r="A1162" s="38" t="inlineStr">
        <is>
          <t>2021</t>
        </is>
      </c>
      <c r="B1162" s="42" t="inlineStr">
        <is>
          <t>431227</t>
        </is>
      </c>
      <c r="C1162" s="38" t="inlineStr">
        <is>
          <t>Y038</t>
        </is>
      </c>
      <c r="D1162" s="38" t="inlineStr">
        <is>
          <t>TOTAL</t>
        </is>
      </c>
      <c r="E1162" s="38" t="inlineStr">
        <is>
          <t>POP</t>
        </is>
      </c>
      <c r="F1162" s="38" t="n">
        <v>1</v>
      </c>
    </row>
    <row r="1163" ht="15" customHeight="1" s="39">
      <c r="A1163" s="38" t="inlineStr">
        <is>
          <t>2021</t>
        </is>
      </c>
      <c r="B1163" s="42" t="inlineStr">
        <is>
          <t>431227</t>
        </is>
      </c>
      <c r="C1163" s="38" t="inlineStr">
        <is>
          <t>Y039</t>
        </is>
      </c>
      <c r="D1163" s="38" t="inlineStr">
        <is>
          <t>TOTAL</t>
        </is>
      </c>
      <c r="E1163" s="38" t="inlineStr">
        <is>
          <t>POP</t>
        </is>
      </c>
      <c r="F1163" s="38" t="n">
        <v>4</v>
      </c>
    </row>
    <row r="1164" ht="15" customHeight="1" s="39">
      <c r="A1164" s="38" t="inlineStr">
        <is>
          <t>2021</t>
        </is>
      </c>
      <c r="B1164" s="42" t="inlineStr">
        <is>
          <t>431227</t>
        </is>
      </c>
      <c r="C1164" s="38" t="inlineStr">
        <is>
          <t>Y040</t>
        </is>
      </c>
      <c r="D1164" s="38" t="inlineStr">
        <is>
          <t>TOTAL</t>
        </is>
      </c>
      <c r="E1164" s="38" t="inlineStr">
        <is>
          <t>POP</t>
        </is>
      </c>
      <c r="F1164" s="38" t="n">
        <v>4</v>
      </c>
    </row>
    <row r="1165" ht="15" customHeight="1" s="39">
      <c r="A1165" s="38" t="inlineStr">
        <is>
          <t>2021</t>
        </is>
      </c>
      <c r="B1165" s="42" t="inlineStr">
        <is>
          <t>431227</t>
        </is>
      </c>
      <c r="C1165" s="38" t="inlineStr">
        <is>
          <t>Y041</t>
        </is>
      </c>
      <c r="D1165" s="38" t="inlineStr">
        <is>
          <t>TOTAL</t>
        </is>
      </c>
      <c r="E1165" s="38" t="inlineStr">
        <is>
          <t>POP</t>
        </is>
      </c>
      <c r="F1165" s="38" t="n">
        <v>4</v>
      </c>
    </row>
    <row r="1166" ht="15" customHeight="1" s="39">
      <c r="A1166" s="38" t="inlineStr">
        <is>
          <t>2021</t>
        </is>
      </c>
      <c r="B1166" s="42" t="inlineStr">
        <is>
          <t>431227</t>
        </is>
      </c>
      <c r="C1166" s="38" t="inlineStr">
        <is>
          <t>Y042</t>
        </is>
      </c>
      <c r="D1166" s="38" t="inlineStr">
        <is>
          <t>TOTAL</t>
        </is>
      </c>
      <c r="E1166" s="38" t="inlineStr">
        <is>
          <t>POP</t>
        </is>
      </c>
      <c r="F1166" s="38" t="n">
        <v>5</v>
      </c>
    </row>
    <row r="1167" ht="15" customHeight="1" s="39">
      <c r="A1167" s="38" t="inlineStr">
        <is>
          <t>2021</t>
        </is>
      </c>
      <c r="B1167" s="42" t="inlineStr">
        <is>
          <t>431227</t>
        </is>
      </c>
      <c r="C1167" s="38" t="inlineStr">
        <is>
          <t>Y043</t>
        </is>
      </c>
      <c r="D1167" s="38" t="inlineStr">
        <is>
          <t>TOTAL</t>
        </is>
      </c>
      <c r="E1167" s="38" t="inlineStr">
        <is>
          <t>POP</t>
        </is>
      </c>
      <c r="F1167" s="38" t="n">
        <v>3</v>
      </c>
    </row>
    <row r="1168" ht="15" customHeight="1" s="39">
      <c r="A1168" s="38" t="inlineStr">
        <is>
          <t>2021</t>
        </is>
      </c>
      <c r="B1168" s="42" t="inlineStr">
        <is>
          <t>431227</t>
        </is>
      </c>
      <c r="C1168" s="38" t="inlineStr">
        <is>
          <t>Y044</t>
        </is>
      </c>
      <c r="D1168" s="38" t="inlineStr">
        <is>
          <t>TOTAL</t>
        </is>
      </c>
      <c r="E1168" s="38" t="inlineStr">
        <is>
          <t>POP</t>
        </is>
      </c>
      <c r="F1168" s="38" t="n">
        <v>5</v>
      </c>
    </row>
    <row r="1169" ht="15" customHeight="1" s="39">
      <c r="A1169" s="38" t="inlineStr">
        <is>
          <t>2021</t>
        </is>
      </c>
      <c r="B1169" s="42" t="inlineStr">
        <is>
          <t>431227</t>
        </is>
      </c>
      <c r="C1169" s="38" t="inlineStr">
        <is>
          <t>Y045</t>
        </is>
      </c>
      <c r="D1169" s="38" t="inlineStr">
        <is>
          <t>TOTAL</t>
        </is>
      </c>
      <c r="E1169" s="38" t="inlineStr">
        <is>
          <t>POP</t>
        </is>
      </c>
      <c r="F1169" s="38" t="n">
        <v>4</v>
      </c>
    </row>
    <row r="1170" ht="15" customHeight="1" s="39">
      <c r="A1170" s="38" t="inlineStr">
        <is>
          <t>2021</t>
        </is>
      </c>
      <c r="B1170" s="42" t="inlineStr">
        <is>
          <t>431227</t>
        </is>
      </c>
      <c r="C1170" s="38" t="inlineStr">
        <is>
          <t>Y046</t>
        </is>
      </c>
      <c r="D1170" s="38" t="inlineStr">
        <is>
          <t>TOTAL</t>
        </is>
      </c>
      <c r="E1170" s="38" t="inlineStr">
        <is>
          <t>POP</t>
        </is>
      </c>
      <c r="F1170" s="38" t="n">
        <v>3</v>
      </c>
    </row>
    <row r="1171" ht="15" customHeight="1" s="39">
      <c r="A1171" s="38" t="inlineStr">
        <is>
          <t>2021</t>
        </is>
      </c>
      <c r="B1171" s="42" t="inlineStr">
        <is>
          <t>431227</t>
        </is>
      </c>
      <c r="C1171" s="38" t="inlineStr">
        <is>
          <t>Y047</t>
        </is>
      </c>
      <c r="D1171" s="38" t="inlineStr">
        <is>
          <t>TOTAL</t>
        </is>
      </c>
      <c r="E1171" s="38" t="inlineStr">
        <is>
          <t>POP</t>
        </is>
      </c>
      <c r="F1171" s="38" t="n">
        <v>2</v>
      </c>
    </row>
    <row r="1172" ht="15" customHeight="1" s="39">
      <c r="A1172" s="38" t="inlineStr">
        <is>
          <t>2021</t>
        </is>
      </c>
      <c r="B1172" s="42" t="inlineStr">
        <is>
          <t>431227</t>
        </is>
      </c>
      <c r="C1172" s="38" t="inlineStr">
        <is>
          <t>Y048</t>
        </is>
      </c>
      <c r="D1172" s="38" t="inlineStr">
        <is>
          <t>TOTAL</t>
        </is>
      </c>
      <c r="E1172" s="38" t="inlineStr">
        <is>
          <t>POP</t>
        </is>
      </c>
      <c r="F1172" s="38" t="n">
        <v>2</v>
      </c>
    </row>
    <row r="1173" ht="15" customHeight="1" s="39">
      <c r="A1173" s="38" t="inlineStr">
        <is>
          <t>2021</t>
        </is>
      </c>
      <c r="B1173" s="42" t="inlineStr">
        <is>
          <t>431227</t>
        </is>
      </c>
      <c r="C1173" s="38" t="inlineStr">
        <is>
          <t>Y049</t>
        </is>
      </c>
      <c r="D1173" s="38" t="inlineStr">
        <is>
          <t>TOTAL</t>
        </is>
      </c>
      <c r="E1173" s="38" t="inlineStr">
        <is>
          <t>POP</t>
        </is>
      </c>
      <c r="F1173" s="38" t="n">
        <v>7</v>
      </c>
    </row>
    <row r="1174" ht="15" customHeight="1" s="39">
      <c r="A1174" s="38" t="inlineStr">
        <is>
          <t>2021</t>
        </is>
      </c>
      <c r="B1174" s="42" t="inlineStr">
        <is>
          <t>431227</t>
        </is>
      </c>
      <c r="C1174" s="38" t="inlineStr">
        <is>
          <t>Y050</t>
        </is>
      </c>
      <c r="D1174" s="38" t="inlineStr">
        <is>
          <t>TOTAL</t>
        </is>
      </c>
      <c r="E1174" s="38" t="inlineStr">
        <is>
          <t>POP</t>
        </is>
      </c>
      <c r="F1174" s="38" t="n">
        <v>1</v>
      </c>
    </row>
    <row r="1175" ht="15" customHeight="1" s="39">
      <c r="A1175" s="38" t="inlineStr">
        <is>
          <t>2021</t>
        </is>
      </c>
      <c r="B1175" s="42" t="inlineStr">
        <is>
          <t>431227</t>
        </is>
      </c>
      <c r="C1175" s="38" t="inlineStr">
        <is>
          <t>Y051</t>
        </is>
      </c>
      <c r="D1175" s="38" t="inlineStr">
        <is>
          <t>TOTAL</t>
        </is>
      </c>
      <c r="E1175" s="38" t="inlineStr">
        <is>
          <t>POP</t>
        </is>
      </c>
      <c r="F1175" s="38" t="n">
        <v>2</v>
      </c>
    </row>
    <row r="1176" ht="15" customHeight="1" s="39">
      <c r="A1176" s="38" t="inlineStr">
        <is>
          <t>2021</t>
        </is>
      </c>
      <c r="B1176" s="42" t="inlineStr">
        <is>
          <t>431227</t>
        </is>
      </c>
      <c r="C1176" s="38" t="inlineStr">
        <is>
          <t>Y052</t>
        </is>
      </c>
      <c r="D1176" s="38" t="inlineStr">
        <is>
          <t>TOTAL</t>
        </is>
      </c>
      <c r="E1176" s="38" t="inlineStr">
        <is>
          <t>POP</t>
        </is>
      </c>
      <c r="F1176" s="38" t="n">
        <v>3</v>
      </c>
    </row>
    <row r="1177" ht="15" customHeight="1" s="39">
      <c r="A1177" s="38" t="inlineStr">
        <is>
          <t>2021</t>
        </is>
      </c>
      <c r="B1177" s="42" t="inlineStr">
        <is>
          <t>431227</t>
        </is>
      </c>
      <c r="C1177" s="38" t="inlineStr">
        <is>
          <t>Y053</t>
        </is>
      </c>
      <c r="D1177" s="38" t="inlineStr">
        <is>
          <t>TOTAL</t>
        </is>
      </c>
      <c r="E1177" s="38" t="inlineStr">
        <is>
          <t>POP</t>
        </is>
      </c>
      <c r="F1177" s="38" t="n">
        <v>6</v>
      </c>
    </row>
    <row r="1178" ht="15" customHeight="1" s="39">
      <c r="A1178" s="38" t="inlineStr">
        <is>
          <t>2021</t>
        </is>
      </c>
      <c r="B1178" s="42" t="inlineStr">
        <is>
          <t>431227</t>
        </is>
      </c>
      <c r="C1178" s="38" t="inlineStr">
        <is>
          <t>Y054</t>
        </is>
      </c>
      <c r="D1178" s="38" t="inlineStr">
        <is>
          <t>TOTAL</t>
        </is>
      </c>
      <c r="E1178" s="38" t="inlineStr">
        <is>
          <t>POP</t>
        </is>
      </c>
      <c r="F1178" s="38" t="n">
        <v>1</v>
      </c>
    </row>
    <row r="1179" ht="15" customHeight="1" s="39">
      <c r="A1179" s="38" t="inlineStr">
        <is>
          <t>2021</t>
        </is>
      </c>
      <c r="B1179" s="42" t="inlineStr">
        <is>
          <t>431227</t>
        </is>
      </c>
      <c r="C1179" s="38" t="inlineStr">
        <is>
          <t>Y055</t>
        </is>
      </c>
      <c r="D1179" s="38" t="inlineStr">
        <is>
          <t>TOTAL</t>
        </is>
      </c>
      <c r="E1179" s="38" t="inlineStr">
        <is>
          <t>POP</t>
        </is>
      </c>
      <c r="F1179" s="38" t="n">
        <v>2</v>
      </c>
    </row>
    <row r="1180" ht="15" customHeight="1" s="39">
      <c r="A1180" s="38" t="inlineStr">
        <is>
          <t>2021</t>
        </is>
      </c>
      <c r="B1180" s="42" t="inlineStr">
        <is>
          <t>431227</t>
        </is>
      </c>
      <c r="C1180" s="38" t="inlineStr">
        <is>
          <t>Y056</t>
        </is>
      </c>
      <c r="D1180" s="38" t="inlineStr">
        <is>
          <t>TOTAL</t>
        </is>
      </c>
      <c r="E1180" s="38" t="inlineStr">
        <is>
          <t>POP</t>
        </is>
      </c>
      <c r="F1180" s="38" t="n">
        <v>4</v>
      </c>
    </row>
    <row r="1181" ht="15" customHeight="1" s="39">
      <c r="A1181" s="38" t="inlineStr">
        <is>
          <t>2021</t>
        </is>
      </c>
      <c r="B1181" s="42" t="inlineStr">
        <is>
          <t>431227</t>
        </is>
      </c>
      <c r="C1181" s="38" t="inlineStr">
        <is>
          <t>Y057</t>
        </is>
      </c>
      <c r="D1181" s="38" t="inlineStr">
        <is>
          <t>TOTAL</t>
        </is>
      </c>
      <c r="E1181" s="38" t="inlineStr">
        <is>
          <t>POP</t>
        </is>
      </c>
      <c r="F1181" s="38" t="n">
        <v>3</v>
      </c>
    </row>
    <row r="1182" ht="15" customHeight="1" s="39">
      <c r="A1182" s="38" t="inlineStr">
        <is>
          <t>2021</t>
        </is>
      </c>
      <c r="B1182" s="42" t="inlineStr">
        <is>
          <t>431227</t>
        </is>
      </c>
      <c r="C1182" s="38" t="inlineStr">
        <is>
          <t>Y058</t>
        </is>
      </c>
      <c r="D1182" s="38" t="inlineStr">
        <is>
          <t>TOTAL</t>
        </is>
      </c>
      <c r="E1182" s="38" t="inlineStr">
        <is>
          <t>POP</t>
        </is>
      </c>
      <c r="F1182" s="38" t="n">
        <v>2</v>
      </c>
    </row>
    <row r="1183" ht="15" customHeight="1" s="39">
      <c r="A1183" s="38" t="inlineStr">
        <is>
          <t>2021</t>
        </is>
      </c>
      <c r="B1183" s="42" t="inlineStr">
        <is>
          <t>431227</t>
        </is>
      </c>
      <c r="C1183" s="38" t="inlineStr">
        <is>
          <t>Y059</t>
        </is>
      </c>
      <c r="D1183" s="38" t="inlineStr">
        <is>
          <t>TOTAL</t>
        </is>
      </c>
      <c r="E1183" s="38" t="inlineStr">
        <is>
          <t>POP</t>
        </is>
      </c>
      <c r="F1183" s="38" t="n">
        <v>2</v>
      </c>
    </row>
    <row r="1184" ht="15" customHeight="1" s="39">
      <c r="A1184" s="38" t="inlineStr">
        <is>
          <t>2021</t>
        </is>
      </c>
      <c r="B1184" s="42" t="inlineStr">
        <is>
          <t>431227</t>
        </is>
      </c>
      <c r="C1184" s="38" t="inlineStr">
        <is>
          <t>Y060</t>
        </is>
      </c>
      <c r="D1184" s="38" t="inlineStr">
        <is>
          <t>TOTAL</t>
        </is>
      </c>
      <c r="E1184" s="38" t="inlineStr">
        <is>
          <t>POP</t>
        </is>
      </c>
      <c r="F1184" s="38" t="n">
        <v>0</v>
      </c>
    </row>
    <row r="1185" ht="15" customHeight="1" s="39">
      <c r="A1185" s="38" t="inlineStr">
        <is>
          <t>2021</t>
        </is>
      </c>
      <c r="B1185" s="42" t="inlineStr">
        <is>
          <t>431227</t>
        </is>
      </c>
      <c r="C1185" s="38" t="inlineStr">
        <is>
          <t>Y061</t>
        </is>
      </c>
      <c r="D1185" s="38" t="inlineStr">
        <is>
          <t>TOTAL</t>
        </is>
      </c>
      <c r="E1185" s="38" t="inlineStr">
        <is>
          <t>POP</t>
        </is>
      </c>
      <c r="F1185" s="38" t="n">
        <v>2</v>
      </c>
    </row>
    <row r="1186" ht="15" customHeight="1" s="39">
      <c r="A1186" s="38" t="inlineStr">
        <is>
          <t>2021</t>
        </is>
      </c>
      <c r="B1186" s="42" t="inlineStr">
        <is>
          <t>431227</t>
        </is>
      </c>
      <c r="C1186" s="38" t="inlineStr">
        <is>
          <t>Y062</t>
        </is>
      </c>
      <c r="D1186" s="38" t="inlineStr">
        <is>
          <t>TOTAL</t>
        </is>
      </c>
      <c r="E1186" s="38" t="inlineStr">
        <is>
          <t>POP</t>
        </is>
      </c>
      <c r="F1186" s="38" t="n">
        <v>1</v>
      </c>
    </row>
    <row r="1187" ht="15" customHeight="1" s="39">
      <c r="A1187" s="38" t="inlineStr">
        <is>
          <t>2021</t>
        </is>
      </c>
      <c r="B1187" s="42" t="inlineStr">
        <is>
          <t>431227</t>
        </is>
      </c>
      <c r="C1187" s="38" t="inlineStr">
        <is>
          <t>Y063</t>
        </is>
      </c>
      <c r="D1187" s="38" t="inlineStr">
        <is>
          <t>TOTAL</t>
        </is>
      </c>
      <c r="E1187" s="38" t="inlineStr">
        <is>
          <t>POP</t>
        </is>
      </c>
      <c r="F1187" s="38" t="n">
        <v>2</v>
      </c>
    </row>
    <row r="1188" ht="15" customHeight="1" s="39">
      <c r="A1188" s="38" t="inlineStr">
        <is>
          <t>2021</t>
        </is>
      </c>
      <c r="B1188" s="42" t="inlineStr">
        <is>
          <t>431227</t>
        </is>
      </c>
      <c r="C1188" s="38" t="inlineStr">
        <is>
          <t>Y064</t>
        </is>
      </c>
      <c r="D1188" s="38" t="inlineStr">
        <is>
          <t>TOTAL</t>
        </is>
      </c>
      <c r="E1188" s="38" t="inlineStr">
        <is>
          <t>POP</t>
        </is>
      </c>
      <c r="F1188" s="38" t="n">
        <v>2</v>
      </c>
    </row>
    <row r="1189" ht="15" customHeight="1" s="39">
      <c r="A1189" s="38" t="inlineStr">
        <is>
          <t>2021</t>
        </is>
      </c>
      <c r="B1189" s="42" t="inlineStr">
        <is>
          <t>431227</t>
        </is>
      </c>
      <c r="C1189" s="38" t="inlineStr">
        <is>
          <t>Y065</t>
        </is>
      </c>
      <c r="D1189" s="38" t="inlineStr">
        <is>
          <t>TOTAL</t>
        </is>
      </c>
      <c r="E1189" s="38" t="inlineStr">
        <is>
          <t>POP</t>
        </is>
      </c>
      <c r="F1189" s="38" t="n">
        <v>0</v>
      </c>
    </row>
    <row r="1190" ht="15" customHeight="1" s="39">
      <c r="A1190" s="38" t="inlineStr">
        <is>
          <t>2021</t>
        </is>
      </c>
      <c r="B1190" s="42" t="inlineStr">
        <is>
          <t>431227</t>
        </is>
      </c>
      <c r="C1190" s="38" t="inlineStr">
        <is>
          <t>Y066</t>
        </is>
      </c>
      <c r="D1190" s="38" t="inlineStr">
        <is>
          <t>TOTAL</t>
        </is>
      </c>
      <c r="E1190" s="38" t="inlineStr">
        <is>
          <t>POP</t>
        </is>
      </c>
      <c r="F1190" s="38" t="n">
        <v>1</v>
      </c>
    </row>
    <row r="1191" ht="15" customHeight="1" s="39">
      <c r="A1191" s="38" t="inlineStr">
        <is>
          <t>2021</t>
        </is>
      </c>
      <c r="B1191" s="42" t="inlineStr">
        <is>
          <t>431227</t>
        </is>
      </c>
      <c r="C1191" s="38" t="inlineStr">
        <is>
          <t>Y067</t>
        </is>
      </c>
      <c r="D1191" s="38" t="inlineStr">
        <is>
          <t>TOTAL</t>
        </is>
      </c>
      <c r="E1191" s="38" t="inlineStr">
        <is>
          <t>POP</t>
        </is>
      </c>
      <c r="F1191" s="38" t="n">
        <v>2</v>
      </c>
    </row>
    <row r="1192" ht="15" customHeight="1" s="39">
      <c r="A1192" s="38" t="inlineStr">
        <is>
          <t>2021</t>
        </is>
      </c>
      <c r="B1192" s="42" t="inlineStr">
        <is>
          <t>431227</t>
        </is>
      </c>
      <c r="C1192" s="38" t="inlineStr">
        <is>
          <t>Y068</t>
        </is>
      </c>
      <c r="D1192" s="38" t="inlineStr">
        <is>
          <t>TOTAL</t>
        </is>
      </c>
      <c r="E1192" s="38" t="inlineStr">
        <is>
          <t>POP</t>
        </is>
      </c>
      <c r="F1192" s="38" t="n">
        <v>0</v>
      </c>
    </row>
    <row r="1193" ht="15" customHeight="1" s="39">
      <c r="A1193" s="38" t="inlineStr">
        <is>
          <t>2021</t>
        </is>
      </c>
      <c r="B1193" s="42" t="inlineStr">
        <is>
          <t>431227</t>
        </is>
      </c>
      <c r="C1193" s="38" t="inlineStr">
        <is>
          <t>Y069</t>
        </is>
      </c>
      <c r="D1193" s="38" t="inlineStr">
        <is>
          <t>TOTAL</t>
        </is>
      </c>
      <c r="E1193" s="38" t="inlineStr">
        <is>
          <t>POP</t>
        </is>
      </c>
      <c r="F1193" s="38" t="n">
        <v>0</v>
      </c>
    </row>
    <row r="1194" ht="15" customHeight="1" s="39">
      <c r="A1194" s="38" t="inlineStr">
        <is>
          <t>2021</t>
        </is>
      </c>
      <c r="B1194" s="42" t="inlineStr">
        <is>
          <t>431227</t>
        </is>
      </c>
      <c r="C1194" s="38" t="inlineStr">
        <is>
          <t>Y070</t>
        </is>
      </c>
      <c r="D1194" s="38" t="inlineStr">
        <is>
          <t>TOTAL</t>
        </is>
      </c>
      <c r="E1194" s="38" t="inlineStr">
        <is>
          <t>POP</t>
        </is>
      </c>
      <c r="F1194" s="38" t="n">
        <v>0</v>
      </c>
    </row>
    <row r="1195" ht="15" customHeight="1" s="39">
      <c r="A1195" s="38" t="inlineStr">
        <is>
          <t>2021</t>
        </is>
      </c>
      <c r="B1195" s="42" t="inlineStr">
        <is>
          <t>431227</t>
        </is>
      </c>
      <c r="C1195" s="38" t="inlineStr">
        <is>
          <t>Y071</t>
        </is>
      </c>
      <c r="D1195" s="38" t="inlineStr">
        <is>
          <t>TOTAL</t>
        </is>
      </c>
      <c r="E1195" s="38" t="inlineStr">
        <is>
          <t>POP</t>
        </is>
      </c>
      <c r="F1195" s="38" t="n">
        <v>3</v>
      </c>
    </row>
    <row r="1196" ht="15" customHeight="1" s="39">
      <c r="A1196" s="38" t="inlineStr">
        <is>
          <t>2021</t>
        </is>
      </c>
      <c r="B1196" s="42" t="inlineStr">
        <is>
          <t>431227</t>
        </is>
      </c>
      <c r="C1196" s="38" t="inlineStr">
        <is>
          <t>Y072</t>
        </is>
      </c>
      <c r="D1196" s="38" t="inlineStr">
        <is>
          <t>TOTAL</t>
        </is>
      </c>
      <c r="E1196" s="38" t="inlineStr">
        <is>
          <t>POP</t>
        </is>
      </c>
      <c r="F1196" s="38" t="n">
        <v>2</v>
      </c>
    </row>
    <row r="1197" ht="15" customHeight="1" s="39">
      <c r="A1197" s="38" t="inlineStr">
        <is>
          <t>2021</t>
        </is>
      </c>
      <c r="B1197" s="42" t="inlineStr">
        <is>
          <t>431227</t>
        </is>
      </c>
      <c r="C1197" s="38" t="inlineStr">
        <is>
          <t>Y073</t>
        </is>
      </c>
      <c r="D1197" s="38" t="inlineStr">
        <is>
          <t>TOTAL</t>
        </is>
      </c>
      <c r="E1197" s="38" t="inlineStr">
        <is>
          <t>POP</t>
        </is>
      </c>
      <c r="F1197" s="38" t="n">
        <v>0</v>
      </c>
    </row>
    <row r="1198" ht="15" customHeight="1" s="39">
      <c r="A1198" s="38" t="inlineStr">
        <is>
          <t>2021</t>
        </is>
      </c>
      <c r="B1198" s="42" t="inlineStr">
        <is>
          <t>431227</t>
        </is>
      </c>
      <c r="C1198" s="38" t="inlineStr">
        <is>
          <t>Y074</t>
        </is>
      </c>
      <c r="D1198" s="38" t="inlineStr">
        <is>
          <t>TOTAL</t>
        </is>
      </c>
      <c r="E1198" s="38" t="inlineStr">
        <is>
          <t>POP</t>
        </is>
      </c>
      <c r="F1198" s="38" t="n">
        <v>0</v>
      </c>
    </row>
    <row r="1199" ht="15" customHeight="1" s="39">
      <c r="A1199" s="38" t="inlineStr">
        <is>
          <t>2021</t>
        </is>
      </c>
      <c r="B1199" s="42" t="inlineStr">
        <is>
          <t>431227</t>
        </is>
      </c>
      <c r="C1199" s="38" t="inlineStr">
        <is>
          <t>Y075</t>
        </is>
      </c>
      <c r="D1199" s="38" t="inlineStr">
        <is>
          <t>TOTAL</t>
        </is>
      </c>
      <c r="E1199" s="38" t="inlineStr">
        <is>
          <t>POP</t>
        </is>
      </c>
      <c r="F1199" s="38" t="n">
        <v>1</v>
      </c>
    </row>
    <row r="1200" ht="15" customHeight="1" s="39">
      <c r="A1200" s="38" t="inlineStr">
        <is>
          <t>2021</t>
        </is>
      </c>
      <c r="B1200" s="42" t="inlineStr">
        <is>
          <t>431227</t>
        </is>
      </c>
      <c r="C1200" s="38" t="inlineStr">
        <is>
          <t>Y076</t>
        </is>
      </c>
      <c r="D1200" s="38" t="inlineStr">
        <is>
          <t>TOTAL</t>
        </is>
      </c>
      <c r="E1200" s="38" t="inlineStr">
        <is>
          <t>POP</t>
        </is>
      </c>
      <c r="F1200" s="38" t="n">
        <v>0</v>
      </c>
    </row>
    <row r="1201" ht="15" customHeight="1" s="39">
      <c r="A1201" s="38" t="inlineStr">
        <is>
          <t>2021</t>
        </is>
      </c>
      <c r="B1201" s="42" t="inlineStr">
        <is>
          <t>431227</t>
        </is>
      </c>
      <c r="C1201" s="38" t="inlineStr">
        <is>
          <t>Y077</t>
        </is>
      </c>
      <c r="D1201" s="38" t="inlineStr">
        <is>
          <t>TOTAL</t>
        </is>
      </c>
      <c r="E1201" s="38" t="inlineStr">
        <is>
          <t>POP</t>
        </is>
      </c>
      <c r="F1201" s="38" t="n">
        <v>0</v>
      </c>
    </row>
    <row r="1202" ht="15" customHeight="1" s="39">
      <c r="A1202" s="38" t="inlineStr">
        <is>
          <t>2021</t>
        </is>
      </c>
      <c r="B1202" s="42" t="inlineStr">
        <is>
          <t>431227</t>
        </is>
      </c>
      <c r="C1202" s="38" t="inlineStr">
        <is>
          <t>Y078</t>
        </is>
      </c>
      <c r="D1202" s="38" t="inlineStr">
        <is>
          <t>TOTAL</t>
        </is>
      </c>
      <c r="E1202" s="38" t="inlineStr">
        <is>
          <t>POP</t>
        </is>
      </c>
      <c r="F1202" s="38" t="n">
        <v>0</v>
      </c>
    </row>
    <row r="1203" ht="15" customHeight="1" s="39">
      <c r="A1203" s="38" t="inlineStr">
        <is>
          <t>2021</t>
        </is>
      </c>
      <c r="B1203" s="42" t="inlineStr">
        <is>
          <t>431227</t>
        </is>
      </c>
      <c r="C1203" s="38" t="inlineStr">
        <is>
          <t>Y079</t>
        </is>
      </c>
      <c r="D1203" s="38" t="inlineStr">
        <is>
          <t>TOTAL</t>
        </is>
      </c>
      <c r="E1203" s="38" t="inlineStr">
        <is>
          <t>POP</t>
        </is>
      </c>
      <c r="F1203" s="38" t="n">
        <v>0</v>
      </c>
    </row>
    <row r="1204" ht="15" customHeight="1" s="39">
      <c r="A1204" s="38" t="inlineStr">
        <is>
          <t>2021</t>
        </is>
      </c>
      <c r="B1204" s="42" t="inlineStr">
        <is>
          <t>431227</t>
        </is>
      </c>
      <c r="C1204" s="38" t="inlineStr">
        <is>
          <t>Y080</t>
        </is>
      </c>
      <c r="D1204" s="38" t="inlineStr">
        <is>
          <t>TOTAL</t>
        </is>
      </c>
      <c r="E1204" s="38" t="inlineStr">
        <is>
          <t>POP</t>
        </is>
      </c>
      <c r="F1204" s="38" t="n">
        <v>0</v>
      </c>
    </row>
    <row r="1205" ht="15" customHeight="1" s="39">
      <c r="A1205" s="38" t="inlineStr">
        <is>
          <t>2021</t>
        </is>
      </c>
      <c r="B1205" s="42" t="inlineStr">
        <is>
          <t>431227</t>
        </is>
      </c>
      <c r="C1205" s="38" t="inlineStr">
        <is>
          <t>Y081</t>
        </is>
      </c>
      <c r="D1205" s="38" t="inlineStr">
        <is>
          <t>TOTAL</t>
        </is>
      </c>
      <c r="E1205" s="38" t="inlineStr">
        <is>
          <t>POP</t>
        </is>
      </c>
      <c r="F1205" s="38" t="n">
        <v>0</v>
      </c>
    </row>
    <row r="1206" ht="15" customHeight="1" s="39">
      <c r="A1206" s="38" t="inlineStr">
        <is>
          <t>2021</t>
        </is>
      </c>
      <c r="B1206" s="42" t="inlineStr">
        <is>
          <t>431227</t>
        </is>
      </c>
      <c r="C1206" s="38" t="inlineStr">
        <is>
          <t>Y082</t>
        </is>
      </c>
      <c r="D1206" s="38" t="inlineStr">
        <is>
          <t>TOTAL</t>
        </is>
      </c>
      <c r="E1206" s="38" t="inlineStr">
        <is>
          <t>POP</t>
        </is>
      </c>
      <c r="F1206" s="38" t="n">
        <v>0</v>
      </c>
    </row>
    <row r="1207" ht="15" customHeight="1" s="39">
      <c r="A1207" s="38" t="inlineStr">
        <is>
          <t>2021</t>
        </is>
      </c>
      <c r="B1207" s="42" t="inlineStr">
        <is>
          <t>431227</t>
        </is>
      </c>
      <c r="C1207" s="38" t="inlineStr">
        <is>
          <t>Y083</t>
        </is>
      </c>
      <c r="D1207" s="38" t="inlineStr">
        <is>
          <t>TOTAL</t>
        </is>
      </c>
      <c r="E1207" s="38" t="inlineStr">
        <is>
          <t>POP</t>
        </is>
      </c>
      <c r="F1207" s="38" t="n">
        <v>1</v>
      </c>
    </row>
    <row r="1208" ht="15" customHeight="1" s="39">
      <c r="A1208" s="38" t="inlineStr">
        <is>
          <t>2021</t>
        </is>
      </c>
      <c r="B1208" s="42" t="inlineStr">
        <is>
          <t>431227</t>
        </is>
      </c>
      <c r="C1208" s="38" t="inlineStr">
        <is>
          <t>Y084</t>
        </is>
      </c>
      <c r="D1208" s="38" t="inlineStr">
        <is>
          <t>TOTAL</t>
        </is>
      </c>
      <c r="E1208" s="38" t="inlineStr">
        <is>
          <t>POP</t>
        </is>
      </c>
      <c r="F1208" s="38" t="n">
        <v>1</v>
      </c>
    </row>
    <row r="1209" ht="15" customHeight="1" s="39">
      <c r="A1209" s="38" t="inlineStr">
        <is>
          <t>2021</t>
        </is>
      </c>
      <c r="B1209" s="42" t="inlineStr">
        <is>
          <t>431227</t>
        </is>
      </c>
      <c r="C1209" s="38" t="inlineStr">
        <is>
          <t>Y085</t>
        </is>
      </c>
      <c r="D1209" s="38" t="inlineStr">
        <is>
          <t>TOTAL</t>
        </is>
      </c>
      <c r="E1209" s="38" t="inlineStr">
        <is>
          <t>POP</t>
        </is>
      </c>
      <c r="F1209" s="38" t="n">
        <v>1</v>
      </c>
    </row>
    <row r="1210" ht="15" customHeight="1" s="39">
      <c r="A1210" s="38" t="inlineStr">
        <is>
          <t>2021</t>
        </is>
      </c>
      <c r="B1210" s="42" t="inlineStr">
        <is>
          <t>431227</t>
        </is>
      </c>
      <c r="C1210" s="38" t="inlineStr">
        <is>
          <t>Y086</t>
        </is>
      </c>
      <c r="D1210" s="38" t="inlineStr">
        <is>
          <t>TOTAL</t>
        </is>
      </c>
      <c r="E1210" s="38" t="inlineStr">
        <is>
          <t>POP</t>
        </is>
      </c>
      <c r="F1210" s="38" t="n">
        <v>0</v>
      </c>
    </row>
    <row r="1211" ht="15" customHeight="1" s="39">
      <c r="A1211" s="38" t="inlineStr">
        <is>
          <t>2021</t>
        </is>
      </c>
      <c r="B1211" s="42" t="inlineStr">
        <is>
          <t>431227</t>
        </is>
      </c>
      <c r="C1211" s="38" t="inlineStr">
        <is>
          <t>Y087</t>
        </is>
      </c>
      <c r="D1211" s="38" t="inlineStr">
        <is>
          <t>TOTAL</t>
        </is>
      </c>
      <c r="E1211" s="38" t="inlineStr">
        <is>
          <t>POP</t>
        </is>
      </c>
      <c r="F1211" s="38" t="n">
        <v>1</v>
      </c>
    </row>
    <row r="1212" ht="15" customHeight="1" s="39">
      <c r="A1212" s="38" t="inlineStr">
        <is>
          <t>2021</t>
        </is>
      </c>
      <c r="B1212" s="42" t="inlineStr">
        <is>
          <t>431227</t>
        </is>
      </c>
      <c r="C1212" s="38" t="inlineStr">
        <is>
          <t>Y088</t>
        </is>
      </c>
      <c r="D1212" s="38" t="inlineStr">
        <is>
          <t>TOTAL</t>
        </is>
      </c>
      <c r="E1212" s="38" t="inlineStr">
        <is>
          <t>POP</t>
        </is>
      </c>
      <c r="F1212" s="38" t="n">
        <v>0</v>
      </c>
    </row>
    <row r="1213" ht="15" customHeight="1" s="39">
      <c r="A1213" s="38" t="inlineStr">
        <is>
          <t>2021</t>
        </is>
      </c>
      <c r="B1213" s="42" t="inlineStr">
        <is>
          <t>431227</t>
        </is>
      </c>
      <c r="C1213" s="38" t="inlineStr">
        <is>
          <t>Y089</t>
        </is>
      </c>
      <c r="D1213" s="38" t="inlineStr">
        <is>
          <t>TOTAL</t>
        </is>
      </c>
      <c r="E1213" s="38" t="inlineStr">
        <is>
          <t>POP</t>
        </is>
      </c>
      <c r="F1213" s="38" t="n">
        <v>0</v>
      </c>
    </row>
    <row r="1214" ht="15" customHeight="1" s="39">
      <c r="A1214" s="38" t="inlineStr">
        <is>
          <t>2021</t>
        </is>
      </c>
      <c r="B1214" s="42" t="inlineStr">
        <is>
          <t>431227</t>
        </is>
      </c>
      <c r="C1214" s="38" t="inlineStr">
        <is>
          <t>Y090</t>
        </is>
      </c>
      <c r="D1214" s="38" t="inlineStr">
        <is>
          <t>TOTAL</t>
        </is>
      </c>
      <c r="E1214" s="38" t="inlineStr">
        <is>
          <t>POP</t>
        </is>
      </c>
      <c r="F1214" s="38" t="n">
        <v>0</v>
      </c>
    </row>
    <row r="1215" ht="15" customHeight="1" s="39">
      <c r="A1215" s="38" t="inlineStr">
        <is>
          <t>2021</t>
        </is>
      </c>
      <c r="B1215" s="42" t="inlineStr">
        <is>
          <t>431227</t>
        </is>
      </c>
      <c r="C1215" s="38" t="inlineStr">
        <is>
          <t>Y091</t>
        </is>
      </c>
      <c r="D1215" s="38" t="inlineStr">
        <is>
          <t>TOTAL</t>
        </is>
      </c>
      <c r="E1215" s="38" t="inlineStr">
        <is>
          <t>POP</t>
        </is>
      </c>
      <c r="F1215" s="38" t="n">
        <v>0</v>
      </c>
    </row>
    <row r="1216" ht="15" customHeight="1" s="39">
      <c r="A1216" s="38" t="inlineStr">
        <is>
          <t>2021</t>
        </is>
      </c>
      <c r="B1216" s="42" t="inlineStr">
        <is>
          <t>431227</t>
        </is>
      </c>
      <c r="C1216" s="38" t="inlineStr">
        <is>
          <t>Y092</t>
        </is>
      </c>
      <c r="D1216" s="38" t="inlineStr">
        <is>
          <t>TOTAL</t>
        </is>
      </c>
      <c r="E1216" s="38" t="inlineStr">
        <is>
          <t>POP</t>
        </is>
      </c>
      <c r="F1216" s="38" t="n">
        <v>0</v>
      </c>
    </row>
    <row r="1217" ht="15" customHeight="1" s="39">
      <c r="A1217" s="38" t="inlineStr">
        <is>
          <t>2021</t>
        </is>
      </c>
      <c r="B1217" s="42" t="inlineStr">
        <is>
          <t>431227</t>
        </is>
      </c>
      <c r="C1217" s="38" t="inlineStr">
        <is>
          <t>Y093</t>
        </is>
      </c>
      <c r="D1217" s="38" t="inlineStr">
        <is>
          <t>TOTAL</t>
        </is>
      </c>
      <c r="E1217" s="38" t="inlineStr">
        <is>
          <t>POP</t>
        </is>
      </c>
      <c r="F1217" s="38" t="n">
        <v>0</v>
      </c>
    </row>
    <row r="1218" ht="15" customHeight="1" s="39">
      <c r="A1218" s="38" t="inlineStr">
        <is>
          <t>2021</t>
        </is>
      </c>
      <c r="B1218" s="42" t="inlineStr">
        <is>
          <t>431227</t>
        </is>
      </c>
      <c r="C1218" s="38" t="inlineStr">
        <is>
          <t>Y094</t>
        </is>
      </c>
      <c r="D1218" s="38" t="inlineStr">
        <is>
          <t>TOTAL</t>
        </is>
      </c>
      <c r="E1218" s="38" t="inlineStr">
        <is>
          <t>POP</t>
        </is>
      </c>
      <c r="F1218" s="38" t="n">
        <v>0</v>
      </c>
    </row>
    <row r="1219" ht="15" customHeight="1" s="39">
      <c r="A1219" s="38" t="inlineStr">
        <is>
          <t>2021</t>
        </is>
      </c>
      <c r="B1219" s="42" t="inlineStr">
        <is>
          <t>431227</t>
        </is>
      </c>
      <c r="C1219" s="38" t="inlineStr">
        <is>
          <t>Y095</t>
        </is>
      </c>
      <c r="D1219" s="38" t="inlineStr">
        <is>
          <t>TOTAL</t>
        </is>
      </c>
      <c r="E1219" s="38" t="inlineStr">
        <is>
          <t>POP</t>
        </is>
      </c>
      <c r="F1219" s="38" t="n">
        <v>0</v>
      </c>
    </row>
    <row r="1220" ht="15" customHeight="1" s="39">
      <c r="A1220" s="38" t="inlineStr">
        <is>
          <t>2021</t>
        </is>
      </c>
      <c r="B1220" s="42" t="inlineStr">
        <is>
          <t>431227</t>
        </is>
      </c>
      <c r="C1220" s="38" t="inlineStr">
        <is>
          <t>Y096</t>
        </is>
      </c>
      <c r="D1220" s="38" t="inlineStr">
        <is>
          <t>TOTAL</t>
        </is>
      </c>
      <c r="E1220" s="38" t="inlineStr">
        <is>
          <t>POP</t>
        </is>
      </c>
      <c r="F1220" s="38" t="n">
        <v>0</v>
      </c>
    </row>
    <row r="1221" ht="15" customHeight="1" s="39">
      <c r="A1221" s="38" t="inlineStr">
        <is>
          <t>2021</t>
        </is>
      </c>
      <c r="B1221" s="42" t="inlineStr">
        <is>
          <t>431227</t>
        </is>
      </c>
      <c r="C1221" s="38" t="inlineStr">
        <is>
          <t>Y097</t>
        </is>
      </c>
      <c r="D1221" s="38" t="inlineStr">
        <is>
          <t>TOTAL</t>
        </is>
      </c>
      <c r="E1221" s="38" t="inlineStr">
        <is>
          <t>POP</t>
        </is>
      </c>
      <c r="F1221" s="38" t="n">
        <v>0</v>
      </c>
    </row>
    <row r="1222" ht="15" customHeight="1" s="39">
      <c r="A1222" s="38" t="inlineStr">
        <is>
          <t>2021</t>
        </is>
      </c>
      <c r="B1222" s="42" t="inlineStr">
        <is>
          <t>431227</t>
        </is>
      </c>
      <c r="C1222" s="38" t="inlineStr">
        <is>
          <t>Y098</t>
        </is>
      </c>
      <c r="D1222" s="38" t="inlineStr">
        <is>
          <t>TOTAL</t>
        </is>
      </c>
      <c r="E1222" s="38" t="inlineStr">
        <is>
          <t>POP</t>
        </is>
      </c>
      <c r="F1222" s="38" t="n">
        <v>0</v>
      </c>
    </row>
    <row r="1223" ht="15" customHeight="1" s="39">
      <c r="A1223" s="38" t="inlineStr">
        <is>
          <t>2021</t>
        </is>
      </c>
      <c r="B1223" s="42" t="inlineStr">
        <is>
          <t>431227</t>
        </is>
      </c>
      <c r="C1223" s="38" t="inlineStr">
        <is>
          <t>Y099</t>
        </is>
      </c>
      <c r="D1223" s="38" t="inlineStr">
        <is>
          <t>TOTAL</t>
        </is>
      </c>
      <c r="E1223" s="38" t="inlineStr">
        <is>
          <t>POP</t>
        </is>
      </c>
      <c r="F1223" s="38" t="n">
        <v>0</v>
      </c>
    </row>
    <row r="1224" ht="15" customHeight="1" s="39">
      <c r="A1224" s="38" t="inlineStr">
        <is>
          <t>2021</t>
        </is>
      </c>
      <c r="B1224" s="42" t="inlineStr">
        <is>
          <t>431227</t>
        </is>
      </c>
      <c r="C1224" s="38" t="inlineStr">
        <is>
          <t>Y_GE100</t>
        </is>
      </c>
      <c r="D1224" s="38" t="inlineStr">
        <is>
          <t>TOTAL</t>
        </is>
      </c>
      <c r="E1224" s="38" t="inlineStr">
        <is>
          <t>POP</t>
        </is>
      </c>
      <c r="F1224" s="38" t="n">
        <v>0</v>
      </c>
    </row>
    <row r="1225" ht="15" customHeight="1" s="39">
      <c r="A1225" s="38" t="inlineStr">
        <is>
          <t>2021</t>
        </is>
      </c>
      <c r="B1225" s="42" t="inlineStr">
        <is>
          <t>431227</t>
        </is>
      </c>
      <c r="C1225" s="38" t="inlineStr">
        <is>
          <t>TOTAL</t>
        </is>
      </c>
      <c r="D1225" s="38" t="inlineStr">
        <is>
          <t>TOTAL</t>
        </is>
      </c>
      <c r="E1225" s="38" t="inlineStr">
        <is>
          <t>POP</t>
        </is>
      </c>
      <c r="F1225" s="38" t="n">
        <v>156</v>
      </c>
    </row>
    <row r="1226" ht="15" customHeight="1" s="39">
      <c r="A1226" s="38" t="inlineStr">
        <is>
          <t>2021</t>
        </is>
      </c>
      <c r="B1226" s="42" t="inlineStr">
        <is>
          <t>431264</t>
        </is>
      </c>
      <c r="C1226" s="38" t="inlineStr">
        <is>
          <t>Y000</t>
        </is>
      </c>
      <c r="D1226" s="38" t="inlineStr">
        <is>
          <t>TOTAL</t>
        </is>
      </c>
      <c r="E1226" s="38" t="inlineStr">
        <is>
          <t>POP</t>
        </is>
      </c>
      <c r="F1226" s="38" t="n">
        <v>15</v>
      </c>
    </row>
    <row r="1227" ht="15" customHeight="1" s="39">
      <c r="A1227" s="38" t="inlineStr">
        <is>
          <t>2021</t>
        </is>
      </c>
      <c r="B1227" s="42" t="inlineStr">
        <is>
          <t>431264</t>
        </is>
      </c>
      <c r="C1227" s="38" t="inlineStr">
        <is>
          <t>Y001</t>
        </is>
      </c>
      <c r="D1227" s="38" t="inlineStr">
        <is>
          <t>TOTAL</t>
        </is>
      </c>
      <c r="E1227" s="38" t="inlineStr">
        <is>
          <t>POP</t>
        </is>
      </c>
      <c r="F1227" s="38" t="n">
        <v>14</v>
      </c>
    </row>
    <row r="1228" ht="15" customHeight="1" s="39">
      <c r="A1228" s="38" t="inlineStr">
        <is>
          <t>2021</t>
        </is>
      </c>
      <c r="B1228" s="42" t="inlineStr">
        <is>
          <t>431264</t>
        </is>
      </c>
      <c r="C1228" s="38" t="inlineStr">
        <is>
          <t>Y002</t>
        </is>
      </c>
      <c r="D1228" s="38" t="inlineStr">
        <is>
          <t>TOTAL</t>
        </is>
      </c>
      <c r="E1228" s="38" t="inlineStr">
        <is>
          <t>POP</t>
        </is>
      </c>
      <c r="F1228" s="38" t="n">
        <v>13</v>
      </c>
    </row>
    <row r="1229" ht="15" customHeight="1" s="39">
      <c r="A1229" s="38" t="inlineStr">
        <is>
          <t>2021</t>
        </is>
      </c>
      <c r="B1229" s="42" t="inlineStr">
        <is>
          <t>431264</t>
        </is>
      </c>
      <c r="C1229" s="38" t="inlineStr">
        <is>
          <t>Y003</t>
        </is>
      </c>
      <c r="D1229" s="38" t="inlineStr">
        <is>
          <t>TOTAL</t>
        </is>
      </c>
      <c r="E1229" s="38" t="inlineStr">
        <is>
          <t>POP</t>
        </is>
      </c>
      <c r="F1229" s="38" t="n">
        <v>17</v>
      </c>
    </row>
    <row r="1230" ht="15" customHeight="1" s="39">
      <c r="A1230" s="38" t="inlineStr">
        <is>
          <t>2021</t>
        </is>
      </c>
      <c r="B1230" s="42" t="inlineStr">
        <is>
          <t>431264</t>
        </is>
      </c>
      <c r="C1230" s="38" t="inlineStr">
        <is>
          <t>Y004</t>
        </is>
      </c>
      <c r="D1230" s="38" t="inlineStr">
        <is>
          <t>TOTAL</t>
        </is>
      </c>
      <c r="E1230" s="38" t="inlineStr">
        <is>
          <t>POP</t>
        </is>
      </c>
      <c r="F1230" s="38" t="n">
        <v>17</v>
      </c>
    </row>
    <row r="1231" ht="15" customHeight="1" s="39">
      <c r="A1231" s="38" t="inlineStr">
        <is>
          <t>2021</t>
        </is>
      </c>
      <c r="B1231" s="42" t="inlineStr">
        <is>
          <t>431264</t>
        </is>
      </c>
      <c r="C1231" s="38" t="inlineStr">
        <is>
          <t>Y005</t>
        </is>
      </c>
      <c r="D1231" s="38" t="inlineStr">
        <is>
          <t>TOTAL</t>
        </is>
      </c>
      <c r="E1231" s="38" t="inlineStr">
        <is>
          <t>POP</t>
        </is>
      </c>
      <c r="F1231" s="38" t="n">
        <v>21</v>
      </c>
    </row>
    <row r="1232" ht="15" customHeight="1" s="39">
      <c r="A1232" s="38" t="inlineStr">
        <is>
          <t>2021</t>
        </is>
      </c>
      <c r="B1232" s="42" t="inlineStr">
        <is>
          <t>431264</t>
        </is>
      </c>
      <c r="C1232" s="38" t="inlineStr">
        <is>
          <t>Y006</t>
        </is>
      </c>
      <c r="D1232" s="38" t="inlineStr">
        <is>
          <t>TOTAL</t>
        </is>
      </c>
      <c r="E1232" s="38" t="inlineStr">
        <is>
          <t>POP</t>
        </is>
      </c>
      <c r="F1232" s="38" t="n">
        <v>23</v>
      </c>
    </row>
    <row r="1233" ht="15" customHeight="1" s="39">
      <c r="A1233" s="38" t="inlineStr">
        <is>
          <t>2021</t>
        </is>
      </c>
      <c r="B1233" s="42" t="inlineStr">
        <is>
          <t>431264</t>
        </is>
      </c>
      <c r="C1233" s="38" t="inlineStr">
        <is>
          <t>Y007</t>
        </is>
      </c>
      <c r="D1233" s="38" t="inlineStr">
        <is>
          <t>TOTAL</t>
        </is>
      </c>
      <c r="E1233" s="38" t="inlineStr">
        <is>
          <t>POP</t>
        </is>
      </c>
      <c r="F1233" s="38" t="n">
        <v>21</v>
      </c>
    </row>
    <row r="1234" ht="15" customHeight="1" s="39">
      <c r="A1234" s="38" t="inlineStr">
        <is>
          <t>2021</t>
        </is>
      </c>
      <c r="B1234" s="42" t="inlineStr">
        <is>
          <t>431264</t>
        </is>
      </c>
      <c r="C1234" s="38" t="inlineStr">
        <is>
          <t>Y008</t>
        </is>
      </c>
      <c r="D1234" s="38" t="inlineStr">
        <is>
          <t>TOTAL</t>
        </is>
      </c>
      <c r="E1234" s="38" t="inlineStr">
        <is>
          <t>POP</t>
        </is>
      </c>
      <c r="F1234" s="38" t="n">
        <v>23</v>
      </c>
    </row>
    <row r="1235" ht="15" customHeight="1" s="39">
      <c r="A1235" s="38" t="inlineStr">
        <is>
          <t>2021</t>
        </is>
      </c>
      <c r="B1235" s="42" t="inlineStr">
        <is>
          <t>431264</t>
        </is>
      </c>
      <c r="C1235" s="38" t="inlineStr">
        <is>
          <t>Y009</t>
        </is>
      </c>
      <c r="D1235" s="38" t="inlineStr">
        <is>
          <t>TOTAL</t>
        </is>
      </c>
      <c r="E1235" s="38" t="inlineStr">
        <is>
          <t>POP</t>
        </is>
      </c>
      <c r="F1235" s="38" t="n">
        <v>25</v>
      </c>
    </row>
    <row r="1236" ht="15" customHeight="1" s="39">
      <c r="A1236" s="38" t="inlineStr">
        <is>
          <t>2021</t>
        </is>
      </c>
      <c r="B1236" s="42" t="inlineStr">
        <is>
          <t>431264</t>
        </is>
      </c>
      <c r="C1236" s="38" t="inlineStr">
        <is>
          <t>Y010</t>
        </is>
      </c>
      <c r="D1236" s="38" t="inlineStr">
        <is>
          <t>TOTAL</t>
        </is>
      </c>
      <c r="E1236" s="38" t="inlineStr">
        <is>
          <t>POP</t>
        </is>
      </c>
      <c r="F1236" s="38" t="n">
        <v>32</v>
      </c>
    </row>
    <row r="1237" ht="15" customHeight="1" s="39">
      <c r="A1237" s="38" t="inlineStr">
        <is>
          <t>2021</t>
        </is>
      </c>
      <c r="B1237" s="42" t="inlineStr">
        <is>
          <t>431264</t>
        </is>
      </c>
      <c r="C1237" s="38" t="inlineStr">
        <is>
          <t>Y011</t>
        </is>
      </c>
      <c r="D1237" s="38" t="inlineStr">
        <is>
          <t>TOTAL</t>
        </is>
      </c>
      <c r="E1237" s="38" t="inlineStr">
        <is>
          <t>POP</t>
        </is>
      </c>
      <c r="F1237" s="38" t="n">
        <v>32</v>
      </c>
    </row>
    <row r="1238" ht="15" customHeight="1" s="39">
      <c r="A1238" s="38" t="inlineStr">
        <is>
          <t>2021</t>
        </is>
      </c>
      <c r="B1238" s="42" t="inlineStr">
        <is>
          <t>431264</t>
        </is>
      </c>
      <c r="C1238" s="38" t="inlineStr">
        <is>
          <t>Y012</t>
        </is>
      </c>
      <c r="D1238" s="38" t="inlineStr">
        <is>
          <t>TOTAL</t>
        </is>
      </c>
      <c r="E1238" s="38" t="inlineStr">
        <is>
          <t>POP</t>
        </is>
      </c>
      <c r="F1238" s="38" t="n">
        <v>21</v>
      </c>
    </row>
    <row r="1239" ht="15" customHeight="1" s="39">
      <c r="A1239" s="38" t="inlineStr">
        <is>
          <t>2021</t>
        </is>
      </c>
      <c r="B1239" s="42" t="inlineStr">
        <is>
          <t>431264</t>
        </is>
      </c>
      <c r="C1239" s="38" t="inlineStr">
        <is>
          <t>Y013</t>
        </is>
      </c>
      <c r="D1239" s="38" t="inlineStr">
        <is>
          <t>TOTAL</t>
        </is>
      </c>
      <c r="E1239" s="38" t="inlineStr">
        <is>
          <t>POP</t>
        </is>
      </c>
      <c r="F1239" s="38" t="n">
        <v>27</v>
      </c>
    </row>
    <row r="1240" ht="15" customHeight="1" s="39">
      <c r="A1240" s="38" t="inlineStr">
        <is>
          <t>2021</t>
        </is>
      </c>
      <c r="B1240" s="42" t="inlineStr">
        <is>
          <t>431264</t>
        </is>
      </c>
      <c r="C1240" s="38" t="inlineStr">
        <is>
          <t>Y014</t>
        </is>
      </c>
      <c r="D1240" s="38" t="inlineStr">
        <is>
          <t>TOTAL</t>
        </is>
      </c>
      <c r="E1240" s="38" t="inlineStr">
        <is>
          <t>POP</t>
        </is>
      </c>
      <c r="F1240" s="38" t="n">
        <v>38</v>
      </c>
    </row>
    <row r="1241" ht="15" customHeight="1" s="39">
      <c r="A1241" s="38" t="inlineStr">
        <is>
          <t>2021</t>
        </is>
      </c>
      <c r="B1241" s="42" t="inlineStr">
        <is>
          <t>431264</t>
        </is>
      </c>
      <c r="C1241" s="38" t="inlineStr">
        <is>
          <t>Y015</t>
        </is>
      </c>
      <c r="D1241" s="38" t="inlineStr">
        <is>
          <t>TOTAL</t>
        </is>
      </c>
      <c r="E1241" s="38" t="inlineStr">
        <is>
          <t>POP</t>
        </is>
      </c>
      <c r="F1241" s="38" t="n">
        <v>28</v>
      </c>
    </row>
    <row r="1242" ht="15" customHeight="1" s="39">
      <c r="A1242" s="38" t="inlineStr">
        <is>
          <t>2021</t>
        </is>
      </c>
      <c r="B1242" s="42" t="inlineStr">
        <is>
          <t>431264</t>
        </is>
      </c>
      <c r="C1242" s="38" t="inlineStr">
        <is>
          <t>Y016</t>
        </is>
      </c>
      <c r="D1242" s="38" t="inlineStr">
        <is>
          <t>TOTAL</t>
        </is>
      </c>
      <c r="E1242" s="38" t="inlineStr">
        <is>
          <t>POP</t>
        </is>
      </c>
      <c r="F1242" s="38" t="n">
        <v>32</v>
      </c>
    </row>
    <row r="1243" ht="15" customHeight="1" s="39">
      <c r="A1243" s="38" t="inlineStr">
        <is>
          <t>2021</t>
        </is>
      </c>
      <c r="B1243" s="42" t="inlineStr">
        <is>
          <t>431264</t>
        </is>
      </c>
      <c r="C1243" s="38" t="inlineStr">
        <is>
          <t>Y017</t>
        </is>
      </c>
      <c r="D1243" s="38" t="inlineStr">
        <is>
          <t>TOTAL</t>
        </is>
      </c>
      <c r="E1243" s="38" t="inlineStr">
        <is>
          <t>POP</t>
        </is>
      </c>
      <c r="F1243" s="38" t="n">
        <v>30</v>
      </c>
    </row>
    <row r="1244" ht="15" customHeight="1" s="39">
      <c r="A1244" s="38" t="inlineStr">
        <is>
          <t>2021</t>
        </is>
      </c>
      <c r="B1244" s="42" t="inlineStr">
        <is>
          <t>431264</t>
        </is>
      </c>
      <c r="C1244" s="38" t="inlineStr">
        <is>
          <t>Y018</t>
        </is>
      </c>
      <c r="D1244" s="38" t="inlineStr">
        <is>
          <t>TOTAL</t>
        </is>
      </c>
      <c r="E1244" s="38" t="inlineStr">
        <is>
          <t>POP</t>
        </is>
      </c>
      <c r="F1244" s="38" t="n">
        <v>12</v>
      </c>
    </row>
    <row r="1245" ht="15" customHeight="1" s="39">
      <c r="A1245" s="38" t="inlineStr">
        <is>
          <t>2021</t>
        </is>
      </c>
      <c r="B1245" s="42" t="inlineStr">
        <is>
          <t>431264</t>
        </is>
      </c>
      <c r="C1245" s="38" t="inlineStr">
        <is>
          <t>Y019</t>
        </is>
      </c>
      <c r="D1245" s="38" t="inlineStr">
        <is>
          <t>TOTAL</t>
        </is>
      </c>
      <c r="E1245" s="38" t="inlineStr">
        <is>
          <t>POP</t>
        </is>
      </c>
      <c r="F1245" s="38" t="n">
        <v>23</v>
      </c>
    </row>
    <row r="1246" ht="15" customHeight="1" s="39">
      <c r="A1246" s="38" t="inlineStr">
        <is>
          <t>2021</t>
        </is>
      </c>
      <c r="B1246" s="42" t="inlineStr">
        <is>
          <t>431264</t>
        </is>
      </c>
      <c r="C1246" s="38" t="inlineStr">
        <is>
          <t>Y020</t>
        </is>
      </c>
      <c r="D1246" s="38" t="inlineStr">
        <is>
          <t>TOTAL</t>
        </is>
      </c>
      <c r="E1246" s="38" t="inlineStr">
        <is>
          <t>POP</t>
        </is>
      </c>
      <c r="F1246" s="38" t="n">
        <v>22</v>
      </c>
    </row>
    <row r="1247" ht="15" customHeight="1" s="39">
      <c r="A1247" s="38" t="inlineStr">
        <is>
          <t>2021</t>
        </is>
      </c>
      <c r="B1247" s="42" t="inlineStr">
        <is>
          <t>431264</t>
        </is>
      </c>
      <c r="C1247" s="38" t="inlineStr">
        <is>
          <t>Y021</t>
        </is>
      </c>
      <c r="D1247" s="38" t="inlineStr">
        <is>
          <t>TOTAL</t>
        </is>
      </c>
      <c r="E1247" s="38" t="inlineStr">
        <is>
          <t>POP</t>
        </is>
      </c>
      <c r="F1247" s="38" t="n">
        <v>9</v>
      </c>
    </row>
    <row r="1248" ht="15" customHeight="1" s="39">
      <c r="A1248" s="38" t="inlineStr">
        <is>
          <t>2021</t>
        </is>
      </c>
      <c r="B1248" s="42" t="inlineStr">
        <is>
          <t>431264</t>
        </is>
      </c>
      <c r="C1248" s="38" t="inlineStr">
        <is>
          <t>Y022</t>
        </is>
      </c>
      <c r="D1248" s="38" t="inlineStr">
        <is>
          <t>TOTAL</t>
        </is>
      </c>
      <c r="E1248" s="38" t="inlineStr">
        <is>
          <t>POP</t>
        </is>
      </c>
      <c r="F1248" s="38" t="n">
        <v>10</v>
      </c>
    </row>
    <row r="1249" ht="15" customHeight="1" s="39">
      <c r="A1249" s="38" t="inlineStr">
        <is>
          <t>2021</t>
        </is>
      </c>
      <c r="B1249" s="42" t="inlineStr">
        <is>
          <t>431264</t>
        </is>
      </c>
      <c r="C1249" s="38" t="inlineStr">
        <is>
          <t>Y023</t>
        </is>
      </c>
      <c r="D1249" s="38" t="inlineStr">
        <is>
          <t>TOTAL</t>
        </is>
      </c>
      <c r="E1249" s="38" t="inlineStr">
        <is>
          <t>POP</t>
        </is>
      </c>
      <c r="F1249" s="38" t="n">
        <v>12</v>
      </c>
    </row>
    <row r="1250" ht="15" customHeight="1" s="39">
      <c r="A1250" s="38" t="inlineStr">
        <is>
          <t>2021</t>
        </is>
      </c>
      <c r="B1250" s="42" t="inlineStr">
        <is>
          <t>431264</t>
        </is>
      </c>
      <c r="C1250" s="38" t="inlineStr">
        <is>
          <t>Y024</t>
        </is>
      </c>
      <c r="D1250" s="38" t="inlineStr">
        <is>
          <t>TOTAL</t>
        </is>
      </c>
      <c r="E1250" s="38" t="inlineStr">
        <is>
          <t>POP</t>
        </is>
      </c>
      <c r="F1250" s="38" t="n">
        <v>11</v>
      </c>
    </row>
    <row r="1251" ht="15" customHeight="1" s="39">
      <c r="A1251" s="38" t="inlineStr">
        <is>
          <t>2021</t>
        </is>
      </c>
      <c r="B1251" s="42" t="inlineStr">
        <is>
          <t>431264</t>
        </is>
      </c>
      <c r="C1251" s="38" t="inlineStr">
        <is>
          <t>Y025</t>
        </is>
      </c>
      <c r="D1251" s="38" t="inlineStr">
        <is>
          <t>TOTAL</t>
        </is>
      </c>
      <c r="E1251" s="38" t="inlineStr">
        <is>
          <t>POP</t>
        </is>
      </c>
      <c r="F1251" s="38" t="n">
        <v>12</v>
      </c>
    </row>
    <row r="1252" ht="15" customHeight="1" s="39">
      <c r="A1252" s="38" t="inlineStr">
        <is>
          <t>2021</t>
        </is>
      </c>
      <c r="B1252" s="42" t="inlineStr">
        <is>
          <t>431264</t>
        </is>
      </c>
      <c r="C1252" s="38" t="inlineStr">
        <is>
          <t>Y026</t>
        </is>
      </c>
      <c r="D1252" s="38" t="inlineStr">
        <is>
          <t>TOTAL</t>
        </is>
      </c>
      <c r="E1252" s="38" t="inlineStr">
        <is>
          <t>POP</t>
        </is>
      </c>
      <c r="F1252" s="38" t="n">
        <v>13</v>
      </c>
    </row>
    <row r="1253" ht="15" customHeight="1" s="39">
      <c r="A1253" s="38" t="inlineStr">
        <is>
          <t>2021</t>
        </is>
      </c>
      <c r="B1253" s="42" t="inlineStr">
        <is>
          <t>431264</t>
        </is>
      </c>
      <c r="C1253" s="38" t="inlineStr">
        <is>
          <t>Y027</t>
        </is>
      </c>
      <c r="D1253" s="38" t="inlineStr">
        <is>
          <t>TOTAL</t>
        </is>
      </c>
      <c r="E1253" s="38" t="inlineStr">
        <is>
          <t>POP</t>
        </is>
      </c>
      <c r="F1253" s="38" t="n">
        <v>14</v>
      </c>
    </row>
    <row r="1254" ht="15" customHeight="1" s="39">
      <c r="A1254" s="38" t="inlineStr">
        <is>
          <t>2021</t>
        </is>
      </c>
      <c r="B1254" s="42" t="inlineStr">
        <is>
          <t>431264</t>
        </is>
      </c>
      <c r="C1254" s="38" t="inlineStr">
        <is>
          <t>Y028</t>
        </is>
      </c>
      <c r="D1254" s="38" t="inlineStr">
        <is>
          <t>TOTAL</t>
        </is>
      </c>
      <c r="E1254" s="38" t="inlineStr">
        <is>
          <t>POP</t>
        </is>
      </c>
      <c r="F1254" s="38" t="n">
        <v>10</v>
      </c>
    </row>
    <row r="1255" ht="15" customHeight="1" s="39">
      <c r="A1255" s="38" t="inlineStr">
        <is>
          <t>2021</t>
        </is>
      </c>
      <c r="B1255" s="42" t="inlineStr">
        <is>
          <t>431264</t>
        </is>
      </c>
      <c r="C1255" s="38" t="inlineStr">
        <is>
          <t>Y029</t>
        </is>
      </c>
      <c r="D1255" s="38" t="inlineStr">
        <is>
          <t>TOTAL</t>
        </is>
      </c>
      <c r="E1255" s="38" t="inlineStr">
        <is>
          <t>POP</t>
        </is>
      </c>
      <c r="F1255" s="38" t="n">
        <v>13</v>
      </c>
    </row>
    <row r="1256" ht="15" customHeight="1" s="39">
      <c r="A1256" s="38" t="inlineStr">
        <is>
          <t>2021</t>
        </is>
      </c>
      <c r="B1256" s="42" t="inlineStr">
        <is>
          <t>431264</t>
        </is>
      </c>
      <c r="C1256" s="38" t="inlineStr">
        <is>
          <t>Y030</t>
        </is>
      </c>
      <c r="D1256" s="38" t="inlineStr">
        <is>
          <t>TOTAL</t>
        </is>
      </c>
      <c r="E1256" s="38" t="inlineStr">
        <is>
          <t>POP</t>
        </is>
      </c>
      <c r="F1256" s="38" t="n">
        <v>11</v>
      </c>
    </row>
    <row r="1257" ht="15" customHeight="1" s="39">
      <c r="A1257" s="38" t="inlineStr">
        <is>
          <t>2021</t>
        </is>
      </c>
      <c r="B1257" s="42" t="inlineStr">
        <is>
          <t>431264</t>
        </is>
      </c>
      <c r="C1257" s="38" t="inlineStr">
        <is>
          <t>Y031</t>
        </is>
      </c>
      <c r="D1257" s="38" t="inlineStr">
        <is>
          <t>TOTAL</t>
        </is>
      </c>
      <c r="E1257" s="38" t="inlineStr">
        <is>
          <t>POP</t>
        </is>
      </c>
      <c r="F1257" s="38" t="n">
        <v>10</v>
      </c>
    </row>
    <row r="1258" ht="15" customHeight="1" s="39">
      <c r="A1258" s="38" t="inlineStr">
        <is>
          <t>2021</t>
        </is>
      </c>
      <c r="B1258" s="42" t="inlineStr">
        <is>
          <t>431264</t>
        </is>
      </c>
      <c r="C1258" s="38" t="inlineStr">
        <is>
          <t>Y032</t>
        </is>
      </c>
      <c r="D1258" s="38" t="inlineStr">
        <is>
          <t>TOTAL</t>
        </is>
      </c>
      <c r="E1258" s="38" t="inlineStr">
        <is>
          <t>POP</t>
        </is>
      </c>
      <c r="F1258" s="38" t="n">
        <v>13</v>
      </c>
    </row>
    <row r="1259" ht="15" customHeight="1" s="39">
      <c r="A1259" s="38" t="inlineStr">
        <is>
          <t>2021</t>
        </is>
      </c>
      <c r="B1259" s="42" t="inlineStr">
        <is>
          <t>431264</t>
        </is>
      </c>
      <c r="C1259" s="38" t="inlineStr">
        <is>
          <t>Y033</t>
        </is>
      </c>
      <c r="D1259" s="38" t="inlineStr">
        <is>
          <t>TOTAL</t>
        </is>
      </c>
      <c r="E1259" s="38" t="inlineStr">
        <is>
          <t>POP</t>
        </is>
      </c>
      <c r="F1259" s="38" t="n">
        <v>24</v>
      </c>
    </row>
    <row r="1260" ht="15" customHeight="1" s="39">
      <c r="A1260" s="38" t="inlineStr">
        <is>
          <t>2021</t>
        </is>
      </c>
      <c r="B1260" s="42" t="inlineStr">
        <is>
          <t>431264</t>
        </is>
      </c>
      <c r="C1260" s="38" t="inlineStr">
        <is>
          <t>Y034</t>
        </is>
      </c>
      <c r="D1260" s="38" t="inlineStr">
        <is>
          <t>TOTAL</t>
        </is>
      </c>
      <c r="E1260" s="38" t="inlineStr">
        <is>
          <t>POP</t>
        </is>
      </c>
      <c r="F1260" s="38" t="n">
        <v>21</v>
      </c>
    </row>
    <row r="1261" ht="15" customHeight="1" s="39">
      <c r="A1261" s="38" t="inlineStr">
        <is>
          <t>2021</t>
        </is>
      </c>
      <c r="B1261" s="42" t="inlineStr">
        <is>
          <t>431264</t>
        </is>
      </c>
      <c r="C1261" s="38" t="inlineStr">
        <is>
          <t>Y035</t>
        </is>
      </c>
      <c r="D1261" s="38" t="inlineStr">
        <is>
          <t>TOTAL</t>
        </is>
      </c>
      <c r="E1261" s="38" t="inlineStr">
        <is>
          <t>POP</t>
        </is>
      </c>
      <c r="F1261" s="38" t="n">
        <v>19</v>
      </c>
    </row>
    <row r="1262" ht="15" customHeight="1" s="39">
      <c r="A1262" s="38" t="inlineStr">
        <is>
          <t>2021</t>
        </is>
      </c>
      <c r="B1262" s="42" t="inlineStr">
        <is>
          <t>431264</t>
        </is>
      </c>
      <c r="C1262" s="38" t="inlineStr">
        <is>
          <t>Y036</t>
        </is>
      </c>
      <c r="D1262" s="38" t="inlineStr">
        <is>
          <t>TOTAL</t>
        </is>
      </c>
      <c r="E1262" s="38" t="inlineStr">
        <is>
          <t>POP</t>
        </is>
      </c>
      <c r="F1262" s="38" t="n">
        <v>15</v>
      </c>
    </row>
    <row r="1263" ht="15" customHeight="1" s="39">
      <c r="A1263" s="38" t="inlineStr">
        <is>
          <t>2021</t>
        </is>
      </c>
      <c r="B1263" s="42" t="inlineStr">
        <is>
          <t>431264</t>
        </is>
      </c>
      <c r="C1263" s="38" t="inlineStr">
        <is>
          <t>Y037</t>
        </is>
      </c>
      <c r="D1263" s="38" t="inlineStr">
        <is>
          <t>TOTAL</t>
        </is>
      </c>
      <c r="E1263" s="38" t="inlineStr">
        <is>
          <t>POP</t>
        </is>
      </c>
      <c r="F1263" s="38" t="n">
        <v>22</v>
      </c>
    </row>
    <row r="1264" ht="15" customHeight="1" s="39">
      <c r="A1264" s="38" t="inlineStr">
        <is>
          <t>2021</t>
        </is>
      </c>
      <c r="B1264" s="42" t="inlineStr">
        <is>
          <t>431264</t>
        </is>
      </c>
      <c r="C1264" s="38" t="inlineStr">
        <is>
          <t>Y038</t>
        </is>
      </c>
      <c r="D1264" s="38" t="inlineStr">
        <is>
          <t>TOTAL</t>
        </is>
      </c>
      <c r="E1264" s="38" t="inlineStr">
        <is>
          <t>POP</t>
        </is>
      </c>
      <c r="F1264" s="38" t="n">
        <v>21</v>
      </c>
    </row>
    <row r="1265" ht="15" customHeight="1" s="39">
      <c r="A1265" s="38" t="inlineStr">
        <is>
          <t>2021</t>
        </is>
      </c>
      <c r="B1265" s="42" t="inlineStr">
        <is>
          <t>431264</t>
        </is>
      </c>
      <c r="C1265" s="38" t="inlineStr">
        <is>
          <t>Y039</t>
        </is>
      </c>
      <c r="D1265" s="38" t="inlineStr">
        <is>
          <t>TOTAL</t>
        </is>
      </c>
      <c r="E1265" s="38" t="inlineStr">
        <is>
          <t>POP</t>
        </is>
      </c>
      <c r="F1265" s="38" t="n">
        <v>22</v>
      </c>
    </row>
    <row r="1266" ht="15" customHeight="1" s="39">
      <c r="A1266" s="38" t="inlineStr">
        <is>
          <t>2021</t>
        </is>
      </c>
      <c r="B1266" s="42" t="inlineStr">
        <is>
          <t>431264</t>
        </is>
      </c>
      <c r="C1266" s="38" t="inlineStr">
        <is>
          <t>Y040</t>
        </is>
      </c>
      <c r="D1266" s="38" t="inlineStr">
        <is>
          <t>TOTAL</t>
        </is>
      </c>
      <c r="E1266" s="38" t="inlineStr">
        <is>
          <t>POP</t>
        </is>
      </c>
      <c r="F1266" s="38" t="n">
        <v>25</v>
      </c>
    </row>
    <row r="1267" ht="15" customHeight="1" s="39">
      <c r="A1267" s="38" t="inlineStr">
        <is>
          <t>2021</t>
        </is>
      </c>
      <c r="B1267" s="42" t="inlineStr">
        <is>
          <t>431264</t>
        </is>
      </c>
      <c r="C1267" s="38" t="inlineStr">
        <is>
          <t>Y041</t>
        </is>
      </c>
      <c r="D1267" s="38" t="inlineStr">
        <is>
          <t>TOTAL</t>
        </is>
      </c>
      <c r="E1267" s="38" t="inlineStr">
        <is>
          <t>POP</t>
        </is>
      </c>
      <c r="F1267" s="38" t="n">
        <v>30</v>
      </c>
    </row>
    <row r="1268" ht="15" customHeight="1" s="39">
      <c r="A1268" s="38" t="inlineStr">
        <is>
          <t>2021</t>
        </is>
      </c>
      <c r="B1268" s="42" t="inlineStr">
        <is>
          <t>431264</t>
        </is>
      </c>
      <c r="C1268" s="38" t="inlineStr">
        <is>
          <t>Y042</t>
        </is>
      </c>
      <c r="D1268" s="38" t="inlineStr">
        <is>
          <t>TOTAL</t>
        </is>
      </c>
      <c r="E1268" s="38" t="inlineStr">
        <is>
          <t>POP</t>
        </is>
      </c>
      <c r="F1268" s="38" t="n">
        <v>29</v>
      </c>
    </row>
    <row r="1269" ht="15" customHeight="1" s="39">
      <c r="A1269" s="38" t="inlineStr">
        <is>
          <t>2021</t>
        </is>
      </c>
      <c r="B1269" s="42" t="inlineStr">
        <is>
          <t>431264</t>
        </is>
      </c>
      <c r="C1269" s="38" t="inlineStr">
        <is>
          <t>Y043</t>
        </is>
      </c>
      <c r="D1269" s="38" t="inlineStr">
        <is>
          <t>TOTAL</t>
        </is>
      </c>
      <c r="E1269" s="38" t="inlineStr">
        <is>
          <t>POP</t>
        </is>
      </c>
      <c r="F1269" s="38" t="n">
        <v>37</v>
      </c>
    </row>
    <row r="1270" ht="15" customHeight="1" s="39">
      <c r="A1270" s="38" t="inlineStr">
        <is>
          <t>2021</t>
        </is>
      </c>
      <c r="B1270" s="42" t="inlineStr">
        <is>
          <t>431264</t>
        </is>
      </c>
      <c r="C1270" s="38" t="inlineStr">
        <is>
          <t>Y044</t>
        </is>
      </c>
      <c r="D1270" s="38" t="inlineStr">
        <is>
          <t>TOTAL</t>
        </is>
      </c>
      <c r="E1270" s="38" t="inlineStr">
        <is>
          <t>POP</t>
        </is>
      </c>
      <c r="F1270" s="38" t="n">
        <v>36</v>
      </c>
    </row>
    <row r="1271" ht="15" customHeight="1" s="39">
      <c r="A1271" s="38" t="inlineStr">
        <is>
          <t>2021</t>
        </is>
      </c>
      <c r="B1271" s="42" t="inlineStr">
        <is>
          <t>431264</t>
        </is>
      </c>
      <c r="C1271" s="38" t="inlineStr">
        <is>
          <t>Y045</t>
        </is>
      </c>
      <c r="D1271" s="38" t="inlineStr">
        <is>
          <t>TOTAL</t>
        </is>
      </c>
      <c r="E1271" s="38" t="inlineStr">
        <is>
          <t>POP</t>
        </is>
      </c>
      <c r="F1271" s="38" t="n">
        <v>44</v>
      </c>
    </row>
    <row r="1272" ht="15" customHeight="1" s="39">
      <c r="A1272" s="38" t="inlineStr">
        <is>
          <t>2021</t>
        </is>
      </c>
      <c r="B1272" s="42" t="inlineStr">
        <is>
          <t>431264</t>
        </is>
      </c>
      <c r="C1272" s="38" t="inlineStr">
        <is>
          <t>Y046</t>
        </is>
      </c>
      <c r="D1272" s="38" t="inlineStr">
        <is>
          <t>TOTAL</t>
        </is>
      </c>
      <c r="E1272" s="38" t="inlineStr">
        <is>
          <t>POP</t>
        </is>
      </c>
      <c r="F1272" s="38" t="n">
        <v>48</v>
      </c>
    </row>
    <row r="1273" ht="15" customHeight="1" s="39">
      <c r="A1273" s="38" t="inlineStr">
        <is>
          <t>2021</t>
        </is>
      </c>
      <c r="B1273" s="42" t="inlineStr">
        <is>
          <t>431264</t>
        </is>
      </c>
      <c r="C1273" s="38" t="inlineStr">
        <is>
          <t>Y047</t>
        </is>
      </c>
      <c r="D1273" s="38" t="inlineStr">
        <is>
          <t>TOTAL</t>
        </is>
      </c>
      <c r="E1273" s="38" t="inlineStr">
        <is>
          <t>POP</t>
        </is>
      </c>
      <c r="F1273" s="38" t="n">
        <v>42</v>
      </c>
    </row>
    <row r="1274" ht="15" customHeight="1" s="39">
      <c r="A1274" s="38" t="inlineStr">
        <is>
          <t>2021</t>
        </is>
      </c>
      <c r="B1274" s="42" t="inlineStr">
        <is>
          <t>431264</t>
        </is>
      </c>
      <c r="C1274" s="38" t="inlineStr">
        <is>
          <t>Y048</t>
        </is>
      </c>
      <c r="D1274" s="38" t="inlineStr">
        <is>
          <t>TOTAL</t>
        </is>
      </c>
      <c r="E1274" s="38" t="inlineStr">
        <is>
          <t>POP</t>
        </is>
      </c>
      <c r="F1274" s="38" t="n">
        <v>31</v>
      </c>
    </row>
    <row r="1275" ht="15" customHeight="1" s="39">
      <c r="A1275" s="38" t="inlineStr">
        <is>
          <t>2021</t>
        </is>
      </c>
      <c r="B1275" s="42" t="inlineStr">
        <is>
          <t>431264</t>
        </is>
      </c>
      <c r="C1275" s="38" t="inlineStr">
        <is>
          <t>Y049</t>
        </is>
      </c>
      <c r="D1275" s="38" t="inlineStr">
        <is>
          <t>TOTAL</t>
        </is>
      </c>
      <c r="E1275" s="38" t="inlineStr">
        <is>
          <t>POP</t>
        </is>
      </c>
      <c r="F1275" s="38" t="n">
        <v>40</v>
      </c>
    </row>
    <row r="1276" ht="15" customHeight="1" s="39">
      <c r="A1276" s="38" t="inlineStr">
        <is>
          <t>2021</t>
        </is>
      </c>
      <c r="B1276" s="42" t="inlineStr">
        <is>
          <t>431264</t>
        </is>
      </c>
      <c r="C1276" s="38" t="inlineStr">
        <is>
          <t>Y050</t>
        </is>
      </c>
      <c r="D1276" s="38" t="inlineStr">
        <is>
          <t>TOTAL</t>
        </is>
      </c>
      <c r="E1276" s="38" t="inlineStr">
        <is>
          <t>POP</t>
        </is>
      </c>
      <c r="F1276" s="38" t="n">
        <v>36</v>
      </c>
    </row>
    <row r="1277" ht="15" customHeight="1" s="39">
      <c r="A1277" s="38" t="inlineStr">
        <is>
          <t>2021</t>
        </is>
      </c>
      <c r="B1277" s="42" t="inlineStr">
        <is>
          <t>431264</t>
        </is>
      </c>
      <c r="C1277" s="38" t="inlineStr">
        <is>
          <t>Y051</t>
        </is>
      </c>
      <c r="D1277" s="38" t="inlineStr">
        <is>
          <t>TOTAL</t>
        </is>
      </c>
      <c r="E1277" s="38" t="inlineStr">
        <is>
          <t>POP</t>
        </is>
      </c>
      <c r="F1277" s="38" t="n">
        <v>34</v>
      </c>
    </row>
    <row r="1278" ht="15" customHeight="1" s="39">
      <c r="A1278" s="38" t="inlineStr">
        <is>
          <t>2021</t>
        </is>
      </c>
      <c r="B1278" s="42" t="inlineStr">
        <is>
          <t>431264</t>
        </is>
      </c>
      <c r="C1278" s="38" t="inlineStr">
        <is>
          <t>Y052</t>
        </is>
      </c>
      <c r="D1278" s="38" t="inlineStr">
        <is>
          <t>TOTAL</t>
        </is>
      </c>
      <c r="E1278" s="38" t="inlineStr">
        <is>
          <t>POP</t>
        </is>
      </c>
      <c r="F1278" s="38" t="n">
        <v>24</v>
      </c>
    </row>
    <row r="1279" ht="15" customHeight="1" s="39">
      <c r="A1279" s="38" t="inlineStr">
        <is>
          <t>2021</t>
        </is>
      </c>
      <c r="B1279" s="42" t="inlineStr">
        <is>
          <t>431264</t>
        </is>
      </c>
      <c r="C1279" s="38" t="inlineStr">
        <is>
          <t>Y053</t>
        </is>
      </c>
      <c r="D1279" s="38" t="inlineStr">
        <is>
          <t>TOTAL</t>
        </is>
      </c>
      <c r="E1279" s="38" t="inlineStr">
        <is>
          <t>POP</t>
        </is>
      </c>
      <c r="F1279" s="38" t="n">
        <v>25</v>
      </c>
    </row>
    <row r="1280" ht="15" customHeight="1" s="39">
      <c r="A1280" s="38" t="inlineStr">
        <is>
          <t>2021</t>
        </is>
      </c>
      <c r="B1280" s="42" t="inlineStr">
        <is>
          <t>431264</t>
        </is>
      </c>
      <c r="C1280" s="38" t="inlineStr">
        <is>
          <t>Y054</t>
        </is>
      </c>
      <c r="D1280" s="38" t="inlineStr">
        <is>
          <t>TOTAL</t>
        </is>
      </c>
      <c r="E1280" s="38" t="inlineStr">
        <is>
          <t>POP</t>
        </is>
      </c>
      <c r="F1280" s="38" t="n">
        <v>29</v>
      </c>
    </row>
    <row r="1281" ht="15" customHeight="1" s="39">
      <c r="A1281" s="38" t="inlineStr">
        <is>
          <t>2021</t>
        </is>
      </c>
      <c r="B1281" s="42" t="inlineStr">
        <is>
          <t>431264</t>
        </is>
      </c>
      <c r="C1281" s="38" t="inlineStr">
        <is>
          <t>Y055</t>
        </is>
      </c>
      <c r="D1281" s="38" t="inlineStr">
        <is>
          <t>TOTAL</t>
        </is>
      </c>
      <c r="E1281" s="38" t="inlineStr">
        <is>
          <t>POP</t>
        </is>
      </c>
      <c r="F1281" s="38" t="n">
        <v>20</v>
      </c>
    </row>
    <row r="1282" ht="15" customHeight="1" s="39">
      <c r="A1282" s="38" t="inlineStr">
        <is>
          <t>2021</t>
        </is>
      </c>
      <c r="B1282" s="42" t="inlineStr">
        <is>
          <t>431264</t>
        </is>
      </c>
      <c r="C1282" s="38" t="inlineStr">
        <is>
          <t>Y056</t>
        </is>
      </c>
      <c r="D1282" s="38" t="inlineStr">
        <is>
          <t>TOTAL</t>
        </is>
      </c>
      <c r="E1282" s="38" t="inlineStr">
        <is>
          <t>POP</t>
        </is>
      </c>
      <c r="F1282" s="38" t="n">
        <v>21</v>
      </c>
    </row>
    <row r="1283" ht="15" customHeight="1" s="39">
      <c r="A1283" s="38" t="inlineStr">
        <is>
          <t>2021</t>
        </is>
      </c>
      <c r="B1283" s="42" t="inlineStr">
        <is>
          <t>431264</t>
        </is>
      </c>
      <c r="C1283" s="38" t="inlineStr">
        <is>
          <t>Y057</t>
        </is>
      </c>
      <c r="D1283" s="38" t="inlineStr">
        <is>
          <t>TOTAL</t>
        </is>
      </c>
      <c r="E1283" s="38" t="inlineStr">
        <is>
          <t>POP</t>
        </is>
      </c>
      <c r="F1283" s="38" t="n">
        <v>23</v>
      </c>
    </row>
    <row r="1284" ht="15" customHeight="1" s="39">
      <c r="A1284" s="38" t="inlineStr">
        <is>
          <t>2021</t>
        </is>
      </c>
      <c r="B1284" s="42" t="inlineStr">
        <is>
          <t>431264</t>
        </is>
      </c>
      <c r="C1284" s="38" t="inlineStr">
        <is>
          <t>Y058</t>
        </is>
      </c>
      <c r="D1284" s="38" t="inlineStr">
        <is>
          <t>TOTAL</t>
        </is>
      </c>
      <c r="E1284" s="38" t="inlineStr">
        <is>
          <t>POP</t>
        </is>
      </c>
      <c r="F1284" s="38" t="n">
        <v>12</v>
      </c>
    </row>
    <row r="1285" ht="15" customHeight="1" s="39">
      <c r="A1285" s="38" t="inlineStr">
        <is>
          <t>2021</t>
        </is>
      </c>
      <c r="B1285" s="42" t="inlineStr">
        <is>
          <t>431264</t>
        </is>
      </c>
      <c r="C1285" s="38" t="inlineStr">
        <is>
          <t>Y059</t>
        </is>
      </c>
      <c r="D1285" s="38" t="inlineStr">
        <is>
          <t>TOTAL</t>
        </is>
      </c>
      <c r="E1285" s="38" t="inlineStr">
        <is>
          <t>POP</t>
        </is>
      </c>
      <c r="F1285" s="38" t="n">
        <v>23</v>
      </c>
    </row>
    <row r="1286" ht="15" customHeight="1" s="39">
      <c r="A1286" s="38" t="inlineStr">
        <is>
          <t>2021</t>
        </is>
      </c>
      <c r="B1286" s="42" t="inlineStr">
        <is>
          <t>431264</t>
        </is>
      </c>
      <c r="C1286" s="38" t="inlineStr">
        <is>
          <t>Y060</t>
        </is>
      </c>
      <c r="D1286" s="38" t="inlineStr">
        <is>
          <t>TOTAL</t>
        </is>
      </c>
      <c r="E1286" s="38" t="inlineStr">
        <is>
          <t>POP</t>
        </is>
      </c>
      <c r="F1286" s="38" t="n">
        <v>22</v>
      </c>
    </row>
    <row r="1287" ht="15" customHeight="1" s="39">
      <c r="A1287" s="38" t="inlineStr">
        <is>
          <t>2021</t>
        </is>
      </c>
      <c r="B1287" s="42" t="inlineStr">
        <is>
          <t>431264</t>
        </is>
      </c>
      <c r="C1287" s="38" t="inlineStr">
        <is>
          <t>Y061</t>
        </is>
      </c>
      <c r="D1287" s="38" t="inlineStr">
        <is>
          <t>TOTAL</t>
        </is>
      </c>
      <c r="E1287" s="38" t="inlineStr">
        <is>
          <t>POP</t>
        </is>
      </c>
      <c r="F1287" s="38" t="n">
        <v>19</v>
      </c>
    </row>
    <row r="1288" ht="15" customHeight="1" s="39">
      <c r="A1288" s="38" t="inlineStr">
        <is>
          <t>2021</t>
        </is>
      </c>
      <c r="B1288" s="42" t="inlineStr">
        <is>
          <t>431264</t>
        </is>
      </c>
      <c r="C1288" s="38" t="inlineStr">
        <is>
          <t>Y062</t>
        </is>
      </c>
      <c r="D1288" s="38" t="inlineStr">
        <is>
          <t>TOTAL</t>
        </is>
      </c>
      <c r="E1288" s="38" t="inlineStr">
        <is>
          <t>POP</t>
        </is>
      </c>
      <c r="F1288" s="38" t="n">
        <v>23</v>
      </c>
    </row>
    <row r="1289" ht="15" customHeight="1" s="39">
      <c r="A1289" s="38" t="inlineStr">
        <is>
          <t>2021</t>
        </is>
      </c>
      <c r="B1289" s="42" t="inlineStr">
        <is>
          <t>431264</t>
        </is>
      </c>
      <c r="C1289" s="38" t="inlineStr">
        <is>
          <t>Y063</t>
        </is>
      </c>
      <c r="D1289" s="38" t="inlineStr">
        <is>
          <t>TOTAL</t>
        </is>
      </c>
      <c r="E1289" s="38" t="inlineStr">
        <is>
          <t>POP</t>
        </is>
      </c>
      <c r="F1289" s="38" t="n">
        <v>12</v>
      </c>
    </row>
    <row r="1290" ht="15" customHeight="1" s="39">
      <c r="A1290" s="38" t="inlineStr">
        <is>
          <t>2021</t>
        </is>
      </c>
      <c r="B1290" s="42" t="inlineStr">
        <is>
          <t>431264</t>
        </is>
      </c>
      <c r="C1290" s="38" t="inlineStr">
        <is>
          <t>Y064</t>
        </is>
      </c>
      <c r="D1290" s="38" t="inlineStr">
        <is>
          <t>TOTAL</t>
        </is>
      </c>
      <c r="E1290" s="38" t="inlineStr">
        <is>
          <t>POP</t>
        </is>
      </c>
      <c r="F1290" s="38" t="n">
        <v>21</v>
      </c>
    </row>
    <row r="1291" ht="15" customHeight="1" s="39">
      <c r="A1291" s="38" t="inlineStr">
        <is>
          <t>2021</t>
        </is>
      </c>
      <c r="B1291" s="42" t="inlineStr">
        <is>
          <t>431264</t>
        </is>
      </c>
      <c r="C1291" s="38" t="inlineStr">
        <is>
          <t>Y065</t>
        </is>
      </c>
      <c r="D1291" s="38" t="inlineStr">
        <is>
          <t>TOTAL</t>
        </is>
      </c>
      <c r="E1291" s="38" t="inlineStr">
        <is>
          <t>POP</t>
        </is>
      </c>
      <c r="F1291" s="38" t="n">
        <v>16</v>
      </c>
    </row>
    <row r="1292" ht="15" customHeight="1" s="39">
      <c r="A1292" s="38" t="inlineStr">
        <is>
          <t>2021</t>
        </is>
      </c>
      <c r="B1292" s="42" t="inlineStr">
        <is>
          <t>431264</t>
        </is>
      </c>
      <c r="C1292" s="38" t="inlineStr">
        <is>
          <t>Y066</t>
        </is>
      </c>
      <c r="D1292" s="38" t="inlineStr">
        <is>
          <t>TOTAL</t>
        </is>
      </c>
      <c r="E1292" s="38" t="inlineStr">
        <is>
          <t>POP</t>
        </is>
      </c>
      <c r="F1292" s="38" t="n">
        <v>19</v>
      </c>
    </row>
    <row r="1293" ht="15" customHeight="1" s="39">
      <c r="A1293" s="38" t="inlineStr">
        <is>
          <t>2021</t>
        </is>
      </c>
      <c r="B1293" s="42" t="inlineStr">
        <is>
          <t>431264</t>
        </is>
      </c>
      <c r="C1293" s="38" t="inlineStr">
        <is>
          <t>Y067</t>
        </is>
      </c>
      <c r="D1293" s="38" t="inlineStr">
        <is>
          <t>TOTAL</t>
        </is>
      </c>
      <c r="E1293" s="38" t="inlineStr">
        <is>
          <t>POP</t>
        </is>
      </c>
      <c r="F1293" s="38" t="n">
        <v>13</v>
      </c>
    </row>
    <row r="1294" ht="15" customHeight="1" s="39">
      <c r="A1294" s="38" t="inlineStr">
        <is>
          <t>2021</t>
        </is>
      </c>
      <c r="B1294" s="42" t="inlineStr">
        <is>
          <t>431264</t>
        </is>
      </c>
      <c r="C1294" s="38" t="inlineStr">
        <is>
          <t>Y068</t>
        </is>
      </c>
      <c r="D1294" s="38" t="inlineStr">
        <is>
          <t>TOTAL</t>
        </is>
      </c>
      <c r="E1294" s="38" t="inlineStr">
        <is>
          <t>POP</t>
        </is>
      </c>
      <c r="F1294" s="38" t="n">
        <v>12</v>
      </c>
    </row>
    <row r="1295" ht="15" customHeight="1" s="39">
      <c r="A1295" s="38" t="inlineStr">
        <is>
          <t>2021</t>
        </is>
      </c>
      <c r="B1295" s="42" t="inlineStr">
        <is>
          <t>431264</t>
        </is>
      </c>
      <c r="C1295" s="38" t="inlineStr">
        <is>
          <t>Y069</t>
        </is>
      </c>
      <c r="D1295" s="38" t="inlineStr">
        <is>
          <t>TOTAL</t>
        </is>
      </c>
      <c r="E1295" s="38" t="inlineStr">
        <is>
          <t>POP</t>
        </is>
      </c>
      <c r="F1295" s="38" t="n">
        <v>17</v>
      </c>
    </row>
    <row r="1296" ht="15" customHeight="1" s="39">
      <c r="A1296" s="38" t="inlineStr">
        <is>
          <t>2021</t>
        </is>
      </c>
      <c r="B1296" s="42" t="inlineStr">
        <is>
          <t>431264</t>
        </is>
      </c>
      <c r="C1296" s="38" t="inlineStr">
        <is>
          <t>Y070</t>
        </is>
      </c>
      <c r="D1296" s="38" t="inlineStr">
        <is>
          <t>TOTAL</t>
        </is>
      </c>
      <c r="E1296" s="38" t="inlineStr">
        <is>
          <t>POP</t>
        </is>
      </c>
      <c r="F1296" s="38" t="n">
        <v>9</v>
      </c>
    </row>
    <row r="1297" ht="15" customHeight="1" s="39">
      <c r="A1297" s="38" t="inlineStr">
        <is>
          <t>2021</t>
        </is>
      </c>
      <c r="B1297" s="42" t="inlineStr">
        <is>
          <t>431264</t>
        </is>
      </c>
      <c r="C1297" s="38" t="inlineStr">
        <is>
          <t>Y071</t>
        </is>
      </c>
      <c r="D1297" s="38" t="inlineStr">
        <is>
          <t>TOTAL</t>
        </is>
      </c>
      <c r="E1297" s="38" t="inlineStr">
        <is>
          <t>POP</t>
        </is>
      </c>
      <c r="F1297" s="38" t="n">
        <v>7</v>
      </c>
    </row>
    <row r="1298" ht="15" customHeight="1" s="39">
      <c r="A1298" s="38" t="inlineStr">
        <is>
          <t>2021</t>
        </is>
      </c>
      <c r="B1298" s="42" t="inlineStr">
        <is>
          <t>431264</t>
        </is>
      </c>
      <c r="C1298" s="38" t="inlineStr">
        <is>
          <t>Y072</t>
        </is>
      </c>
      <c r="D1298" s="38" t="inlineStr">
        <is>
          <t>TOTAL</t>
        </is>
      </c>
      <c r="E1298" s="38" t="inlineStr">
        <is>
          <t>POP</t>
        </is>
      </c>
      <c r="F1298" s="38" t="n">
        <v>20</v>
      </c>
    </row>
    <row r="1299" ht="15" customHeight="1" s="39">
      <c r="A1299" s="38" t="inlineStr">
        <is>
          <t>2021</t>
        </is>
      </c>
      <c r="B1299" s="42" t="inlineStr">
        <is>
          <t>431264</t>
        </is>
      </c>
      <c r="C1299" s="38" t="inlineStr">
        <is>
          <t>Y073</t>
        </is>
      </c>
      <c r="D1299" s="38" t="inlineStr">
        <is>
          <t>TOTAL</t>
        </is>
      </c>
      <c r="E1299" s="38" t="inlineStr">
        <is>
          <t>POP</t>
        </is>
      </c>
      <c r="F1299" s="38" t="n">
        <v>12</v>
      </c>
    </row>
    <row r="1300" ht="15" customHeight="1" s="39">
      <c r="A1300" s="38" t="inlineStr">
        <is>
          <t>2021</t>
        </is>
      </c>
      <c r="B1300" s="42" t="inlineStr">
        <is>
          <t>431264</t>
        </is>
      </c>
      <c r="C1300" s="38" t="inlineStr">
        <is>
          <t>Y074</t>
        </is>
      </c>
      <c r="D1300" s="38" t="inlineStr">
        <is>
          <t>TOTAL</t>
        </is>
      </c>
      <c r="E1300" s="38" t="inlineStr">
        <is>
          <t>POP</t>
        </is>
      </c>
      <c r="F1300" s="38" t="n">
        <v>11</v>
      </c>
    </row>
    <row r="1301" ht="15" customHeight="1" s="39">
      <c r="A1301" s="38" t="inlineStr">
        <is>
          <t>2021</t>
        </is>
      </c>
      <c r="B1301" s="42" t="inlineStr">
        <is>
          <t>431264</t>
        </is>
      </c>
      <c r="C1301" s="38" t="inlineStr">
        <is>
          <t>Y075</t>
        </is>
      </c>
      <c r="D1301" s="38" t="inlineStr">
        <is>
          <t>TOTAL</t>
        </is>
      </c>
      <c r="E1301" s="38" t="inlineStr">
        <is>
          <t>POP</t>
        </is>
      </c>
      <c r="F1301" s="38" t="n">
        <v>13</v>
      </c>
    </row>
    <row r="1302" ht="15" customHeight="1" s="39">
      <c r="A1302" s="38" t="inlineStr">
        <is>
          <t>2021</t>
        </is>
      </c>
      <c r="B1302" s="42" t="inlineStr">
        <is>
          <t>431264</t>
        </is>
      </c>
      <c r="C1302" s="38" t="inlineStr">
        <is>
          <t>Y076</t>
        </is>
      </c>
      <c r="D1302" s="38" t="inlineStr">
        <is>
          <t>TOTAL</t>
        </is>
      </c>
      <c r="E1302" s="38" t="inlineStr">
        <is>
          <t>POP</t>
        </is>
      </c>
      <c r="F1302" s="38" t="n">
        <v>8</v>
      </c>
    </row>
    <row r="1303" ht="15" customHeight="1" s="39">
      <c r="A1303" s="38" t="inlineStr">
        <is>
          <t>2021</t>
        </is>
      </c>
      <c r="B1303" s="42" t="inlineStr">
        <is>
          <t>431264</t>
        </is>
      </c>
      <c r="C1303" s="38" t="inlineStr">
        <is>
          <t>Y077</t>
        </is>
      </c>
      <c r="D1303" s="38" t="inlineStr">
        <is>
          <t>TOTAL</t>
        </is>
      </c>
      <c r="E1303" s="38" t="inlineStr">
        <is>
          <t>POP</t>
        </is>
      </c>
      <c r="F1303" s="38" t="n">
        <v>12</v>
      </c>
    </row>
    <row r="1304" ht="15" customHeight="1" s="39">
      <c r="A1304" s="38" t="inlineStr">
        <is>
          <t>2021</t>
        </is>
      </c>
      <c r="B1304" s="42" t="inlineStr">
        <is>
          <t>431264</t>
        </is>
      </c>
      <c r="C1304" s="38" t="inlineStr">
        <is>
          <t>Y078</t>
        </is>
      </c>
      <c r="D1304" s="38" t="inlineStr">
        <is>
          <t>TOTAL</t>
        </is>
      </c>
      <c r="E1304" s="38" t="inlineStr">
        <is>
          <t>POP</t>
        </is>
      </c>
      <c r="F1304" s="38" t="n">
        <v>10</v>
      </c>
    </row>
    <row r="1305" ht="15" customHeight="1" s="39">
      <c r="A1305" s="38" t="inlineStr">
        <is>
          <t>2021</t>
        </is>
      </c>
      <c r="B1305" s="42" t="inlineStr">
        <is>
          <t>431264</t>
        </is>
      </c>
      <c r="C1305" s="38" t="inlineStr">
        <is>
          <t>Y079</t>
        </is>
      </c>
      <c r="D1305" s="38" t="inlineStr">
        <is>
          <t>TOTAL</t>
        </is>
      </c>
      <c r="E1305" s="38" t="inlineStr">
        <is>
          <t>POP</t>
        </is>
      </c>
      <c r="F1305" s="38" t="n">
        <v>10</v>
      </c>
    </row>
    <row r="1306" ht="15" customHeight="1" s="39">
      <c r="A1306" s="38" t="inlineStr">
        <is>
          <t>2021</t>
        </is>
      </c>
      <c r="B1306" s="42" t="inlineStr">
        <is>
          <t>431264</t>
        </is>
      </c>
      <c r="C1306" s="38" t="inlineStr">
        <is>
          <t>Y080</t>
        </is>
      </c>
      <c r="D1306" s="38" t="inlineStr">
        <is>
          <t>TOTAL</t>
        </is>
      </c>
      <c r="E1306" s="38" t="inlineStr">
        <is>
          <t>POP</t>
        </is>
      </c>
      <c r="F1306" s="38" t="n">
        <v>7</v>
      </c>
    </row>
    <row r="1307" ht="15" customHeight="1" s="39">
      <c r="A1307" s="38" t="inlineStr">
        <is>
          <t>2021</t>
        </is>
      </c>
      <c r="B1307" s="42" t="inlineStr">
        <is>
          <t>431264</t>
        </is>
      </c>
      <c r="C1307" s="38" t="inlineStr">
        <is>
          <t>Y081</t>
        </is>
      </c>
      <c r="D1307" s="38" t="inlineStr">
        <is>
          <t>TOTAL</t>
        </is>
      </c>
      <c r="E1307" s="38" t="inlineStr">
        <is>
          <t>POP</t>
        </is>
      </c>
      <c r="F1307" s="38" t="n">
        <v>3</v>
      </c>
    </row>
    <row r="1308" ht="15" customHeight="1" s="39">
      <c r="A1308" s="38" t="inlineStr">
        <is>
          <t>2021</t>
        </is>
      </c>
      <c r="B1308" s="42" t="inlineStr">
        <is>
          <t>431264</t>
        </is>
      </c>
      <c r="C1308" s="38" t="inlineStr">
        <is>
          <t>Y082</t>
        </is>
      </c>
      <c r="D1308" s="38" t="inlineStr">
        <is>
          <t>TOTAL</t>
        </is>
      </c>
      <c r="E1308" s="38" t="inlineStr">
        <is>
          <t>POP</t>
        </is>
      </c>
      <c r="F1308" s="38" t="n">
        <v>3</v>
      </c>
    </row>
    <row r="1309" ht="15" customHeight="1" s="39">
      <c r="A1309" s="38" t="inlineStr">
        <is>
          <t>2021</t>
        </is>
      </c>
      <c r="B1309" s="42" t="inlineStr">
        <is>
          <t>431264</t>
        </is>
      </c>
      <c r="C1309" s="38" t="inlineStr">
        <is>
          <t>Y083</t>
        </is>
      </c>
      <c r="D1309" s="38" t="inlineStr">
        <is>
          <t>TOTAL</t>
        </is>
      </c>
      <c r="E1309" s="38" t="inlineStr">
        <is>
          <t>POP</t>
        </is>
      </c>
      <c r="F1309" s="38" t="n">
        <v>10</v>
      </c>
    </row>
    <row r="1310" ht="15" customHeight="1" s="39">
      <c r="A1310" s="38" t="inlineStr">
        <is>
          <t>2021</t>
        </is>
      </c>
      <c r="B1310" s="42" t="inlineStr">
        <is>
          <t>431264</t>
        </is>
      </c>
      <c r="C1310" s="38" t="inlineStr">
        <is>
          <t>Y084</t>
        </is>
      </c>
      <c r="D1310" s="38" t="inlineStr">
        <is>
          <t>TOTAL</t>
        </is>
      </c>
      <c r="E1310" s="38" t="inlineStr">
        <is>
          <t>POP</t>
        </is>
      </c>
      <c r="F1310" s="38" t="n">
        <v>6</v>
      </c>
    </row>
    <row r="1311" ht="15" customHeight="1" s="39">
      <c r="A1311" s="38" t="inlineStr">
        <is>
          <t>2021</t>
        </is>
      </c>
      <c r="B1311" s="42" t="inlineStr">
        <is>
          <t>431264</t>
        </is>
      </c>
      <c r="C1311" s="38" t="inlineStr">
        <is>
          <t>Y085</t>
        </is>
      </c>
      <c r="D1311" s="38" t="inlineStr">
        <is>
          <t>TOTAL</t>
        </is>
      </c>
      <c r="E1311" s="38" t="inlineStr">
        <is>
          <t>POP</t>
        </is>
      </c>
      <c r="F1311" s="38" t="n">
        <v>8</v>
      </c>
    </row>
    <row r="1312" ht="15" customHeight="1" s="39">
      <c r="A1312" s="38" t="inlineStr">
        <is>
          <t>2021</t>
        </is>
      </c>
      <c r="B1312" s="42" t="inlineStr">
        <is>
          <t>431264</t>
        </is>
      </c>
      <c r="C1312" s="38" t="inlineStr">
        <is>
          <t>Y086</t>
        </is>
      </c>
      <c r="D1312" s="38" t="inlineStr">
        <is>
          <t>TOTAL</t>
        </is>
      </c>
      <c r="E1312" s="38" t="inlineStr">
        <is>
          <t>POP</t>
        </is>
      </c>
      <c r="F1312" s="38" t="n">
        <v>6</v>
      </c>
    </row>
    <row r="1313" ht="15" customHeight="1" s="39">
      <c r="A1313" s="38" t="inlineStr">
        <is>
          <t>2021</t>
        </is>
      </c>
      <c r="B1313" s="42" t="inlineStr">
        <is>
          <t>431264</t>
        </is>
      </c>
      <c r="C1313" s="38" t="inlineStr">
        <is>
          <t>Y087</t>
        </is>
      </c>
      <c r="D1313" s="38" t="inlineStr">
        <is>
          <t>TOTAL</t>
        </is>
      </c>
      <c r="E1313" s="38" t="inlineStr">
        <is>
          <t>POP</t>
        </is>
      </c>
      <c r="F1313" s="38" t="n">
        <v>8</v>
      </c>
    </row>
    <row r="1314" ht="15" customHeight="1" s="39">
      <c r="A1314" s="38" t="inlineStr">
        <is>
          <t>2021</t>
        </is>
      </c>
      <c r="B1314" s="42" t="inlineStr">
        <is>
          <t>431264</t>
        </is>
      </c>
      <c r="C1314" s="38" t="inlineStr">
        <is>
          <t>Y088</t>
        </is>
      </c>
      <c r="D1314" s="38" t="inlineStr">
        <is>
          <t>TOTAL</t>
        </is>
      </c>
      <c r="E1314" s="38" t="inlineStr">
        <is>
          <t>POP</t>
        </is>
      </c>
      <c r="F1314" s="38" t="n">
        <v>7</v>
      </c>
    </row>
    <row r="1315" ht="15" customHeight="1" s="39">
      <c r="A1315" s="38" t="inlineStr">
        <is>
          <t>2021</t>
        </is>
      </c>
      <c r="B1315" s="42" t="inlineStr">
        <is>
          <t>431264</t>
        </is>
      </c>
      <c r="C1315" s="38" t="inlineStr">
        <is>
          <t>Y089</t>
        </is>
      </c>
      <c r="D1315" s="38" t="inlineStr">
        <is>
          <t>TOTAL</t>
        </is>
      </c>
      <c r="E1315" s="38" t="inlineStr">
        <is>
          <t>POP</t>
        </is>
      </c>
      <c r="F1315" s="38" t="n">
        <v>4</v>
      </c>
    </row>
    <row r="1316" ht="15" customHeight="1" s="39">
      <c r="A1316" s="38" t="inlineStr">
        <is>
          <t>2021</t>
        </is>
      </c>
      <c r="B1316" s="42" t="inlineStr">
        <is>
          <t>431264</t>
        </is>
      </c>
      <c r="C1316" s="38" t="inlineStr">
        <is>
          <t>Y090</t>
        </is>
      </c>
      <c r="D1316" s="38" t="inlineStr">
        <is>
          <t>TOTAL</t>
        </is>
      </c>
      <c r="E1316" s="38" t="inlineStr">
        <is>
          <t>POP</t>
        </is>
      </c>
      <c r="F1316" s="38" t="n">
        <v>6</v>
      </c>
    </row>
    <row r="1317" ht="15" customHeight="1" s="39">
      <c r="A1317" s="38" t="inlineStr">
        <is>
          <t>2021</t>
        </is>
      </c>
      <c r="B1317" s="42" t="inlineStr">
        <is>
          <t>431264</t>
        </is>
      </c>
      <c r="C1317" s="38" t="inlineStr">
        <is>
          <t>Y091</t>
        </is>
      </c>
      <c r="D1317" s="38" t="inlineStr">
        <is>
          <t>TOTAL</t>
        </is>
      </c>
      <c r="E1317" s="38" t="inlineStr">
        <is>
          <t>POP</t>
        </is>
      </c>
      <c r="F1317" s="38" t="n">
        <v>6</v>
      </c>
    </row>
    <row r="1318" ht="15" customHeight="1" s="39">
      <c r="A1318" s="38" t="inlineStr">
        <is>
          <t>2021</t>
        </is>
      </c>
      <c r="B1318" s="42" t="inlineStr">
        <is>
          <t>431264</t>
        </is>
      </c>
      <c r="C1318" s="38" t="inlineStr">
        <is>
          <t>Y092</t>
        </is>
      </c>
      <c r="D1318" s="38" t="inlineStr">
        <is>
          <t>TOTAL</t>
        </is>
      </c>
      <c r="E1318" s="38" t="inlineStr">
        <is>
          <t>POP</t>
        </is>
      </c>
      <c r="F1318" s="38" t="n">
        <v>0</v>
      </c>
    </row>
    <row r="1319" ht="15" customHeight="1" s="39">
      <c r="A1319" s="38" t="inlineStr">
        <is>
          <t>2021</t>
        </is>
      </c>
      <c r="B1319" s="42" t="inlineStr">
        <is>
          <t>431264</t>
        </is>
      </c>
      <c r="C1319" s="38" t="inlineStr">
        <is>
          <t>Y093</t>
        </is>
      </c>
      <c r="D1319" s="38" t="inlineStr">
        <is>
          <t>TOTAL</t>
        </is>
      </c>
      <c r="E1319" s="38" t="inlineStr">
        <is>
          <t>POP</t>
        </is>
      </c>
      <c r="F1319" s="38" t="n">
        <v>4</v>
      </c>
    </row>
    <row r="1320" ht="15" customHeight="1" s="39">
      <c r="A1320" s="38" t="inlineStr">
        <is>
          <t>2021</t>
        </is>
      </c>
      <c r="B1320" s="42" t="inlineStr">
        <is>
          <t>431264</t>
        </is>
      </c>
      <c r="C1320" s="38" t="inlineStr">
        <is>
          <t>Y094</t>
        </is>
      </c>
      <c r="D1320" s="38" t="inlineStr">
        <is>
          <t>TOTAL</t>
        </is>
      </c>
      <c r="E1320" s="38" t="inlineStr">
        <is>
          <t>POP</t>
        </is>
      </c>
      <c r="F1320" s="38" t="n">
        <v>0</v>
      </c>
    </row>
    <row r="1321" ht="15" customHeight="1" s="39">
      <c r="A1321" s="38" t="inlineStr">
        <is>
          <t>2021</t>
        </is>
      </c>
      <c r="B1321" s="42" t="inlineStr">
        <is>
          <t>431264</t>
        </is>
      </c>
      <c r="C1321" s="38" t="inlineStr">
        <is>
          <t>Y095</t>
        </is>
      </c>
      <c r="D1321" s="38" t="inlineStr">
        <is>
          <t>TOTAL</t>
        </is>
      </c>
      <c r="E1321" s="38" t="inlineStr">
        <is>
          <t>POP</t>
        </is>
      </c>
      <c r="F1321" s="38" t="n">
        <v>2</v>
      </c>
    </row>
    <row r="1322" ht="15" customHeight="1" s="39">
      <c r="A1322" s="38" t="inlineStr">
        <is>
          <t>2021</t>
        </is>
      </c>
      <c r="B1322" s="42" t="inlineStr">
        <is>
          <t>431264</t>
        </is>
      </c>
      <c r="C1322" s="38" t="inlineStr">
        <is>
          <t>Y096</t>
        </is>
      </c>
      <c r="D1322" s="38" t="inlineStr">
        <is>
          <t>TOTAL</t>
        </is>
      </c>
      <c r="E1322" s="38" t="inlineStr">
        <is>
          <t>POP</t>
        </is>
      </c>
      <c r="F1322" s="38" t="n">
        <v>0</v>
      </c>
    </row>
    <row r="1323" ht="15" customHeight="1" s="39">
      <c r="A1323" s="38" t="inlineStr">
        <is>
          <t>2021</t>
        </is>
      </c>
      <c r="B1323" s="42" t="inlineStr">
        <is>
          <t>431264</t>
        </is>
      </c>
      <c r="C1323" s="38" t="inlineStr">
        <is>
          <t>Y097</t>
        </is>
      </c>
      <c r="D1323" s="38" t="inlineStr">
        <is>
          <t>TOTAL</t>
        </is>
      </c>
      <c r="E1323" s="38" t="inlineStr">
        <is>
          <t>POP</t>
        </is>
      </c>
      <c r="F1323" s="38" t="n">
        <v>1</v>
      </c>
    </row>
    <row r="1324" ht="15" customHeight="1" s="39">
      <c r="A1324" s="38" t="inlineStr">
        <is>
          <t>2021</t>
        </is>
      </c>
      <c r="B1324" s="42" t="inlineStr">
        <is>
          <t>431264</t>
        </is>
      </c>
      <c r="C1324" s="38" t="inlineStr">
        <is>
          <t>Y098</t>
        </is>
      </c>
      <c r="D1324" s="38" t="inlineStr">
        <is>
          <t>TOTAL</t>
        </is>
      </c>
      <c r="E1324" s="38" t="inlineStr">
        <is>
          <t>POP</t>
        </is>
      </c>
      <c r="F1324" s="38" t="n">
        <v>0</v>
      </c>
    </row>
    <row r="1325" ht="15" customHeight="1" s="39">
      <c r="A1325" s="38" t="inlineStr">
        <is>
          <t>2021</t>
        </is>
      </c>
      <c r="B1325" s="42" t="inlineStr">
        <is>
          <t>431264</t>
        </is>
      </c>
      <c r="C1325" s="38" t="inlineStr">
        <is>
          <t>Y099</t>
        </is>
      </c>
      <c r="D1325" s="38" t="inlineStr">
        <is>
          <t>TOTAL</t>
        </is>
      </c>
      <c r="E1325" s="38" t="inlineStr">
        <is>
          <t>POP</t>
        </is>
      </c>
      <c r="F1325" s="38" t="n">
        <v>1</v>
      </c>
    </row>
    <row r="1326" ht="15" customHeight="1" s="39">
      <c r="A1326" s="38" t="inlineStr">
        <is>
          <t>2021</t>
        </is>
      </c>
      <c r="B1326" s="42" t="inlineStr">
        <is>
          <t>431264</t>
        </is>
      </c>
      <c r="C1326" s="38" t="inlineStr">
        <is>
          <t>Y_GE100</t>
        </is>
      </c>
      <c r="D1326" s="38" t="inlineStr">
        <is>
          <t>TOTAL</t>
        </is>
      </c>
      <c r="E1326" s="38" t="inlineStr">
        <is>
          <t>POP</t>
        </is>
      </c>
      <c r="F1326" s="38" t="n">
        <v>0</v>
      </c>
    </row>
    <row r="1327" ht="15" customHeight="1" s="39">
      <c r="A1327" s="38" t="inlineStr">
        <is>
          <t>2021</t>
        </is>
      </c>
      <c r="B1327" s="42" t="inlineStr">
        <is>
          <t>431264</t>
        </is>
      </c>
      <c r="C1327" s="38" t="inlineStr">
        <is>
          <t>TOTAL</t>
        </is>
      </c>
      <c r="D1327" s="38" t="inlineStr">
        <is>
          <t>TOTAL</t>
        </is>
      </c>
      <c r="E1327" s="38" t="inlineStr">
        <is>
          <t>POP</t>
        </is>
      </c>
      <c r="F1327" s="38" t="n">
        <v>1745</v>
      </c>
    </row>
    <row r="1328" ht="15" customHeight="1" s="39">
      <c r="A1328" s="38" t="inlineStr">
        <is>
          <t>2021</t>
        </is>
      </c>
      <c r="B1328" s="42" t="inlineStr">
        <is>
          <t>431310</t>
        </is>
      </c>
      <c r="C1328" s="38" t="inlineStr">
        <is>
          <t>Y000</t>
        </is>
      </c>
      <c r="D1328" s="38" t="inlineStr">
        <is>
          <t>TOTAL</t>
        </is>
      </c>
      <c r="E1328" s="38" t="inlineStr">
        <is>
          <t>POP</t>
        </is>
      </c>
      <c r="F1328" s="38" t="n">
        <v>64</v>
      </c>
    </row>
    <row r="1329" ht="15" customHeight="1" s="39">
      <c r="A1329" s="38" t="inlineStr">
        <is>
          <t>2021</t>
        </is>
      </c>
      <c r="B1329" s="42" t="inlineStr">
        <is>
          <t>431310</t>
        </is>
      </c>
      <c r="C1329" s="38" t="inlineStr">
        <is>
          <t>Y001</t>
        </is>
      </c>
      <c r="D1329" s="38" t="inlineStr">
        <is>
          <t>TOTAL</t>
        </is>
      </c>
      <c r="E1329" s="38" t="inlineStr">
        <is>
          <t>POP</t>
        </is>
      </c>
      <c r="F1329" s="38" t="n">
        <v>69</v>
      </c>
    </row>
    <row r="1330" ht="15" customHeight="1" s="39">
      <c r="A1330" s="38" t="inlineStr">
        <is>
          <t>2021</t>
        </is>
      </c>
      <c r="B1330" s="42" t="inlineStr">
        <is>
          <t>431310</t>
        </is>
      </c>
      <c r="C1330" s="38" t="inlineStr">
        <is>
          <t>Y002</t>
        </is>
      </c>
      <c r="D1330" s="38" t="inlineStr">
        <is>
          <t>TOTAL</t>
        </is>
      </c>
      <c r="E1330" s="38" t="inlineStr">
        <is>
          <t>POP</t>
        </is>
      </c>
      <c r="F1330" s="38" t="n">
        <v>55</v>
      </c>
    </row>
    <row r="1331" ht="15" customHeight="1" s="39">
      <c r="A1331" s="38" t="inlineStr">
        <is>
          <t>2021</t>
        </is>
      </c>
      <c r="B1331" s="42" t="inlineStr">
        <is>
          <t>431310</t>
        </is>
      </c>
      <c r="C1331" s="38" t="inlineStr">
        <is>
          <t>Y003</t>
        </is>
      </c>
      <c r="D1331" s="38" t="inlineStr">
        <is>
          <t>TOTAL</t>
        </is>
      </c>
      <c r="E1331" s="38" t="inlineStr">
        <is>
          <t>POP</t>
        </is>
      </c>
      <c r="F1331" s="38" t="n">
        <v>75</v>
      </c>
    </row>
    <row r="1332" ht="15" customHeight="1" s="39">
      <c r="A1332" s="38" t="inlineStr">
        <is>
          <t>2021</t>
        </is>
      </c>
      <c r="B1332" s="42" t="inlineStr">
        <is>
          <t>431310</t>
        </is>
      </c>
      <c r="C1332" s="38" t="inlineStr">
        <is>
          <t>Y004</t>
        </is>
      </c>
      <c r="D1332" s="38" t="inlineStr">
        <is>
          <t>TOTAL</t>
        </is>
      </c>
      <c r="E1332" s="38" t="inlineStr">
        <is>
          <t>POP</t>
        </is>
      </c>
      <c r="F1332" s="38" t="n">
        <v>64</v>
      </c>
    </row>
    <row r="1333" ht="15" customHeight="1" s="39">
      <c r="A1333" s="38" t="inlineStr">
        <is>
          <t>2021</t>
        </is>
      </c>
      <c r="B1333" s="42" t="inlineStr">
        <is>
          <t>431310</t>
        </is>
      </c>
      <c r="C1333" s="38" t="inlineStr">
        <is>
          <t>Y005</t>
        </is>
      </c>
      <c r="D1333" s="38" t="inlineStr">
        <is>
          <t>TOTAL</t>
        </is>
      </c>
      <c r="E1333" s="38" t="inlineStr">
        <is>
          <t>POP</t>
        </is>
      </c>
      <c r="F1333" s="38" t="n">
        <v>82</v>
      </c>
    </row>
    <row r="1334" ht="15" customHeight="1" s="39">
      <c r="A1334" s="38" t="inlineStr">
        <is>
          <t>2021</t>
        </is>
      </c>
      <c r="B1334" s="42" t="inlineStr">
        <is>
          <t>431310</t>
        </is>
      </c>
      <c r="C1334" s="38" t="inlineStr">
        <is>
          <t>Y006</t>
        </is>
      </c>
      <c r="D1334" s="38" t="inlineStr">
        <is>
          <t>TOTAL</t>
        </is>
      </c>
      <c r="E1334" s="38" t="inlineStr">
        <is>
          <t>POP</t>
        </is>
      </c>
      <c r="F1334" s="38" t="n">
        <v>69</v>
      </c>
    </row>
    <row r="1335" ht="15" customHeight="1" s="39">
      <c r="A1335" s="38" t="inlineStr">
        <is>
          <t>2021</t>
        </is>
      </c>
      <c r="B1335" s="42" t="inlineStr">
        <is>
          <t>431310</t>
        </is>
      </c>
      <c r="C1335" s="38" t="inlineStr">
        <is>
          <t>Y007</t>
        </is>
      </c>
      <c r="D1335" s="38" t="inlineStr">
        <is>
          <t>TOTAL</t>
        </is>
      </c>
      <c r="E1335" s="38" t="inlineStr">
        <is>
          <t>POP</t>
        </is>
      </c>
      <c r="F1335" s="38" t="n">
        <v>82</v>
      </c>
    </row>
    <row r="1336" ht="15" customHeight="1" s="39">
      <c r="A1336" s="38" t="inlineStr">
        <is>
          <t>2021</t>
        </is>
      </c>
      <c r="B1336" s="42" t="inlineStr">
        <is>
          <t>431310</t>
        </is>
      </c>
      <c r="C1336" s="38" t="inlineStr">
        <is>
          <t>Y008</t>
        </is>
      </c>
      <c r="D1336" s="38" t="inlineStr">
        <is>
          <t>TOTAL</t>
        </is>
      </c>
      <c r="E1336" s="38" t="inlineStr">
        <is>
          <t>POP</t>
        </is>
      </c>
      <c r="F1336" s="38" t="n">
        <v>60</v>
      </c>
    </row>
    <row r="1337" ht="15" customHeight="1" s="39">
      <c r="A1337" s="38" t="inlineStr">
        <is>
          <t>2021</t>
        </is>
      </c>
      <c r="B1337" s="42" t="inlineStr">
        <is>
          <t>431310</t>
        </is>
      </c>
      <c r="C1337" s="38" t="inlineStr">
        <is>
          <t>Y009</t>
        </is>
      </c>
      <c r="D1337" s="38" t="inlineStr">
        <is>
          <t>TOTAL</t>
        </is>
      </c>
      <c r="E1337" s="38" t="inlineStr">
        <is>
          <t>POP</t>
        </is>
      </c>
      <c r="F1337" s="38" t="n">
        <v>62</v>
      </c>
    </row>
    <row r="1338" ht="15" customHeight="1" s="39">
      <c r="A1338" s="38" t="inlineStr">
        <is>
          <t>2021</t>
        </is>
      </c>
      <c r="B1338" s="42" t="inlineStr">
        <is>
          <t>431310</t>
        </is>
      </c>
      <c r="C1338" s="38" t="inlineStr">
        <is>
          <t>Y010</t>
        </is>
      </c>
      <c r="D1338" s="38" t="inlineStr">
        <is>
          <t>TOTAL</t>
        </is>
      </c>
      <c r="E1338" s="38" t="inlineStr">
        <is>
          <t>POP</t>
        </is>
      </c>
      <c r="F1338" s="38" t="n">
        <v>85</v>
      </c>
    </row>
    <row r="1339" ht="15" customHeight="1" s="39">
      <c r="A1339" s="38" t="inlineStr">
        <is>
          <t>2021</t>
        </is>
      </c>
      <c r="B1339" s="42" t="inlineStr">
        <is>
          <t>431310</t>
        </is>
      </c>
      <c r="C1339" s="38" t="inlineStr">
        <is>
          <t>Y011</t>
        </is>
      </c>
      <c r="D1339" s="38" t="inlineStr">
        <is>
          <t>TOTAL</t>
        </is>
      </c>
      <c r="E1339" s="38" t="inlineStr">
        <is>
          <t>POP</t>
        </is>
      </c>
      <c r="F1339" s="38" t="n">
        <v>75</v>
      </c>
    </row>
    <row r="1340" ht="15" customHeight="1" s="39">
      <c r="A1340" s="38" t="inlineStr">
        <is>
          <t>2021</t>
        </is>
      </c>
      <c r="B1340" s="42" t="inlineStr">
        <is>
          <t>431310</t>
        </is>
      </c>
      <c r="C1340" s="38" t="inlineStr">
        <is>
          <t>Y012</t>
        </is>
      </c>
      <c r="D1340" s="38" t="inlineStr">
        <is>
          <t>TOTAL</t>
        </is>
      </c>
      <c r="E1340" s="38" t="inlineStr">
        <is>
          <t>POP</t>
        </is>
      </c>
      <c r="F1340" s="38" t="n">
        <v>78</v>
      </c>
    </row>
    <row r="1341" ht="15" customHeight="1" s="39">
      <c r="A1341" s="38" t="inlineStr">
        <is>
          <t>2021</t>
        </is>
      </c>
      <c r="B1341" s="42" t="inlineStr">
        <is>
          <t>431310</t>
        </is>
      </c>
      <c r="C1341" s="38" t="inlineStr">
        <is>
          <t>Y013</t>
        </is>
      </c>
      <c r="D1341" s="38" t="inlineStr">
        <is>
          <t>TOTAL</t>
        </is>
      </c>
      <c r="E1341" s="38" t="inlineStr">
        <is>
          <t>POP</t>
        </is>
      </c>
      <c r="F1341" s="38" t="n">
        <v>79</v>
      </c>
    </row>
    <row r="1342" ht="15" customHeight="1" s="39">
      <c r="A1342" s="38" t="inlineStr">
        <is>
          <t>2021</t>
        </is>
      </c>
      <c r="B1342" s="42" t="inlineStr">
        <is>
          <t>431310</t>
        </is>
      </c>
      <c r="C1342" s="38" t="inlineStr">
        <is>
          <t>Y014</t>
        </is>
      </c>
      <c r="D1342" s="38" t="inlineStr">
        <is>
          <t>TOTAL</t>
        </is>
      </c>
      <c r="E1342" s="38" t="inlineStr">
        <is>
          <t>POP</t>
        </is>
      </c>
      <c r="F1342" s="38" t="n">
        <v>75</v>
      </c>
    </row>
    <row r="1343" ht="15" customHeight="1" s="39">
      <c r="A1343" s="38" t="inlineStr">
        <is>
          <t>2021</t>
        </is>
      </c>
      <c r="B1343" s="42" t="inlineStr">
        <is>
          <t>431310</t>
        </is>
      </c>
      <c r="C1343" s="38" t="inlineStr">
        <is>
          <t>Y015</t>
        </is>
      </c>
      <c r="D1343" s="38" t="inlineStr">
        <is>
          <t>TOTAL</t>
        </is>
      </c>
      <c r="E1343" s="38" t="inlineStr">
        <is>
          <t>POP</t>
        </is>
      </c>
      <c r="F1343" s="38" t="n">
        <v>70</v>
      </c>
    </row>
    <row r="1344" ht="15" customHeight="1" s="39">
      <c r="A1344" s="38" t="inlineStr">
        <is>
          <t>2021</t>
        </is>
      </c>
      <c r="B1344" s="42" t="inlineStr">
        <is>
          <t>431310</t>
        </is>
      </c>
      <c r="C1344" s="38" t="inlineStr">
        <is>
          <t>Y016</t>
        </is>
      </c>
      <c r="D1344" s="38" t="inlineStr">
        <is>
          <t>TOTAL</t>
        </is>
      </c>
      <c r="E1344" s="38" t="inlineStr">
        <is>
          <t>POP</t>
        </is>
      </c>
      <c r="F1344" s="38" t="n">
        <v>72</v>
      </c>
    </row>
    <row r="1345" ht="15" customHeight="1" s="39">
      <c r="A1345" s="38" t="inlineStr">
        <is>
          <t>2021</t>
        </is>
      </c>
      <c r="B1345" s="42" t="inlineStr">
        <is>
          <t>431310</t>
        </is>
      </c>
      <c r="C1345" s="38" t="inlineStr">
        <is>
          <t>Y017</t>
        </is>
      </c>
      <c r="D1345" s="38" t="inlineStr">
        <is>
          <t>TOTAL</t>
        </is>
      </c>
      <c r="E1345" s="38" t="inlineStr">
        <is>
          <t>POP</t>
        </is>
      </c>
      <c r="F1345" s="38" t="n">
        <v>68</v>
      </c>
    </row>
    <row r="1346" ht="15" customHeight="1" s="39">
      <c r="A1346" s="38" t="inlineStr">
        <is>
          <t>2021</t>
        </is>
      </c>
      <c r="B1346" s="42" t="inlineStr">
        <is>
          <t>431310</t>
        </is>
      </c>
      <c r="C1346" s="38" t="inlineStr">
        <is>
          <t>Y018</t>
        </is>
      </c>
      <c r="D1346" s="38" t="inlineStr">
        <is>
          <t>TOTAL</t>
        </is>
      </c>
      <c r="E1346" s="38" t="inlineStr">
        <is>
          <t>POP</t>
        </is>
      </c>
      <c r="F1346" s="38" t="n">
        <v>82</v>
      </c>
    </row>
    <row r="1347" ht="15" customHeight="1" s="39">
      <c r="A1347" s="38" t="inlineStr">
        <is>
          <t>2021</t>
        </is>
      </c>
      <c r="B1347" s="42" t="inlineStr">
        <is>
          <t>431310</t>
        </is>
      </c>
      <c r="C1347" s="38" t="inlineStr">
        <is>
          <t>Y019</t>
        </is>
      </c>
      <c r="D1347" s="38" t="inlineStr">
        <is>
          <t>TOTAL</t>
        </is>
      </c>
      <c r="E1347" s="38" t="inlineStr">
        <is>
          <t>POP</t>
        </is>
      </c>
      <c r="F1347" s="38" t="n">
        <v>68</v>
      </c>
    </row>
    <row r="1348" ht="15" customHeight="1" s="39">
      <c r="A1348" s="38" t="inlineStr">
        <is>
          <t>2021</t>
        </is>
      </c>
      <c r="B1348" s="42" t="inlineStr">
        <is>
          <t>431310</t>
        </is>
      </c>
      <c r="C1348" s="38" t="inlineStr">
        <is>
          <t>Y020</t>
        </is>
      </c>
      <c r="D1348" s="38" t="inlineStr">
        <is>
          <t>TOTAL</t>
        </is>
      </c>
      <c r="E1348" s="38" t="inlineStr">
        <is>
          <t>POP</t>
        </is>
      </c>
      <c r="F1348" s="38" t="n">
        <v>72</v>
      </c>
    </row>
    <row r="1349" ht="15" customHeight="1" s="39">
      <c r="A1349" s="38" t="inlineStr">
        <is>
          <t>2021</t>
        </is>
      </c>
      <c r="B1349" s="42" t="inlineStr">
        <is>
          <t>431310</t>
        </is>
      </c>
      <c r="C1349" s="38" t="inlineStr">
        <is>
          <t>Y021</t>
        </is>
      </c>
      <c r="D1349" s="38" t="inlineStr">
        <is>
          <t>TOTAL</t>
        </is>
      </c>
      <c r="E1349" s="38" t="inlineStr">
        <is>
          <t>POP</t>
        </is>
      </c>
      <c r="F1349" s="38" t="n">
        <v>62</v>
      </c>
    </row>
    <row r="1350" ht="15" customHeight="1" s="39">
      <c r="A1350" s="38" t="inlineStr">
        <is>
          <t>2021</t>
        </is>
      </c>
      <c r="B1350" s="42" t="inlineStr">
        <is>
          <t>431310</t>
        </is>
      </c>
      <c r="C1350" s="38" t="inlineStr">
        <is>
          <t>Y022</t>
        </is>
      </c>
      <c r="D1350" s="38" t="inlineStr">
        <is>
          <t>TOTAL</t>
        </is>
      </c>
      <c r="E1350" s="38" t="inlineStr">
        <is>
          <t>POP</t>
        </is>
      </c>
      <c r="F1350" s="38" t="n">
        <v>65</v>
      </c>
    </row>
    <row r="1351" ht="15" customHeight="1" s="39">
      <c r="A1351" s="38" t="inlineStr">
        <is>
          <t>2021</t>
        </is>
      </c>
      <c r="B1351" s="42" t="inlineStr">
        <is>
          <t>431310</t>
        </is>
      </c>
      <c r="C1351" s="38" t="inlineStr">
        <is>
          <t>Y023</t>
        </is>
      </c>
      <c r="D1351" s="38" t="inlineStr">
        <is>
          <t>TOTAL</t>
        </is>
      </c>
      <c r="E1351" s="38" t="inlineStr">
        <is>
          <t>POP</t>
        </is>
      </c>
      <c r="F1351" s="38" t="n">
        <v>58</v>
      </c>
    </row>
    <row r="1352" ht="15" customHeight="1" s="39">
      <c r="A1352" s="38" t="inlineStr">
        <is>
          <t>2021</t>
        </is>
      </c>
      <c r="B1352" s="42" t="inlineStr">
        <is>
          <t>431310</t>
        </is>
      </c>
      <c r="C1352" s="38" t="inlineStr">
        <is>
          <t>Y024</t>
        </is>
      </c>
      <c r="D1352" s="38" t="inlineStr">
        <is>
          <t>TOTAL</t>
        </is>
      </c>
      <c r="E1352" s="38" t="inlineStr">
        <is>
          <t>POP</t>
        </is>
      </c>
      <c r="F1352" s="38" t="n">
        <v>58</v>
      </c>
    </row>
    <row r="1353" ht="15" customHeight="1" s="39">
      <c r="A1353" s="38" t="inlineStr">
        <is>
          <t>2021</t>
        </is>
      </c>
      <c r="B1353" s="42" t="inlineStr">
        <is>
          <t>431310</t>
        </is>
      </c>
      <c r="C1353" s="38" t="inlineStr">
        <is>
          <t>Y025</t>
        </is>
      </c>
      <c r="D1353" s="38" t="inlineStr">
        <is>
          <t>TOTAL</t>
        </is>
      </c>
      <c r="E1353" s="38" t="inlineStr">
        <is>
          <t>POP</t>
        </is>
      </c>
      <c r="F1353" s="38" t="n">
        <v>48</v>
      </c>
    </row>
    <row r="1354" ht="15" customHeight="1" s="39">
      <c r="A1354" s="38" t="inlineStr">
        <is>
          <t>2021</t>
        </is>
      </c>
      <c r="B1354" s="42" t="inlineStr">
        <is>
          <t>431310</t>
        </is>
      </c>
      <c r="C1354" s="38" t="inlineStr">
        <is>
          <t>Y026</t>
        </is>
      </c>
      <c r="D1354" s="38" t="inlineStr">
        <is>
          <t>TOTAL</t>
        </is>
      </c>
      <c r="E1354" s="38" t="inlineStr">
        <is>
          <t>POP</t>
        </is>
      </c>
      <c r="F1354" s="38" t="n">
        <v>70</v>
      </c>
    </row>
    <row r="1355" ht="15" customHeight="1" s="39">
      <c r="A1355" s="38" t="inlineStr">
        <is>
          <t>2021</t>
        </is>
      </c>
      <c r="B1355" s="42" t="inlineStr">
        <is>
          <t>431310</t>
        </is>
      </c>
      <c r="C1355" s="38" t="inlineStr">
        <is>
          <t>Y027</t>
        </is>
      </c>
      <c r="D1355" s="38" t="inlineStr">
        <is>
          <t>TOTAL</t>
        </is>
      </c>
      <c r="E1355" s="38" t="inlineStr">
        <is>
          <t>POP</t>
        </is>
      </c>
      <c r="F1355" s="38" t="n">
        <v>63</v>
      </c>
    </row>
    <row r="1356" ht="15" customHeight="1" s="39">
      <c r="A1356" s="38" t="inlineStr">
        <is>
          <t>2021</t>
        </is>
      </c>
      <c r="B1356" s="42" t="inlineStr">
        <is>
          <t>431310</t>
        </is>
      </c>
      <c r="C1356" s="38" t="inlineStr">
        <is>
          <t>Y028</t>
        </is>
      </c>
      <c r="D1356" s="38" t="inlineStr">
        <is>
          <t>TOTAL</t>
        </is>
      </c>
      <c r="E1356" s="38" t="inlineStr">
        <is>
          <t>POP</t>
        </is>
      </c>
      <c r="F1356" s="38" t="n">
        <v>69</v>
      </c>
    </row>
    <row r="1357" ht="15" customHeight="1" s="39">
      <c r="A1357" s="38" t="inlineStr">
        <is>
          <t>2021</t>
        </is>
      </c>
      <c r="B1357" s="42" t="inlineStr">
        <is>
          <t>431310</t>
        </is>
      </c>
      <c r="C1357" s="38" t="inlineStr">
        <is>
          <t>Y029</t>
        </is>
      </c>
      <c r="D1357" s="38" t="inlineStr">
        <is>
          <t>TOTAL</t>
        </is>
      </c>
      <c r="E1357" s="38" t="inlineStr">
        <is>
          <t>POP</t>
        </is>
      </c>
      <c r="F1357" s="38" t="n">
        <v>54</v>
      </c>
    </row>
    <row r="1358" ht="15" customHeight="1" s="39">
      <c r="A1358" s="38" t="inlineStr">
        <is>
          <t>2021</t>
        </is>
      </c>
      <c r="B1358" s="42" t="inlineStr">
        <is>
          <t>431310</t>
        </is>
      </c>
      <c r="C1358" s="38" t="inlineStr">
        <is>
          <t>Y030</t>
        </is>
      </c>
      <c r="D1358" s="38" t="inlineStr">
        <is>
          <t>TOTAL</t>
        </is>
      </c>
      <c r="E1358" s="38" t="inlineStr">
        <is>
          <t>POP</t>
        </is>
      </c>
      <c r="F1358" s="38" t="n">
        <v>72</v>
      </c>
    </row>
    <row r="1359" ht="15" customHeight="1" s="39">
      <c r="A1359" s="38" t="inlineStr">
        <is>
          <t>2021</t>
        </is>
      </c>
      <c r="B1359" s="42" t="inlineStr">
        <is>
          <t>431310</t>
        </is>
      </c>
      <c r="C1359" s="38" t="inlineStr">
        <is>
          <t>Y031</t>
        </is>
      </c>
      <c r="D1359" s="38" t="inlineStr">
        <is>
          <t>TOTAL</t>
        </is>
      </c>
      <c r="E1359" s="38" t="inlineStr">
        <is>
          <t>POP</t>
        </is>
      </c>
      <c r="F1359" s="38" t="n">
        <v>75</v>
      </c>
    </row>
    <row r="1360" ht="15" customHeight="1" s="39">
      <c r="A1360" s="38" t="inlineStr">
        <is>
          <t>2021</t>
        </is>
      </c>
      <c r="B1360" s="42" t="inlineStr">
        <is>
          <t>431310</t>
        </is>
      </c>
      <c r="C1360" s="38" t="inlineStr">
        <is>
          <t>Y032</t>
        </is>
      </c>
      <c r="D1360" s="38" t="inlineStr">
        <is>
          <t>TOTAL</t>
        </is>
      </c>
      <c r="E1360" s="38" t="inlineStr">
        <is>
          <t>POP</t>
        </is>
      </c>
      <c r="F1360" s="38" t="n">
        <v>86</v>
      </c>
    </row>
    <row r="1361" ht="15" customHeight="1" s="39">
      <c r="A1361" s="38" t="inlineStr">
        <is>
          <t>2021</t>
        </is>
      </c>
      <c r="B1361" s="42" t="inlineStr">
        <is>
          <t>431310</t>
        </is>
      </c>
      <c r="C1361" s="38" t="inlineStr">
        <is>
          <t>Y033</t>
        </is>
      </c>
      <c r="D1361" s="38" t="inlineStr">
        <is>
          <t>TOTAL</t>
        </is>
      </c>
      <c r="E1361" s="38" t="inlineStr">
        <is>
          <t>POP</t>
        </is>
      </c>
      <c r="F1361" s="38" t="n">
        <v>78</v>
      </c>
    </row>
    <row r="1362" ht="15" customHeight="1" s="39">
      <c r="A1362" s="38" t="inlineStr">
        <is>
          <t>2021</t>
        </is>
      </c>
      <c r="B1362" s="42" t="inlineStr">
        <is>
          <t>431310</t>
        </is>
      </c>
      <c r="C1362" s="38" t="inlineStr">
        <is>
          <t>Y034</t>
        </is>
      </c>
      <c r="D1362" s="38" t="inlineStr">
        <is>
          <t>TOTAL</t>
        </is>
      </c>
      <c r="E1362" s="38" t="inlineStr">
        <is>
          <t>POP</t>
        </is>
      </c>
      <c r="F1362" s="38" t="n">
        <v>84</v>
      </c>
    </row>
    <row r="1363" ht="15" customHeight="1" s="39">
      <c r="A1363" s="38" t="inlineStr">
        <is>
          <t>2021</t>
        </is>
      </c>
      <c r="B1363" s="42" t="inlineStr">
        <is>
          <t>431310</t>
        </is>
      </c>
      <c r="C1363" s="38" t="inlineStr">
        <is>
          <t>Y035</t>
        </is>
      </c>
      <c r="D1363" s="38" t="inlineStr">
        <is>
          <t>TOTAL</t>
        </is>
      </c>
      <c r="E1363" s="38" t="inlineStr">
        <is>
          <t>POP</t>
        </is>
      </c>
      <c r="F1363" s="38" t="n">
        <v>95</v>
      </c>
    </row>
    <row r="1364" ht="15" customHeight="1" s="39">
      <c r="A1364" s="38" t="inlineStr">
        <is>
          <t>2021</t>
        </is>
      </c>
      <c r="B1364" s="42" t="inlineStr">
        <is>
          <t>431310</t>
        </is>
      </c>
      <c r="C1364" s="38" t="inlineStr">
        <is>
          <t>Y036</t>
        </is>
      </c>
      <c r="D1364" s="38" t="inlineStr">
        <is>
          <t>TOTAL</t>
        </is>
      </c>
      <c r="E1364" s="38" t="inlineStr">
        <is>
          <t>POP</t>
        </is>
      </c>
      <c r="F1364" s="38" t="n">
        <v>89</v>
      </c>
    </row>
    <row r="1365" ht="15" customHeight="1" s="39">
      <c r="A1365" s="38" t="inlineStr">
        <is>
          <t>2021</t>
        </is>
      </c>
      <c r="B1365" s="42" t="inlineStr">
        <is>
          <t>431310</t>
        </is>
      </c>
      <c r="C1365" s="38" t="inlineStr">
        <is>
          <t>Y037</t>
        </is>
      </c>
      <c r="D1365" s="38" t="inlineStr">
        <is>
          <t>TOTAL</t>
        </is>
      </c>
      <c r="E1365" s="38" t="inlineStr">
        <is>
          <t>POP</t>
        </is>
      </c>
      <c r="F1365" s="38" t="n">
        <v>89</v>
      </c>
    </row>
    <row r="1366" ht="15" customHeight="1" s="39">
      <c r="A1366" s="38" t="inlineStr">
        <is>
          <t>2021</t>
        </is>
      </c>
      <c r="B1366" s="42" t="inlineStr">
        <is>
          <t>431310</t>
        </is>
      </c>
      <c r="C1366" s="38" t="inlineStr">
        <is>
          <t>Y038</t>
        </is>
      </c>
      <c r="D1366" s="38" t="inlineStr">
        <is>
          <t>TOTAL</t>
        </is>
      </c>
      <c r="E1366" s="38" t="inlineStr">
        <is>
          <t>POP</t>
        </is>
      </c>
      <c r="F1366" s="38" t="n">
        <v>117</v>
      </c>
    </row>
    <row r="1367" ht="15" customHeight="1" s="39">
      <c r="A1367" s="38" t="inlineStr">
        <is>
          <t>2021</t>
        </is>
      </c>
      <c r="B1367" s="42" t="inlineStr">
        <is>
          <t>431310</t>
        </is>
      </c>
      <c r="C1367" s="38" t="inlineStr">
        <is>
          <t>Y039</t>
        </is>
      </c>
      <c r="D1367" s="38" t="inlineStr">
        <is>
          <t>TOTAL</t>
        </is>
      </c>
      <c r="E1367" s="38" t="inlineStr">
        <is>
          <t>POP</t>
        </is>
      </c>
      <c r="F1367" s="38" t="n">
        <v>114</v>
      </c>
    </row>
    <row r="1368" ht="15" customHeight="1" s="39">
      <c r="A1368" s="38" t="inlineStr">
        <is>
          <t>2021</t>
        </is>
      </c>
      <c r="B1368" s="42" t="inlineStr">
        <is>
          <t>431310</t>
        </is>
      </c>
      <c r="C1368" s="38" t="inlineStr">
        <is>
          <t>Y040</t>
        </is>
      </c>
      <c r="D1368" s="38" t="inlineStr">
        <is>
          <t>TOTAL</t>
        </is>
      </c>
      <c r="E1368" s="38" t="inlineStr">
        <is>
          <t>POP</t>
        </is>
      </c>
      <c r="F1368" s="38" t="n">
        <v>100</v>
      </c>
    </row>
    <row r="1369" ht="15" customHeight="1" s="39">
      <c r="A1369" s="38" t="inlineStr">
        <is>
          <t>2021</t>
        </is>
      </c>
      <c r="B1369" s="42" t="inlineStr">
        <is>
          <t>431310</t>
        </is>
      </c>
      <c r="C1369" s="38" t="inlineStr">
        <is>
          <t>Y041</t>
        </is>
      </c>
      <c r="D1369" s="38" t="inlineStr">
        <is>
          <t>TOTAL</t>
        </is>
      </c>
      <c r="E1369" s="38" t="inlineStr">
        <is>
          <t>POP</t>
        </is>
      </c>
      <c r="F1369" s="38" t="n">
        <v>108</v>
      </c>
    </row>
    <row r="1370" ht="15" customHeight="1" s="39">
      <c r="A1370" s="38" t="inlineStr">
        <is>
          <t>2021</t>
        </is>
      </c>
      <c r="B1370" s="42" t="inlineStr">
        <is>
          <t>431310</t>
        </is>
      </c>
      <c r="C1370" s="38" t="inlineStr">
        <is>
          <t>Y042</t>
        </is>
      </c>
      <c r="D1370" s="38" t="inlineStr">
        <is>
          <t>TOTAL</t>
        </is>
      </c>
      <c r="E1370" s="38" t="inlineStr">
        <is>
          <t>POP</t>
        </is>
      </c>
      <c r="F1370" s="38" t="n">
        <v>119</v>
      </c>
    </row>
    <row r="1371" ht="15" customHeight="1" s="39">
      <c r="A1371" s="38" t="inlineStr">
        <is>
          <t>2021</t>
        </is>
      </c>
      <c r="B1371" s="42" t="inlineStr">
        <is>
          <t>431310</t>
        </is>
      </c>
      <c r="C1371" s="38" t="inlineStr">
        <is>
          <t>Y043</t>
        </is>
      </c>
      <c r="D1371" s="38" t="inlineStr">
        <is>
          <t>TOTAL</t>
        </is>
      </c>
      <c r="E1371" s="38" t="inlineStr">
        <is>
          <t>POP</t>
        </is>
      </c>
      <c r="F1371" s="38" t="n">
        <v>138</v>
      </c>
    </row>
    <row r="1372" ht="15" customHeight="1" s="39">
      <c r="A1372" s="38" t="inlineStr">
        <is>
          <t>2021</t>
        </is>
      </c>
      <c r="B1372" s="42" t="inlineStr">
        <is>
          <t>431310</t>
        </is>
      </c>
      <c r="C1372" s="38" t="inlineStr">
        <is>
          <t>Y044</t>
        </is>
      </c>
      <c r="D1372" s="38" t="inlineStr">
        <is>
          <t>TOTAL</t>
        </is>
      </c>
      <c r="E1372" s="38" t="inlineStr">
        <is>
          <t>POP</t>
        </is>
      </c>
      <c r="F1372" s="38" t="n">
        <v>133</v>
      </c>
    </row>
    <row r="1373" ht="15" customHeight="1" s="39">
      <c r="A1373" s="38" t="inlineStr">
        <is>
          <t>2021</t>
        </is>
      </c>
      <c r="B1373" s="42" t="inlineStr">
        <is>
          <t>431310</t>
        </is>
      </c>
      <c r="C1373" s="38" t="inlineStr">
        <is>
          <t>Y045</t>
        </is>
      </c>
      <c r="D1373" s="38" t="inlineStr">
        <is>
          <t>TOTAL</t>
        </is>
      </c>
      <c r="E1373" s="38" t="inlineStr">
        <is>
          <t>POP</t>
        </is>
      </c>
      <c r="F1373" s="38" t="n">
        <v>140</v>
      </c>
    </row>
    <row r="1374" ht="15" customHeight="1" s="39">
      <c r="A1374" s="38" t="inlineStr">
        <is>
          <t>2021</t>
        </is>
      </c>
      <c r="B1374" s="42" t="inlineStr">
        <is>
          <t>431310</t>
        </is>
      </c>
      <c r="C1374" s="38" t="inlineStr">
        <is>
          <t>Y046</t>
        </is>
      </c>
      <c r="D1374" s="38" t="inlineStr">
        <is>
          <t>TOTAL</t>
        </is>
      </c>
      <c r="E1374" s="38" t="inlineStr">
        <is>
          <t>POP</t>
        </is>
      </c>
      <c r="F1374" s="38" t="n">
        <v>137</v>
      </c>
    </row>
    <row r="1375" ht="15" customHeight="1" s="39">
      <c r="A1375" s="38" t="inlineStr">
        <is>
          <t>2021</t>
        </is>
      </c>
      <c r="B1375" s="42" t="inlineStr">
        <is>
          <t>431310</t>
        </is>
      </c>
      <c r="C1375" s="38" t="inlineStr">
        <is>
          <t>Y047</t>
        </is>
      </c>
      <c r="D1375" s="38" t="inlineStr">
        <is>
          <t>TOTAL</t>
        </is>
      </c>
      <c r="E1375" s="38" t="inlineStr">
        <is>
          <t>POP</t>
        </is>
      </c>
      <c r="F1375" s="38" t="n">
        <v>138</v>
      </c>
    </row>
    <row r="1376" ht="15" customHeight="1" s="39">
      <c r="A1376" s="38" t="inlineStr">
        <is>
          <t>2021</t>
        </is>
      </c>
      <c r="B1376" s="42" t="inlineStr">
        <is>
          <t>431310</t>
        </is>
      </c>
      <c r="C1376" s="38" t="inlineStr">
        <is>
          <t>Y048</t>
        </is>
      </c>
      <c r="D1376" s="38" t="inlineStr">
        <is>
          <t>TOTAL</t>
        </is>
      </c>
      <c r="E1376" s="38" t="inlineStr">
        <is>
          <t>POP</t>
        </is>
      </c>
      <c r="F1376" s="38" t="n">
        <v>123</v>
      </c>
    </row>
    <row r="1377" ht="15" customHeight="1" s="39">
      <c r="A1377" s="38" t="inlineStr">
        <is>
          <t>2021</t>
        </is>
      </c>
      <c r="B1377" s="42" t="inlineStr">
        <is>
          <t>431310</t>
        </is>
      </c>
      <c r="C1377" s="38" t="inlineStr">
        <is>
          <t>Y049</t>
        </is>
      </c>
      <c r="D1377" s="38" t="inlineStr">
        <is>
          <t>TOTAL</t>
        </is>
      </c>
      <c r="E1377" s="38" t="inlineStr">
        <is>
          <t>POP</t>
        </is>
      </c>
      <c r="F1377" s="38" t="n">
        <v>132</v>
      </c>
    </row>
    <row r="1378" ht="15" customHeight="1" s="39">
      <c r="A1378" s="38" t="inlineStr">
        <is>
          <t>2021</t>
        </is>
      </c>
      <c r="B1378" s="42" t="inlineStr">
        <is>
          <t>431310</t>
        </is>
      </c>
      <c r="C1378" s="38" t="inlineStr">
        <is>
          <t>Y050</t>
        </is>
      </c>
      <c r="D1378" s="38" t="inlineStr">
        <is>
          <t>TOTAL</t>
        </is>
      </c>
      <c r="E1378" s="38" t="inlineStr">
        <is>
          <t>POP</t>
        </is>
      </c>
      <c r="F1378" s="38" t="n">
        <v>116</v>
      </c>
    </row>
    <row r="1379" ht="15" customHeight="1" s="39">
      <c r="A1379" s="38" t="inlineStr">
        <is>
          <t>2021</t>
        </is>
      </c>
      <c r="B1379" s="42" t="inlineStr">
        <is>
          <t>431310</t>
        </is>
      </c>
      <c r="C1379" s="38" t="inlineStr">
        <is>
          <t>Y051</t>
        </is>
      </c>
      <c r="D1379" s="38" t="inlineStr">
        <is>
          <t>TOTAL</t>
        </is>
      </c>
      <c r="E1379" s="38" t="inlineStr">
        <is>
          <t>POP</t>
        </is>
      </c>
      <c r="F1379" s="38" t="n">
        <v>98</v>
      </c>
    </row>
    <row r="1380" ht="15" customHeight="1" s="39">
      <c r="A1380" s="38" t="inlineStr">
        <is>
          <t>2021</t>
        </is>
      </c>
      <c r="B1380" s="42" t="inlineStr">
        <is>
          <t>431310</t>
        </is>
      </c>
      <c r="C1380" s="38" t="inlineStr">
        <is>
          <t>Y052</t>
        </is>
      </c>
      <c r="D1380" s="38" t="inlineStr">
        <is>
          <t>TOTAL</t>
        </is>
      </c>
      <c r="E1380" s="38" t="inlineStr">
        <is>
          <t>POP</t>
        </is>
      </c>
      <c r="F1380" s="38" t="n">
        <v>93</v>
      </c>
    </row>
    <row r="1381" ht="15" customHeight="1" s="39">
      <c r="A1381" s="38" t="inlineStr">
        <is>
          <t>2021</t>
        </is>
      </c>
      <c r="B1381" s="42" t="inlineStr">
        <is>
          <t>431310</t>
        </is>
      </c>
      <c r="C1381" s="38" t="inlineStr">
        <is>
          <t>Y053</t>
        </is>
      </c>
      <c r="D1381" s="38" t="inlineStr">
        <is>
          <t>TOTAL</t>
        </is>
      </c>
      <c r="E1381" s="38" t="inlineStr">
        <is>
          <t>POP</t>
        </is>
      </c>
      <c r="F1381" s="38" t="n">
        <v>116</v>
      </c>
    </row>
    <row r="1382" ht="15" customHeight="1" s="39">
      <c r="A1382" s="38" t="inlineStr">
        <is>
          <t>2021</t>
        </is>
      </c>
      <c r="B1382" s="42" t="inlineStr">
        <is>
          <t>431310</t>
        </is>
      </c>
      <c r="C1382" s="38" t="inlineStr">
        <is>
          <t>Y054</t>
        </is>
      </c>
      <c r="D1382" s="38" t="inlineStr">
        <is>
          <t>TOTAL</t>
        </is>
      </c>
      <c r="E1382" s="38" t="inlineStr">
        <is>
          <t>POP</t>
        </is>
      </c>
      <c r="F1382" s="38" t="n">
        <v>98</v>
      </c>
    </row>
    <row r="1383" ht="15" customHeight="1" s="39">
      <c r="A1383" s="38" t="inlineStr">
        <is>
          <t>2021</t>
        </is>
      </c>
      <c r="B1383" s="42" t="inlineStr">
        <is>
          <t>431310</t>
        </is>
      </c>
      <c r="C1383" s="38" t="inlineStr">
        <is>
          <t>Y055</t>
        </is>
      </c>
      <c r="D1383" s="38" t="inlineStr">
        <is>
          <t>TOTAL</t>
        </is>
      </c>
      <c r="E1383" s="38" t="inlineStr">
        <is>
          <t>POP</t>
        </is>
      </c>
      <c r="F1383" s="38" t="n">
        <v>86</v>
      </c>
    </row>
    <row r="1384" ht="15" customHeight="1" s="39">
      <c r="A1384" s="38" t="inlineStr">
        <is>
          <t>2021</t>
        </is>
      </c>
      <c r="B1384" s="42" t="inlineStr">
        <is>
          <t>431310</t>
        </is>
      </c>
      <c r="C1384" s="38" t="inlineStr">
        <is>
          <t>Y056</t>
        </is>
      </c>
      <c r="D1384" s="38" t="inlineStr">
        <is>
          <t>TOTAL</t>
        </is>
      </c>
      <c r="E1384" s="38" t="inlineStr">
        <is>
          <t>POP</t>
        </is>
      </c>
      <c r="F1384" s="38" t="n">
        <v>79</v>
      </c>
    </row>
    <row r="1385" ht="15" customHeight="1" s="39">
      <c r="A1385" s="38" t="inlineStr">
        <is>
          <t>2021</t>
        </is>
      </c>
      <c r="B1385" s="42" t="inlineStr">
        <is>
          <t>431310</t>
        </is>
      </c>
      <c r="C1385" s="38" t="inlineStr">
        <is>
          <t>Y057</t>
        </is>
      </c>
      <c r="D1385" s="38" t="inlineStr">
        <is>
          <t>TOTAL</t>
        </is>
      </c>
      <c r="E1385" s="38" t="inlineStr">
        <is>
          <t>POP</t>
        </is>
      </c>
      <c r="F1385" s="38" t="n">
        <v>71</v>
      </c>
    </row>
    <row r="1386" ht="15" customHeight="1" s="39">
      <c r="A1386" s="38" t="inlineStr">
        <is>
          <t>2021</t>
        </is>
      </c>
      <c r="B1386" s="42" t="inlineStr">
        <is>
          <t>431310</t>
        </is>
      </c>
      <c r="C1386" s="38" t="inlineStr">
        <is>
          <t>Y058</t>
        </is>
      </c>
      <c r="D1386" s="38" t="inlineStr">
        <is>
          <t>TOTAL</t>
        </is>
      </c>
      <c r="E1386" s="38" t="inlineStr">
        <is>
          <t>POP</t>
        </is>
      </c>
      <c r="F1386" s="38" t="n">
        <v>86</v>
      </c>
    </row>
    <row r="1387" ht="15" customHeight="1" s="39">
      <c r="A1387" s="38" t="inlineStr">
        <is>
          <t>2021</t>
        </is>
      </c>
      <c r="B1387" s="42" t="inlineStr">
        <is>
          <t>431310</t>
        </is>
      </c>
      <c r="C1387" s="38" t="inlineStr">
        <is>
          <t>Y059</t>
        </is>
      </c>
      <c r="D1387" s="38" t="inlineStr">
        <is>
          <t>TOTAL</t>
        </is>
      </c>
      <c r="E1387" s="38" t="inlineStr">
        <is>
          <t>POP</t>
        </is>
      </c>
      <c r="F1387" s="38" t="n">
        <v>76</v>
      </c>
    </row>
    <row r="1388" ht="15" customHeight="1" s="39">
      <c r="A1388" s="38" t="inlineStr">
        <is>
          <t>2021</t>
        </is>
      </c>
      <c r="B1388" s="42" t="inlineStr">
        <is>
          <t>431310</t>
        </is>
      </c>
      <c r="C1388" s="38" t="inlineStr">
        <is>
          <t>Y060</t>
        </is>
      </c>
      <c r="D1388" s="38" t="inlineStr">
        <is>
          <t>TOTAL</t>
        </is>
      </c>
      <c r="E1388" s="38" t="inlineStr">
        <is>
          <t>POP</t>
        </is>
      </c>
      <c r="F1388" s="38" t="n">
        <v>98</v>
      </c>
    </row>
    <row r="1389" ht="15" customHeight="1" s="39">
      <c r="A1389" s="38" t="inlineStr">
        <is>
          <t>2021</t>
        </is>
      </c>
      <c r="B1389" s="42" t="inlineStr">
        <is>
          <t>431310</t>
        </is>
      </c>
      <c r="C1389" s="38" t="inlineStr">
        <is>
          <t>Y061</t>
        </is>
      </c>
      <c r="D1389" s="38" t="inlineStr">
        <is>
          <t>TOTAL</t>
        </is>
      </c>
      <c r="E1389" s="38" t="inlineStr">
        <is>
          <t>POP</t>
        </is>
      </c>
      <c r="F1389" s="38" t="n">
        <v>112</v>
      </c>
    </row>
    <row r="1390" ht="15" customHeight="1" s="39">
      <c r="A1390" s="38" t="inlineStr">
        <is>
          <t>2021</t>
        </is>
      </c>
      <c r="B1390" s="42" t="inlineStr">
        <is>
          <t>431310</t>
        </is>
      </c>
      <c r="C1390" s="38" t="inlineStr">
        <is>
          <t>Y062</t>
        </is>
      </c>
      <c r="D1390" s="38" t="inlineStr">
        <is>
          <t>TOTAL</t>
        </is>
      </c>
      <c r="E1390" s="38" t="inlineStr">
        <is>
          <t>POP</t>
        </is>
      </c>
      <c r="F1390" s="38" t="n">
        <v>103</v>
      </c>
    </row>
    <row r="1391" ht="15" customHeight="1" s="39">
      <c r="A1391" s="38" t="inlineStr">
        <is>
          <t>2021</t>
        </is>
      </c>
      <c r="B1391" s="42" t="inlineStr">
        <is>
          <t>431310</t>
        </is>
      </c>
      <c r="C1391" s="38" t="inlineStr">
        <is>
          <t>Y063</t>
        </is>
      </c>
      <c r="D1391" s="38" t="inlineStr">
        <is>
          <t>TOTAL</t>
        </is>
      </c>
      <c r="E1391" s="38" t="inlineStr">
        <is>
          <t>POP</t>
        </is>
      </c>
      <c r="F1391" s="38" t="n">
        <v>84</v>
      </c>
    </row>
    <row r="1392" ht="15" customHeight="1" s="39">
      <c r="A1392" s="38" t="inlineStr">
        <is>
          <t>2021</t>
        </is>
      </c>
      <c r="B1392" s="42" t="inlineStr">
        <is>
          <t>431310</t>
        </is>
      </c>
      <c r="C1392" s="38" t="inlineStr">
        <is>
          <t>Y064</t>
        </is>
      </c>
      <c r="D1392" s="38" t="inlineStr">
        <is>
          <t>TOTAL</t>
        </is>
      </c>
      <c r="E1392" s="38" t="inlineStr">
        <is>
          <t>POP</t>
        </is>
      </c>
      <c r="F1392" s="38" t="n">
        <v>77</v>
      </c>
    </row>
    <row r="1393" ht="15" customHeight="1" s="39">
      <c r="A1393" s="38" t="inlineStr">
        <is>
          <t>2021</t>
        </is>
      </c>
      <c r="B1393" s="42" t="inlineStr">
        <is>
          <t>431310</t>
        </is>
      </c>
      <c r="C1393" s="38" t="inlineStr">
        <is>
          <t>Y065</t>
        </is>
      </c>
      <c r="D1393" s="38" t="inlineStr">
        <is>
          <t>TOTAL</t>
        </is>
      </c>
      <c r="E1393" s="38" t="inlineStr">
        <is>
          <t>POP</t>
        </is>
      </c>
      <c r="F1393" s="38" t="n">
        <v>98</v>
      </c>
    </row>
    <row r="1394" ht="15" customHeight="1" s="39">
      <c r="A1394" s="38" t="inlineStr">
        <is>
          <t>2021</t>
        </is>
      </c>
      <c r="B1394" s="42" t="inlineStr">
        <is>
          <t>431310</t>
        </is>
      </c>
      <c r="C1394" s="38" t="inlineStr">
        <is>
          <t>Y066</t>
        </is>
      </c>
      <c r="D1394" s="38" t="inlineStr">
        <is>
          <t>TOTAL</t>
        </is>
      </c>
      <c r="E1394" s="38" t="inlineStr">
        <is>
          <t>POP</t>
        </is>
      </c>
      <c r="F1394" s="38" t="n">
        <v>82</v>
      </c>
    </row>
    <row r="1395" ht="15" customHeight="1" s="39">
      <c r="A1395" s="38" t="inlineStr">
        <is>
          <t>2021</t>
        </is>
      </c>
      <c r="B1395" s="42" t="inlineStr">
        <is>
          <t>431310</t>
        </is>
      </c>
      <c r="C1395" s="38" t="inlineStr">
        <is>
          <t>Y067</t>
        </is>
      </c>
      <c r="D1395" s="38" t="inlineStr">
        <is>
          <t>TOTAL</t>
        </is>
      </c>
      <c r="E1395" s="38" t="inlineStr">
        <is>
          <t>POP</t>
        </is>
      </c>
      <c r="F1395" s="38" t="n">
        <v>90</v>
      </c>
    </row>
    <row r="1396" ht="15" customHeight="1" s="39">
      <c r="A1396" s="38" t="inlineStr">
        <is>
          <t>2021</t>
        </is>
      </c>
      <c r="B1396" s="42" t="inlineStr">
        <is>
          <t>431310</t>
        </is>
      </c>
      <c r="C1396" s="38" t="inlineStr">
        <is>
          <t>Y068</t>
        </is>
      </c>
      <c r="D1396" s="38" t="inlineStr">
        <is>
          <t>TOTAL</t>
        </is>
      </c>
      <c r="E1396" s="38" t="inlineStr">
        <is>
          <t>POP</t>
        </is>
      </c>
      <c r="F1396" s="38" t="n">
        <v>84</v>
      </c>
    </row>
    <row r="1397" ht="15" customHeight="1" s="39">
      <c r="A1397" s="38" t="inlineStr">
        <is>
          <t>2021</t>
        </is>
      </c>
      <c r="B1397" s="42" t="inlineStr">
        <is>
          <t>431310</t>
        </is>
      </c>
      <c r="C1397" s="38" t="inlineStr">
        <is>
          <t>Y069</t>
        </is>
      </c>
      <c r="D1397" s="38" t="inlineStr">
        <is>
          <t>TOTAL</t>
        </is>
      </c>
      <c r="E1397" s="38" t="inlineStr">
        <is>
          <t>POP</t>
        </is>
      </c>
      <c r="F1397" s="38" t="n">
        <v>90</v>
      </c>
    </row>
    <row r="1398" ht="15" customHeight="1" s="39">
      <c r="A1398" s="38" t="inlineStr">
        <is>
          <t>2021</t>
        </is>
      </c>
      <c r="B1398" s="42" t="inlineStr">
        <is>
          <t>431310</t>
        </is>
      </c>
      <c r="C1398" s="38" t="inlineStr">
        <is>
          <t>Y070</t>
        </is>
      </c>
      <c r="D1398" s="38" t="inlineStr">
        <is>
          <t>TOTAL</t>
        </is>
      </c>
      <c r="E1398" s="38" t="inlineStr">
        <is>
          <t>POP</t>
        </is>
      </c>
      <c r="F1398" s="38" t="n">
        <v>91</v>
      </c>
    </row>
    <row r="1399" ht="15" customHeight="1" s="39">
      <c r="A1399" s="38" t="inlineStr">
        <is>
          <t>2021</t>
        </is>
      </c>
      <c r="B1399" s="42" t="inlineStr">
        <is>
          <t>431310</t>
        </is>
      </c>
      <c r="C1399" s="38" t="inlineStr">
        <is>
          <t>Y071</t>
        </is>
      </c>
      <c r="D1399" s="38" t="inlineStr">
        <is>
          <t>TOTAL</t>
        </is>
      </c>
      <c r="E1399" s="38" t="inlineStr">
        <is>
          <t>POP</t>
        </is>
      </c>
      <c r="F1399" s="38" t="n">
        <v>90</v>
      </c>
    </row>
    <row r="1400" ht="15" customHeight="1" s="39">
      <c r="A1400" s="38" t="inlineStr">
        <is>
          <t>2021</t>
        </is>
      </c>
      <c r="B1400" s="42" t="inlineStr">
        <is>
          <t>431310</t>
        </is>
      </c>
      <c r="C1400" s="38" t="inlineStr">
        <is>
          <t>Y072</t>
        </is>
      </c>
      <c r="D1400" s="38" t="inlineStr">
        <is>
          <t>TOTAL</t>
        </is>
      </c>
      <c r="E1400" s="38" t="inlineStr">
        <is>
          <t>POP</t>
        </is>
      </c>
      <c r="F1400" s="38" t="n">
        <v>81</v>
      </c>
    </row>
    <row r="1401" ht="15" customHeight="1" s="39">
      <c r="A1401" s="38" t="inlineStr">
        <is>
          <t>2021</t>
        </is>
      </c>
      <c r="B1401" s="42" t="inlineStr">
        <is>
          <t>431310</t>
        </is>
      </c>
      <c r="C1401" s="38" t="inlineStr">
        <is>
          <t>Y073</t>
        </is>
      </c>
      <c r="D1401" s="38" t="inlineStr">
        <is>
          <t>TOTAL</t>
        </is>
      </c>
      <c r="E1401" s="38" t="inlineStr">
        <is>
          <t>POP</t>
        </is>
      </c>
      <c r="F1401" s="38" t="n">
        <v>86</v>
      </c>
    </row>
    <row r="1402" ht="15" customHeight="1" s="39">
      <c r="A1402" s="38" t="inlineStr">
        <is>
          <t>2021</t>
        </is>
      </c>
      <c r="B1402" s="42" t="inlineStr">
        <is>
          <t>431310</t>
        </is>
      </c>
      <c r="C1402" s="38" t="inlineStr">
        <is>
          <t>Y074</t>
        </is>
      </c>
      <c r="D1402" s="38" t="inlineStr">
        <is>
          <t>TOTAL</t>
        </is>
      </c>
      <c r="E1402" s="38" t="inlineStr">
        <is>
          <t>POP</t>
        </is>
      </c>
      <c r="F1402" s="38" t="n">
        <v>79</v>
      </c>
    </row>
    <row r="1403" ht="15" customHeight="1" s="39">
      <c r="A1403" s="38" t="inlineStr">
        <is>
          <t>2021</t>
        </is>
      </c>
      <c r="B1403" s="42" t="inlineStr">
        <is>
          <t>431310</t>
        </is>
      </c>
      <c r="C1403" s="38" t="inlineStr">
        <is>
          <t>Y075</t>
        </is>
      </c>
      <c r="D1403" s="38" t="inlineStr">
        <is>
          <t>TOTAL</t>
        </is>
      </c>
      <c r="E1403" s="38" t="inlineStr">
        <is>
          <t>POP</t>
        </is>
      </c>
      <c r="F1403" s="38" t="n">
        <v>58</v>
      </c>
    </row>
    <row r="1404" ht="15" customHeight="1" s="39">
      <c r="A1404" s="38" t="inlineStr">
        <is>
          <t>2021</t>
        </is>
      </c>
      <c r="B1404" s="42" t="inlineStr">
        <is>
          <t>431310</t>
        </is>
      </c>
      <c r="C1404" s="38" t="inlineStr">
        <is>
          <t>Y076</t>
        </is>
      </c>
      <c r="D1404" s="38" t="inlineStr">
        <is>
          <t>TOTAL</t>
        </is>
      </c>
      <c r="E1404" s="38" t="inlineStr">
        <is>
          <t>POP</t>
        </is>
      </c>
      <c r="F1404" s="38" t="n">
        <v>75</v>
      </c>
    </row>
    <row r="1405" ht="15" customHeight="1" s="39">
      <c r="A1405" s="38" t="inlineStr">
        <is>
          <t>2021</t>
        </is>
      </c>
      <c r="B1405" s="42" t="inlineStr">
        <is>
          <t>431310</t>
        </is>
      </c>
      <c r="C1405" s="38" t="inlineStr">
        <is>
          <t>Y077</t>
        </is>
      </c>
      <c r="D1405" s="38" t="inlineStr">
        <is>
          <t>TOTAL</t>
        </is>
      </c>
      <c r="E1405" s="38" t="inlineStr">
        <is>
          <t>POP</t>
        </is>
      </c>
      <c r="F1405" s="38" t="n">
        <v>69</v>
      </c>
    </row>
    <row r="1406" ht="15" customHeight="1" s="39">
      <c r="A1406" s="38" t="inlineStr">
        <is>
          <t>2021</t>
        </is>
      </c>
      <c r="B1406" s="42" t="inlineStr">
        <is>
          <t>431310</t>
        </is>
      </c>
      <c r="C1406" s="38" t="inlineStr">
        <is>
          <t>Y078</t>
        </is>
      </c>
      <c r="D1406" s="38" t="inlineStr">
        <is>
          <t>TOTAL</t>
        </is>
      </c>
      <c r="E1406" s="38" t="inlineStr">
        <is>
          <t>POP</t>
        </is>
      </c>
      <c r="F1406" s="38" t="n">
        <v>31</v>
      </c>
    </row>
    <row r="1407" ht="15" customHeight="1" s="39">
      <c r="A1407" s="38" t="inlineStr">
        <is>
          <t>2021</t>
        </is>
      </c>
      <c r="B1407" s="42" t="inlineStr">
        <is>
          <t>431310</t>
        </is>
      </c>
      <c r="C1407" s="38" t="inlineStr">
        <is>
          <t>Y079</t>
        </is>
      </c>
      <c r="D1407" s="38" t="inlineStr">
        <is>
          <t>TOTAL</t>
        </is>
      </c>
      <c r="E1407" s="38" t="inlineStr">
        <is>
          <t>POP</t>
        </is>
      </c>
      <c r="F1407" s="38" t="n">
        <v>36</v>
      </c>
    </row>
    <row r="1408" ht="15" customHeight="1" s="39">
      <c r="A1408" s="38" t="inlineStr">
        <is>
          <t>2021</t>
        </is>
      </c>
      <c r="B1408" s="42" t="inlineStr">
        <is>
          <t>431310</t>
        </is>
      </c>
      <c r="C1408" s="38" t="inlineStr">
        <is>
          <t>Y080</t>
        </is>
      </c>
      <c r="D1408" s="38" t="inlineStr">
        <is>
          <t>TOTAL</t>
        </is>
      </c>
      <c r="E1408" s="38" t="inlineStr">
        <is>
          <t>POP</t>
        </is>
      </c>
      <c r="F1408" s="38" t="n">
        <v>61</v>
      </c>
    </row>
    <row r="1409" ht="15" customHeight="1" s="39">
      <c r="A1409" s="38" t="inlineStr">
        <is>
          <t>2021</t>
        </is>
      </c>
      <c r="B1409" s="42" t="inlineStr">
        <is>
          <t>431310</t>
        </is>
      </c>
      <c r="C1409" s="38" t="inlineStr">
        <is>
          <t>Y081</t>
        </is>
      </c>
      <c r="D1409" s="38" t="inlineStr">
        <is>
          <t>TOTAL</t>
        </is>
      </c>
      <c r="E1409" s="38" t="inlineStr">
        <is>
          <t>POP</t>
        </is>
      </c>
      <c r="F1409" s="38" t="n">
        <v>35</v>
      </c>
    </row>
    <row r="1410" ht="15" customHeight="1" s="39">
      <c r="A1410" s="38" t="inlineStr">
        <is>
          <t>2021</t>
        </is>
      </c>
      <c r="B1410" s="42" t="inlineStr">
        <is>
          <t>431310</t>
        </is>
      </c>
      <c r="C1410" s="38" t="inlineStr">
        <is>
          <t>Y082</t>
        </is>
      </c>
      <c r="D1410" s="38" t="inlineStr">
        <is>
          <t>TOTAL</t>
        </is>
      </c>
      <c r="E1410" s="38" t="inlineStr">
        <is>
          <t>POP</t>
        </is>
      </c>
      <c r="F1410" s="38" t="n">
        <v>26</v>
      </c>
    </row>
    <row r="1411" ht="15" customHeight="1" s="39">
      <c r="A1411" s="38" t="inlineStr">
        <is>
          <t>2021</t>
        </is>
      </c>
      <c r="B1411" s="42" t="inlineStr">
        <is>
          <t>431310</t>
        </is>
      </c>
      <c r="C1411" s="38" t="inlineStr">
        <is>
          <t>Y083</t>
        </is>
      </c>
      <c r="D1411" s="38" t="inlineStr">
        <is>
          <t>TOTAL</t>
        </is>
      </c>
      <c r="E1411" s="38" t="inlineStr">
        <is>
          <t>POP</t>
        </is>
      </c>
      <c r="F1411" s="38" t="n">
        <v>33</v>
      </c>
    </row>
    <row r="1412" ht="15" customHeight="1" s="39">
      <c r="A1412" s="38" t="inlineStr">
        <is>
          <t>2021</t>
        </is>
      </c>
      <c r="B1412" s="42" t="inlineStr">
        <is>
          <t>431310</t>
        </is>
      </c>
      <c r="C1412" s="38" t="inlineStr">
        <is>
          <t>Y084</t>
        </is>
      </c>
      <c r="D1412" s="38" t="inlineStr">
        <is>
          <t>TOTAL</t>
        </is>
      </c>
      <c r="E1412" s="38" t="inlineStr">
        <is>
          <t>POP</t>
        </is>
      </c>
      <c r="F1412" s="38" t="n">
        <v>32</v>
      </c>
    </row>
    <row r="1413" ht="15" customHeight="1" s="39">
      <c r="A1413" s="38" t="inlineStr">
        <is>
          <t>2021</t>
        </is>
      </c>
      <c r="B1413" s="42" t="inlineStr">
        <is>
          <t>431310</t>
        </is>
      </c>
      <c r="C1413" s="38" t="inlineStr">
        <is>
          <t>Y085</t>
        </is>
      </c>
      <c r="D1413" s="38" t="inlineStr">
        <is>
          <t>TOTAL</t>
        </is>
      </c>
      <c r="E1413" s="38" t="inlineStr">
        <is>
          <t>POP</t>
        </is>
      </c>
      <c r="F1413" s="38" t="n">
        <v>38</v>
      </c>
    </row>
    <row r="1414" ht="15" customHeight="1" s="39">
      <c r="A1414" s="38" t="inlineStr">
        <is>
          <t>2021</t>
        </is>
      </c>
      <c r="B1414" s="42" t="inlineStr">
        <is>
          <t>431310</t>
        </is>
      </c>
      <c r="C1414" s="38" t="inlineStr">
        <is>
          <t>Y086</t>
        </is>
      </c>
      <c r="D1414" s="38" t="inlineStr">
        <is>
          <t>TOTAL</t>
        </is>
      </c>
      <c r="E1414" s="38" t="inlineStr">
        <is>
          <t>POP</t>
        </is>
      </c>
      <c r="F1414" s="38" t="n">
        <v>23</v>
      </c>
    </row>
    <row r="1415" ht="15" customHeight="1" s="39">
      <c r="A1415" s="38" t="inlineStr">
        <is>
          <t>2021</t>
        </is>
      </c>
      <c r="B1415" s="42" t="inlineStr">
        <is>
          <t>431310</t>
        </is>
      </c>
      <c r="C1415" s="38" t="inlineStr">
        <is>
          <t>Y087</t>
        </is>
      </c>
      <c r="D1415" s="38" t="inlineStr">
        <is>
          <t>TOTAL</t>
        </is>
      </c>
      <c r="E1415" s="38" t="inlineStr">
        <is>
          <t>POP</t>
        </is>
      </c>
      <c r="F1415" s="38" t="n">
        <v>30</v>
      </c>
    </row>
    <row r="1416" ht="15" customHeight="1" s="39">
      <c r="A1416" s="38" t="inlineStr">
        <is>
          <t>2021</t>
        </is>
      </c>
      <c r="B1416" s="42" t="inlineStr">
        <is>
          <t>431310</t>
        </is>
      </c>
      <c r="C1416" s="38" t="inlineStr">
        <is>
          <t>Y088</t>
        </is>
      </c>
      <c r="D1416" s="38" t="inlineStr">
        <is>
          <t>TOTAL</t>
        </is>
      </c>
      <c r="E1416" s="38" t="inlineStr">
        <is>
          <t>POP</t>
        </is>
      </c>
      <c r="F1416" s="38" t="n">
        <v>25</v>
      </c>
    </row>
    <row r="1417" ht="15" customHeight="1" s="39">
      <c r="A1417" s="38" t="inlineStr">
        <is>
          <t>2021</t>
        </is>
      </c>
      <c r="B1417" s="42" t="inlineStr">
        <is>
          <t>431310</t>
        </is>
      </c>
      <c r="C1417" s="38" t="inlineStr">
        <is>
          <t>Y089</t>
        </is>
      </c>
      <c r="D1417" s="38" t="inlineStr">
        <is>
          <t>TOTAL</t>
        </is>
      </c>
      <c r="E1417" s="38" t="inlineStr">
        <is>
          <t>POP</t>
        </is>
      </c>
      <c r="F1417" s="38" t="n">
        <v>24</v>
      </c>
    </row>
    <row r="1418" ht="15" customHeight="1" s="39">
      <c r="A1418" s="38" t="inlineStr">
        <is>
          <t>2021</t>
        </is>
      </c>
      <c r="B1418" s="42" t="inlineStr">
        <is>
          <t>431310</t>
        </is>
      </c>
      <c r="C1418" s="38" t="inlineStr">
        <is>
          <t>Y090</t>
        </is>
      </c>
      <c r="D1418" s="38" t="inlineStr">
        <is>
          <t>TOTAL</t>
        </is>
      </c>
      <c r="E1418" s="38" t="inlineStr">
        <is>
          <t>POP</t>
        </is>
      </c>
      <c r="F1418" s="38" t="n">
        <v>24</v>
      </c>
    </row>
    <row r="1419" ht="15" customHeight="1" s="39">
      <c r="A1419" s="38" t="inlineStr">
        <is>
          <t>2021</t>
        </is>
      </c>
      <c r="B1419" s="42" t="inlineStr">
        <is>
          <t>431310</t>
        </is>
      </c>
      <c r="C1419" s="38" t="inlineStr">
        <is>
          <t>Y091</t>
        </is>
      </c>
      <c r="D1419" s="38" t="inlineStr">
        <is>
          <t>TOTAL</t>
        </is>
      </c>
      <c r="E1419" s="38" t="inlineStr">
        <is>
          <t>POP</t>
        </is>
      </c>
      <c r="F1419" s="38" t="n">
        <v>9</v>
      </c>
    </row>
    <row r="1420" ht="15" customHeight="1" s="39">
      <c r="A1420" s="38" t="inlineStr">
        <is>
          <t>2021</t>
        </is>
      </c>
      <c r="B1420" s="42" t="inlineStr">
        <is>
          <t>431310</t>
        </is>
      </c>
      <c r="C1420" s="38" t="inlineStr">
        <is>
          <t>Y092</t>
        </is>
      </c>
      <c r="D1420" s="38" t="inlineStr">
        <is>
          <t>TOTAL</t>
        </is>
      </c>
      <c r="E1420" s="38" t="inlineStr">
        <is>
          <t>POP</t>
        </is>
      </c>
      <c r="F1420" s="38" t="n">
        <v>12</v>
      </c>
    </row>
    <row r="1421" ht="15" customHeight="1" s="39">
      <c r="A1421" s="38" t="inlineStr">
        <is>
          <t>2021</t>
        </is>
      </c>
      <c r="B1421" s="42" t="inlineStr">
        <is>
          <t>431310</t>
        </is>
      </c>
      <c r="C1421" s="38" t="inlineStr">
        <is>
          <t>Y093</t>
        </is>
      </c>
      <c r="D1421" s="38" t="inlineStr">
        <is>
          <t>TOTAL</t>
        </is>
      </c>
      <c r="E1421" s="38" t="inlineStr">
        <is>
          <t>POP</t>
        </is>
      </c>
      <c r="F1421" s="38" t="n">
        <v>2</v>
      </c>
    </row>
    <row r="1422" ht="15" customHeight="1" s="39">
      <c r="A1422" s="38" t="inlineStr">
        <is>
          <t>2021</t>
        </is>
      </c>
      <c r="B1422" s="42" t="inlineStr">
        <is>
          <t>431310</t>
        </is>
      </c>
      <c r="C1422" s="38" t="inlineStr">
        <is>
          <t>Y094</t>
        </is>
      </c>
      <c r="D1422" s="38" t="inlineStr">
        <is>
          <t>TOTAL</t>
        </is>
      </c>
      <c r="E1422" s="38" t="inlineStr">
        <is>
          <t>POP</t>
        </is>
      </c>
      <c r="F1422" s="38" t="n">
        <v>11</v>
      </c>
    </row>
    <row r="1423" ht="15" customHeight="1" s="39">
      <c r="A1423" s="38" t="inlineStr">
        <is>
          <t>2021</t>
        </is>
      </c>
      <c r="B1423" s="42" t="inlineStr">
        <is>
          <t>431310</t>
        </is>
      </c>
      <c r="C1423" s="38" t="inlineStr">
        <is>
          <t>Y095</t>
        </is>
      </c>
      <c r="D1423" s="38" t="inlineStr">
        <is>
          <t>TOTAL</t>
        </is>
      </c>
      <c r="E1423" s="38" t="inlineStr">
        <is>
          <t>POP</t>
        </is>
      </c>
      <c r="F1423" s="38" t="n">
        <v>5</v>
      </c>
    </row>
    <row r="1424" ht="15" customHeight="1" s="39">
      <c r="A1424" s="38" t="inlineStr">
        <is>
          <t>2021</t>
        </is>
      </c>
      <c r="B1424" s="42" t="inlineStr">
        <is>
          <t>431310</t>
        </is>
      </c>
      <c r="C1424" s="38" t="inlineStr">
        <is>
          <t>Y096</t>
        </is>
      </c>
      <c r="D1424" s="38" t="inlineStr">
        <is>
          <t>TOTAL</t>
        </is>
      </c>
      <c r="E1424" s="38" t="inlineStr">
        <is>
          <t>POP</t>
        </is>
      </c>
      <c r="F1424" s="38" t="n">
        <v>2</v>
      </c>
    </row>
    <row r="1425" ht="15" customHeight="1" s="39">
      <c r="A1425" s="38" t="inlineStr">
        <is>
          <t>2021</t>
        </is>
      </c>
      <c r="B1425" s="42" t="inlineStr">
        <is>
          <t>431310</t>
        </is>
      </c>
      <c r="C1425" s="38" t="inlineStr">
        <is>
          <t>Y097</t>
        </is>
      </c>
      <c r="D1425" s="38" t="inlineStr">
        <is>
          <t>TOTAL</t>
        </is>
      </c>
      <c r="E1425" s="38" t="inlineStr">
        <is>
          <t>POP</t>
        </is>
      </c>
      <c r="F1425" s="38" t="n">
        <v>3</v>
      </c>
    </row>
    <row r="1426" ht="15" customHeight="1" s="39">
      <c r="A1426" s="38" t="inlineStr">
        <is>
          <t>2021</t>
        </is>
      </c>
      <c r="B1426" s="42" t="inlineStr">
        <is>
          <t>431310</t>
        </is>
      </c>
      <c r="C1426" s="38" t="inlineStr">
        <is>
          <t>Y098</t>
        </is>
      </c>
      <c r="D1426" s="38" t="inlineStr">
        <is>
          <t>TOTAL</t>
        </is>
      </c>
      <c r="E1426" s="38" t="inlineStr">
        <is>
          <t>POP</t>
        </is>
      </c>
      <c r="F1426" s="38" t="n">
        <v>1</v>
      </c>
    </row>
    <row r="1427" ht="15" customHeight="1" s="39">
      <c r="A1427" s="38" t="inlineStr">
        <is>
          <t>2021</t>
        </is>
      </c>
      <c r="B1427" s="42" t="inlineStr">
        <is>
          <t>431310</t>
        </is>
      </c>
      <c r="C1427" s="38" t="inlineStr">
        <is>
          <t>Y099</t>
        </is>
      </c>
      <c r="D1427" s="38" t="inlineStr">
        <is>
          <t>TOTAL</t>
        </is>
      </c>
      <c r="E1427" s="38" t="inlineStr">
        <is>
          <t>POP</t>
        </is>
      </c>
      <c r="F1427" s="38" t="n">
        <v>1</v>
      </c>
    </row>
    <row r="1428" ht="15" customHeight="1" s="39">
      <c r="A1428" s="38" t="inlineStr">
        <is>
          <t>2021</t>
        </is>
      </c>
      <c r="B1428" s="42" t="inlineStr">
        <is>
          <t>431310</t>
        </is>
      </c>
      <c r="C1428" s="38" t="inlineStr">
        <is>
          <t>Y_GE100</t>
        </is>
      </c>
      <c r="D1428" s="38" t="inlineStr">
        <is>
          <t>TOTAL</t>
        </is>
      </c>
      <c r="E1428" s="38" t="inlineStr">
        <is>
          <t>POP</t>
        </is>
      </c>
      <c r="F1428" s="38" t="n">
        <v>4</v>
      </c>
    </row>
    <row r="1429" ht="15" customHeight="1" s="39">
      <c r="A1429" s="38" t="inlineStr">
        <is>
          <t>2021</t>
        </is>
      </c>
      <c r="B1429" s="42" t="inlineStr">
        <is>
          <t>431310</t>
        </is>
      </c>
      <c r="C1429" s="38" t="inlineStr">
        <is>
          <t>TOTAL</t>
        </is>
      </c>
      <c r="D1429" s="38" t="inlineStr">
        <is>
          <t>TOTAL</t>
        </is>
      </c>
      <c r="E1429" s="38" t="inlineStr">
        <is>
          <t>POP</t>
        </is>
      </c>
      <c r="F1429" s="38" t="n">
        <v>7154</v>
      </c>
    </row>
    <row r="1430" ht="15" customHeight="1" s="39">
      <c r="A1430" s="38" t="inlineStr">
        <is>
          <t>2021</t>
        </is>
      </c>
      <c r="B1430" s="42" t="inlineStr">
        <is>
          <t>431359</t>
        </is>
      </c>
      <c r="C1430" s="38" t="inlineStr">
        <is>
          <t>Y000</t>
        </is>
      </c>
      <c r="D1430" s="38" t="inlineStr">
        <is>
          <t>TOTAL</t>
        </is>
      </c>
      <c r="E1430" s="38" t="inlineStr">
        <is>
          <t>POP</t>
        </is>
      </c>
      <c r="F1430" s="38" t="n">
        <v>4</v>
      </c>
    </row>
    <row r="1431" ht="15" customHeight="1" s="39">
      <c r="A1431" s="38" t="inlineStr">
        <is>
          <t>2021</t>
        </is>
      </c>
      <c r="B1431" s="42" t="inlineStr">
        <is>
          <t>431359</t>
        </is>
      </c>
      <c r="C1431" s="38" t="inlineStr">
        <is>
          <t>Y001</t>
        </is>
      </c>
      <c r="D1431" s="38" t="inlineStr">
        <is>
          <t>TOTAL</t>
        </is>
      </c>
      <c r="E1431" s="38" t="inlineStr">
        <is>
          <t>POP</t>
        </is>
      </c>
      <c r="F1431" s="38" t="n">
        <v>3</v>
      </c>
    </row>
    <row r="1432" ht="15" customHeight="1" s="39">
      <c r="A1432" s="38" t="inlineStr">
        <is>
          <t>2021</t>
        </is>
      </c>
      <c r="B1432" s="42" t="inlineStr">
        <is>
          <t>431359</t>
        </is>
      </c>
      <c r="C1432" s="38" t="inlineStr">
        <is>
          <t>Y002</t>
        </is>
      </c>
      <c r="D1432" s="38" t="inlineStr">
        <is>
          <t>TOTAL</t>
        </is>
      </c>
      <c r="E1432" s="38" t="inlineStr">
        <is>
          <t>POP</t>
        </is>
      </c>
      <c r="F1432" s="38" t="n">
        <v>7</v>
      </c>
    </row>
    <row r="1433" ht="15" customHeight="1" s="39">
      <c r="A1433" s="38" t="inlineStr">
        <is>
          <t>2021</t>
        </is>
      </c>
      <c r="B1433" s="42" t="inlineStr">
        <is>
          <t>431359</t>
        </is>
      </c>
      <c r="C1433" s="38" t="inlineStr">
        <is>
          <t>Y003</t>
        </is>
      </c>
      <c r="D1433" s="38" t="inlineStr">
        <is>
          <t>TOTAL</t>
        </is>
      </c>
      <c r="E1433" s="38" t="inlineStr">
        <is>
          <t>POP</t>
        </is>
      </c>
      <c r="F1433" s="38" t="n">
        <v>3</v>
      </c>
    </row>
    <row r="1434" ht="15" customHeight="1" s="39">
      <c r="A1434" s="38" t="inlineStr">
        <is>
          <t>2021</t>
        </is>
      </c>
      <c r="B1434" s="42" t="inlineStr">
        <is>
          <t>431359</t>
        </is>
      </c>
      <c r="C1434" s="38" t="inlineStr">
        <is>
          <t>Y004</t>
        </is>
      </c>
      <c r="D1434" s="38" t="inlineStr">
        <is>
          <t>TOTAL</t>
        </is>
      </c>
      <c r="E1434" s="38" t="inlineStr">
        <is>
          <t>POP</t>
        </is>
      </c>
      <c r="F1434" s="38" t="n">
        <v>11</v>
      </c>
    </row>
    <row r="1435" ht="15" customHeight="1" s="39">
      <c r="A1435" s="38" t="inlineStr">
        <is>
          <t>2021</t>
        </is>
      </c>
      <c r="B1435" s="42" t="inlineStr">
        <is>
          <t>431359</t>
        </is>
      </c>
      <c r="C1435" s="38" t="inlineStr">
        <is>
          <t>Y005</t>
        </is>
      </c>
      <c r="D1435" s="38" t="inlineStr">
        <is>
          <t>TOTAL</t>
        </is>
      </c>
      <c r="E1435" s="38" t="inlineStr">
        <is>
          <t>POP</t>
        </is>
      </c>
      <c r="F1435" s="38" t="n">
        <v>8</v>
      </c>
    </row>
    <row r="1436" ht="15" customHeight="1" s="39">
      <c r="A1436" s="38" t="inlineStr">
        <is>
          <t>2021</t>
        </is>
      </c>
      <c r="B1436" s="42" t="inlineStr">
        <is>
          <t>431359</t>
        </is>
      </c>
      <c r="C1436" s="38" t="inlineStr">
        <is>
          <t>Y006</t>
        </is>
      </c>
      <c r="D1436" s="38" t="inlineStr">
        <is>
          <t>TOTAL</t>
        </is>
      </c>
      <c r="E1436" s="38" t="inlineStr">
        <is>
          <t>POP</t>
        </is>
      </c>
      <c r="F1436" s="38" t="n">
        <v>5</v>
      </c>
    </row>
    <row r="1437" ht="15" customHeight="1" s="39">
      <c r="A1437" s="38" t="inlineStr">
        <is>
          <t>2021</t>
        </is>
      </c>
      <c r="B1437" s="42" t="inlineStr">
        <is>
          <t>431359</t>
        </is>
      </c>
      <c r="C1437" s="38" t="inlineStr">
        <is>
          <t>Y007</t>
        </is>
      </c>
      <c r="D1437" s="38" t="inlineStr">
        <is>
          <t>TOTAL</t>
        </is>
      </c>
      <c r="E1437" s="38" t="inlineStr">
        <is>
          <t>POP</t>
        </is>
      </c>
      <c r="F1437" s="38" t="n">
        <v>7</v>
      </c>
    </row>
    <row r="1438" ht="15" customHeight="1" s="39">
      <c r="A1438" s="38" t="inlineStr">
        <is>
          <t>2021</t>
        </is>
      </c>
      <c r="B1438" s="42" t="inlineStr">
        <is>
          <t>431359</t>
        </is>
      </c>
      <c r="C1438" s="38" t="inlineStr">
        <is>
          <t>Y008</t>
        </is>
      </c>
      <c r="D1438" s="38" t="inlineStr">
        <is>
          <t>TOTAL</t>
        </is>
      </c>
      <c r="E1438" s="38" t="inlineStr">
        <is>
          <t>POP</t>
        </is>
      </c>
      <c r="F1438" s="38" t="n">
        <v>4</v>
      </c>
    </row>
    <row r="1439" ht="15" customHeight="1" s="39">
      <c r="A1439" s="38" t="inlineStr">
        <is>
          <t>2021</t>
        </is>
      </c>
      <c r="B1439" s="42" t="inlineStr">
        <is>
          <t>431359</t>
        </is>
      </c>
      <c r="C1439" s="38" t="inlineStr">
        <is>
          <t>Y009</t>
        </is>
      </c>
      <c r="D1439" s="38" t="inlineStr">
        <is>
          <t>TOTAL</t>
        </is>
      </c>
      <c r="E1439" s="38" t="inlineStr">
        <is>
          <t>POP</t>
        </is>
      </c>
      <c r="F1439" s="38" t="n">
        <v>3</v>
      </c>
    </row>
    <row r="1440" ht="15" customHeight="1" s="39">
      <c r="A1440" s="38" t="inlineStr">
        <is>
          <t>2021</t>
        </is>
      </c>
      <c r="B1440" s="42" t="inlineStr">
        <is>
          <t>431359</t>
        </is>
      </c>
      <c r="C1440" s="38" t="inlineStr">
        <is>
          <t>Y010</t>
        </is>
      </c>
      <c r="D1440" s="38" t="inlineStr">
        <is>
          <t>TOTAL</t>
        </is>
      </c>
      <c r="E1440" s="38" t="inlineStr">
        <is>
          <t>POP</t>
        </is>
      </c>
      <c r="F1440" s="38" t="n">
        <v>5</v>
      </c>
    </row>
    <row r="1441" ht="15" customHeight="1" s="39">
      <c r="A1441" s="38" t="inlineStr">
        <is>
          <t>2021</t>
        </is>
      </c>
      <c r="B1441" s="42" t="inlineStr">
        <is>
          <t>431359</t>
        </is>
      </c>
      <c r="C1441" s="38" t="inlineStr">
        <is>
          <t>Y011</t>
        </is>
      </c>
      <c r="D1441" s="38" t="inlineStr">
        <is>
          <t>TOTAL</t>
        </is>
      </c>
      <c r="E1441" s="38" t="inlineStr">
        <is>
          <t>POP</t>
        </is>
      </c>
      <c r="F1441" s="38" t="n">
        <v>8</v>
      </c>
    </row>
    <row r="1442" ht="15" customHeight="1" s="39">
      <c r="A1442" s="38" t="inlineStr">
        <is>
          <t>2021</t>
        </is>
      </c>
      <c r="B1442" s="42" t="inlineStr">
        <is>
          <t>431359</t>
        </is>
      </c>
      <c r="C1442" s="38" t="inlineStr">
        <is>
          <t>Y012</t>
        </is>
      </c>
      <c r="D1442" s="38" t="inlineStr">
        <is>
          <t>TOTAL</t>
        </is>
      </c>
      <c r="E1442" s="38" t="inlineStr">
        <is>
          <t>POP</t>
        </is>
      </c>
      <c r="F1442" s="38" t="n">
        <v>8</v>
      </c>
    </row>
    <row r="1443" ht="15" customHeight="1" s="39">
      <c r="A1443" s="38" t="inlineStr">
        <is>
          <t>2021</t>
        </is>
      </c>
      <c r="B1443" s="42" t="inlineStr">
        <is>
          <t>431359</t>
        </is>
      </c>
      <c r="C1443" s="38" t="inlineStr">
        <is>
          <t>Y013</t>
        </is>
      </c>
      <c r="D1443" s="38" t="inlineStr">
        <is>
          <t>TOTAL</t>
        </is>
      </c>
      <c r="E1443" s="38" t="inlineStr">
        <is>
          <t>POP</t>
        </is>
      </c>
      <c r="F1443" s="38" t="n">
        <v>7</v>
      </c>
    </row>
    <row r="1444" ht="15" customHeight="1" s="39">
      <c r="A1444" s="38" t="inlineStr">
        <is>
          <t>2021</t>
        </is>
      </c>
      <c r="B1444" s="42" t="inlineStr">
        <is>
          <t>431359</t>
        </is>
      </c>
      <c r="C1444" s="38" t="inlineStr">
        <is>
          <t>Y014</t>
        </is>
      </c>
      <c r="D1444" s="38" t="inlineStr">
        <is>
          <t>TOTAL</t>
        </is>
      </c>
      <c r="E1444" s="38" t="inlineStr">
        <is>
          <t>POP</t>
        </is>
      </c>
      <c r="F1444" s="38" t="n">
        <v>6</v>
      </c>
    </row>
    <row r="1445" ht="15" customHeight="1" s="39">
      <c r="A1445" s="38" t="inlineStr">
        <is>
          <t>2021</t>
        </is>
      </c>
      <c r="B1445" s="42" t="inlineStr">
        <is>
          <t>431359</t>
        </is>
      </c>
      <c r="C1445" s="38" t="inlineStr">
        <is>
          <t>Y015</t>
        </is>
      </c>
      <c r="D1445" s="38" t="inlineStr">
        <is>
          <t>TOTAL</t>
        </is>
      </c>
      <c r="E1445" s="38" t="inlineStr">
        <is>
          <t>POP</t>
        </is>
      </c>
      <c r="F1445" s="38" t="n">
        <v>6</v>
      </c>
    </row>
    <row r="1446" ht="15" customHeight="1" s="39">
      <c r="A1446" s="38" t="inlineStr">
        <is>
          <t>2021</t>
        </is>
      </c>
      <c r="B1446" s="42" t="inlineStr">
        <is>
          <t>431359</t>
        </is>
      </c>
      <c r="C1446" s="38" t="inlineStr">
        <is>
          <t>Y016</t>
        </is>
      </c>
      <c r="D1446" s="38" t="inlineStr">
        <is>
          <t>TOTAL</t>
        </is>
      </c>
      <c r="E1446" s="38" t="inlineStr">
        <is>
          <t>POP</t>
        </is>
      </c>
      <c r="F1446" s="38" t="n">
        <v>6</v>
      </c>
    </row>
    <row r="1447" ht="15" customHeight="1" s="39">
      <c r="A1447" s="38" t="inlineStr">
        <is>
          <t>2021</t>
        </is>
      </c>
      <c r="B1447" s="42" t="inlineStr">
        <is>
          <t>431359</t>
        </is>
      </c>
      <c r="C1447" s="38" t="inlineStr">
        <is>
          <t>Y017</t>
        </is>
      </c>
      <c r="D1447" s="38" t="inlineStr">
        <is>
          <t>TOTAL</t>
        </is>
      </c>
      <c r="E1447" s="38" t="inlineStr">
        <is>
          <t>POP</t>
        </is>
      </c>
      <c r="F1447" s="38" t="n">
        <v>9</v>
      </c>
    </row>
    <row r="1448" ht="15" customHeight="1" s="39">
      <c r="A1448" s="38" t="inlineStr">
        <is>
          <t>2021</t>
        </is>
      </c>
      <c r="B1448" s="42" t="inlineStr">
        <is>
          <t>431359</t>
        </is>
      </c>
      <c r="C1448" s="38" t="inlineStr">
        <is>
          <t>Y018</t>
        </is>
      </c>
      <c r="D1448" s="38" t="inlineStr">
        <is>
          <t>TOTAL</t>
        </is>
      </c>
      <c r="E1448" s="38" t="inlineStr">
        <is>
          <t>POP</t>
        </is>
      </c>
      <c r="F1448" s="38" t="n">
        <v>7</v>
      </c>
    </row>
    <row r="1449" ht="15" customHeight="1" s="39">
      <c r="A1449" s="38" t="inlineStr">
        <is>
          <t>2021</t>
        </is>
      </c>
      <c r="B1449" s="42" t="inlineStr">
        <is>
          <t>431359</t>
        </is>
      </c>
      <c r="C1449" s="38" t="inlineStr">
        <is>
          <t>Y019</t>
        </is>
      </c>
      <c r="D1449" s="38" t="inlineStr">
        <is>
          <t>TOTAL</t>
        </is>
      </c>
      <c r="E1449" s="38" t="inlineStr">
        <is>
          <t>POP</t>
        </is>
      </c>
      <c r="F1449" s="38" t="n">
        <v>7</v>
      </c>
    </row>
    <row r="1450" ht="15" customHeight="1" s="39">
      <c r="A1450" s="38" t="inlineStr">
        <is>
          <t>2021</t>
        </is>
      </c>
      <c r="B1450" s="42" t="inlineStr">
        <is>
          <t>431359</t>
        </is>
      </c>
      <c r="C1450" s="38" t="inlineStr">
        <is>
          <t>Y020</t>
        </is>
      </c>
      <c r="D1450" s="38" t="inlineStr">
        <is>
          <t>TOTAL</t>
        </is>
      </c>
      <c r="E1450" s="38" t="inlineStr">
        <is>
          <t>POP</t>
        </is>
      </c>
      <c r="F1450" s="38" t="n">
        <v>4</v>
      </c>
    </row>
    <row r="1451" ht="15" customHeight="1" s="39">
      <c r="A1451" s="38" t="inlineStr">
        <is>
          <t>2021</t>
        </is>
      </c>
      <c r="B1451" s="42" t="inlineStr">
        <is>
          <t>431359</t>
        </is>
      </c>
      <c r="C1451" s="38" t="inlineStr">
        <is>
          <t>Y021</t>
        </is>
      </c>
      <c r="D1451" s="38" t="inlineStr">
        <is>
          <t>TOTAL</t>
        </is>
      </c>
      <c r="E1451" s="38" t="inlineStr">
        <is>
          <t>POP</t>
        </is>
      </c>
      <c r="F1451" s="38" t="n">
        <v>4</v>
      </c>
    </row>
    <row r="1452" ht="15" customHeight="1" s="39">
      <c r="A1452" s="38" t="inlineStr">
        <is>
          <t>2021</t>
        </is>
      </c>
      <c r="B1452" s="42" t="inlineStr">
        <is>
          <t>431359</t>
        </is>
      </c>
      <c r="C1452" s="38" t="inlineStr">
        <is>
          <t>Y022</t>
        </is>
      </c>
      <c r="D1452" s="38" t="inlineStr">
        <is>
          <t>TOTAL</t>
        </is>
      </c>
      <c r="E1452" s="38" t="inlineStr">
        <is>
          <t>POP</t>
        </is>
      </c>
      <c r="F1452" s="38" t="n">
        <v>4</v>
      </c>
    </row>
    <row r="1453" ht="15" customHeight="1" s="39">
      <c r="A1453" s="38" t="inlineStr">
        <is>
          <t>2021</t>
        </is>
      </c>
      <c r="B1453" s="42" t="inlineStr">
        <is>
          <t>431359</t>
        </is>
      </c>
      <c r="C1453" s="38" t="inlineStr">
        <is>
          <t>Y023</t>
        </is>
      </c>
      <c r="D1453" s="38" t="inlineStr">
        <is>
          <t>TOTAL</t>
        </is>
      </c>
      <c r="E1453" s="38" t="inlineStr">
        <is>
          <t>POP</t>
        </is>
      </c>
      <c r="F1453" s="38" t="n">
        <v>6</v>
      </c>
    </row>
    <row r="1454" ht="15" customHeight="1" s="39">
      <c r="A1454" s="38" t="inlineStr">
        <is>
          <t>2021</t>
        </is>
      </c>
      <c r="B1454" s="42" t="inlineStr">
        <is>
          <t>431359</t>
        </is>
      </c>
      <c r="C1454" s="38" t="inlineStr">
        <is>
          <t>Y024</t>
        </is>
      </c>
      <c r="D1454" s="38" t="inlineStr">
        <is>
          <t>TOTAL</t>
        </is>
      </c>
      <c r="E1454" s="38" t="inlineStr">
        <is>
          <t>POP</t>
        </is>
      </c>
      <c r="F1454" s="38" t="n">
        <v>5</v>
      </c>
    </row>
    <row r="1455" ht="15" customHeight="1" s="39">
      <c r="A1455" s="38" t="inlineStr">
        <is>
          <t>2021</t>
        </is>
      </c>
      <c r="B1455" s="42" t="inlineStr">
        <is>
          <t>431359</t>
        </is>
      </c>
      <c r="C1455" s="38" t="inlineStr">
        <is>
          <t>Y025</t>
        </is>
      </c>
      <c r="D1455" s="38" t="inlineStr">
        <is>
          <t>TOTAL</t>
        </is>
      </c>
      <c r="E1455" s="38" t="inlineStr">
        <is>
          <t>POP</t>
        </is>
      </c>
      <c r="F1455" s="38" t="n">
        <v>6</v>
      </c>
    </row>
    <row r="1456" ht="15" customHeight="1" s="39">
      <c r="A1456" s="38" t="inlineStr">
        <is>
          <t>2021</t>
        </is>
      </c>
      <c r="B1456" s="42" t="inlineStr">
        <is>
          <t>431359</t>
        </is>
      </c>
      <c r="C1456" s="38" t="inlineStr">
        <is>
          <t>Y026</t>
        </is>
      </c>
      <c r="D1456" s="38" t="inlineStr">
        <is>
          <t>TOTAL</t>
        </is>
      </c>
      <c r="E1456" s="38" t="inlineStr">
        <is>
          <t>POP</t>
        </is>
      </c>
      <c r="F1456" s="38" t="n">
        <v>7</v>
      </c>
    </row>
    <row r="1457" ht="15" customHeight="1" s="39">
      <c r="A1457" s="38" t="inlineStr">
        <is>
          <t>2021</t>
        </is>
      </c>
      <c r="B1457" s="42" t="inlineStr">
        <is>
          <t>431359</t>
        </is>
      </c>
      <c r="C1457" s="38" t="inlineStr">
        <is>
          <t>Y027</t>
        </is>
      </c>
      <c r="D1457" s="38" t="inlineStr">
        <is>
          <t>TOTAL</t>
        </is>
      </c>
      <c r="E1457" s="38" t="inlineStr">
        <is>
          <t>POP</t>
        </is>
      </c>
      <c r="F1457" s="38" t="n">
        <v>2</v>
      </c>
    </row>
    <row r="1458" ht="15" customHeight="1" s="39">
      <c r="A1458" s="38" t="inlineStr">
        <is>
          <t>2021</t>
        </is>
      </c>
      <c r="B1458" s="42" t="inlineStr">
        <is>
          <t>431359</t>
        </is>
      </c>
      <c r="C1458" s="38" t="inlineStr">
        <is>
          <t>Y028</t>
        </is>
      </c>
      <c r="D1458" s="38" t="inlineStr">
        <is>
          <t>TOTAL</t>
        </is>
      </c>
      <c r="E1458" s="38" t="inlineStr">
        <is>
          <t>POP</t>
        </is>
      </c>
      <c r="F1458" s="38" t="n">
        <v>5</v>
      </c>
    </row>
    <row r="1459" ht="15" customHeight="1" s="39">
      <c r="A1459" s="38" t="inlineStr">
        <is>
          <t>2021</t>
        </is>
      </c>
      <c r="B1459" s="42" t="inlineStr">
        <is>
          <t>431359</t>
        </is>
      </c>
      <c r="C1459" s="38" t="inlineStr">
        <is>
          <t>Y029</t>
        </is>
      </c>
      <c r="D1459" s="38" t="inlineStr">
        <is>
          <t>TOTAL</t>
        </is>
      </c>
      <c r="E1459" s="38" t="inlineStr">
        <is>
          <t>POP</t>
        </is>
      </c>
      <c r="F1459" s="38" t="n">
        <v>5</v>
      </c>
    </row>
    <row r="1460" ht="15" customHeight="1" s="39">
      <c r="A1460" s="38" t="inlineStr">
        <is>
          <t>2021</t>
        </is>
      </c>
      <c r="B1460" s="42" t="inlineStr">
        <is>
          <t>431359</t>
        </is>
      </c>
      <c r="C1460" s="38" t="inlineStr">
        <is>
          <t>Y030</t>
        </is>
      </c>
      <c r="D1460" s="38" t="inlineStr">
        <is>
          <t>TOTAL</t>
        </is>
      </c>
      <c r="E1460" s="38" t="inlineStr">
        <is>
          <t>POP</t>
        </is>
      </c>
      <c r="F1460" s="38" t="n">
        <v>7</v>
      </c>
    </row>
    <row r="1461" ht="15" customHeight="1" s="39">
      <c r="A1461" s="38" t="inlineStr">
        <is>
          <t>2021</t>
        </is>
      </c>
      <c r="B1461" s="42" t="inlineStr">
        <is>
          <t>431359</t>
        </is>
      </c>
      <c r="C1461" s="38" t="inlineStr">
        <is>
          <t>Y031</t>
        </is>
      </c>
      <c r="D1461" s="38" t="inlineStr">
        <is>
          <t>TOTAL</t>
        </is>
      </c>
      <c r="E1461" s="38" t="inlineStr">
        <is>
          <t>POP</t>
        </is>
      </c>
      <c r="F1461" s="38" t="n">
        <v>5</v>
      </c>
    </row>
    <row r="1462" ht="15" customHeight="1" s="39">
      <c r="A1462" s="38" t="inlineStr">
        <is>
          <t>2021</t>
        </is>
      </c>
      <c r="B1462" s="42" t="inlineStr">
        <is>
          <t>431359</t>
        </is>
      </c>
      <c r="C1462" s="38" t="inlineStr">
        <is>
          <t>Y032</t>
        </is>
      </c>
      <c r="D1462" s="38" t="inlineStr">
        <is>
          <t>TOTAL</t>
        </is>
      </c>
      <c r="E1462" s="38" t="inlineStr">
        <is>
          <t>POP</t>
        </is>
      </c>
      <c r="F1462" s="38" t="n">
        <v>4</v>
      </c>
    </row>
    <row r="1463" ht="15" customHeight="1" s="39">
      <c r="A1463" s="38" t="inlineStr">
        <is>
          <t>2021</t>
        </is>
      </c>
      <c r="B1463" s="42" t="inlineStr">
        <is>
          <t>431359</t>
        </is>
      </c>
      <c r="C1463" s="38" t="inlineStr">
        <is>
          <t>Y033</t>
        </is>
      </c>
      <c r="D1463" s="38" t="inlineStr">
        <is>
          <t>TOTAL</t>
        </is>
      </c>
      <c r="E1463" s="38" t="inlineStr">
        <is>
          <t>POP</t>
        </is>
      </c>
      <c r="F1463" s="38" t="n">
        <v>7</v>
      </c>
    </row>
    <row r="1464" ht="15" customHeight="1" s="39">
      <c r="A1464" s="38" t="inlineStr">
        <is>
          <t>2021</t>
        </is>
      </c>
      <c r="B1464" s="42" t="inlineStr">
        <is>
          <t>431359</t>
        </is>
      </c>
      <c r="C1464" s="38" t="inlineStr">
        <is>
          <t>Y034</t>
        </is>
      </c>
      <c r="D1464" s="38" t="inlineStr">
        <is>
          <t>TOTAL</t>
        </is>
      </c>
      <c r="E1464" s="38" t="inlineStr">
        <is>
          <t>POP</t>
        </is>
      </c>
      <c r="F1464" s="38" t="n">
        <v>1</v>
      </c>
    </row>
    <row r="1465" ht="15" customHeight="1" s="39">
      <c r="A1465" s="38" t="inlineStr">
        <is>
          <t>2021</t>
        </is>
      </c>
      <c r="B1465" s="42" t="inlineStr">
        <is>
          <t>431359</t>
        </is>
      </c>
      <c r="C1465" s="38" t="inlineStr">
        <is>
          <t>Y035</t>
        </is>
      </c>
      <c r="D1465" s="38" t="inlineStr">
        <is>
          <t>TOTAL</t>
        </is>
      </c>
      <c r="E1465" s="38" t="inlineStr">
        <is>
          <t>POP</t>
        </is>
      </c>
      <c r="F1465" s="38" t="n">
        <v>6</v>
      </c>
    </row>
    <row r="1466" ht="15" customHeight="1" s="39">
      <c r="A1466" s="38" t="inlineStr">
        <is>
          <t>2021</t>
        </is>
      </c>
      <c r="B1466" s="42" t="inlineStr">
        <is>
          <t>431359</t>
        </is>
      </c>
      <c r="C1466" s="38" t="inlineStr">
        <is>
          <t>Y036</t>
        </is>
      </c>
      <c r="D1466" s="38" t="inlineStr">
        <is>
          <t>TOTAL</t>
        </is>
      </c>
      <c r="E1466" s="38" t="inlineStr">
        <is>
          <t>POP</t>
        </is>
      </c>
      <c r="F1466" s="38" t="n">
        <v>7</v>
      </c>
    </row>
    <row r="1467" ht="15" customHeight="1" s="39">
      <c r="A1467" s="38" t="inlineStr">
        <is>
          <t>2021</t>
        </is>
      </c>
      <c r="B1467" s="42" t="inlineStr">
        <is>
          <t>431359</t>
        </is>
      </c>
      <c r="C1467" s="38" t="inlineStr">
        <is>
          <t>Y037</t>
        </is>
      </c>
      <c r="D1467" s="38" t="inlineStr">
        <is>
          <t>TOTAL</t>
        </is>
      </c>
      <c r="E1467" s="38" t="inlineStr">
        <is>
          <t>POP</t>
        </is>
      </c>
      <c r="F1467" s="38" t="n">
        <v>10</v>
      </c>
    </row>
    <row r="1468" ht="15" customHeight="1" s="39">
      <c r="A1468" s="38" t="inlineStr">
        <is>
          <t>2021</t>
        </is>
      </c>
      <c r="B1468" s="42" t="inlineStr">
        <is>
          <t>431359</t>
        </is>
      </c>
      <c r="C1468" s="38" t="inlineStr">
        <is>
          <t>Y038</t>
        </is>
      </c>
      <c r="D1468" s="38" t="inlineStr">
        <is>
          <t>TOTAL</t>
        </is>
      </c>
      <c r="E1468" s="38" t="inlineStr">
        <is>
          <t>POP</t>
        </is>
      </c>
      <c r="F1468" s="38" t="n">
        <v>13</v>
      </c>
    </row>
    <row r="1469" ht="15" customHeight="1" s="39">
      <c r="A1469" s="38" t="inlineStr">
        <is>
          <t>2021</t>
        </is>
      </c>
      <c r="B1469" s="42" t="inlineStr">
        <is>
          <t>431359</t>
        </is>
      </c>
      <c r="C1469" s="38" t="inlineStr">
        <is>
          <t>Y039</t>
        </is>
      </c>
      <c r="D1469" s="38" t="inlineStr">
        <is>
          <t>TOTAL</t>
        </is>
      </c>
      <c r="E1469" s="38" t="inlineStr">
        <is>
          <t>POP</t>
        </is>
      </c>
      <c r="F1469" s="38" t="n">
        <v>6</v>
      </c>
    </row>
    <row r="1470" ht="15" customHeight="1" s="39">
      <c r="A1470" s="38" t="inlineStr">
        <is>
          <t>2021</t>
        </is>
      </c>
      <c r="B1470" s="42" t="inlineStr">
        <is>
          <t>431359</t>
        </is>
      </c>
      <c r="C1470" s="38" t="inlineStr">
        <is>
          <t>Y040</t>
        </is>
      </c>
      <c r="D1470" s="38" t="inlineStr">
        <is>
          <t>TOTAL</t>
        </is>
      </c>
      <c r="E1470" s="38" t="inlineStr">
        <is>
          <t>POP</t>
        </is>
      </c>
      <c r="F1470" s="38" t="n">
        <v>9</v>
      </c>
    </row>
    <row r="1471" ht="15" customHeight="1" s="39">
      <c r="A1471" s="38" t="inlineStr">
        <is>
          <t>2021</t>
        </is>
      </c>
      <c r="B1471" s="42" t="inlineStr">
        <is>
          <t>431359</t>
        </is>
      </c>
      <c r="C1471" s="38" t="inlineStr">
        <is>
          <t>Y041</t>
        </is>
      </c>
      <c r="D1471" s="38" t="inlineStr">
        <is>
          <t>TOTAL</t>
        </is>
      </c>
      <c r="E1471" s="38" t="inlineStr">
        <is>
          <t>POP</t>
        </is>
      </c>
      <c r="F1471" s="38" t="n">
        <v>6</v>
      </c>
    </row>
    <row r="1472" ht="15" customHeight="1" s="39">
      <c r="A1472" s="38" t="inlineStr">
        <is>
          <t>2021</t>
        </is>
      </c>
      <c r="B1472" s="42" t="inlineStr">
        <is>
          <t>431359</t>
        </is>
      </c>
      <c r="C1472" s="38" t="inlineStr">
        <is>
          <t>Y042</t>
        </is>
      </c>
      <c r="D1472" s="38" t="inlineStr">
        <is>
          <t>TOTAL</t>
        </is>
      </c>
      <c r="E1472" s="38" t="inlineStr">
        <is>
          <t>POP</t>
        </is>
      </c>
      <c r="F1472" s="38" t="n">
        <v>10</v>
      </c>
    </row>
    <row r="1473" ht="15" customHeight="1" s="39">
      <c r="A1473" s="38" t="inlineStr">
        <is>
          <t>2021</t>
        </is>
      </c>
      <c r="B1473" s="42" t="inlineStr">
        <is>
          <t>431359</t>
        </is>
      </c>
      <c r="C1473" s="38" t="inlineStr">
        <is>
          <t>Y043</t>
        </is>
      </c>
      <c r="D1473" s="38" t="inlineStr">
        <is>
          <t>TOTAL</t>
        </is>
      </c>
      <c r="E1473" s="38" t="inlineStr">
        <is>
          <t>POP</t>
        </is>
      </c>
      <c r="F1473" s="38" t="n">
        <v>12</v>
      </c>
    </row>
    <row r="1474" ht="15" customHeight="1" s="39">
      <c r="A1474" s="38" t="inlineStr">
        <is>
          <t>2021</t>
        </is>
      </c>
      <c r="B1474" s="42" t="inlineStr">
        <is>
          <t>431359</t>
        </is>
      </c>
      <c r="C1474" s="38" t="inlineStr">
        <is>
          <t>Y044</t>
        </is>
      </c>
      <c r="D1474" s="38" t="inlineStr">
        <is>
          <t>TOTAL</t>
        </is>
      </c>
      <c r="E1474" s="38" t="inlineStr">
        <is>
          <t>POP</t>
        </is>
      </c>
      <c r="F1474" s="38" t="n">
        <v>11</v>
      </c>
    </row>
    <row r="1475" ht="15" customHeight="1" s="39">
      <c r="A1475" s="38" t="inlineStr">
        <is>
          <t>2021</t>
        </is>
      </c>
      <c r="B1475" s="42" t="inlineStr">
        <is>
          <t>431359</t>
        </is>
      </c>
      <c r="C1475" s="38" t="inlineStr">
        <is>
          <t>Y045</t>
        </is>
      </c>
      <c r="D1475" s="38" t="inlineStr">
        <is>
          <t>TOTAL</t>
        </is>
      </c>
      <c r="E1475" s="38" t="inlineStr">
        <is>
          <t>POP</t>
        </is>
      </c>
      <c r="F1475" s="38" t="n">
        <v>7</v>
      </c>
    </row>
    <row r="1476" ht="15" customHeight="1" s="39">
      <c r="A1476" s="38" t="inlineStr">
        <is>
          <t>2021</t>
        </is>
      </c>
      <c r="B1476" s="42" t="inlineStr">
        <is>
          <t>431359</t>
        </is>
      </c>
      <c r="C1476" s="38" t="inlineStr">
        <is>
          <t>Y046</t>
        </is>
      </c>
      <c r="D1476" s="38" t="inlineStr">
        <is>
          <t>TOTAL</t>
        </is>
      </c>
      <c r="E1476" s="38" t="inlineStr">
        <is>
          <t>POP</t>
        </is>
      </c>
      <c r="F1476" s="38" t="n">
        <v>8</v>
      </c>
    </row>
    <row r="1477" ht="15" customHeight="1" s="39">
      <c r="A1477" s="38" t="inlineStr">
        <is>
          <t>2021</t>
        </is>
      </c>
      <c r="B1477" s="42" t="inlineStr">
        <is>
          <t>431359</t>
        </is>
      </c>
      <c r="C1477" s="38" t="inlineStr">
        <is>
          <t>Y047</t>
        </is>
      </c>
      <c r="D1477" s="38" t="inlineStr">
        <is>
          <t>TOTAL</t>
        </is>
      </c>
      <c r="E1477" s="38" t="inlineStr">
        <is>
          <t>POP</t>
        </is>
      </c>
      <c r="F1477" s="38" t="n">
        <v>5</v>
      </c>
    </row>
    <row r="1478" ht="15" customHeight="1" s="39">
      <c r="A1478" s="38" t="inlineStr">
        <is>
          <t>2021</t>
        </is>
      </c>
      <c r="B1478" s="42" t="inlineStr">
        <is>
          <t>431359</t>
        </is>
      </c>
      <c r="C1478" s="38" t="inlineStr">
        <is>
          <t>Y048</t>
        </is>
      </c>
      <c r="D1478" s="38" t="inlineStr">
        <is>
          <t>TOTAL</t>
        </is>
      </c>
      <c r="E1478" s="38" t="inlineStr">
        <is>
          <t>POP</t>
        </is>
      </c>
      <c r="F1478" s="38" t="n">
        <v>3</v>
      </c>
    </row>
    <row r="1479" ht="15" customHeight="1" s="39">
      <c r="A1479" s="38" t="inlineStr">
        <is>
          <t>2021</t>
        </is>
      </c>
      <c r="B1479" s="42" t="inlineStr">
        <is>
          <t>431359</t>
        </is>
      </c>
      <c r="C1479" s="38" t="inlineStr">
        <is>
          <t>Y049</t>
        </is>
      </c>
      <c r="D1479" s="38" t="inlineStr">
        <is>
          <t>TOTAL</t>
        </is>
      </c>
      <c r="E1479" s="38" t="inlineStr">
        <is>
          <t>POP</t>
        </is>
      </c>
      <c r="F1479" s="38" t="n">
        <v>6</v>
      </c>
    </row>
    <row r="1480" ht="15" customHeight="1" s="39">
      <c r="A1480" s="38" t="inlineStr">
        <is>
          <t>2021</t>
        </is>
      </c>
      <c r="B1480" s="42" t="inlineStr">
        <is>
          <t>431359</t>
        </is>
      </c>
      <c r="C1480" s="38" t="inlineStr">
        <is>
          <t>Y050</t>
        </is>
      </c>
      <c r="D1480" s="38" t="inlineStr">
        <is>
          <t>TOTAL</t>
        </is>
      </c>
      <c r="E1480" s="38" t="inlineStr">
        <is>
          <t>POP</t>
        </is>
      </c>
      <c r="F1480" s="38" t="n">
        <v>7</v>
      </c>
    </row>
    <row r="1481" ht="15" customHeight="1" s="39">
      <c r="A1481" s="38" t="inlineStr">
        <is>
          <t>2021</t>
        </is>
      </c>
      <c r="B1481" s="42" t="inlineStr">
        <is>
          <t>431359</t>
        </is>
      </c>
      <c r="C1481" s="38" t="inlineStr">
        <is>
          <t>Y051</t>
        </is>
      </c>
      <c r="D1481" s="38" t="inlineStr">
        <is>
          <t>TOTAL</t>
        </is>
      </c>
      <c r="E1481" s="38" t="inlineStr">
        <is>
          <t>POP</t>
        </is>
      </c>
      <c r="F1481" s="38" t="n">
        <v>8</v>
      </c>
    </row>
    <row r="1482" ht="15" customHeight="1" s="39">
      <c r="A1482" s="38" t="inlineStr">
        <is>
          <t>2021</t>
        </is>
      </c>
      <c r="B1482" s="42" t="inlineStr">
        <is>
          <t>431359</t>
        </is>
      </c>
      <c r="C1482" s="38" t="inlineStr">
        <is>
          <t>Y052</t>
        </is>
      </c>
      <c r="D1482" s="38" t="inlineStr">
        <is>
          <t>TOTAL</t>
        </is>
      </c>
      <c r="E1482" s="38" t="inlineStr">
        <is>
          <t>POP</t>
        </is>
      </c>
      <c r="F1482" s="38" t="n">
        <v>9</v>
      </c>
    </row>
    <row r="1483" ht="15" customHeight="1" s="39">
      <c r="A1483" s="38" t="inlineStr">
        <is>
          <t>2021</t>
        </is>
      </c>
      <c r="B1483" s="42" t="inlineStr">
        <is>
          <t>431359</t>
        </is>
      </c>
      <c r="C1483" s="38" t="inlineStr">
        <is>
          <t>Y053</t>
        </is>
      </c>
      <c r="D1483" s="38" t="inlineStr">
        <is>
          <t>TOTAL</t>
        </is>
      </c>
      <c r="E1483" s="38" t="inlineStr">
        <is>
          <t>POP</t>
        </is>
      </c>
      <c r="F1483" s="38" t="n">
        <v>12</v>
      </c>
    </row>
    <row r="1484" ht="15" customHeight="1" s="39">
      <c r="A1484" s="38" t="inlineStr">
        <is>
          <t>2021</t>
        </is>
      </c>
      <c r="B1484" s="42" t="inlineStr">
        <is>
          <t>431359</t>
        </is>
      </c>
      <c r="C1484" s="38" t="inlineStr">
        <is>
          <t>Y054</t>
        </is>
      </c>
      <c r="D1484" s="38" t="inlineStr">
        <is>
          <t>TOTAL</t>
        </is>
      </c>
      <c r="E1484" s="38" t="inlineStr">
        <is>
          <t>POP</t>
        </is>
      </c>
      <c r="F1484" s="38" t="n">
        <v>11</v>
      </c>
    </row>
    <row r="1485" ht="15" customHeight="1" s="39">
      <c r="A1485" s="38" t="inlineStr">
        <is>
          <t>2021</t>
        </is>
      </c>
      <c r="B1485" s="42" t="inlineStr">
        <is>
          <t>431359</t>
        </is>
      </c>
      <c r="C1485" s="38" t="inlineStr">
        <is>
          <t>Y055</t>
        </is>
      </c>
      <c r="D1485" s="38" t="inlineStr">
        <is>
          <t>TOTAL</t>
        </is>
      </c>
      <c r="E1485" s="38" t="inlineStr">
        <is>
          <t>POP</t>
        </is>
      </c>
      <c r="F1485" s="38" t="n">
        <v>6</v>
      </c>
    </row>
    <row r="1486" ht="15" customHeight="1" s="39">
      <c r="A1486" s="38" t="inlineStr">
        <is>
          <t>2021</t>
        </is>
      </c>
      <c r="B1486" s="42" t="inlineStr">
        <is>
          <t>431359</t>
        </is>
      </c>
      <c r="C1486" s="38" t="inlineStr">
        <is>
          <t>Y056</t>
        </is>
      </c>
      <c r="D1486" s="38" t="inlineStr">
        <is>
          <t>TOTAL</t>
        </is>
      </c>
      <c r="E1486" s="38" t="inlineStr">
        <is>
          <t>POP</t>
        </is>
      </c>
      <c r="F1486" s="38" t="n">
        <v>4</v>
      </c>
    </row>
    <row r="1487" ht="15" customHeight="1" s="39">
      <c r="A1487" s="38" t="inlineStr">
        <is>
          <t>2021</t>
        </is>
      </c>
      <c r="B1487" s="42" t="inlineStr">
        <is>
          <t>431359</t>
        </is>
      </c>
      <c r="C1487" s="38" t="inlineStr">
        <is>
          <t>Y057</t>
        </is>
      </c>
      <c r="D1487" s="38" t="inlineStr">
        <is>
          <t>TOTAL</t>
        </is>
      </c>
      <c r="E1487" s="38" t="inlineStr">
        <is>
          <t>POP</t>
        </is>
      </c>
      <c r="F1487" s="38" t="n">
        <v>7</v>
      </c>
    </row>
    <row r="1488" ht="15" customHeight="1" s="39">
      <c r="A1488" s="38" t="inlineStr">
        <is>
          <t>2021</t>
        </is>
      </c>
      <c r="B1488" s="42" t="inlineStr">
        <is>
          <t>431359</t>
        </is>
      </c>
      <c r="C1488" s="38" t="inlineStr">
        <is>
          <t>Y058</t>
        </is>
      </c>
      <c r="D1488" s="38" t="inlineStr">
        <is>
          <t>TOTAL</t>
        </is>
      </c>
      <c r="E1488" s="38" t="inlineStr">
        <is>
          <t>POP</t>
        </is>
      </c>
      <c r="F1488" s="38" t="n">
        <v>9</v>
      </c>
    </row>
    <row r="1489" ht="15" customHeight="1" s="39">
      <c r="A1489" s="38" t="inlineStr">
        <is>
          <t>2021</t>
        </is>
      </c>
      <c r="B1489" s="42" t="inlineStr">
        <is>
          <t>431359</t>
        </is>
      </c>
      <c r="C1489" s="38" t="inlineStr">
        <is>
          <t>Y059</t>
        </is>
      </c>
      <c r="D1489" s="38" t="inlineStr">
        <is>
          <t>TOTAL</t>
        </is>
      </c>
      <c r="E1489" s="38" t="inlineStr">
        <is>
          <t>POP</t>
        </is>
      </c>
      <c r="F1489" s="38" t="n">
        <v>12</v>
      </c>
    </row>
    <row r="1490" ht="15" customHeight="1" s="39">
      <c r="A1490" s="38" t="inlineStr">
        <is>
          <t>2021</t>
        </is>
      </c>
      <c r="B1490" s="42" t="inlineStr">
        <is>
          <t>431359</t>
        </is>
      </c>
      <c r="C1490" s="38" t="inlineStr">
        <is>
          <t>Y060</t>
        </is>
      </c>
      <c r="D1490" s="38" t="inlineStr">
        <is>
          <t>TOTAL</t>
        </is>
      </c>
      <c r="E1490" s="38" t="inlineStr">
        <is>
          <t>POP</t>
        </is>
      </c>
      <c r="F1490" s="38" t="n">
        <v>7</v>
      </c>
    </row>
    <row r="1491" ht="15" customHeight="1" s="39">
      <c r="A1491" s="38" t="inlineStr">
        <is>
          <t>2021</t>
        </is>
      </c>
      <c r="B1491" s="42" t="inlineStr">
        <is>
          <t>431359</t>
        </is>
      </c>
      <c r="C1491" s="38" t="inlineStr">
        <is>
          <t>Y061</t>
        </is>
      </c>
      <c r="D1491" s="38" t="inlineStr">
        <is>
          <t>TOTAL</t>
        </is>
      </c>
      <c r="E1491" s="38" t="inlineStr">
        <is>
          <t>POP</t>
        </is>
      </c>
      <c r="F1491" s="38" t="n">
        <v>5</v>
      </c>
    </row>
    <row r="1492" ht="15" customHeight="1" s="39">
      <c r="A1492" s="38" t="inlineStr">
        <is>
          <t>2021</t>
        </is>
      </c>
      <c r="B1492" s="42" t="inlineStr">
        <is>
          <t>431359</t>
        </is>
      </c>
      <c r="C1492" s="38" t="inlineStr">
        <is>
          <t>Y062</t>
        </is>
      </c>
      <c r="D1492" s="38" t="inlineStr">
        <is>
          <t>TOTAL</t>
        </is>
      </c>
      <c r="E1492" s="38" t="inlineStr">
        <is>
          <t>POP</t>
        </is>
      </c>
      <c r="F1492" s="38" t="n">
        <v>6</v>
      </c>
    </row>
    <row r="1493" ht="15" customHeight="1" s="39">
      <c r="A1493" s="38" t="inlineStr">
        <is>
          <t>2021</t>
        </is>
      </c>
      <c r="B1493" s="42" t="inlineStr">
        <is>
          <t>431359</t>
        </is>
      </c>
      <c r="C1493" s="38" t="inlineStr">
        <is>
          <t>Y063</t>
        </is>
      </c>
      <c r="D1493" s="38" t="inlineStr">
        <is>
          <t>TOTAL</t>
        </is>
      </c>
      <c r="E1493" s="38" t="inlineStr">
        <is>
          <t>POP</t>
        </is>
      </c>
      <c r="F1493" s="38" t="n">
        <v>7</v>
      </c>
    </row>
    <row r="1494" ht="15" customHeight="1" s="39">
      <c r="A1494" s="38" t="inlineStr">
        <is>
          <t>2021</t>
        </is>
      </c>
      <c r="B1494" s="42" t="inlineStr">
        <is>
          <t>431359</t>
        </is>
      </c>
      <c r="C1494" s="38" t="inlineStr">
        <is>
          <t>Y064</t>
        </is>
      </c>
      <c r="D1494" s="38" t="inlineStr">
        <is>
          <t>TOTAL</t>
        </is>
      </c>
      <c r="E1494" s="38" t="inlineStr">
        <is>
          <t>POP</t>
        </is>
      </c>
      <c r="F1494" s="38" t="n">
        <v>10</v>
      </c>
    </row>
    <row r="1495" ht="15" customHeight="1" s="39">
      <c r="A1495" s="38" t="inlineStr">
        <is>
          <t>2021</t>
        </is>
      </c>
      <c r="B1495" s="42" t="inlineStr">
        <is>
          <t>431359</t>
        </is>
      </c>
      <c r="C1495" s="38" t="inlineStr">
        <is>
          <t>Y065</t>
        </is>
      </c>
      <c r="D1495" s="38" t="inlineStr">
        <is>
          <t>TOTAL</t>
        </is>
      </c>
      <c r="E1495" s="38" t="inlineStr">
        <is>
          <t>POP</t>
        </is>
      </c>
      <c r="F1495" s="38" t="n">
        <v>3</v>
      </c>
    </row>
    <row r="1496" ht="15" customHeight="1" s="39">
      <c r="A1496" s="38" t="inlineStr">
        <is>
          <t>2021</t>
        </is>
      </c>
      <c r="B1496" s="42" t="inlineStr">
        <is>
          <t>431359</t>
        </is>
      </c>
      <c r="C1496" s="38" t="inlineStr">
        <is>
          <t>Y066</t>
        </is>
      </c>
      <c r="D1496" s="38" t="inlineStr">
        <is>
          <t>TOTAL</t>
        </is>
      </c>
      <c r="E1496" s="38" t="inlineStr">
        <is>
          <t>POP</t>
        </is>
      </c>
      <c r="F1496" s="38" t="n">
        <v>9</v>
      </c>
    </row>
    <row r="1497" ht="15" customHeight="1" s="39">
      <c r="A1497" s="38" t="inlineStr">
        <is>
          <t>2021</t>
        </is>
      </c>
      <c r="B1497" s="42" t="inlineStr">
        <is>
          <t>431359</t>
        </is>
      </c>
      <c r="C1497" s="38" t="inlineStr">
        <is>
          <t>Y067</t>
        </is>
      </c>
      <c r="D1497" s="38" t="inlineStr">
        <is>
          <t>TOTAL</t>
        </is>
      </c>
      <c r="E1497" s="38" t="inlineStr">
        <is>
          <t>POP</t>
        </is>
      </c>
      <c r="F1497" s="38" t="n">
        <v>1</v>
      </c>
    </row>
    <row r="1498" ht="15" customHeight="1" s="39">
      <c r="A1498" s="38" t="inlineStr">
        <is>
          <t>2021</t>
        </is>
      </c>
      <c r="B1498" s="42" t="inlineStr">
        <is>
          <t>431359</t>
        </is>
      </c>
      <c r="C1498" s="38" t="inlineStr">
        <is>
          <t>Y068</t>
        </is>
      </c>
      <c r="D1498" s="38" t="inlineStr">
        <is>
          <t>TOTAL</t>
        </is>
      </c>
      <c r="E1498" s="38" t="inlineStr">
        <is>
          <t>POP</t>
        </is>
      </c>
      <c r="F1498" s="38" t="n">
        <v>4</v>
      </c>
    </row>
    <row r="1499" ht="15" customHeight="1" s="39">
      <c r="A1499" s="38" t="inlineStr">
        <is>
          <t>2021</t>
        </is>
      </c>
      <c r="B1499" s="42" t="inlineStr">
        <is>
          <t>431359</t>
        </is>
      </c>
      <c r="C1499" s="38" t="inlineStr">
        <is>
          <t>Y069</t>
        </is>
      </c>
      <c r="D1499" s="38" t="inlineStr">
        <is>
          <t>TOTAL</t>
        </is>
      </c>
      <c r="E1499" s="38" t="inlineStr">
        <is>
          <t>POP</t>
        </is>
      </c>
      <c r="F1499" s="38" t="n">
        <v>6</v>
      </c>
    </row>
    <row r="1500" ht="15" customHeight="1" s="39">
      <c r="A1500" s="38" t="inlineStr">
        <is>
          <t>2021</t>
        </is>
      </c>
      <c r="B1500" s="42" t="inlineStr">
        <is>
          <t>431359</t>
        </is>
      </c>
      <c r="C1500" s="38" t="inlineStr">
        <is>
          <t>Y070</t>
        </is>
      </c>
      <c r="D1500" s="38" t="inlineStr">
        <is>
          <t>TOTAL</t>
        </is>
      </c>
      <c r="E1500" s="38" t="inlineStr">
        <is>
          <t>POP</t>
        </is>
      </c>
      <c r="F1500" s="38" t="n">
        <v>4</v>
      </c>
    </row>
    <row r="1501" ht="15" customHeight="1" s="39">
      <c r="A1501" s="38" t="inlineStr">
        <is>
          <t>2021</t>
        </is>
      </c>
      <c r="B1501" s="42" t="inlineStr">
        <is>
          <t>431359</t>
        </is>
      </c>
      <c r="C1501" s="38" t="inlineStr">
        <is>
          <t>Y071</t>
        </is>
      </c>
      <c r="D1501" s="38" t="inlineStr">
        <is>
          <t>TOTAL</t>
        </is>
      </c>
      <c r="E1501" s="38" t="inlineStr">
        <is>
          <t>POP</t>
        </is>
      </c>
      <c r="F1501" s="38" t="n">
        <v>3</v>
      </c>
    </row>
    <row r="1502" ht="15" customHeight="1" s="39">
      <c r="A1502" s="38" t="inlineStr">
        <is>
          <t>2021</t>
        </is>
      </c>
      <c r="B1502" s="42" t="inlineStr">
        <is>
          <t>431359</t>
        </is>
      </c>
      <c r="C1502" s="38" t="inlineStr">
        <is>
          <t>Y072</t>
        </is>
      </c>
      <c r="D1502" s="38" t="inlineStr">
        <is>
          <t>TOTAL</t>
        </is>
      </c>
      <c r="E1502" s="38" t="inlineStr">
        <is>
          <t>POP</t>
        </is>
      </c>
      <c r="F1502" s="38" t="n">
        <v>5</v>
      </c>
    </row>
    <row r="1503" ht="15" customHeight="1" s="39">
      <c r="A1503" s="38" t="inlineStr">
        <is>
          <t>2021</t>
        </is>
      </c>
      <c r="B1503" s="42" t="inlineStr">
        <is>
          <t>431359</t>
        </is>
      </c>
      <c r="C1503" s="38" t="inlineStr">
        <is>
          <t>Y073</t>
        </is>
      </c>
      <c r="D1503" s="38" t="inlineStr">
        <is>
          <t>TOTAL</t>
        </is>
      </c>
      <c r="E1503" s="38" t="inlineStr">
        <is>
          <t>POP</t>
        </is>
      </c>
      <c r="F1503" s="38" t="n">
        <v>5</v>
      </c>
    </row>
    <row r="1504" ht="15" customHeight="1" s="39">
      <c r="A1504" s="38" t="inlineStr">
        <is>
          <t>2021</t>
        </is>
      </c>
      <c r="B1504" s="42" t="inlineStr">
        <is>
          <t>431359</t>
        </is>
      </c>
      <c r="C1504" s="38" t="inlineStr">
        <is>
          <t>Y074</t>
        </is>
      </c>
      <c r="D1504" s="38" t="inlineStr">
        <is>
          <t>TOTAL</t>
        </is>
      </c>
      <c r="E1504" s="38" t="inlineStr">
        <is>
          <t>POP</t>
        </is>
      </c>
      <c r="F1504" s="38" t="n">
        <v>10</v>
      </c>
    </row>
    <row r="1505" ht="15" customHeight="1" s="39">
      <c r="A1505" s="38" t="inlineStr">
        <is>
          <t>2021</t>
        </is>
      </c>
      <c r="B1505" s="42" t="inlineStr">
        <is>
          <t>431359</t>
        </is>
      </c>
      <c r="C1505" s="38" t="inlineStr">
        <is>
          <t>Y075</t>
        </is>
      </c>
      <c r="D1505" s="38" t="inlineStr">
        <is>
          <t>TOTAL</t>
        </is>
      </c>
      <c r="E1505" s="38" t="inlineStr">
        <is>
          <t>POP</t>
        </is>
      </c>
      <c r="F1505" s="38" t="n">
        <v>6</v>
      </c>
    </row>
    <row r="1506" ht="15" customHeight="1" s="39">
      <c r="A1506" s="38" t="inlineStr">
        <is>
          <t>2021</t>
        </is>
      </c>
      <c r="B1506" s="42" t="inlineStr">
        <is>
          <t>431359</t>
        </is>
      </c>
      <c r="C1506" s="38" t="inlineStr">
        <is>
          <t>Y076</t>
        </is>
      </c>
      <c r="D1506" s="38" t="inlineStr">
        <is>
          <t>TOTAL</t>
        </is>
      </c>
      <c r="E1506" s="38" t="inlineStr">
        <is>
          <t>POP</t>
        </is>
      </c>
      <c r="F1506" s="38" t="n">
        <v>2</v>
      </c>
    </row>
    <row r="1507" ht="15" customHeight="1" s="39">
      <c r="A1507" s="38" t="inlineStr">
        <is>
          <t>2021</t>
        </is>
      </c>
      <c r="B1507" s="42" t="inlineStr">
        <is>
          <t>431359</t>
        </is>
      </c>
      <c r="C1507" s="38" t="inlineStr">
        <is>
          <t>Y077</t>
        </is>
      </c>
      <c r="D1507" s="38" t="inlineStr">
        <is>
          <t>TOTAL</t>
        </is>
      </c>
      <c r="E1507" s="38" t="inlineStr">
        <is>
          <t>POP</t>
        </is>
      </c>
      <c r="F1507" s="38" t="n">
        <v>1</v>
      </c>
    </row>
    <row r="1508" ht="15" customHeight="1" s="39">
      <c r="A1508" s="38" t="inlineStr">
        <is>
          <t>2021</t>
        </is>
      </c>
      <c r="B1508" s="42" t="inlineStr">
        <is>
          <t>431359</t>
        </is>
      </c>
      <c r="C1508" s="38" t="inlineStr">
        <is>
          <t>Y078</t>
        </is>
      </c>
      <c r="D1508" s="38" t="inlineStr">
        <is>
          <t>TOTAL</t>
        </is>
      </c>
      <c r="E1508" s="38" t="inlineStr">
        <is>
          <t>POP</t>
        </is>
      </c>
      <c r="F1508" s="38" t="n">
        <v>4</v>
      </c>
    </row>
    <row r="1509" ht="15" customHeight="1" s="39">
      <c r="A1509" s="38" t="inlineStr">
        <is>
          <t>2021</t>
        </is>
      </c>
      <c r="B1509" s="42" t="inlineStr">
        <is>
          <t>431359</t>
        </is>
      </c>
      <c r="C1509" s="38" t="inlineStr">
        <is>
          <t>Y079</t>
        </is>
      </c>
      <c r="D1509" s="38" t="inlineStr">
        <is>
          <t>TOTAL</t>
        </is>
      </c>
      <c r="E1509" s="38" t="inlineStr">
        <is>
          <t>POP</t>
        </is>
      </c>
      <c r="F1509" s="38" t="n">
        <v>1</v>
      </c>
    </row>
    <row r="1510" ht="15" customHeight="1" s="39">
      <c r="A1510" s="38" t="inlineStr">
        <is>
          <t>2021</t>
        </is>
      </c>
      <c r="B1510" s="42" t="inlineStr">
        <is>
          <t>431359</t>
        </is>
      </c>
      <c r="C1510" s="38" t="inlineStr">
        <is>
          <t>Y080</t>
        </is>
      </c>
      <c r="D1510" s="38" t="inlineStr">
        <is>
          <t>TOTAL</t>
        </is>
      </c>
      <c r="E1510" s="38" t="inlineStr">
        <is>
          <t>POP</t>
        </is>
      </c>
      <c r="F1510" s="38" t="n">
        <v>3</v>
      </c>
    </row>
    <row r="1511" ht="15" customHeight="1" s="39">
      <c r="A1511" s="38" t="inlineStr">
        <is>
          <t>2021</t>
        </is>
      </c>
      <c r="B1511" s="42" t="inlineStr">
        <is>
          <t>431359</t>
        </is>
      </c>
      <c r="C1511" s="38" t="inlineStr">
        <is>
          <t>Y081</t>
        </is>
      </c>
      <c r="D1511" s="38" t="inlineStr">
        <is>
          <t>TOTAL</t>
        </is>
      </c>
      <c r="E1511" s="38" t="inlineStr">
        <is>
          <t>POP</t>
        </is>
      </c>
      <c r="F1511" s="38" t="n">
        <v>2</v>
      </c>
    </row>
    <row r="1512" ht="15" customHeight="1" s="39">
      <c r="A1512" s="38" t="inlineStr">
        <is>
          <t>2021</t>
        </is>
      </c>
      <c r="B1512" s="42" t="inlineStr">
        <is>
          <t>431359</t>
        </is>
      </c>
      <c r="C1512" s="38" t="inlineStr">
        <is>
          <t>Y082</t>
        </is>
      </c>
      <c r="D1512" s="38" t="inlineStr">
        <is>
          <t>TOTAL</t>
        </is>
      </c>
      <c r="E1512" s="38" t="inlineStr">
        <is>
          <t>POP</t>
        </is>
      </c>
      <c r="F1512" s="38" t="n">
        <v>2</v>
      </c>
    </row>
    <row r="1513" ht="15" customHeight="1" s="39">
      <c r="A1513" s="38" t="inlineStr">
        <is>
          <t>2021</t>
        </is>
      </c>
      <c r="B1513" s="42" t="inlineStr">
        <is>
          <t>431359</t>
        </is>
      </c>
      <c r="C1513" s="38" t="inlineStr">
        <is>
          <t>Y083</t>
        </is>
      </c>
      <c r="D1513" s="38" t="inlineStr">
        <is>
          <t>TOTAL</t>
        </is>
      </c>
      <c r="E1513" s="38" t="inlineStr">
        <is>
          <t>POP</t>
        </is>
      </c>
      <c r="F1513" s="38" t="n">
        <v>5</v>
      </c>
    </row>
    <row r="1514" ht="15" customHeight="1" s="39">
      <c r="A1514" s="38" t="inlineStr">
        <is>
          <t>2021</t>
        </is>
      </c>
      <c r="B1514" s="42" t="inlineStr">
        <is>
          <t>431359</t>
        </is>
      </c>
      <c r="C1514" s="38" t="inlineStr">
        <is>
          <t>Y084</t>
        </is>
      </c>
      <c r="D1514" s="38" t="inlineStr">
        <is>
          <t>TOTAL</t>
        </is>
      </c>
      <c r="E1514" s="38" t="inlineStr">
        <is>
          <t>POP</t>
        </is>
      </c>
      <c r="F1514" s="38" t="n">
        <v>6</v>
      </c>
    </row>
    <row r="1515" ht="15" customHeight="1" s="39">
      <c r="A1515" s="38" t="inlineStr">
        <is>
          <t>2021</t>
        </is>
      </c>
      <c r="B1515" s="42" t="inlineStr">
        <is>
          <t>431359</t>
        </is>
      </c>
      <c r="C1515" s="38" t="inlineStr">
        <is>
          <t>Y085</t>
        </is>
      </c>
      <c r="D1515" s="38" t="inlineStr">
        <is>
          <t>TOTAL</t>
        </is>
      </c>
      <c r="E1515" s="38" t="inlineStr">
        <is>
          <t>POP</t>
        </is>
      </c>
      <c r="F1515" s="38" t="n">
        <v>1</v>
      </c>
    </row>
    <row r="1516" ht="15" customHeight="1" s="39">
      <c r="A1516" s="38" t="inlineStr">
        <is>
          <t>2021</t>
        </is>
      </c>
      <c r="B1516" s="42" t="inlineStr">
        <is>
          <t>431359</t>
        </is>
      </c>
      <c r="C1516" s="38" t="inlineStr">
        <is>
          <t>Y086</t>
        </is>
      </c>
      <c r="D1516" s="38" t="inlineStr">
        <is>
          <t>TOTAL</t>
        </is>
      </c>
      <c r="E1516" s="38" t="inlineStr">
        <is>
          <t>POP</t>
        </is>
      </c>
      <c r="F1516" s="38" t="n">
        <v>4</v>
      </c>
    </row>
    <row r="1517" ht="15" customHeight="1" s="39">
      <c r="A1517" s="38" t="inlineStr">
        <is>
          <t>2021</t>
        </is>
      </c>
      <c r="B1517" s="42" t="inlineStr">
        <is>
          <t>431359</t>
        </is>
      </c>
      <c r="C1517" s="38" t="inlineStr">
        <is>
          <t>Y087</t>
        </is>
      </c>
      <c r="D1517" s="38" t="inlineStr">
        <is>
          <t>TOTAL</t>
        </is>
      </c>
      <c r="E1517" s="38" t="inlineStr">
        <is>
          <t>POP</t>
        </is>
      </c>
      <c r="F1517" s="38" t="n">
        <v>2</v>
      </c>
    </row>
    <row r="1518" ht="15" customHeight="1" s="39">
      <c r="A1518" s="38" t="inlineStr">
        <is>
          <t>2021</t>
        </is>
      </c>
      <c r="B1518" s="42" t="inlineStr">
        <is>
          <t>431359</t>
        </is>
      </c>
      <c r="C1518" s="38" t="inlineStr">
        <is>
          <t>Y088</t>
        </is>
      </c>
      <c r="D1518" s="38" t="inlineStr">
        <is>
          <t>TOTAL</t>
        </is>
      </c>
      <c r="E1518" s="38" t="inlineStr">
        <is>
          <t>POP</t>
        </is>
      </c>
      <c r="F1518" s="38" t="n">
        <v>5</v>
      </c>
    </row>
    <row r="1519" ht="15" customHeight="1" s="39">
      <c r="A1519" s="38" t="inlineStr">
        <is>
          <t>2021</t>
        </is>
      </c>
      <c r="B1519" s="42" t="inlineStr">
        <is>
          <t>431359</t>
        </is>
      </c>
      <c r="C1519" s="38" t="inlineStr">
        <is>
          <t>Y089</t>
        </is>
      </c>
      <c r="D1519" s="38" t="inlineStr">
        <is>
          <t>TOTAL</t>
        </is>
      </c>
      <c r="E1519" s="38" t="inlineStr">
        <is>
          <t>POP</t>
        </is>
      </c>
      <c r="F1519" s="38" t="n">
        <v>2</v>
      </c>
    </row>
    <row r="1520" ht="15" customHeight="1" s="39">
      <c r="A1520" s="38" t="inlineStr">
        <is>
          <t>2021</t>
        </is>
      </c>
      <c r="B1520" s="42" t="inlineStr">
        <is>
          <t>431359</t>
        </is>
      </c>
      <c r="C1520" s="38" t="inlineStr">
        <is>
          <t>Y090</t>
        </is>
      </c>
      <c r="D1520" s="38" t="inlineStr">
        <is>
          <t>TOTAL</t>
        </is>
      </c>
      <c r="E1520" s="38" t="inlineStr">
        <is>
          <t>POP</t>
        </is>
      </c>
      <c r="F1520" s="38" t="n">
        <v>2</v>
      </c>
    </row>
    <row r="1521" ht="15" customHeight="1" s="39">
      <c r="A1521" s="38" t="inlineStr">
        <is>
          <t>2021</t>
        </is>
      </c>
      <c r="B1521" s="42" t="inlineStr">
        <is>
          <t>431359</t>
        </is>
      </c>
      <c r="C1521" s="38" t="inlineStr">
        <is>
          <t>Y091</t>
        </is>
      </c>
      <c r="D1521" s="38" t="inlineStr">
        <is>
          <t>TOTAL</t>
        </is>
      </c>
      <c r="E1521" s="38" t="inlineStr">
        <is>
          <t>POP</t>
        </is>
      </c>
      <c r="F1521" s="38" t="n">
        <v>5</v>
      </c>
    </row>
    <row r="1522" ht="15" customHeight="1" s="39">
      <c r="A1522" s="38" t="inlineStr">
        <is>
          <t>2021</t>
        </is>
      </c>
      <c r="B1522" s="42" t="inlineStr">
        <is>
          <t>431359</t>
        </is>
      </c>
      <c r="C1522" s="38" t="inlineStr">
        <is>
          <t>Y092</t>
        </is>
      </c>
      <c r="D1522" s="38" t="inlineStr">
        <is>
          <t>TOTAL</t>
        </is>
      </c>
      <c r="E1522" s="38" t="inlineStr">
        <is>
          <t>POP</t>
        </is>
      </c>
      <c r="F1522" s="38" t="n">
        <v>0</v>
      </c>
    </row>
    <row r="1523" ht="15" customHeight="1" s="39">
      <c r="A1523" s="38" t="inlineStr">
        <is>
          <t>2021</t>
        </is>
      </c>
      <c r="B1523" s="42" t="inlineStr">
        <is>
          <t>431359</t>
        </is>
      </c>
      <c r="C1523" s="38" t="inlineStr">
        <is>
          <t>Y093</t>
        </is>
      </c>
      <c r="D1523" s="38" t="inlineStr">
        <is>
          <t>TOTAL</t>
        </is>
      </c>
      <c r="E1523" s="38" t="inlineStr">
        <is>
          <t>POP</t>
        </is>
      </c>
      <c r="F1523" s="38" t="n">
        <v>0</v>
      </c>
    </row>
    <row r="1524" ht="15" customHeight="1" s="39">
      <c r="A1524" s="38" t="inlineStr">
        <is>
          <t>2021</t>
        </is>
      </c>
      <c r="B1524" s="42" t="inlineStr">
        <is>
          <t>431359</t>
        </is>
      </c>
      <c r="C1524" s="38" t="inlineStr">
        <is>
          <t>Y094</t>
        </is>
      </c>
      <c r="D1524" s="38" t="inlineStr">
        <is>
          <t>TOTAL</t>
        </is>
      </c>
      <c r="E1524" s="38" t="inlineStr">
        <is>
          <t>POP</t>
        </is>
      </c>
      <c r="F1524" s="38" t="n">
        <v>1</v>
      </c>
    </row>
    <row r="1525" ht="15" customHeight="1" s="39">
      <c r="A1525" s="38" t="inlineStr">
        <is>
          <t>2021</t>
        </is>
      </c>
      <c r="B1525" s="42" t="inlineStr">
        <is>
          <t>431359</t>
        </is>
      </c>
      <c r="C1525" s="38" t="inlineStr">
        <is>
          <t>Y095</t>
        </is>
      </c>
      <c r="D1525" s="38" t="inlineStr">
        <is>
          <t>TOTAL</t>
        </is>
      </c>
      <c r="E1525" s="38" t="inlineStr">
        <is>
          <t>POP</t>
        </is>
      </c>
      <c r="F1525" s="38" t="n">
        <v>2</v>
      </c>
    </row>
    <row r="1526" ht="15" customHeight="1" s="39">
      <c r="A1526" s="38" t="inlineStr">
        <is>
          <t>2021</t>
        </is>
      </c>
      <c r="B1526" s="42" t="inlineStr">
        <is>
          <t>431359</t>
        </is>
      </c>
      <c r="C1526" s="38" t="inlineStr">
        <is>
          <t>Y096</t>
        </is>
      </c>
      <c r="D1526" s="38" t="inlineStr">
        <is>
          <t>TOTAL</t>
        </is>
      </c>
      <c r="E1526" s="38" t="inlineStr">
        <is>
          <t>POP</t>
        </is>
      </c>
      <c r="F1526" s="38" t="n">
        <v>0</v>
      </c>
    </row>
    <row r="1527" ht="15" customHeight="1" s="39">
      <c r="A1527" s="38" t="inlineStr">
        <is>
          <t>2021</t>
        </is>
      </c>
      <c r="B1527" s="42" t="inlineStr">
        <is>
          <t>431359</t>
        </is>
      </c>
      <c r="C1527" s="38" t="inlineStr">
        <is>
          <t>Y097</t>
        </is>
      </c>
      <c r="D1527" s="38" t="inlineStr">
        <is>
          <t>TOTAL</t>
        </is>
      </c>
      <c r="E1527" s="38" t="inlineStr">
        <is>
          <t>POP</t>
        </is>
      </c>
      <c r="F1527" s="38" t="n">
        <v>1</v>
      </c>
    </row>
    <row r="1528" ht="15" customHeight="1" s="39">
      <c r="A1528" s="38" t="inlineStr">
        <is>
          <t>2021</t>
        </is>
      </c>
      <c r="B1528" s="42" t="inlineStr">
        <is>
          <t>431359</t>
        </is>
      </c>
      <c r="C1528" s="38" t="inlineStr">
        <is>
          <t>Y098</t>
        </is>
      </c>
      <c r="D1528" s="38" t="inlineStr">
        <is>
          <t>TOTAL</t>
        </is>
      </c>
      <c r="E1528" s="38" t="inlineStr">
        <is>
          <t>POP</t>
        </is>
      </c>
      <c r="F1528" s="38" t="n">
        <v>0</v>
      </c>
    </row>
    <row r="1529" ht="15" customHeight="1" s="39">
      <c r="A1529" s="38" t="inlineStr">
        <is>
          <t>2021</t>
        </is>
      </c>
      <c r="B1529" s="42" t="inlineStr">
        <is>
          <t>431359</t>
        </is>
      </c>
      <c r="C1529" s="38" t="inlineStr">
        <is>
          <t>Y099</t>
        </is>
      </c>
      <c r="D1529" s="38" t="inlineStr">
        <is>
          <t>TOTAL</t>
        </is>
      </c>
      <c r="E1529" s="38" t="inlineStr">
        <is>
          <t>POP</t>
        </is>
      </c>
      <c r="F1529" s="38" t="n">
        <v>0</v>
      </c>
    </row>
    <row r="1530" ht="15" customHeight="1" s="39">
      <c r="A1530" s="38" t="inlineStr">
        <is>
          <t>2021</t>
        </is>
      </c>
      <c r="B1530" s="42" t="inlineStr">
        <is>
          <t>431359</t>
        </is>
      </c>
      <c r="C1530" s="38" t="inlineStr">
        <is>
          <t>Y_GE100</t>
        </is>
      </c>
      <c r="D1530" s="38" t="inlineStr">
        <is>
          <t>TOTAL</t>
        </is>
      </c>
      <c r="E1530" s="38" t="inlineStr">
        <is>
          <t>POP</t>
        </is>
      </c>
      <c r="F1530" s="38" t="n">
        <v>0</v>
      </c>
    </row>
    <row r="1531" ht="15" customHeight="1" s="39">
      <c r="A1531" s="38" t="inlineStr">
        <is>
          <t>2021</t>
        </is>
      </c>
      <c r="B1531" s="42" t="inlineStr">
        <is>
          <t>431359</t>
        </is>
      </c>
      <c r="C1531" s="38" t="inlineStr">
        <is>
          <t>TOTAL</t>
        </is>
      </c>
      <c r="D1531" s="38" t="inlineStr">
        <is>
          <t>TOTAL</t>
        </is>
      </c>
      <c r="E1531" s="38" t="inlineStr">
        <is>
          <t>POP</t>
        </is>
      </c>
      <c r="F1531" s="38" t="n">
        <v>542</v>
      </c>
    </row>
    <row r="1532" ht="15" customHeight="1" s="39">
      <c r="A1532" s="38" t="inlineStr">
        <is>
          <t>2021</t>
        </is>
      </c>
      <c r="B1532" s="42" t="inlineStr">
        <is>
          <t>439057</t>
        </is>
      </c>
      <c r="C1532" s="38" t="inlineStr">
        <is>
          <t>Y000</t>
        </is>
      </c>
      <c r="D1532" s="38" t="inlineStr">
        <is>
          <t>TOTAL</t>
        </is>
      </c>
      <c r="E1532" s="38" t="inlineStr">
        <is>
          <t>POP</t>
        </is>
      </c>
      <c r="F1532" s="38" t="n">
        <v>231</v>
      </c>
    </row>
    <row r="1533" ht="15" customHeight="1" s="39">
      <c r="A1533" s="38" t="inlineStr">
        <is>
          <t>2021</t>
        </is>
      </c>
      <c r="B1533" s="42" t="inlineStr">
        <is>
          <t>439057</t>
        </is>
      </c>
      <c r="C1533" s="38" t="inlineStr">
        <is>
          <t>Y001</t>
        </is>
      </c>
      <c r="D1533" s="38" t="inlineStr">
        <is>
          <t>TOTAL</t>
        </is>
      </c>
      <c r="E1533" s="38" t="inlineStr">
        <is>
          <t>POP</t>
        </is>
      </c>
      <c r="F1533" s="38" t="n">
        <v>262</v>
      </c>
    </row>
    <row r="1534" ht="15" customHeight="1" s="39">
      <c r="A1534" s="38" t="inlineStr">
        <is>
          <t>2021</t>
        </is>
      </c>
      <c r="B1534" s="42" t="inlineStr">
        <is>
          <t>439057</t>
        </is>
      </c>
      <c r="C1534" s="38" t="inlineStr">
        <is>
          <t>Y002</t>
        </is>
      </c>
      <c r="D1534" s="38" t="inlineStr">
        <is>
          <t>TOTAL</t>
        </is>
      </c>
      <c r="E1534" s="38" t="inlineStr">
        <is>
          <t>POP</t>
        </is>
      </c>
      <c r="F1534" s="38" t="n">
        <v>274</v>
      </c>
    </row>
    <row r="1535" ht="15" customHeight="1" s="39">
      <c r="A1535" s="38" t="inlineStr">
        <is>
          <t>2021</t>
        </is>
      </c>
      <c r="B1535" s="42" t="inlineStr">
        <is>
          <t>439057</t>
        </is>
      </c>
      <c r="C1535" s="38" t="inlineStr">
        <is>
          <t>Y003</t>
        </is>
      </c>
      <c r="D1535" s="38" t="inlineStr">
        <is>
          <t>TOTAL</t>
        </is>
      </c>
      <c r="E1535" s="38" t="inlineStr">
        <is>
          <t>POP</t>
        </is>
      </c>
      <c r="F1535" s="38" t="n">
        <v>265</v>
      </c>
    </row>
    <row r="1536" ht="15" customHeight="1" s="39">
      <c r="A1536" s="38" t="inlineStr">
        <is>
          <t>2021</t>
        </is>
      </c>
      <c r="B1536" s="42" t="inlineStr">
        <is>
          <t>439057</t>
        </is>
      </c>
      <c r="C1536" s="38" t="inlineStr">
        <is>
          <t>Y004</t>
        </is>
      </c>
      <c r="D1536" s="38" t="inlineStr">
        <is>
          <t>TOTAL</t>
        </is>
      </c>
      <c r="E1536" s="38" t="inlineStr">
        <is>
          <t>POP</t>
        </is>
      </c>
      <c r="F1536" s="38" t="n">
        <v>274</v>
      </c>
    </row>
    <row r="1537" ht="15" customHeight="1" s="39">
      <c r="A1537" s="38" t="inlineStr">
        <is>
          <t>2021</t>
        </is>
      </c>
      <c r="B1537" s="42" t="inlineStr">
        <is>
          <t>439057</t>
        </is>
      </c>
      <c r="C1537" s="38" t="inlineStr">
        <is>
          <t>Y005</t>
        </is>
      </c>
      <c r="D1537" s="38" t="inlineStr">
        <is>
          <t>TOTAL</t>
        </is>
      </c>
      <c r="E1537" s="38" t="inlineStr">
        <is>
          <t>POP</t>
        </is>
      </c>
      <c r="F1537" s="38" t="n">
        <v>308</v>
      </c>
    </row>
    <row r="1538" ht="15" customHeight="1" s="39">
      <c r="A1538" s="38" t="inlineStr">
        <is>
          <t>2021</t>
        </is>
      </c>
      <c r="B1538" s="42" t="inlineStr">
        <is>
          <t>439057</t>
        </is>
      </c>
      <c r="C1538" s="38" t="inlineStr">
        <is>
          <t>Y006</t>
        </is>
      </c>
      <c r="D1538" s="38" t="inlineStr">
        <is>
          <t>TOTAL</t>
        </is>
      </c>
      <c r="E1538" s="38" t="inlineStr">
        <is>
          <t>POP</t>
        </is>
      </c>
      <c r="F1538" s="38" t="n">
        <v>283</v>
      </c>
    </row>
    <row r="1539" ht="15" customHeight="1" s="39">
      <c r="A1539" s="38" t="inlineStr">
        <is>
          <t>2021</t>
        </is>
      </c>
      <c r="B1539" s="42" t="inlineStr">
        <is>
          <t>439057</t>
        </is>
      </c>
      <c r="C1539" s="38" t="inlineStr">
        <is>
          <t>Y007</t>
        </is>
      </c>
      <c r="D1539" s="38" t="inlineStr">
        <is>
          <t>TOTAL</t>
        </is>
      </c>
      <c r="E1539" s="38" t="inlineStr">
        <is>
          <t>POP</t>
        </is>
      </c>
      <c r="F1539" s="38" t="n">
        <v>286</v>
      </c>
    </row>
    <row r="1540" ht="15" customHeight="1" s="39">
      <c r="A1540" s="38" t="inlineStr">
        <is>
          <t>2021</t>
        </is>
      </c>
      <c r="B1540" s="42" t="inlineStr">
        <is>
          <t>439057</t>
        </is>
      </c>
      <c r="C1540" s="38" t="inlineStr">
        <is>
          <t>Y008</t>
        </is>
      </c>
      <c r="D1540" s="38" t="inlineStr">
        <is>
          <t>TOTAL</t>
        </is>
      </c>
      <c r="E1540" s="38" t="inlineStr">
        <is>
          <t>POP</t>
        </is>
      </c>
      <c r="F1540" s="38" t="n">
        <v>291</v>
      </c>
    </row>
    <row r="1541" ht="15" customHeight="1" s="39">
      <c r="A1541" s="38" t="inlineStr">
        <is>
          <t>2021</t>
        </is>
      </c>
      <c r="B1541" s="42" t="inlineStr">
        <is>
          <t>439057</t>
        </is>
      </c>
      <c r="C1541" s="38" t="inlineStr">
        <is>
          <t>Y009</t>
        </is>
      </c>
      <c r="D1541" s="38" t="inlineStr">
        <is>
          <t>TOTAL</t>
        </is>
      </c>
      <c r="E1541" s="38" t="inlineStr">
        <is>
          <t>POP</t>
        </is>
      </c>
      <c r="F1541" s="38" t="n">
        <v>300</v>
      </c>
    </row>
    <row r="1542" ht="15" customHeight="1" s="39">
      <c r="A1542" s="38" t="inlineStr">
        <is>
          <t>2021</t>
        </is>
      </c>
      <c r="B1542" s="42" t="inlineStr">
        <is>
          <t>439057</t>
        </is>
      </c>
      <c r="C1542" s="38" t="inlineStr">
        <is>
          <t>Y010</t>
        </is>
      </c>
      <c r="D1542" s="38" t="inlineStr">
        <is>
          <t>TOTAL</t>
        </is>
      </c>
      <c r="E1542" s="38" t="inlineStr">
        <is>
          <t>POP</t>
        </is>
      </c>
      <c r="F1542" s="38" t="n">
        <v>302</v>
      </c>
    </row>
    <row r="1543" ht="15" customHeight="1" s="39">
      <c r="A1543" s="38" t="inlineStr">
        <is>
          <t>2021</t>
        </is>
      </c>
      <c r="B1543" s="42" t="inlineStr">
        <is>
          <t>439057</t>
        </is>
      </c>
      <c r="C1543" s="38" t="inlineStr">
        <is>
          <t>Y011</t>
        </is>
      </c>
      <c r="D1543" s="38" t="inlineStr">
        <is>
          <t>TOTAL</t>
        </is>
      </c>
      <c r="E1543" s="38" t="inlineStr">
        <is>
          <t>POP</t>
        </is>
      </c>
      <c r="F1543" s="38" t="n">
        <v>327</v>
      </c>
    </row>
    <row r="1544" ht="15" customHeight="1" s="39">
      <c r="A1544" s="38" t="inlineStr">
        <is>
          <t>2021</t>
        </is>
      </c>
      <c r="B1544" s="42" t="inlineStr">
        <is>
          <t>439057</t>
        </is>
      </c>
      <c r="C1544" s="38" t="inlineStr">
        <is>
          <t>Y012</t>
        </is>
      </c>
      <c r="D1544" s="38" t="inlineStr">
        <is>
          <t>TOTAL</t>
        </is>
      </c>
      <c r="E1544" s="38" t="inlineStr">
        <is>
          <t>POP</t>
        </is>
      </c>
      <c r="F1544" s="38" t="n">
        <v>337</v>
      </c>
    </row>
    <row r="1545" ht="15" customHeight="1" s="39">
      <c r="A1545" s="38" t="inlineStr">
        <is>
          <t>2021</t>
        </is>
      </c>
      <c r="B1545" s="42" t="inlineStr">
        <is>
          <t>439057</t>
        </is>
      </c>
      <c r="C1545" s="38" t="inlineStr">
        <is>
          <t>Y013</t>
        </is>
      </c>
      <c r="D1545" s="38" t="inlineStr">
        <is>
          <t>TOTAL</t>
        </is>
      </c>
      <c r="E1545" s="38" t="inlineStr">
        <is>
          <t>POP</t>
        </is>
      </c>
      <c r="F1545" s="38" t="n">
        <v>337</v>
      </c>
    </row>
    <row r="1546" ht="15" customHeight="1" s="39">
      <c r="A1546" s="38" t="inlineStr">
        <is>
          <t>2021</t>
        </is>
      </c>
      <c r="B1546" s="42" t="inlineStr">
        <is>
          <t>439057</t>
        </is>
      </c>
      <c r="C1546" s="38" t="inlineStr">
        <is>
          <t>Y014</t>
        </is>
      </c>
      <c r="D1546" s="38" t="inlineStr">
        <is>
          <t>TOTAL</t>
        </is>
      </c>
      <c r="E1546" s="38" t="inlineStr">
        <is>
          <t>POP</t>
        </is>
      </c>
      <c r="F1546" s="38" t="n">
        <v>289</v>
      </c>
    </row>
    <row r="1547" ht="15" customHeight="1" s="39">
      <c r="A1547" s="38" t="inlineStr">
        <is>
          <t>2021</t>
        </is>
      </c>
      <c r="B1547" s="42" t="inlineStr">
        <is>
          <t>439057</t>
        </is>
      </c>
      <c r="C1547" s="38" t="inlineStr">
        <is>
          <t>Y015</t>
        </is>
      </c>
      <c r="D1547" s="38" t="inlineStr">
        <is>
          <t>TOTAL</t>
        </is>
      </c>
      <c r="E1547" s="38" t="inlineStr">
        <is>
          <t>POP</t>
        </is>
      </c>
      <c r="F1547" s="38" t="n">
        <v>262</v>
      </c>
    </row>
    <row r="1548" ht="15" customHeight="1" s="39">
      <c r="A1548" s="38" t="inlineStr">
        <is>
          <t>2021</t>
        </is>
      </c>
      <c r="B1548" s="42" t="inlineStr">
        <is>
          <t>439057</t>
        </is>
      </c>
      <c r="C1548" s="38" t="inlineStr">
        <is>
          <t>Y016</t>
        </is>
      </c>
      <c r="D1548" s="38" t="inlineStr">
        <is>
          <t>TOTAL</t>
        </is>
      </c>
      <c r="E1548" s="38" t="inlineStr">
        <is>
          <t>POP</t>
        </is>
      </c>
      <c r="F1548" s="38" t="n">
        <v>286</v>
      </c>
    </row>
    <row r="1549" ht="15" customHeight="1" s="39">
      <c r="A1549" s="38" t="inlineStr">
        <is>
          <t>2021</t>
        </is>
      </c>
      <c r="B1549" s="42" t="inlineStr">
        <is>
          <t>439057</t>
        </is>
      </c>
      <c r="C1549" s="38" t="inlineStr">
        <is>
          <t>Y017</t>
        </is>
      </c>
      <c r="D1549" s="38" t="inlineStr">
        <is>
          <t>TOTAL</t>
        </is>
      </c>
      <c r="E1549" s="38" t="inlineStr">
        <is>
          <t>POP</t>
        </is>
      </c>
      <c r="F1549" s="38" t="n">
        <v>263</v>
      </c>
    </row>
    <row r="1550" ht="15" customHeight="1" s="39">
      <c r="A1550" s="38" t="inlineStr">
        <is>
          <t>2021</t>
        </is>
      </c>
      <c r="B1550" s="42" t="inlineStr">
        <is>
          <t>439057</t>
        </is>
      </c>
      <c r="C1550" s="38" t="inlineStr">
        <is>
          <t>Y018</t>
        </is>
      </c>
      <c r="D1550" s="38" t="inlineStr">
        <is>
          <t>TOTAL</t>
        </is>
      </c>
      <c r="E1550" s="38" t="inlineStr">
        <is>
          <t>POP</t>
        </is>
      </c>
      <c r="F1550" s="38" t="n">
        <v>254</v>
      </c>
    </row>
    <row r="1551" ht="15" customHeight="1" s="39">
      <c r="A1551" s="38" t="inlineStr">
        <is>
          <t>2021</t>
        </is>
      </c>
      <c r="B1551" s="42" t="inlineStr">
        <is>
          <t>439057</t>
        </is>
      </c>
      <c r="C1551" s="38" t="inlineStr">
        <is>
          <t>Y019</t>
        </is>
      </c>
      <c r="D1551" s="38" t="inlineStr">
        <is>
          <t>TOTAL</t>
        </is>
      </c>
      <c r="E1551" s="38" t="inlineStr">
        <is>
          <t>POP</t>
        </is>
      </c>
      <c r="F1551" s="38" t="n">
        <v>257</v>
      </c>
    </row>
    <row r="1552" ht="15" customHeight="1" s="39">
      <c r="A1552" s="38" t="inlineStr">
        <is>
          <t>2021</t>
        </is>
      </c>
      <c r="B1552" s="42" t="inlineStr">
        <is>
          <t>439057</t>
        </is>
      </c>
      <c r="C1552" s="38" t="inlineStr">
        <is>
          <t>Y020</t>
        </is>
      </c>
      <c r="D1552" s="38" t="inlineStr">
        <is>
          <t>TOTAL</t>
        </is>
      </c>
      <c r="E1552" s="38" t="inlineStr">
        <is>
          <t>POP</t>
        </is>
      </c>
      <c r="F1552" s="38" t="n">
        <v>279</v>
      </c>
    </row>
    <row r="1553" ht="15" customHeight="1" s="39">
      <c r="A1553" s="38" t="inlineStr">
        <is>
          <t>2021</t>
        </is>
      </c>
      <c r="B1553" s="42" t="inlineStr">
        <is>
          <t>439057</t>
        </is>
      </c>
      <c r="C1553" s="38" t="inlineStr">
        <is>
          <t>Y021</t>
        </is>
      </c>
      <c r="D1553" s="38" t="inlineStr">
        <is>
          <t>TOTAL</t>
        </is>
      </c>
      <c r="E1553" s="38" t="inlineStr">
        <is>
          <t>POP</t>
        </is>
      </c>
      <c r="F1553" s="38" t="n">
        <v>309</v>
      </c>
    </row>
    <row r="1554" ht="15" customHeight="1" s="39">
      <c r="A1554" s="38" t="inlineStr">
        <is>
          <t>2021</t>
        </is>
      </c>
      <c r="B1554" s="42" t="inlineStr">
        <is>
          <t>439057</t>
        </is>
      </c>
      <c r="C1554" s="38" t="inlineStr">
        <is>
          <t>Y022</t>
        </is>
      </c>
      <c r="D1554" s="38" t="inlineStr">
        <is>
          <t>TOTAL</t>
        </is>
      </c>
      <c r="E1554" s="38" t="inlineStr">
        <is>
          <t>POP</t>
        </is>
      </c>
      <c r="F1554" s="38" t="n">
        <v>318</v>
      </c>
    </row>
    <row r="1555" ht="15" customHeight="1" s="39">
      <c r="A1555" s="38" t="inlineStr">
        <is>
          <t>2021</t>
        </is>
      </c>
      <c r="B1555" s="42" t="inlineStr">
        <is>
          <t>439057</t>
        </is>
      </c>
      <c r="C1555" s="38" t="inlineStr">
        <is>
          <t>Y023</t>
        </is>
      </c>
      <c r="D1555" s="38" t="inlineStr">
        <is>
          <t>TOTAL</t>
        </is>
      </c>
      <c r="E1555" s="38" t="inlineStr">
        <is>
          <t>POP</t>
        </is>
      </c>
      <c r="F1555" s="38" t="n">
        <v>324</v>
      </c>
    </row>
    <row r="1556" ht="15" customHeight="1" s="39">
      <c r="A1556" s="38" t="inlineStr">
        <is>
          <t>2021</t>
        </is>
      </c>
      <c r="B1556" s="42" t="inlineStr">
        <is>
          <t>439057</t>
        </is>
      </c>
      <c r="C1556" s="38" t="inlineStr">
        <is>
          <t>Y024</t>
        </is>
      </c>
      <c r="D1556" s="38" t="inlineStr">
        <is>
          <t>TOTAL</t>
        </is>
      </c>
      <c r="E1556" s="38" t="inlineStr">
        <is>
          <t>POP</t>
        </is>
      </c>
      <c r="F1556" s="38" t="n">
        <v>295</v>
      </c>
    </row>
    <row r="1557" ht="15" customHeight="1" s="39">
      <c r="A1557" s="38" t="inlineStr">
        <is>
          <t>2021</t>
        </is>
      </c>
      <c r="B1557" s="42" t="inlineStr">
        <is>
          <t>439057</t>
        </is>
      </c>
      <c r="C1557" s="38" t="inlineStr">
        <is>
          <t>Y025</t>
        </is>
      </c>
      <c r="D1557" s="38" t="inlineStr">
        <is>
          <t>TOTAL</t>
        </is>
      </c>
      <c r="E1557" s="38" t="inlineStr">
        <is>
          <t>POP</t>
        </is>
      </c>
      <c r="F1557" s="38" t="n">
        <v>313</v>
      </c>
    </row>
    <row r="1558" ht="15" customHeight="1" s="39">
      <c r="A1558" s="38" t="inlineStr">
        <is>
          <t>2021</t>
        </is>
      </c>
      <c r="B1558" s="42" t="inlineStr">
        <is>
          <t>439057</t>
        </is>
      </c>
      <c r="C1558" s="38" t="inlineStr">
        <is>
          <t>Y026</t>
        </is>
      </c>
      <c r="D1558" s="38" t="inlineStr">
        <is>
          <t>TOTAL</t>
        </is>
      </c>
      <c r="E1558" s="38" t="inlineStr">
        <is>
          <t>POP</t>
        </is>
      </c>
      <c r="F1558" s="38" t="n">
        <v>324</v>
      </c>
    </row>
    <row r="1559" ht="15" customHeight="1" s="39">
      <c r="A1559" s="38" t="inlineStr">
        <is>
          <t>2021</t>
        </is>
      </c>
      <c r="B1559" s="42" t="inlineStr">
        <is>
          <t>439057</t>
        </is>
      </c>
      <c r="C1559" s="38" t="inlineStr">
        <is>
          <t>Y027</t>
        </is>
      </c>
      <c r="D1559" s="38" t="inlineStr">
        <is>
          <t>TOTAL</t>
        </is>
      </c>
      <c r="E1559" s="38" t="inlineStr">
        <is>
          <t>POP</t>
        </is>
      </c>
      <c r="F1559" s="38" t="n">
        <v>330</v>
      </c>
    </row>
    <row r="1560" ht="15" customHeight="1" s="39">
      <c r="A1560" s="38" t="inlineStr">
        <is>
          <t>2021</t>
        </is>
      </c>
      <c r="B1560" s="42" t="inlineStr">
        <is>
          <t>439057</t>
        </is>
      </c>
      <c r="C1560" s="38" t="inlineStr">
        <is>
          <t>Y028</t>
        </is>
      </c>
      <c r="D1560" s="38" t="inlineStr">
        <is>
          <t>TOTAL</t>
        </is>
      </c>
      <c r="E1560" s="38" t="inlineStr">
        <is>
          <t>POP</t>
        </is>
      </c>
      <c r="F1560" s="38" t="n">
        <v>361</v>
      </c>
    </row>
    <row r="1561" ht="15" customHeight="1" s="39">
      <c r="A1561" s="38" t="inlineStr">
        <is>
          <t>2021</t>
        </is>
      </c>
      <c r="B1561" s="42" t="inlineStr">
        <is>
          <t>439057</t>
        </is>
      </c>
      <c r="C1561" s="38" t="inlineStr">
        <is>
          <t>Y029</t>
        </is>
      </c>
      <c r="D1561" s="38" t="inlineStr">
        <is>
          <t>TOTAL</t>
        </is>
      </c>
      <c r="E1561" s="38" t="inlineStr">
        <is>
          <t>POP</t>
        </is>
      </c>
      <c r="F1561" s="38" t="n">
        <v>325</v>
      </c>
    </row>
    <row r="1562" ht="15" customHeight="1" s="39">
      <c r="A1562" s="38" t="inlineStr">
        <is>
          <t>2021</t>
        </is>
      </c>
      <c r="B1562" s="42" t="inlineStr">
        <is>
          <t>439057</t>
        </is>
      </c>
      <c r="C1562" s="38" t="inlineStr">
        <is>
          <t>Y030</t>
        </is>
      </c>
      <c r="D1562" s="38" t="inlineStr">
        <is>
          <t>TOTAL</t>
        </is>
      </c>
      <c r="E1562" s="38" t="inlineStr">
        <is>
          <t>POP</t>
        </is>
      </c>
      <c r="F1562" s="38" t="n">
        <v>361</v>
      </c>
    </row>
    <row r="1563" ht="15" customHeight="1" s="39">
      <c r="A1563" s="38" t="inlineStr">
        <is>
          <t>2021</t>
        </is>
      </c>
      <c r="B1563" s="42" t="inlineStr">
        <is>
          <t>439057</t>
        </is>
      </c>
      <c r="C1563" s="38" t="inlineStr">
        <is>
          <t>Y031</t>
        </is>
      </c>
      <c r="D1563" s="38" t="inlineStr">
        <is>
          <t>TOTAL</t>
        </is>
      </c>
      <c r="E1563" s="38" t="inlineStr">
        <is>
          <t>POP</t>
        </is>
      </c>
      <c r="F1563" s="38" t="n">
        <v>339</v>
      </c>
    </row>
    <row r="1564" ht="15" customHeight="1" s="39">
      <c r="A1564" s="38" t="inlineStr">
        <is>
          <t>2021</t>
        </is>
      </c>
      <c r="B1564" s="42" t="inlineStr">
        <is>
          <t>439057</t>
        </is>
      </c>
      <c r="C1564" s="38" t="inlineStr">
        <is>
          <t>Y032</t>
        </is>
      </c>
      <c r="D1564" s="38" t="inlineStr">
        <is>
          <t>TOTAL</t>
        </is>
      </c>
      <c r="E1564" s="38" t="inlineStr">
        <is>
          <t>POP</t>
        </is>
      </c>
      <c r="F1564" s="38" t="n">
        <v>407</v>
      </c>
    </row>
    <row r="1565" ht="15" customHeight="1" s="39">
      <c r="A1565" s="38" t="inlineStr">
        <is>
          <t>2021</t>
        </is>
      </c>
      <c r="B1565" s="42" t="inlineStr">
        <is>
          <t>439057</t>
        </is>
      </c>
      <c r="C1565" s="38" t="inlineStr">
        <is>
          <t>Y033</t>
        </is>
      </c>
      <c r="D1565" s="38" t="inlineStr">
        <is>
          <t>TOTAL</t>
        </is>
      </c>
      <c r="E1565" s="38" t="inlineStr">
        <is>
          <t>POP</t>
        </is>
      </c>
      <c r="F1565" s="38" t="n">
        <v>389</v>
      </c>
    </row>
    <row r="1566" ht="15" customHeight="1" s="39">
      <c r="A1566" s="38" t="inlineStr">
        <is>
          <t>2021</t>
        </is>
      </c>
      <c r="B1566" s="42" t="inlineStr">
        <is>
          <t>439057</t>
        </is>
      </c>
      <c r="C1566" s="38" t="inlineStr">
        <is>
          <t>Y034</t>
        </is>
      </c>
      <c r="D1566" s="38" t="inlineStr">
        <is>
          <t>TOTAL</t>
        </is>
      </c>
      <c r="E1566" s="38" t="inlineStr">
        <is>
          <t>POP</t>
        </is>
      </c>
      <c r="F1566" s="38" t="n">
        <v>400</v>
      </c>
    </row>
    <row r="1567" ht="15" customHeight="1" s="39">
      <c r="A1567" s="38" t="inlineStr">
        <is>
          <t>2021</t>
        </is>
      </c>
      <c r="B1567" s="42" t="inlineStr">
        <is>
          <t>439057</t>
        </is>
      </c>
      <c r="C1567" s="38" t="inlineStr">
        <is>
          <t>Y035</t>
        </is>
      </c>
      <c r="D1567" s="38" t="inlineStr">
        <is>
          <t>TOTAL</t>
        </is>
      </c>
      <c r="E1567" s="38" t="inlineStr">
        <is>
          <t>POP</t>
        </is>
      </c>
      <c r="F1567" s="38" t="n">
        <v>449</v>
      </c>
    </row>
    <row r="1568" ht="15" customHeight="1" s="39">
      <c r="A1568" s="38" t="inlineStr">
        <is>
          <t>2021</t>
        </is>
      </c>
      <c r="B1568" s="42" t="inlineStr">
        <is>
          <t>439057</t>
        </is>
      </c>
      <c r="C1568" s="38" t="inlineStr">
        <is>
          <t>Y036</t>
        </is>
      </c>
      <c r="D1568" s="38" t="inlineStr">
        <is>
          <t>TOTAL</t>
        </is>
      </c>
      <c r="E1568" s="38" t="inlineStr">
        <is>
          <t>POP</t>
        </is>
      </c>
      <c r="F1568" s="38" t="n">
        <v>478</v>
      </c>
    </row>
    <row r="1569" ht="15" customHeight="1" s="39">
      <c r="A1569" s="38" t="inlineStr">
        <is>
          <t>2021</t>
        </is>
      </c>
      <c r="B1569" s="42" t="inlineStr">
        <is>
          <t>439057</t>
        </is>
      </c>
      <c r="C1569" s="38" t="inlineStr">
        <is>
          <t>Y037</t>
        </is>
      </c>
      <c r="D1569" s="38" t="inlineStr">
        <is>
          <t>TOTAL</t>
        </is>
      </c>
      <c r="E1569" s="38" t="inlineStr">
        <is>
          <t>POP</t>
        </is>
      </c>
      <c r="F1569" s="38" t="n">
        <v>487</v>
      </c>
    </row>
    <row r="1570" ht="15" customHeight="1" s="39">
      <c r="A1570" s="38" t="inlineStr">
        <is>
          <t>2021</t>
        </is>
      </c>
      <c r="B1570" s="42" t="inlineStr">
        <is>
          <t>439057</t>
        </is>
      </c>
      <c r="C1570" s="38" t="inlineStr">
        <is>
          <t>Y038</t>
        </is>
      </c>
      <c r="D1570" s="38" t="inlineStr">
        <is>
          <t>TOTAL</t>
        </is>
      </c>
      <c r="E1570" s="38" t="inlineStr">
        <is>
          <t>POP</t>
        </is>
      </c>
      <c r="F1570" s="38" t="n">
        <v>484</v>
      </c>
    </row>
    <row r="1571" ht="15" customHeight="1" s="39">
      <c r="A1571" s="38" t="inlineStr">
        <is>
          <t>2021</t>
        </is>
      </c>
      <c r="B1571" s="42" t="inlineStr">
        <is>
          <t>439057</t>
        </is>
      </c>
      <c r="C1571" s="38" t="inlineStr">
        <is>
          <t>Y039</t>
        </is>
      </c>
      <c r="D1571" s="38" t="inlineStr">
        <is>
          <t>TOTAL</t>
        </is>
      </c>
      <c r="E1571" s="38" t="inlineStr">
        <is>
          <t>POP</t>
        </is>
      </c>
      <c r="F1571" s="38" t="n">
        <v>518</v>
      </c>
    </row>
    <row r="1572" ht="15" customHeight="1" s="39">
      <c r="A1572" s="38" t="inlineStr">
        <is>
          <t>2021</t>
        </is>
      </c>
      <c r="B1572" s="42" t="inlineStr">
        <is>
          <t>439057</t>
        </is>
      </c>
      <c r="C1572" s="38" t="inlineStr">
        <is>
          <t>Y040</t>
        </is>
      </c>
      <c r="D1572" s="38" t="inlineStr">
        <is>
          <t>TOTAL</t>
        </is>
      </c>
      <c r="E1572" s="38" t="inlineStr">
        <is>
          <t>POP</t>
        </is>
      </c>
      <c r="F1572" s="38" t="n">
        <v>572</v>
      </c>
    </row>
    <row r="1573" ht="15" customHeight="1" s="39">
      <c r="A1573" s="38" t="inlineStr">
        <is>
          <t>2021</t>
        </is>
      </c>
      <c r="B1573" s="42" t="inlineStr">
        <is>
          <t>439057</t>
        </is>
      </c>
      <c r="C1573" s="38" t="inlineStr">
        <is>
          <t>Y041</t>
        </is>
      </c>
      <c r="D1573" s="38" t="inlineStr">
        <is>
          <t>TOTAL</t>
        </is>
      </c>
      <c r="E1573" s="38" t="inlineStr">
        <is>
          <t>POP</t>
        </is>
      </c>
      <c r="F1573" s="38" t="n">
        <v>538</v>
      </c>
    </row>
    <row r="1574" ht="15" customHeight="1" s="39">
      <c r="A1574" s="38" t="inlineStr">
        <is>
          <t>2021</t>
        </is>
      </c>
      <c r="B1574" s="42" t="inlineStr">
        <is>
          <t>439057</t>
        </is>
      </c>
      <c r="C1574" s="38" t="inlineStr">
        <is>
          <t>Y042</t>
        </is>
      </c>
      <c r="D1574" s="38" t="inlineStr">
        <is>
          <t>TOTAL</t>
        </is>
      </c>
      <c r="E1574" s="38" t="inlineStr">
        <is>
          <t>POP</t>
        </is>
      </c>
      <c r="F1574" s="38" t="n">
        <v>561</v>
      </c>
    </row>
    <row r="1575" ht="15" customHeight="1" s="39">
      <c r="A1575" s="38" t="inlineStr">
        <is>
          <t>2021</t>
        </is>
      </c>
      <c r="B1575" s="42" t="inlineStr">
        <is>
          <t>439057</t>
        </is>
      </c>
      <c r="C1575" s="38" t="inlineStr">
        <is>
          <t>Y043</t>
        </is>
      </c>
      <c r="D1575" s="38" t="inlineStr">
        <is>
          <t>TOTAL</t>
        </is>
      </c>
      <c r="E1575" s="38" t="inlineStr">
        <is>
          <t>POP</t>
        </is>
      </c>
      <c r="F1575" s="38" t="n">
        <v>589</v>
      </c>
    </row>
    <row r="1576" ht="15" customHeight="1" s="39">
      <c r="A1576" s="38" t="inlineStr">
        <is>
          <t>2021</t>
        </is>
      </c>
      <c r="B1576" s="42" t="inlineStr">
        <is>
          <t>439057</t>
        </is>
      </c>
      <c r="C1576" s="38" t="inlineStr">
        <is>
          <t>Y044</t>
        </is>
      </c>
      <c r="D1576" s="38" t="inlineStr">
        <is>
          <t>TOTAL</t>
        </is>
      </c>
      <c r="E1576" s="38" t="inlineStr">
        <is>
          <t>POP</t>
        </is>
      </c>
      <c r="F1576" s="38" t="n">
        <v>605</v>
      </c>
    </row>
    <row r="1577" ht="15" customHeight="1" s="39">
      <c r="A1577" s="38" t="inlineStr">
        <is>
          <t>2021</t>
        </is>
      </c>
      <c r="B1577" s="42" t="inlineStr">
        <is>
          <t>439057</t>
        </is>
      </c>
      <c r="C1577" s="38" t="inlineStr">
        <is>
          <t>Y045</t>
        </is>
      </c>
      <c r="D1577" s="38" t="inlineStr">
        <is>
          <t>TOTAL</t>
        </is>
      </c>
      <c r="E1577" s="38" t="inlineStr">
        <is>
          <t>POP</t>
        </is>
      </c>
      <c r="F1577" s="38" t="n">
        <v>548</v>
      </c>
    </row>
    <row r="1578" ht="15" customHeight="1" s="39">
      <c r="A1578" s="38" t="inlineStr">
        <is>
          <t>2021</t>
        </is>
      </c>
      <c r="B1578" s="42" t="inlineStr">
        <is>
          <t>439057</t>
        </is>
      </c>
      <c r="C1578" s="38" t="inlineStr">
        <is>
          <t>Y046</t>
        </is>
      </c>
      <c r="D1578" s="38" t="inlineStr">
        <is>
          <t>TOTAL</t>
        </is>
      </c>
      <c r="E1578" s="38" t="inlineStr">
        <is>
          <t>POP</t>
        </is>
      </c>
      <c r="F1578" s="38" t="n">
        <v>557</v>
      </c>
    </row>
    <row r="1579" ht="15" customHeight="1" s="39">
      <c r="A1579" s="38" t="inlineStr">
        <is>
          <t>2021</t>
        </is>
      </c>
      <c r="B1579" s="42" t="inlineStr">
        <is>
          <t>439057</t>
        </is>
      </c>
      <c r="C1579" s="38" t="inlineStr">
        <is>
          <t>Y047</t>
        </is>
      </c>
      <c r="D1579" s="38" t="inlineStr">
        <is>
          <t>TOTAL</t>
        </is>
      </c>
      <c r="E1579" s="38" t="inlineStr">
        <is>
          <t>POP</t>
        </is>
      </c>
      <c r="F1579" s="38" t="n">
        <v>512</v>
      </c>
    </row>
    <row r="1580" ht="15" customHeight="1" s="39">
      <c r="A1580" s="38" t="inlineStr">
        <is>
          <t>2021</t>
        </is>
      </c>
      <c r="B1580" s="42" t="inlineStr">
        <is>
          <t>439057</t>
        </is>
      </c>
      <c r="C1580" s="38" t="inlineStr">
        <is>
          <t>Y048</t>
        </is>
      </c>
      <c r="D1580" s="38" t="inlineStr">
        <is>
          <t>TOTAL</t>
        </is>
      </c>
      <c r="E1580" s="38" t="inlineStr">
        <is>
          <t>POP</t>
        </is>
      </c>
      <c r="F1580" s="38" t="n">
        <v>491</v>
      </c>
    </row>
    <row r="1581" ht="15" customHeight="1" s="39">
      <c r="A1581" s="38" t="inlineStr">
        <is>
          <t>2021</t>
        </is>
      </c>
      <c r="B1581" s="42" t="inlineStr">
        <is>
          <t>439057</t>
        </is>
      </c>
      <c r="C1581" s="38" t="inlineStr">
        <is>
          <t>Y049</t>
        </is>
      </c>
      <c r="D1581" s="38" t="inlineStr">
        <is>
          <t>TOTAL</t>
        </is>
      </c>
      <c r="E1581" s="38" t="inlineStr">
        <is>
          <t>POP</t>
        </is>
      </c>
      <c r="F1581" s="38" t="n">
        <v>457</v>
      </c>
    </row>
    <row r="1582" ht="15" customHeight="1" s="39">
      <c r="A1582" s="38" t="inlineStr">
        <is>
          <t>2021</t>
        </is>
      </c>
      <c r="B1582" s="42" t="inlineStr">
        <is>
          <t>439057</t>
        </is>
      </c>
      <c r="C1582" s="38" t="inlineStr">
        <is>
          <t>Y050</t>
        </is>
      </c>
      <c r="D1582" s="38" t="inlineStr">
        <is>
          <t>TOTAL</t>
        </is>
      </c>
      <c r="E1582" s="38" t="inlineStr">
        <is>
          <t>POP</t>
        </is>
      </c>
      <c r="F1582" s="38" t="n">
        <v>504</v>
      </c>
    </row>
    <row r="1583" ht="15" customHeight="1" s="39">
      <c r="A1583" s="38" t="inlineStr">
        <is>
          <t>2021</t>
        </is>
      </c>
      <c r="B1583" s="42" t="inlineStr">
        <is>
          <t>439057</t>
        </is>
      </c>
      <c r="C1583" s="38" t="inlineStr">
        <is>
          <t>Y051</t>
        </is>
      </c>
      <c r="D1583" s="38" t="inlineStr">
        <is>
          <t>TOTAL</t>
        </is>
      </c>
      <c r="E1583" s="38" t="inlineStr">
        <is>
          <t>POP</t>
        </is>
      </c>
      <c r="F1583" s="38" t="n">
        <v>459</v>
      </c>
    </row>
    <row r="1584" ht="15" customHeight="1" s="39">
      <c r="A1584" s="38" t="inlineStr">
        <is>
          <t>2021</t>
        </is>
      </c>
      <c r="B1584" s="42" t="inlineStr">
        <is>
          <t>439057</t>
        </is>
      </c>
      <c r="C1584" s="38" t="inlineStr">
        <is>
          <t>Y052</t>
        </is>
      </c>
      <c r="D1584" s="38" t="inlineStr">
        <is>
          <t>TOTAL</t>
        </is>
      </c>
      <c r="E1584" s="38" t="inlineStr">
        <is>
          <t>POP</t>
        </is>
      </c>
      <c r="F1584" s="38" t="n">
        <v>488</v>
      </c>
    </row>
    <row r="1585" ht="15" customHeight="1" s="39">
      <c r="A1585" s="38" t="inlineStr">
        <is>
          <t>2021</t>
        </is>
      </c>
      <c r="B1585" s="42" t="inlineStr">
        <is>
          <t>439057</t>
        </is>
      </c>
      <c r="C1585" s="38" t="inlineStr">
        <is>
          <t>Y053</t>
        </is>
      </c>
      <c r="D1585" s="38" t="inlineStr">
        <is>
          <t>TOTAL</t>
        </is>
      </c>
      <c r="E1585" s="38" t="inlineStr">
        <is>
          <t>POP</t>
        </is>
      </c>
      <c r="F1585" s="38" t="n">
        <v>447</v>
      </c>
    </row>
    <row r="1586" ht="15" customHeight="1" s="39">
      <c r="A1586" s="38" t="inlineStr">
        <is>
          <t>2021</t>
        </is>
      </c>
      <c r="B1586" s="42" t="inlineStr">
        <is>
          <t>439057</t>
        </is>
      </c>
      <c r="C1586" s="38" t="inlineStr">
        <is>
          <t>Y054</t>
        </is>
      </c>
      <c r="D1586" s="38" t="inlineStr">
        <is>
          <t>TOTAL</t>
        </is>
      </c>
      <c r="E1586" s="38" t="inlineStr">
        <is>
          <t>POP</t>
        </is>
      </c>
      <c r="F1586" s="38" t="n">
        <v>444</v>
      </c>
    </row>
    <row r="1587" ht="15" customHeight="1" s="39">
      <c r="A1587" s="38" t="inlineStr">
        <is>
          <t>2021</t>
        </is>
      </c>
      <c r="B1587" s="42" t="inlineStr">
        <is>
          <t>439057</t>
        </is>
      </c>
      <c r="C1587" s="38" t="inlineStr">
        <is>
          <t>Y055</t>
        </is>
      </c>
      <c r="D1587" s="38" t="inlineStr">
        <is>
          <t>TOTAL</t>
        </is>
      </c>
      <c r="E1587" s="38" t="inlineStr">
        <is>
          <t>POP</t>
        </is>
      </c>
      <c r="F1587" s="38" t="n">
        <v>433</v>
      </c>
    </row>
    <row r="1588" ht="15" customHeight="1" s="39">
      <c r="A1588" s="38" t="inlineStr">
        <is>
          <t>2021</t>
        </is>
      </c>
      <c r="B1588" s="42" t="inlineStr">
        <is>
          <t>439057</t>
        </is>
      </c>
      <c r="C1588" s="38" t="inlineStr">
        <is>
          <t>Y056</t>
        </is>
      </c>
      <c r="D1588" s="38" t="inlineStr">
        <is>
          <t>TOTAL</t>
        </is>
      </c>
      <c r="E1588" s="38" t="inlineStr">
        <is>
          <t>POP</t>
        </is>
      </c>
      <c r="F1588" s="38" t="n">
        <v>376</v>
      </c>
    </row>
    <row r="1589" ht="15" customHeight="1" s="39">
      <c r="A1589" s="38" t="inlineStr">
        <is>
          <t>2021</t>
        </is>
      </c>
      <c r="B1589" s="42" t="inlineStr">
        <is>
          <t>439057</t>
        </is>
      </c>
      <c r="C1589" s="38" t="inlineStr">
        <is>
          <t>Y057</t>
        </is>
      </c>
      <c r="D1589" s="38" t="inlineStr">
        <is>
          <t>TOTAL</t>
        </is>
      </c>
      <c r="E1589" s="38" t="inlineStr">
        <is>
          <t>POP</t>
        </is>
      </c>
      <c r="F1589" s="38" t="n">
        <v>396</v>
      </c>
    </row>
    <row r="1590" ht="15" customHeight="1" s="39">
      <c r="A1590" s="38" t="inlineStr">
        <is>
          <t>2021</t>
        </is>
      </c>
      <c r="B1590" s="42" t="inlineStr">
        <is>
          <t>439057</t>
        </is>
      </c>
      <c r="C1590" s="38" t="inlineStr">
        <is>
          <t>Y058</t>
        </is>
      </c>
      <c r="D1590" s="38" t="inlineStr">
        <is>
          <t>TOTAL</t>
        </is>
      </c>
      <c r="E1590" s="38" t="inlineStr">
        <is>
          <t>POP</t>
        </is>
      </c>
      <c r="F1590" s="38" t="n">
        <v>376</v>
      </c>
    </row>
    <row r="1591" ht="15" customHeight="1" s="39">
      <c r="A1591" s="38" t="inlineStr">
        <is>
          <t>2021</t>
        </is>
      </c>
      <c r="B1591" s="42" t="inlineStr">
        <is>
          <t>439057</t>
        </is>
      </c>
      <c r="C1591" s="38" t="inlineStr">
        <is>
          <t>Y059</t>
        </is>
      </c>
      <c r="D1591" s="38" t="inlineStr">
        <is>
          <t>TOTAL</t>
        </is>
      </c>
      <c r="E1591" s="38" t="inlineStr">
        <is>
          <t>POP</t>
        </is>
      </c>
      <c r="F1591" s="38" t="n">
        <v>359</v>
      </c>
    </row>
    <row r="1592" ht="15" customHeight="1" s="39">
      <c r="A1592" s="38" t="inlineStr">
        <is>
          <t>2021</t>
        </is>
      </c>
      <c r="B1592" s="42" t="inlineStr">
        <is>
          <t>439057</t>
        </is>
      </c>
      <c r="C1592" s="38" t="inlineStr">
        <is>
          <t>Y060</t>
        </is>
      </c>
      <c r="D1592" s="38" t="inlineStr">
        <is>
          <t>TOTAL</t>
        </is>
      </c>
      <c r="E1592" s="38" t="inlineStr">
        <is>
          <t>POP</t>
        </is>
      </c>
      <c r="F1592" s="38" t="n">
        <v>356</v>
      </c>
    </row>
    <row r="1593" ht="15" customHeight="1" s="39">
      <c r="A1593" s="38" t="inlineStr">
        <is>
          <t>2021</t>
        </is>
      </c>
      <c r="B1593" s="42" t="inlineStr">
        <is>
          <t>439057</t>
        </is>
      </c>
      <c r="C1593" s="38" t="inlineStr">
        <is>
          <t>Y061</t>
        </is>
      </c>
      <c r="D1593" s="38" t="inlineStr">
        <is>
          <t>TOTAL</t>
        </is>
      </c>
      <c r="E1593" s="38" t="inlineStr">
        <is>
          <t>POP</t>
        </is>
      </c>
      <c r="F1593" s="38" t="n">
        <v>327</v>
      </c>
    </row>
    <row r="1594" ht="15" customHeight="1" s="39">
      <c r="A1594" s="38" t="inlineStr">
        <is>
          <t>2021</t>
        </is>
      </c>
      <c r="B1594" s="42" t="inlineStr">
        <is>
          <t>439057</t>
        </is>
      </c>
      <c r="C1594" s="38" t="inlineStr">
        <is>
          <t>Y062</t>
        </is>
      </c>
      <c r="D1594" s="38" t="inlineStr">
        <is>
          <t>TOTAL</t>
        </is>
      </c>
      <c r="E1594" s="38" t="inlineStr">
        <is>
          <t>POP</t>
        </is>
      </c>
      <c r="F1594" s="38" t="n">
        <v>349</v>
      </c>
    </row>
    <row r="1595" ht="15" customHeight="1" s="39">
      <c r="A1595" s="38" t="inlineStr">
        <is>
          <t>2021</t>
        </is>
      </c>
      <c r="B1595" s="42" t="inlineStr">
        <is>
          <t>439057</t>
        </is>
      </c>
      <c r="C1595" s="38" t="inlineStr">
        <is>
          <t>Y063</t>
        </is>
      </c>
      <c r="D1595" s="38" t="inlineStr">
        <is>
          <t>TOTAL</t>
        </is>
      </c>
      <c r="E1595" s="38" t="inlineStr">
        <is>
          <t>POP</t>
        </is>
      </c>
      <c r="F1595" s="38" t="n">
        <v>308</v>
      </c>
    </row>
    <row r="1596" ht="15" customHeight="1" s="39">
      <c r="A1596" s="38" t="inlineStr">
        <is>
          <t>2021</t>
        </is>
      </c>
      <c r="B1596" s="42" t="inlineStr">
        <is>
          <t>439057</t>
        </is>
      </c>
      <c r="C1596" s="38" t="inlineStr">
        <is>
          <t>Y064</t>
        </is>
      </c>
      <c r="D1596" s="38" t="inlineStr">
        <is>
          <t>TOTAL</t>
        </is>
      </c>
      <c r="E1596" s="38" t="inlineStr">
        <is>
          <t>POP</t>
        </is>
      </c>
      <c r="F1596" s="38" t="n">
        <v>269</v>
      </c>
    </row>
    <row r="1597" ht="15" customHeight="1" s="39">
      <c r="A1597" s="38" t="inlineStr">
        <is>
          <t>2021</t>
        </is>
      </c>
      <c r="B1597" s="42" t="inlineStr">
        <is>
          <t>439057</t>
        </is>
      </c>
      <c r="C1597" s="38" t="inlineStr">
        <is>
          <t>Y065</t>
        </is>
      </c>
      <c r="D1597" s="38" t="inlineStr">
        <is>
          <t>TOTAL</t>
        </is>
      </c>
      <c r="E1597" s="38" t="inlineStr">
        <is>
          <t>POP</t>
        </is>
      </c>
      <c r="F1597" s="38" t="n">
        <v>276</v>
      </c>
    </row>
    <row r="1598" ht="15" customHeight="1" s="39">
      <c r="A1598" s="38" t="inlineStr">
        <is>
          <t>2021</t>
        </is>
      </c>
      <c r="B1598" s="42" t="inlineStr">
        <is>
          <t>439057</t>
        </is>
      </c>
      <c r="C1598" s="38" t="inlineStr">
        <is>
          <t>Y066</t>
        </is>
      </c>
      <c r="D1598" s="38" t="inlineStr">
        <is>
          <t>TOTAL</t>
        </is>
      </c>
      <c r="E1598" s="38" t="inlineStr">
        <is>
          <t>POP</t>
        </is>
      </c>
      <c r="F1598" s="38" t="n">
        <v>246</v>
      </c>
    </row>
    <row r="1599" ht="15" customHeight="1" s="39">
      <c r="A1599" s="38" t="inlineStr">
        <is>
          <t>2021</t>
        </is>
      </c>
      <c r="B1599" s="42" t="inlineStr">
        <is>
          <t>439057</t>
        </is>
      </c>
      <c r="C1599" s="38" t="inlineStr">
        <is>
          <t>Y067</t>
        </is>
      </c>
      <c r="D1599" s="38" t="inlineStr">
        <is>
          <t>TOTAL</t>
        </is>
      </c>
      <c r="E1599" s="38" t="inlineStr">
        <is>
          <t>POP</t>
        </is>
      </c>
      <c r="F1599" s="38" t="n">
        <v>231</v>
      </c>
    </row>
    <row r="1600" ht="15" customHeight="1" s="39">
      <c r="A1600" s="38" t="inlineStr">
        <is>
          <t>2021</t>
        </is>
      </c>
      <c r="B1600" s="42" t="inlineStr">
        <is>
          <t>439057</t>
        </is>
      </c>
      <c r="C1600" s="38" t="inlineStr">
        <is>
          <t>Y068</t>
        </is>
      </c>
      <c r="D1600" s="38" t="inlineStr">
        <is>
          <t>TOTAL</t>
        </is>
      </c>
      <c r="E1600" s="38" t="inlineStr">
        <is>
          <t>POP</t>
        </is>
      </c>
      <c r="F1600" s="38" t="n">
        <v>253</v>
      </c>
    </row>
    <row r="1601" ht="15" customHeight="1" s="39">
      <c r="A1601" s="38" t="inlineStr">
        <is>
          <t>2021</t>
        </is>
      </c>
      <c r="B1601" s="42" t="inlineStr">
        <is>
          <t>439057</t>
        </is>
      </c>
      <c r="C1601" s="38" t="inlineStr">
        <is>
          <t>Y069</t>
        </is>
      </c>
      <c r="D1601" s="38" t="inlineStr">
        <is>
          <t>TOTAL</t>
        </is>
      </c>
      <c r="E1601" s="38" t="inlineStr">
        <is>
          <t>POP</t>
        </is>
      </c>
      <c r="F1601" s="38" t="n">
        <v>236</v>
      </c>
    </row>
    <row r="1602" ht="15" customHeight="1" s="39">
      <c r="A1602" s="38" t="inlineStr">
        <is>
          <t>2021</t>
        </is>
      </c>
      <c r="B1602" s="42" t="inlineStr">
        <is>
          <t>439057</t>
        </is>
      </c>
      <c r="C1602" s="38" t="inlineStr">
        <is>
          <t>Y070</t>
        </is>
      </c>
      <c r="D1602" s="38" t="inlineStr">
        <is>
          <t>TOTAL</t>
        </is>
      </c>
      <c r="E1602" s="38" t="inlineStr">
        <is>
          <t>POP</t>
        </is>
      </c>
      <c r="F1602" s="38" t="n">
        <v>205</v>
      </c>
    </row>
    <row r="1603" ht="15" customHeight="1" s="39">
      <c r="A1603" s="38" t="inlineStr">
        <is>
          <t>2021</t>
        </is>
      </c>
      <c r="B1603" s="42" t="inlineStr">
        <is>
          <t>439057</t>
        </is>
      </c>
      <c r="C1603" s="38" t="inlineStr">
        <is>
          <t>Y071</t>
        </is>
      </c>
      <c r="D1603" s="38" t="inlineStr">
        <is>
          <t>TOTAL</t>
        </is>
      </c>
      <c r="E1603" s="38" t="inlineStr">
        <is>
          <t>POP</t>
        </is>
      </c>
      <c r="F1603" s="38" t="n">
        <v>220</v>
      </c>
    </row>
    <row r="1604" ht="15" customHeight="1" s="39">
      <c r="A1604" s="38" t="inlineStr">
        <is>
          <t>2021</t>
        </is>
      </c>
      <c r="B1604" s="42" t="inlineStr">
        <is>
          <t>439057</t>
        </is>
      </c>
      <c r="C1604" s="38" t="inlineStr">
        <is>
          <t>Y072</t>
        </is>
      </c>
      <c r="D1604" s="38" t="inlineStr">
        <is>
          <t>TOTAL</t>
        </is>
      </c>
      <c r="E1604" s="38" t="inlineStr">
        <is>
          <t>POP</t>
        </is>
      </c>
      <c r="F1604" s="38" t="n">
        <v>217</v>
      </c>
    </row>
    <row r="1605" ht="15" customHeight="1" s="39">
      <c r="A1605" s="38" t="inlineStr">
        <is>
          <t>2021</t>
        </is>
      </c>
      <c r="B1605" s="42" t="inlineStr">
        <is>
          <t>439057</t>
        </is>
      </c>
      <c r="C1605" s="38" t="inlineStr">
        <is>
          <t>Y073</t>
        </is>
      </c>
      <c r="D1605" s="38" t="inlineStr">
        <is>
          <t>TOTAL</t>
        </is>
      </c>
      <c r="E1605" s="38" t="inlineStr">
        <is>
          <t>POP</t>
        </is>
      </c>
      <c r="F1605" s="38" t="n">
        <v>193</v>
      </c>
    </row>
    <row r="1606" ht="15" customHeight="1" s="39">
      <c r="A1606" s="38" t="inlineStr">
        <is>
          <t>2021</t>
        </is>
      </c>
      <c r="B1606" s="42" t="inlineStr">
        <is>
          <t>439057</t>
        </is>
      </c>
      <c r="C1606" s="38" t="inlineStr">
        <is>
          <t>Y074</t>
        </is>
      </c>
      <c r="D1606" s="38" t="inlineStr">
        <is>
          <t>TOTAL</t>
        </is>
      </c>
      <c r="E1606" s="38" t="inlineStr">
        <is>
          <t>POP</t>
        </is>
      </c>
      <c r="F1606" s="38" t="n">
        <v>186</v>
      </c>
    </row>
    <row r="1607" ht="15" customHeight="1" s="39">
      <c r="A1607" s="38" t="inlineStr">
        <is>
          <t>2021</t>
        </is>
      </c>
      <c r="B1607" s="42" t="inlineStr">
        <is>
          <t>439057</t>
        </is>
      </c>
      <c r="C1607" s="38" t="inlineStr">
        <is>
          <t>Y075</t>
        </is>
      </c>
      <c r="D1607" s="38" t="inlineStr">
        <is>
          <t>TOTAL</t>
        </is>
      </c>
      <c r="E1607" s="38" t="inlineStr">
        <is>
          <t>POP</t>
        </is>
      </c>
      <c r="F1607" s="38" t="n">
        <v>169</v>
      </c>
    </row>
    <row r="1608" ht="15" customHeight="1" s="39">
      <c r="A1608" s="38" t="inlineStr">
        <is>
          <t>2021</t>
        </is>
      </c>
      <c r="B1608" s="42" t="inlineStr">
        <is>
          <t>439057</t>
        </is>
      </c>
      <c r="C1608" s="38" t="inlineStr">
        <is>
          <t>Y076</t>
        </is>
      </c>
      <c r="D1608" s="38" t="inlineStr">
        <is>
          <t>TOTAL</t>
        </is>
      </c>
      <c r="E1608" s="38" t="inlineStr">
        <is>
          <t>POP</t>
        </is>
      </c>
      <c r="F1608" s="38" t="n">
        <v>146</v>
      </c>
    </row>
    <row r="1609" ht="15" customHeight="1" s="39">
      <c r="A1609" s="38" t="inlineStr">
        <is>
          <t>2021</t>
        </is>
      </c>
      <c r="B1609" s="42" t="inlineStr">
        <is>
          <t>439057</t>
        </is>
      </c>
      <c r="C1609" s="38" t="inlineStr">
        <is>
          <t>Y077</t>
        </is>
      </c>
      <c r="D1609" s="38" t="inlineStr">
        <is>
          <t>TOTAL</t>
        </is>
      </c>
      <c r="E1609" s="38" t="inlineStr">
        <is>
          <t>POP</t>
        </is>
      </c>
      <c r="F1609" s="38" t="n">
        <v>126</v>
      </c>
    </row>
    <row r="1610" ht="15" customHeight="1" s="39">
      <c r="A1610" s="38" t="inlineStr">
        <is>
          <t>2021</t>
        </is>
      </c>
      <c r="B1610" s="42" t="inlineStr">
        <is>
          <t>439057</t>
        </is>
      </c>
      <c r="C1610" s="38" t="inlineStr">
        <is>
          <t>Y078</t>
        </is>
      </c>
      <c r="D1610" s="38" t="inlineStr">
        <is>
          <t>TOTAL</t>
        </is>
      </c>
      <c r="E1610" s="38" t="inlineStr">
        <is>
          <t>POP</t>
        </is>
      </c>
      <c r="F1610" s="38" t="n">
        <v>98</v>
      </c>
    </row>
    <row r="1611" ht="15" customHeight="1" s="39">
      <c r="A1611" s="38" t="inlineStr">
        <is>
          <t>2021</t>
        </is>
      </c>
      <c r="B1611" s="42" t="inlineStr">
        <is>
          <t>439057</t>
        </is>
      </c>
      <c r="C1611" s="38" t="inlineStr">
        <is>
          <t>Y079</t>
        </is>
      </c>
      <c r="D1611" s="38" t="inlineStr">
        <is>
          <t>TOTAL</t>
        </is>
      </c>
      <c r="E1611" s="38" t="inlineStr">
        <is>
          <t>POP</t>
        </is>
      </c>
      <c r="F1611" s="38" t="n">
        <v>93</v>
      </c>
    </row>
    <row r="1612" ht="15" customHeight="1" s="39">
      <c r="A1612" s="38" t="inlineStr">
        <is>
          <t>2021</t>
        </is>
      </c>
      <c r="B1612" s="42" t="inlineStr">
        <is>
          <t>439057</t>
        </is>
      </c>
      <c r="C1612" s="38" t="inlineStr">
        <is>
          <t>Y080</t>
        </is>
      </c>
      <c r="D1612" s="38" t="inlineStr">
        <is>
          <t>TOTAL</t>
        </is>
      </c>
      <c r="E1612" s="38" t="inlineStr">
        <is>
          <t>POP</t>
        </is>
      </c>
      <c r="F1612" s="38" t="n">
        <v>108</v>
      </c>
    </row>
    <row r="1613" ht="15" customHeight="1" s="39">
      <c r="A1613" s="38" t="inlineStr">
        <is>
          <t>2021</t>
        </is>
      </c>
      <c r="B1613" s="42" t="inlineStr">
        <is>
          <t>439057</t>
        </is>
      </c>
      <c r="C1613" s="38" t="inlineStr">
        <is>
          <t>Y081</t>
        </is>
      </c>
      <c r="D1613" s="38" t="inlineStr">
        <is>
          <t>TOTAL</t>
        </is>
      </c>
      <c r="E1613" s="38" t="inlineStr">
        <is>
          <t>POP</t>
        </is>
      </c>
      <c r="F1613" s="38" t="n">
        <v>65</v>
      </c>
    </row>
    <row r="1614" ht="15" customHeight="1" s="39">
      <c r="A1614" s="38" t="inlineStr">
        <is>
          <t>2021</t>
        </is>
      </c>
      <c r="B1614" s="42" t="inlineStr">
        <is>
          <t>439057</t>
        </is>
      </c>
      <c r="C1614" s="38" t="inlineStr">
        <is>
          <t>Y082</t>
        </is>
      </c>
      <c r="D1614" s="38" t="inlineStr">
        <is>
          <t>TOTAL</t>
        </is>
      </c>
      <c r="E1614" s="38" t="inlineStr">
        <is>
          <t>POP</t>
        </is>
      </c>
      <c r="F1614" s="38" t="n">
        <v>81</v>
      </c>
    </row>
    <row r="1615" ht="15" customHeight="1" s="39">
      <c r="A1615" s="38" t="inlineStr">
        <is>
          <t>2021</t>
        </is>
      </c>
      <c r="B1615" s="42" t="inlineStr">
        <is>
          <t>439057</t>
        </is>
      </c>
      <c r="C1615" s="38" t="inlineStr">
        <is>
          <t>Y083</t>
        </is>
      </c>
      <c r="D1615" s="38" t="inlineStr">
        <is>
          <t>TOTAL</t>
        </is>
      </c>
      <c r="E1615" s="38" t="inlineStr">
        <is>
          <t>POP</t>
        </is>
      </c>
      <c r="F1615" s="38" t="n">
        <v>79</v>
      </c>
    </row>
    <row r="1616" ht="15" customHeight="1" s="39">
      <c r="A1616" s="38" t="inlineStr">
        <is>
          <t>2021</t>
        </is>
      </c>
      <c r="B1616" s="42" t="inlineStr">
        <is>
          <t>439057</t>
        </is>
      </c>
      <c r="C1616" s="38" t="inlineStr">
        <is>
          <t>Y084</t>
        </is>
      </c>
      <c r="D1616" s="38" t="inlineStr">
        <is>
          <t>TOTAL</t>
        </is>
      </c>
      <c r="E1616" s="38" t="inlineStr">
        <is>
          <t>POP</t>
        </is>
      </c>
      <c r="F1616" s="38" t="n">
        <v>97</v>
      </c>
    </row>
    <row r="1617" ht="15" customHeight="1" s="39">
      <c r="A1617" s="38" t="inlineStr">
        <is>
          <t>2021</t>
        </is>
      </c>
      <c r="B1617" s="42" t="inlineStr">
        <is>
          <t>439057</t>
        </is>
      </c>
      <c r="C1617" s="38" t="inlineStr">
        <is>
          <t>Y085</t>
        </is>
      </c>
      <c r="D1617" s="38" t="inlineStr">
        <is>
          <t>TOTAL</t>
        </is>
      </c>
      <c r="E1617" s="38" t="inlineStr">
        <is>
          <t>POP</t>
        </is>
      </c>
      <c r="F1617" s="38" t="n">
        <v>80</v>
      </c>
    </row>
    <row r="1618" ht="15" customHeight="1" s="39">
      <c r="A1618" s="38" t="inlineStr">
        <is>
          <t>2021</t>
        </is>
      </c>
      <c r="B1618" s="42" t="inlineStr">
        <is>
          <t>439057</t>
        </is>
      </c>
      <c r="C1618" s="38" t="inlineStr">
        <is>
          <t>Y086</t>
        </is>
      </c>
      <c r="D1618" s="38" t="inlineStr">
        <is>
          <t>TOTAL</t>
        </is>
      </c>
      <c r="E1618" s="38" t="inlineStr">
        <is>
          <t>POP</t>
        </is>
      </c>
      <c r="F1618" s="38" t="n">
        <v>75</v>
      </c>
    </row>
    <row r="1619" ht="15" customHeight="1" s="39">
      <c r="A1619" s="38" t="inlineStr">
        <is>
          <t>2021</t>
        </is>
      </c>
      <c r="B1619" s="42" t="inlineStr">
        <is>
          <t>439057</t>
        </is>
      </c>
      <c r="C1619" s="38" t="inlineStr">
        <is>
          <t>Y087</t>
        </is>
      </c>
      <c r="D1619" s="38" t="inlineStr">
        <is>
          <t>TOTAL</t>
        </is>
      </c>
      <c r="E1619" s="38" t="inlineStr">
        <is>
          <t>POP</t>
        </is>
      </c>
      <c r="F1619" s="38" t="n">
        <v>64</v>
      </c>
    </row>
    <row r="1620" ht="15" customHeight="1" s="39">
      <c r="A1620" s="38" t="inlineStr">
        <is>
          <t>2021</t>
        </is>
      </c>
      <c r="B1620" s="42" t="inlineStr">
        <is>
          <t>439057</t>
        </is>
      </c>
      <c r="C1620" s="38" t="inlineStr">
        <is>
          <t>Y088</t>
        </is>
      </c>
      <c r="D1620" s="38" t="inlineStr">
        <is>
          <t>TOTAL</t>
        </is>
      </c>
      <c r="E1620" s="38" t="inlineStr">
        <is>
          <t>POP</t>
        </is>
      </c>
      <c r="F1620" s="38" t="n">
        <v>49</v>
      </c>
    </row>
    <row r="1621" ht="15" customHeight="1" s="39">
      <c r="A1621" s="38" t="inlineStr">
        <is>
          <t>2021</t>
        </is>
      </c>
      <c r="B1621" s="42" t="inlineStr">
        <is>
          <t>439057</t>
        </is>
      </c>
      <c r="C1621" s="38" t="inlineStr">
        <is>
          <t>Y089</t>
        </is>
      </c>
      <c r="D1621" s="38" t="inlineStr">
        <is>
          <t>TOTAL</t>
        </is>
      </c>
      <c r="E1621" s="38" t="inlineStr">
        <is>
          <t>POP</t>
        </is>
      </c>
      <c r="F1621" s="38" t="n">
        <v>42</v>
      </c>
    </row>
    <row r="1622" ht="15" customHeight="1" s="39">
      <c r="A1622" s="38" t="inlineStr">
        <is>
          <t>2021</t>
        </is>
      </c>
      <c r="B1622" s="42" t="inlineStr">
        <is>
          <t>439057</t>
        </is>
      </c>
      <c r="C1622" s="38" t="inlineStr">
        <is>
          <t>Y090</t>
        </is>
      </c>
      <c r="D1622" s="38" t="inlineStr">
        <is>
          <t>TOTAL</t>
        </is>
      </c>
      <c r="E1622" s="38" t="inlineStr">
        <is>
          <t>POP</t>
        </is>
      </c>
      <c r="F1622" s="38" t="n">
        <v>43</v>
      </c>
    </row>
    <row r="1623" ht="15" customHeight="1" s="39">
      <c r="A1623" s="38" t="inlineStr">
        <is>
          <t>2021</t>
        </is>
      </c>
      <c r="B1623" s="42" t="inlineStr">
        <is>
          <t>439057</t>
        </is>
      </c>
      <c r="C1623" s="38" t="inlineStr">
        <is>
          <t>Y091</t>
        </is>
      </c>
      <c r="D1623" s="38" t="inlineStr">
        <is>
          <t>TOTAL</t>
        </is>
      </c>
      <c r="E1623" s="38" t="inlineStr">
        <is>
          <t>POP</t>
        </is>
      </c>
      <c r="F1623" s="38" t="n">
        <v>32</v>
      </c>
    </row>
    <row r="1624" ht="15" customHeight="1" s="39">
      <c r="A1624" s="38" t="inlineStr">
        <is>
          <t>2021</t>
        </is>
      </c>
      <c r="B1624" s="42" t="inlineStr">
        <is>
          <t>439057</t>
        </is>
      </c>
      <c r="C1624" s="38" t="inlineStr">
        <is>
          <t>Y092</t>
        </is>
      </c>
      <c r="D1624" s="38" t="inlineStr">
        <is>
          <t>TOTAL</t>
        </is>
      </c>
      <c r="E1624" s="38" t="inlineStr">
        <is>
          <t>POP</t>
        </is>
      </c>
      <c r="F1624" s="38" t="n">
        <v>37</v>
      </c>
    </row>
    <row r="1625" ht="15" customHeight="1" s="39">
      <c r="A1625" s="38" t="inlineStr">
        <is>
          <t>2021</t>
        </is>
      </c>
      <c r="B1625" s="42" t="inlineStr">
        <is>
          <t>439057</t>
        </is>
      </c>
      <c r="C1625" s="38" t="inlineStr">
        <is>
          <t>Y093</t>
        </is>
      </c>
      <c r="D1625" s="38" t="inlineStr">
        <is>
          <t>TOTAL</t>
        </is>
      </c>
      <c r="E1625" s="38" t="inlineStr">
        <is>
          <t>POP</t>
        </is>
      </c>
      <c r="F1625" s="38" t="n">
        <v>18</v>
      </c>
    </row>
    <row r="1626" ht="15" customHeight="1" s="39">
      <c r="A1626" s="38" t="inlineStr">
        <is>
          <t>2021</t>
        </is>
      </c>
      <c r="B1626" s="42" t="inlineStr">
        <is>
          <t>439057</t>
        </is>
      </c>
      <c r="C1626" s="38" t="inlineStr">
        <is>
          <t>Y094</t>
        </is>
      </c>
      <c r="D1626" s="38" t="inlineStr">
        <is>
          <t>TOTAL</t>
        </is>
      </c>
      <c r="E1626" s="38" t="inlineStr">
        <is>
          <t>POP</t>
        </is>
      </c>
      <c r="F1626" s="38" t="n">
        <v>19</v>
      </c>
    </row>
    <row r="1627" ht="15" customHeight="1" s="39">
      <c r="A1627" s="38" t="inlineStr">
        <is>
          <t>2021</t>
        </is>
      </c>
      <c r="B1627" s="42" t="inlineStr">
        <is>
          <t>439057</t>
        </is>
      </c>
      <c r="C1627" s="38" t="inlineStr">
        <is>
          <t>Y095</t>
        </is>
      </c>
      <c r="D1627" s="38" t="inlineStr">
        <is>
          <t>TOTAL</t>
        </is>
      </c>
      <c r="E1627" s="38" t="inlineStr">
        <is>
          <t>POP</t>
        </is>
      </c>
      <c r="F1627" s="38" t="n">
        <v>13</v>
      </c>
    </row>
    <row r="1628" ht="15" customHeight="1" s="39">
      <c r="A1628" s="38" t="inlineStr">
        <is>
          <t>2021</t>
        </is>
      </c>
      <c r="B1628" s="42" t="inlineStr">
        <is>
          <t>439057</t>
        </is>
      </c>
      <c r="C1628" s="38" t="inlineStr">
        <is>
          <t>Y096</t>
        </is>
      </c>
      <c r="D1628" s="38" t="inlineStr">
        <is>
          <t>TOTAL</t>
        </is>
      </c>
      <c r="E1628" s="38" t="inlineStr">
        <is>
          <t>POP</t>
        </is>
      </c>
      <c r="F1628" s="38" t="n">
        <v>7</v>
      </c>
    </row>
    <row r="1629" ht="15" customHeight="1" s="39">
      <c r="A1629" s="38" t="inlineStr">
        <is>
          <t>2021</t>
        </is>
      </c>
      <c r="B1629" s="42" t="inlineStr">
        <is>
          <t>439057</t>
        </is>
      </c>
      <c r="C1629" s="38" t="inlineStr">
        <is>
          <t>Y097</t>
        </is>
      </c>
      <c r="D1629" s="38" t="inlineStr">
        <is>
          <t>TOTAL</t>
        </is>
      </c>
      <c r="E1629" s="38" t="inlineStr">
        <is>
          <t>POP</t>
        </is>
      </c>
      <c r="F1629" s="38" t="n">
        <v>3</v>
      </c>
    </row>
    <row r="1630" ht="15" customHeight="1" s="39">
      <c r="A1630" s="38" t="inlineStr">
        <is>
          <t>2021</t>
        </is>
      </c>
      <c r="B1630" s="42" t="inlineStr">
        <is>
          <t>439057</t>
        </is>
      </c>
      <c r="C1630" s="38" t="inlineStr">
        <is>
          <t>Y098</t>
        </is>
      </c>
      <c r="D1630" s="38" t="inlineStr">
        <is>
          <t>TOTAL</t>
        </is>
      </c>
      <c r="E1630" s="38" t="inlineStr">
        <is>
          <t>POP</t>
        </is>
      </c>
      <c r="F1630" s="38" t="n">
        <v>2</v>
      </c>
    </row>
    <row r="1631" ht="15" customHeight="1" s="39">
      <c r="A1631" s="38" t="inlineStr">
        <is>
          <t>2021</t>
        </is>
      </c>
      <c r="B1631" s="42" t="inlineStr">
        <is>
          <t>439057</t>
        </is>
      </c>
      <c r="C1631" s="38" t="inlineStr">
        <is>
          <t>Y099</t>
        </is>
      </c>
      <c r="D1631" s="38" t="inlineStr">
        <is>
          <t>TOTAL</t>
        </is>
      </c>
      <c r="E1631" s="38" t="inlineStr">
        <is>
          <t>POP</t>
        </is>
      </c>
      <c r="F1631" s="38" t="n">
        <v>2</v>
      </c>
    </row>
    <row r="1632" ht="15" customHeight="1" s="39">
      <c r="A1632" s="38" t="inlineStr">
        <is>
          <t>2021</t>
        </is>
      </c>
      <c r="B1632" s="42" t="inlineStr">
        <is>
          <t>439057</t>
        </is>
      </c>
      <c r="C1632" s="38" t="inlineStr">
        <is>
          <t>Y_GE100</t>
        </is>
      </c>
      <c r="D1632" s="38" t="inlineStr">
        <is>
          <t>TOTAL</t>
        </is>
      </c>
      <c r="E1632" s="38" t="inlineStr">
        <is>
          <t>POP</t>
        </is>
      </c>
      <c r="F1632" s="38" t="n">
        <v>4</v>
      </c>
    </row>
    <row r="1633" ht="15" customHeight="1" s="39">
      <c r="A1633" s="38" t="inlineStr">
        <is>
          <t>2021</t>
        </is>
      </c>
      <c r="B1633" s="42" t="inlineStr">
        <is>
          <t>439057</t>
        </is>
      </c>
      <c r="C1633" s="38" t="inlineStr">
        <is>
          <t>TOTAL</t>
        </is>
      </c>
      <c r="D1633" s="38" t="inlineStr">
        <is>
          <t>TOTAL</t>
        </is>
      </c>
      <c r="E1633" s="38" t="inlineStr">
        <is>
          <t>POP</t>
        </is>
      </c>
      <c r="F1633" s="38" t="n">
        <v>28314</v>
      </c>
    </row>
    <row r="1634" ht="15" customHeight="1" s="39">
      <c r="A1634" s="38" t="inlineStr">
        <is>
          <t>2021</t>
        </is>
      </c>
      <c r="B1634" s="42" t="inlineStr">
        <is>
          <t>431444</t>
        </is>
      </c>
      <c r="C1634" s="38" t="inlineStr">
        <is>
          <t>Y000</t>
        </is>
      </c>
      <c r="D1634" s="38" t="inlineStr">
        <is>
          <t>TOTAL</t>
        </is>
      </c>
      <c r="E1634" s="38" t="inlineStr">
        <is>
          <t>POP</t>
        </is>
      </c>
      <c r="F1634" s="38" t="n">
        <v>13</v>
      </c>
    </row>
    <row r="1635" ht="15" customHeight="1" s="39">
      <c r="A1635" s="38" t="inlineStr">
        <is>
          <t>2021</t>
        </is>
      </c>
      <c r="B1635" s="42" t="inlineStr">
        <is>
          <t>431444</t>
        </is>
      </c>
      <c r="C1635" s="38" t="inlineStr">
        <is>
          <t>Y001</t>
        </is>
      </c>
      <c r="D1635" s="38" t="inlineStr">
        <is>
          <t>TOTAL</t>
        </is>
      </c>
      <c r="E1635" s="38" t="inlineStr">
        <is>
          <t>POP</t>
        </is>
      </c>
      <c r="F1635" s="38" t="n">
        <v>24</v>
      </c>
    </row>
    <row r="1636" ht="15" customHeight="1" s="39">
      <c r="A1636" s="38" t="inlineStr">
        <is>
          <t>2021</t>
        </is>
      </c>
      <c r="B1636" s="42" t="inlineStr">
        <is>
          <t>431444</t>
        </is>
      </c>
      <c r="C1636" s="38" t="inlineStr">
        <is>
          <t>Y002</t>
        </is>
      </c>
      <c r="D1636" s="38" t="inlineStr">
        <is>
          <t>TOTAL</t>
        </is>
      </c>
      <c r="E1636" s="38" t="inlineStr">
        <is>
          <t>POP</t>
        </is>
      </c>
      <c r="F1636" s="38" t="n">
        <v>11</v>
      </c>
    </row>
    <row r="1637" ht="15" customHeight="1" s="39">
      <c r="A1637" s="38" t="inlineStr">
        <is>
          <t>2021</t>
        </is>
      </c>
      <c r="B1637" s="42" t="inlineStr">
        <is>
          <t>431444</t>
        </is>
      </c>
      <c r="C1637" s="38" t="inlineStr">
        <is>
          <t>Y003</t>
        </is>
      </c>
      <c r="D1637" s="38" t="inlineStr">
        <is>
          <t>TOTAL</t>
        </is>
      </c>
      <c r="E1637" s="38" t="inlineStr">
        <is>
          <t>POP</t>
        </is>
      </c>
      <c r="F1637" s="38" t="n">
        <v>18</v>
      </c>
    </row>
    <row r="1638" ht="15" customHeight="1" s="39">
      <c r="A1638" s="38" t="inlineStr">
        <is>
          <t>2021</t>
        </is>
      </c>
      <c r="B1638" s="42" t="inlineStr">
        <is>
          <t>431444</t>
        </is>
      </c>
      <c r="C1638" s="38" t="inlineStr">
        <is>
          <t>Y004</t>
        </is>
      </c>
      <c r="D1638" s="38" t="inlineStr">
        <is>
          <t>TOTAL</t>
        </is>
      </c>
      <c r="E1638" s="38" t="inlineStr">
        <is>
          <t>POP</t>
        </is>
      </c>
      <c r="F1638" s="38" t="n">
        <v>22</v>
      </c>
    </row>
    <row r="1639" ht="15" customHeight="1" s="39">
      <c r="A1639" s="38" t="inlineStr">
        <is>
          <t>2021</t>
        </is>
      </c>
      <c r="B1639" s="42" t="inlineStr">
        <is>
          <t>431444</t>
        </is>
      </c>
      <c r="C1639" s="38" t="inlineStr">
        <is>
          <t>Y005</t>
        </is>
      </c>
      <c r="D1639" s="38" t="inlineStr">
        <is>
          <t>TOTAL</t>
        </is>
      </c>
      <c r="E1639" s="38" t="inlineStr">
        <is>
          <t>POP</t>
        </is>
      </c>
      <c r="F1639" s="38" t="n">
        <v>20</v>
      </c>
    </row>
    <row r="1640" ht="15" customHeight="1" s="39">
      <c r="A1640" s="38" t="inlineStr">
        <is>
          <t>2021</t>
        </is>
      </c>
      <c r="B1640" s="42" t="inlineStr">
        <is>
          <t>431444</t>
        </is>
      </c>
      <c r="C1640" s="38" t="inlineStr">
        <is>
          <t>Y006</t>
        </is>
      </c>
      <c r="D1640" s="38" t="inlineStr">
        <is>
          <t>TOTAL</t>
        </is>
      </c>
      <c r="E1640" s="38" t="inlineStr">
        <is>
          <t>POP</t>
        </is>
      </c>
      <c r="F1640" s="38" t="n">
        <v>13</v>
      </c>
    </row>
    <row r="1641" ht="15" customHeight="1" s="39">
      <c r="A1641" s="38" t="inlineStr">
        <is>
          <t>2021</t>
        </is>
      </c>
      <c r="B1641" s="42" t="inlineStr">
        <is>
          <t>431444</t>
        </is>
      </c>
      <c r="C1641" s="38" t="inlineStr">
        <is>
          <t>Y007</t>
        </is>
      </c>
      <c r="D1641" s="38" t="inlineStr">
        <is>
          <t>TOTAL</t>
        </is>
      </c>
      <c r="E1641" s="38" t="inlineStr">
        <is>
          <t>POP</t>
        </is>
      </c>
      <c r="F1641" s="38" t="n">
        <v>22</v>
      </c>
    </row>
    <row r="1642" ht="15" customHeight="1" s="39">
      <c r="A1642" s="38" t="inlineStr">
        <is>
          <t>2021</t>
        </is>
      </c>
      <c r="B1642" s="42" t="inlineStr">
        <is>
          <t>431444</t>
        </is>
      </c>
      <c r="C1642" s="38" t="inlineStr">
        <is>
          <t>Y008</t>
        </is>
      </c>
      <c r="D1642" s="38" t="inlineStr">
        <is>
          <t>TOTAL</t>
        </is>
      </c>
      <c r="E1642" s="38" t="inlineStr">
        <is>
          <t>POP</t>
        </is>
      </c>
      <c r="F1642" s="38" t="n">
        <v>25</v>
      </c>
    </row>
    <row r="1643" ht="15" customHeight="1" s="39">
      <c r="A1643" s="38" t="inlineStr">
        <is>
          <t>2021</t>
        </is>
      </c>
      <c r="B1643" s="42" t="inlineStr">
        <is>
          <t>431444</t>
        </is>
      </c>
      <c r="C1643" s="38" t="inlineStr">
        <is>
          <t>Y009</t>
        </is>
      </c>
      <c r="D1643" s="38" t="inlineStr">
        <is>
          <t>TOTAL</t>
        </is>
      </c>
      <c r="E1643" s="38" t="inlineStr">
        <is>
          <t>POP</t>
        </is>
      </c>
      <c r="F1643" s="38" t="n">
        <v>7</v>
      </c>
    </row>
    <row r="1644" ht="15" customHeight="1" s="39">
      <c r="A1644" s="38" t="inlineStr">
        <is>
          <t>2021</t>
        </is>
      </c>
      <c r="B1644" s="42" t="inlineStr">
        <is>
          <t>431444</t>
        </is>
      </c>
      <c r="C1644" s="38" t="inlineStr">
        <is>
          <t>Y010</t>
        </is>
      </c>
      <c r="D1644" s="38" t="inlineStr">
        <is>
          <t>TOTAL</t>
        </is>
      </c>
      <c r="E1644" s="38" t="inlineStr">
        <is>
          <t>POP</t>
        </is>
      </c>
      <c r="F1644" s="38" t="n">
        <v>29</v>
      </c>
    </row>
    <row r="1645" ht="15" customHeight="1" s="39">
      <c r="A1645" s="38" t="inlineStr">
        <is>
          <t>2021</t>
        </is>
      </c>
      <c r="B1645" s="42" t="inlineStr">
        <is>
          <t>431444</t>
        </is>
      </c>
      <c r="C1645" s="38" t="inlineStr">
        <is>
          <t>Y011</t>
        </is>
      </c>
      <c r="D1645" s="38" t="inlineStr">
        <is>
          <t>TOTAL</t>
        </is>
      </c>
      <c r="E1645" s="38" t="inlineStr">
        <is>
          <t>POP</t>
        </is>
      </c>
      <c r="F1645" s="38" t="n">
        <v>18</v>
      </c>
    </row>
    <row r="1646" ht="15" customHeight="1" s="39">
      <c r="A1646" s="38" t="inlineStr">
        <is>
          <t>2021</t>
        </is>
      </c>
      <c r="B1646" s="42" t="inlineStr">
        <is>
          <t>431444</t>
        </is>
      </c>
      <c r="C1646" s="38" t="inlineStr">
        <is>
          <t>Y012</t>
        </is>
      </c>
      <c r="D1646" s="38" t="inlineStr">
        <is>
          <t>TOTAL</t>
        </is>
      </c>
      <c r="E1646" s="38" t="inlineStr">
        <is>
          <t>POP</t>
        </is>
      </c>
      <c r="F1646" s="38" t="n">
        <v>30</v>
      </c>
    </row>
    <row r="1647" ht="15" customHeight="1" s="39">
      <c r="A1647" s="38" t="inlineStr">
        <is>
          <t>2021</t>
        </is>
      </c>
      <c r="B1647" s="42" t="inlineStr">
        <is>
          <t>431444</t>
        </is>
      </c>
      <c r="C1647" s="38" t="inlineStr">
        <is>
          <t>Y013</t>
        </is>
      </c>
      <c r="D1647" s="38" t="inlineStr">
        <is>
          <t>TOTAL</t>
        </is>
      </c>
      <c r="E1647" s="38" t="inlineStr">
        <is>
          <t>POP</t>
        </is>
      </c>
      <c r="F1647" s="38" t="n">
        <v>24</v>
      </c>
    </row>
    <row r="1648" ht="15" customHeight="1" s="39">
      <c r="A1648" s="38" t="inlineStr">
        <is>
          <t>2021</t>
        </is>
      </c>
      <c r="B1648" s="42" t="inlineStr">
        <is>
          <t>431444</t>
        </is>
      </c>
      <c r="C1648" s="38" t="inlineStr">
        <is>
          <t>Y014</t>
        </is>
      </c>
      <c r="D1648" s="38" t="inlineStr">
        <is>
          <t>TOTAL</t>
        </is>
      </c>
      <c r="E1648" s="38" t="inlineStr">
        <is>
          <t>POP</t>
        </is>
      </c>
      <c r="F1648" s="38" t="n">
        <v>25</v>
      </c>
    </row>
    <row r="1649" ht="15" customHeight="1" s="39">
      <c r="A1649" s="38" t="inlineStr">
        <is>
          <t>2021</t>
        </is>
      </c>
      <c r="B1649" s="42" t="inlineStr">
        <is>
          <t>431444</t>
        </is>
      </c>
      <c r="C1649" s="38" t="inlineStr">
        <is>
          <t>Y015</t>
        </is>
      </c>
      <c r="D1649" s="38" t="inlineStr">
        <is>
          <t>TOTAL</t>
        </is>
      </c>
      <c r="E1649" s="38" t="inlineStr">
        <is>
          <t>POP</t>
        </is>
      </c>
      <c r="F1649" s="38" t="n">
        <v>16</v>
      </c>
    </row>
    <row r="1650" ht="15" customHeight="1" s="39">
      <c r="A1650" s="38" t="inlineStr">
        <is>
          <t>2021</t>
        </is>
      </c>
      <c r="B1650" s="42" t="inlineStr">
        <is>
          <t>431444</t>
        </is>
      </c>
      <c r="C1650" s="38" t="inlineStr">
        <is>
          <t>Y016</t>
        </is>
      </c>
      <c r="D1650" s="38" t="inlineStr">
        <is>
          <t>TOTAL</t>
        </is>
      </c>
      <c r="E1650" s="38" t="inlineStr">
        <is>
          <t>POP</t>
        </is>
      </c>
      <c r="F1650" s="38" t="n">
        <v>12</v>
      </c>
    </row>
    <row r="1651" ht="15" customHeight="1" s="39">
      <c r="A1651" s="38" t="inlineStr">
        <is>
          <t>2021</t>
        </is>
      </c>
      <c r="B1651" s="42" t="inlineStr">
        <is>
          <t>431444</t>
        </is>
      </c>
      <c r="C1651" s="38" t="inlineStr">
        <is>
          <t>Y017</t>
        </is>
      </c>
      <c r="D1651" s="38" t="inlineStr">
        <is>
          <t>TOTAL</t>
        </is>
      </c>
      <c r="E1651" s="38" t="inlineStr">
        <is>
          <t>POP</t>
        </is>
      </c>
      <c r="F1651" s="38" t="n">
        <v>23</v>
      </c>
    </row>
    <row r="1652" ht="15" customHeight="1" s="39">
      <c r="A1652" s="38" t="inlineStr">
        <is>
          <t>2021</t>
        </is>
      </c>
      <c r="B1652" s="42" t="inlineStr">
        <is>
          <t>431444</t>
        </is>
      </c>
      <c r="C1652" s="38" t="inlineStr">
        <is>
          <t>Y018</t>
        </is>
      </c>
      <c r="D1652" s="38" t="inlineStr">
        <is>
          <t>TOTAL</t>
        </is>
      </c>
      <c r="E1652" s="38" t="inlineStr">
        <is>
          <t>POP</t>
        </is>
      </c>
      <c r="F1652" s="38" t="n">
        <v>15</v>
      </c>
    </row>
    <row r="1653" ht="15" customHeight="1" s="39">
      <c r="A1653" s="38" t="inlineStr">
        <is>
          <t>2021</t>
        </is>
      </c>
      <c r="B1653" s="42" t="inlineStr">
        <is>
          <t>431444</t>
        </is>
      </c>
      <c r="C1653" s="38" t="inlineStr">
        <is>
          <t>Y019</t>
        </is>
      </c>
      <c r="D1653" s="38" t="inlineStr">
        <is>
          <t>TOTAL</t>
        </is>
      </c>
      <c r="E1653" s="38" t="inlineStr">
        <is>
          <t>POP</t>
        </is>
      </c>
      <c r="F1653" s="38" t="n">
        <v>12</v>
      </c>
    </row>
    <row r="1654" ht="15" customHeight="1" s="39">
      <c r="A1654" s="38" t="inlineStr">
        <is>
          <t>2021</t>
        </is>
      </c>
      <c r="B1654" s="42" t="inlineStr">
        <is>
          <t>431444</t>
        </is>
      </c>
      <c r="C1654" s="38" t="inlineStr">
        <is>
          <t>Y020</t>
        </is>
      </c>
      <c r="D1654" s="38" t="inlineStr">
        <is>
          <t>TOTAL</t>
        </is>
      </c>
      <c r="E1654" s="38" t="inlineStr">
        <is>
          <t>POP</t>
        </is>
      </c>
      <c r="F1654" s="38" t="n">
        <v>12</v>
      </c>
    </row>
    <row r="1655" ht="15" customHeight="1" s="39">
      <c r="A1655" s="38" t="inlineStr">
        <is>
          <t>2021</t>
        </is>
      </c>
      <c r="B1655" s="42" t="inlineStr">
        <is>
          <t>431444</t>
        </is>
      </c>
      <c r="C1655" s="38" t="inlineStr">
        <is>
          <t>Y021</t>
        </is>
      </c>
      <c r="D1655" s="38" t="inlineStr">
        <is>
          <t>TOTAL</t>
        </is>
      </c>
      <c r="E1655" s="38" t="inlineStr">
        <is>
          <t>POP</t>
        </is>
      </c>
      <c r="F1655" s="38" t="n">
        <v>20</v>
      </c>
    </row>
    <row r="1656" ht="15" customHeight="1" s="39">
      <c r="A1656" s="38" t="inlineStr">
        <is>
          <t>2021</t>
        </is>
      </c>
      <c r="B1656" s="42" t="inlineStr">
        <is>
          <t>431444</t>
        </is>
      </c>
      <c r="C1656" s="38" t="inlineStr">
        <is>
          <t>Y022</t>
        </is>
      </c>
      <c r="D1656" s="38" t="inlineStr">
        <is>
          <t>TOTAL</t>
        </is>
      </c>
      <c r="E1656" s="38" t="inlineStr">
        <is>
          <t>POP</t>
        </is>
      </c>
      <c r="F1656" s="38" t="n">
        <v>12</v>
      </c>
    </row>
    <row r="1657" ht="15" customHeight="1" s="39">
      <c r="A1657" s="38" t="inlineStr">
        <is>
          <t>2021</t>
        </is>
      </c>
      <c r="B1657" s="42" t="inlineStr">
        <is>
          <t>431444</t>
        </is>
      </c>
      <c r="C1657" s="38" t="inlineStr">
        <is>
          <t>Y023</t>
        </is>
      </c>
      <c r="D1657" s="38" t="inlineStr">
        <is>
          <t>TOTAL</t>
        </is>
      </c>
      <c r="E1657" s="38" t="inlineStr">
        <is>
          <t>POP</t>
        </is>
      </c>
      <c r="F1657" s="38" t="n">
        <v>8</v>
      </c>
    </row>
    <row r="1658" ht="15" customHeight="1" s="39">
      <c r="A1658" s="38" t="inlineStr">
        <is>
          <t>2021</t>
        </is>
      </c>
      <c r="B1658" s="42" t="inlineStr">
        <is>
          <t>431444</t>
        </is>
      </c>
      <c r="C1658" s="38" t="inlineStr">
        <is>
          <t>Y024</t>
        </is>
      </c>
      <c r="D1658" s="38" t="inlineStr">
        <is>
          <t>TOTAL</t>
        </is>
      </c>
      <c r="E1658" s="38" t="inlineStr">
        <is>
          <t>POP</t>
        </is>
      </c>
      <c r="F1658" s="38" t="n">
        <v>15</v>
      </c>
    </row>
    <row r="1659" ht="15" customHeight="1" s="39">
      <c r="A1659" s="38" t="inlineStr">
        <is>
          <t>2021</t>
        </is>
      </c>
      <c r="B1659" s="42" t="inlineStr">
        <is>
          <t>431444</t>
        </is>
      </c>
      <c r="C1659" s="38" t="inlineStr">
        <is>
          <t>Y025</t>
        </is>
      </c>
      <c r="D1659" s="38" t="inlineStr">
        <is>
          <t>TOTAL</t>
        </is>
      </c>
      <c r="E1659" s="38" t="inlineStr">
        <is>
          <t>POP</t>
        </is>
      </c>
      <c r="F1659" s="38" t="n">
        <v>13</v>
      </c>
    </row>
    <row r="1660" ht="15" customHeight="1" s="39">
      <c r="A1660" s="38" t="inlineStr">
        <is>
          <t>2021</t>
        </is>
      </c>
      <c r="B1660" s="42" t="inlineStr">
        <is>
          <t>431444</t>
        </is>
      </c>
      <c r="C1660" s="38" t="inlineStr">
        <is>
          <t>Y026</t>
        </is>
      </c>
      <c r="D1660" s="38" t="inlineStr">
        <is>
          <t>TOTAL</t>
        </is>
      </c>
      <c r="E1660" s="38" t="inlineStr">
        <is>
          <t>POP</t>
        </is>
      </c>
      <c r="F1660" s="38" t="n">
        <v>17</v>
      </c>
    </row>
    <row r="1661" ht="15" customHeight="1" s="39">
      <c r="A1661" s="38" t="inlineStr">
        <is>
          <t>2021</t>
        </is>
      </c>
      <c r="B1661" s="42" t="inlineStr">
        <is>
          <t>431444</t>
        </is>
      </c>
      <c r="C1661" s="38" t="inlineStr">
        <is>
          <t>Y027</t>
        </is>
      </c>
      <c r="D1661" s="38" t="inlineStr">
        <is>
          <t>TOTAL</t>
        </is>
      </c>
      <c r="E1661" s="38" t="inlineStr">
        <is>
          <t>POP</t>
        </is>
      </c>
      <c r="F1661" s="38" t="n">
        <v>16</v>
      </c>
    </row>
    <row r="1662" ht="15" customHeight="1" s="39">
      <c r="A1662" s="38" t="inlineStr">
        <is>
          <t>2021</t>
        </is>
      </c>
      <c r="B1662" s="42" t="inlineStr">
        <is>
          <t>431444</t>
        </is>
      </c>
      <c r="C1662" s="38" t="inlineStr">
        <is>
          <t>Y028</t>
        </is>
      </c>
      <c r="D1662" s="38" t="inlineStr">
        <is>
          <t>TOTAL</t>
        </is>
      </c>
      <c r="E1662" s="38" t="inlineStr">
        <is>
          <t>POP</t>
        </is>
      </c>
      <c r="F1662" s="38" t="n">
        <v>22</v>
      </c>
    </row>
    <row r="1663" ht="15" customHeight="1" s="39">
      <c r="A1663" s="38" t="inlineStr">
        <is>
          <t>2021</t>
        </is>
      </c>
      <c r="B1663" s="42" t="inlineStr">
        <is>
          <t>431444</t>
        </is>
      </c>
      <c r="C1663" s="38" t="inlineStr">
        <is>
          <t>Y029</t>
        </is>
      </c>
      <c r="D1663" s="38" t="inlineStr">
        <is>
          <t>TOTAL</t>
        </is>
      </c>
      <c r="E1663" s="38" t="inlineStr">
        <is>
          <t>POP</t>
        </is>
      </c>
      <c r="F1663" s="38" t="n">
        <v>20</v>
      </c>
    </row>
    <row r="1664" ht="15" customHeight="1" s="39">
      <c r="A1664" s="38" t="inlineStr">
        <is>
          <t>2021</t>
        </is>
      </c>
      <c r="B1664" s="42" t="inlineStr">
        <is>
          <t>431444</t>
        </is>
      </c>
      <c r="C1664" s="38" t="inlineStr">
        <is>
          <t>Y030</t>
        </is>
      </c>
      <c r="D1664" s="38" t="inlineStr">
        <is>
          <t>TOTAL</t>
        </is>
      </c>
      <c r="E1664" s="38" t="inlineStr">
        <is>
          <t>POP</t>
        </is>
      </c>
      <c r="F1664" s="38" t="n">
        <v>21</v>
      </c>
    </row>
    <row r="1665" ht="15" customHeight="1" s="39">
      <c r="A1665" s="38" t="inlineStr">
        <is>
          <t>2021</t>
        </is>
      </c>
      <c r="B1665" s="42" t="inlineStr">
        <is>
          <t>431444</t>
        </is>
      </c>
      <c r="C1665" s="38" t="inlineStr">
        <is>
          <t>Y031</t>
        </is>
      </c>
      <c r="D1665" s="38" t="inlineStr">
        <is>
          <t>TOTAL</t>
        </is>
      </c>
      <c r="E1665" s="38" t="inlineStr">
        <is>
          <t>POP</t>
        </is>
      </c>
      <c r="F1665" s="38" t="n">
        <v>24</v>
      </c>
    </row>
    <row r="1666" ht="15" customHeight="1" s="39">
      <c r="A1666" s="38" t="inlineStr">
        <is>
          <t>2021</t>
        </is>
      </c>
      <c r="B1666" s="42" t="inlineStr">
        <is>
          <t>431444</t>
        </is>
      </c>
      <c r="C1666" s="38" t="inlineStr">
        <is>
          <t>Y032</t>
        </is>
      </c>
      <c r="D1666" s="38" t="inlineStr">
        <is>
          <t>TOTAL</t>
        </is>
      </c>
      <c r="E1666" s="38" t="inlineStr">
        <is>
          <t>POP</t>
        </is>
      </c>
      <c r="F1666" s="38" t="n">
        <v>34</v>
      </c>
    </row>
    <row r="1667" ht="15" customHeight="1" s="39">
      <c r="A1667" s="38" t="inlineStr">
        <is>
          <t>2021</t>
        </is>
      </c>
      <c r="B1667" s="42" t="inlineStr">
        <is>
          <t>431444</t>
        </is>
      </c>
      <c r="C1667" s="38" t="inlineStr">
        <is>
          <t>Y033</t>
        </is>
      </c>
      <c r="D1667" s="38" t="inlineStr">
        <is>
          <t>TOTAL</t>
        </is>
      </c>
      <c r="E1667" s="38" t="inlineStr">
        <is>
          <t>POP</t>
        </is>
      </c>
      <c r="F1667" s="38" t="n">
        <v>22</v>
      </c>
    </row>
    <row r="1668" ht="15" customHeight="1" s="39">
      <c r="A1668" s="38" t="inlineStr">
        <is>
          <t>2021</t>
        </is>
      </c>
      <c r="B1668" s="42" t="inlineStr">
        <is>
          <t>431444</t>
        </is>
      </c>
      <c r="C1668" s="38" t="inlineStr">
        <is>
          <t>Y034</t>
        </is>
      </c>
      <c r="D1668" s="38" t="inlineStr">
        <is>
          <t>TOTAL</t>
        </is>
      </c>
      <c r="E1668" s="38" t="inlineStr">
        <is>
          <t>POP</t>
        </is>
      </c>
      <c r="F1668" s="38" t="n">
        <v>21</v>
      </c>
    </row>
    <row r="1669" ht="15" customHeight="1" s="39">
      <c r="A1669" s="38" t="inlineStr">
        <is>
          <t>2021</t>
        </is>
      </c>
      <c r="B1669" s="42" t="inlineStr">
        <is>
          <t>431444</t>
        </is>
      </c>
      <c r="C1669" s="38" t="inlineStr">
        <is>
          <t>Y035</t>
        </is>
      </c>
      <c r="D1669" s="38" t="inlineStr">
        <is>
          <t>TOTAL</t>
        </is>
      </c>
      <c r="E1669" s="38" t="inlineStr">
        <is>
          <t>POP</t>
        </is>
      </c>
      <c r="F1669" s="38" t="n">
        <v>27</v>
      </c>
    </row>
    <row r="1670" ht="15" customHeight="1" s="39">
      <c r="A1670" s="38" t="inlineStr">
        <is>
          <t>2021</t>
        </is>
      </c>
      <c r="B1670" s="42" t="inlineStr">
        <is>
          <t>431444</t>
        </is>
      </c>
      <c r="C1670" s="38" t="inlineStr">
        <is>
          <t>Y036</t>
        </is>
      </c>
      <c r="D1670" s="38" t="inlineStr">
        <is>
          <t>TOTAL</t>
        </is>
      </c>
      <c r="E1670" s="38" t="inlineStr">
        <is>
          <t>POP</t>
        </is>
      </c>
      <c r="F1670" s="38" t="n">
        <v>28</v>
      </c>
    </row>
    <row r="1671" ht="15" customHeight="1" s="39">
      <c r="A1671" s="38" t="inlineStr">
        <is>
          <t>2021</t>
        </is>
      </c>
      <c r="B1671" s="42" t="inlineStr">
        <is>
          <t>431444</t>
        </is>
      </c>
      <c r="C1671" s="38" t="inlineStr">
        <is>
          <t>Y037</t>
        </is>
      </c>
      <c r="D1671" s="38" t="inlineStr">
        <is>
          <t>TOTAL</t>
        </is>
      </c>
      <c r="E1671" s="38" t="inlineStr">
        <is>
          <t>POP</t>
        </is>
      </c>
      <c r="F1671" s="38" t="n">
        <v>27</v>
      </c>
    </row>
    <row r="1672" ht="15" customHeight="1" s="39">
      <c r="A1672" s="38" t="inlineStr">
        <is>
          <t>2021</t>
        </is>
      </c>
      <c r="B1672" s="42" t="inlineStr">
        <is>
          <t>431444</t>
        </is>
      </c>
      <c r="C1672" s="38" t="inlineStr">
        <is>
          <t>Y038</t>
        </is>
      </c>
      <c r="D1672" s="38" t="inlineStr">
        <is>
          <t>TOTAL</t>
        </is>
      </c>
      <c r="E1672" s="38" t="inlineStr">
        <is>
          <t>POP</t>
        </is>
      </c>
      <c r="F1672" s="38" t="n">
        <v>26</v>
      </c>
    </row>
    <row r="1673" ht="15" customHeight="1" s="39">
      <c r="A1673" s="38" t="inlineStr">
        <is>
          <t>2021</t>
        </is>
      </c>
      <c r="B1673" s="42" t="inlineStr">
        <is>
          <t>431444</t>
        </is>
      </c>
      <c r="C1673" s="38" t="inlineStr">
        <is>
          <t>Y039</t>
        </is>
      </c>
      <c r="D1673" s="38" t="inlineStr">
        <is>
          <t>TOTAL</t>
        </is>
      </c>
      <c r="E1673" s="38" t="inlineStr">
        <is>
          <t>POP</t>
        </is>
      </c>
      <c r="F1673" s="38" t="n">
        <v>32</v>
      </c>
    </row>
    <row r="1674" ht="15" customHeight="1" s="39">
      <c r="A1674" s="38" t="inlineStr">
        <is>
          <t>2021</t>
        </is>
      </c>
      <c r="B1674" s="42" t="inlineStr">
        <is>
          <t>431444</t>
        </is>
      </c>
      <c r="C1674" s="38" t="inlineStr">
        <is>
          <t>Y040</t>
        </is>
      </c>
      <c r="D1674" s="38" t="inlineStr">
        <is>
          <t>TOTAL</t>
        </is>
      </c>
      <c r="E1674" s="38" t="inlineStr">
        <is>
          <t>POP</t>
        </is>
      </c>
      <c r="F1674" s="38" t="n">
        <v>30</v>
      </c>
    </row>
    <row r="1675" ht="15" customHeight="1" s="39">
      <c r="A1675" s="38" t="inlineStr">
        <is>
          <t>2021</t>
        </is>
      </c>
      <c r="B1675" s="42" t="inlineStr">
        <is>
          <t>431444</t>
        </is>
      </c>
      <c r="C1675" s="38" t="inlineStr">
        <is>
          <t>Y041</t>
        </is>
      </c>
      <c r="D1675" s="38" t="inlineStr">
        <is>
          <t>TOTAL</t>
        </is>
      </c>
      <c r="E1675" s="38" t="inlineStr">
        <is>
          <t>POP</t>
        </is>
      </c>
      <c r="F1675" s="38" t="n">
        <v>37</v>
      </c>
    </row>
    <row r="1676" ht="15" customHeight="1" s="39">
      <c r="A1676" s="38" t="inlineStr">
        <is>
          <t>2021</t>
        </is>
      </c>
      <c r="B1676" s="42" t="inlineStr">
        <is>
          <t>431444</t>
        </is>
      </c>
      <c r="C1676" s="38" t="inlineStr">
        <is>
          <t>Y042</t>
        </is>
      </c>
      <c r="D1676" s="38" t="inlineStr">
        <is>
          <t>TOTAL</t>
        </is>
      </c>
      <c r="E1676" s="38" t="inlineStr">
        <is>
          <t>POP</t>
        </is>
      </c>
      <c r="F1676" s="38" t="n">
        <v>32</v>
      </c>
    </row>
    <row r="1677" ht="15" customHeight="1" s="39">
      <c r="A1677" s="38" t="inlineStr">
        <is>
          <t>2021</t>
        </is>
      </c>
      <c r="B1677" s="42" t="inlineStr">
        <is>
          <t>431444</t>
        </is>
      </c>
      <c r="C1677" s="38" t="inlineStr">
        <is>
          <t>Y043</t>
        </is>
      </c>
      <c r="D1677" s="38" t="inlineStr">
        <is>
          <t>TOTAL</t>
        </is>
      </c>
      <c r="E1677" s="38" t="inlineStr">
        <is>
          <t>POP</t>
        </is>
      </c>
      <c r="F1677" s="38" t="n">
        <v>26</v>
      </c>
    </row>
    <row r="1678" ht="15" customHeight="1" s="39">
      <c r="A1678" s="38" t="inlineStr">
        <is>
          <t>2021</t>
        </is>
      </c>
      <c r="B1678" s="42" t="inlineStr">
        <is>
          <t>431444</t>
        </is>
      </c>
      <c r="C1678" s="38" t="inlineStr">
        <is>
          <t>Y044</t>
        </is>
      </c>
      <c r="D1678" s="38" t="inlineStr">
        <is>
          <t>TOTAL</t>
        </is>
      </c>
      <c r="E1678" s="38" t="inlineStr">
        <is>
          <t>POP</t>
        </is>
      </c>
      <c r="F1678" s="38" t="n">
        <v>33</v>
      </c>
    </row>
    <row r="1679" ht="15" customHeight="1" s="39">
      <c r="A1679" s="38" t="inlineStr">
        <is>
          <t>2021</t>
        </is>
      </c>
      <c r="B1679" s="42" t="inlineStr">
        <is>
          <t>431444</t>
        </is>
      </c>
      <c r="C1679" s="38" t="inlineStr">
        <is>
          <t>Y045</t>
        </is>
      </c>
      <c r="D1679" s="38" t="inlineStr">
        <is>
          <t>TOTAL</t>
        </is>
      </c>
      <c r="E1679" s="38" t="inlineStr">
        <is>
          <t>POP</t>
        </is>
      </c>
      <c r="F1679" s="38" t="n">
        <v>29</v>
      </c>
    </row>
    <row r="1680" ht="15" customHeight="1" s="39">
      <c r="A1680" s="38" t="inlineStr">
        <is>
          <t>2021</t>
        </is>
      </c>
      <c r="B1680" s="42" t="inlineStr">
        <is>
          <t>431444</t>
        </is>
      </c>
      <c r="C1680" s="38" t="inlineStr">
        <is>
          <t>Y046</t>
        </is>
      </c>
      <c r="D1680" s="38" t="inlineStr">
        <is>
          <t>TOTAL</t>
        </is>
      </c>
      <c r="E1680" s="38" t="inlineStr">
        <is>
          <t>POP</t>
        </is>
      </c>
      <c r="F1680" s="38" t="n">
        <v>34</v>
      </c>
    </row>
    <row r="1681" ht="15" customHeight="1" s="39">
      <c r="A1681" s="38" t="inlineStr">
        <is>
          <t>2021</t>
        </is>
      </c>
      <c r="B1681" s="42" t="inlineStr">
        <is>
          <t>431444</t>
        </is>
      </c>
      <c r="C1681" s="38" t="inlineStr">
        <is>
          <t>Y047</t>
        </is>
      </c>
      <c r="D1681" s="38" t="inlineStr">
        <is>
          <t>TOTAL</t>
        </is>
      </c>
      <c r="E1681" s="38" t="inlineStr">
        <is>
          <t>POP</t>
        </is>
      </c>
      <c r="F1681" s="38" t="n">
        <v>21</v>
      </c>
    </row>
    <row r="1682" ht="15" customHeight="1" s="39">
      <c r="A1682" s="38" t="inlineStr">
        <is>
          <t>2021</t>
        </is>
      </c>
      <c r="B1682" s="42" t="inlineStr">
        <is>
          <t>431444</t>
        </is>
      </c>
      <c r="C1682" s="38" t="inlineStr">
        <is>
          <t>Y048</t>
        </is>
      </c>
      <c r="D1682" s="38" t="inlineStr">
        <is>
          <t>TOTAL</t>
        </is>
      </c>
      <c r="E1682" s="38" t="inlineStr">
        <is>
          <t>POP</t>
        </is>
      </c>
      <c r="F1682" s="38" t="n">
        <v>40</v>
      </c>
    </row>
    <row r="1683" ht="15" customHeight="1" s="39">
      <c r="A1683" s="38" t="inlineStr">
        <is>
          <t>2021</t>
        </is>
      </c>
      <c r="B1683" s="42" t="inlineStr">
        <is>
          <t>431444</t>
        </is>
      </c>
      <c r="C1683" s="38" t="inlineStr">
        <is>
          <t>Y049</t>
        </is>
      </c>
      <c r="D1683" s="38" t="inlineStr">
        <is>
          <t>TOTAL</t>
        </is>
      </c>
      <c r="E1683" s="38" t="inlineStr">
        <is>
          <t>POP</t>
        </is>
      </c>
      <c r="F1683" s="38" t="n">
        <v>20</v>
      </c>
    </row>
    <row r="1684" ht="15" customHeight="1" s="39">
      <c r="A1684" s="38" t="inlineStr">
        <is>
          <t>2021</t>
        </is>
      </c>
      <c r="B1684" s="42" t="inlineStr">
        <is>
          <t>431444</t>
        </is>
      </c>
      <c r="C1684" s="38" t="inlineStr">
        <is>
          <t>Y050</t>
        </is>
      </c>
      <c r="D1684" s="38" t="inlineStr">
        <is>
          <t>TOTAL</t>
        </is>
      </c>
      <c r="E1684" s="38" t="inlineStr">
        <is>
          <t>POP</t>
        </is>
      </c>
      <c r="F1684" s="38" t="n">
        <v>26</v>
      </c>
    </row>
    <row r="1685" ht="15" customHeight="1" s="39">
      <c r="A1685" s="38" t="inlineStr">
        <is>
          <t>2021</t>
        </is>
      </c>
      <c r="B1685" s="42" t="inlineStr">
        <is>
          <t>431444</t>
        </is>
      </c>
      <c r="C1685" s="38" t="inlineStr">
        <is>
          <t>Y051</t>
        </is>
      </c>
      <c r="D1685" s="38" t="inlineStr">
        <is>
          <t>TOTAL</t>
        </is>
      </c>
      <c r="E1685" s="38" t="inlineStr">
        <is>
          <t>POP</t>
        </is>
      </c>
      <c r="F1685" s="38" t="n">
        <v>28</v>
      </c>
    </row>
    <row r="1686" ht="15" customHeight="1" s="39">
      <c r="A1686" s="38" t="inlineStr">
        <is>
          <t>2021</t>
        </is>
      </c>
      <c r="B1686" s="42" t="inlineStr">
        <is>
          <t>431444</t>
        </is>
      </c>
      <c r="C1686" s="38" t="inlineStr">
        <is>
          <t>Y052</t>
        </is>
      </c>
      <c r="D1686" s="38" t="inlineStr">
        <is>
          <t>TOTAL</t>
        </is>
      </c>
      <c r="E1686" s="38" t="inlineStr">
        <is>
          <t>POP</t>
        </is>
      </c>
      <c r="F1686" s="38" t="n">
        <v>26</v>
      </c>
    </row>
    <row r="1687" ht="15" customHeight="1" s="39">
      <c r="A1687" s="38" t="inlineStr">
        <is>
          <t>2021</t>
        </is>
      </c>
      <c r="B1687" s="42" t="inlineStr">
        <is>
          <t>431444</t>
        </is>
      </c>
      <c r="C1687" s="38" t="inlineStr">
        <is>
          <t>Y053</t>
        </is>
      </c>
      <c r="D1687" s="38" t="inlineStr">
        <is>
          <t>TOTAL</t>
        </is>
      </c>
      <c r="E1687" s="38" t="inlineStr">
        <is>
          <t>POP</t>
        </is>
      </c>
      <c r="F1687" s="38" t="n">
        <v>27</v>
      </c>
    </row>
    <row r="1688" ht="15" customHeight="1" s="39">
      <c r="A1688" s="38" t="inlineStr">
        <is>
          <t>2021</t>
        </is>
      </c>
      <c r="B1688" s="42" t="inlineStr">
        <is>
          <t>431444</t>
        </is>
      </c>
      <c r="C1688" s="38" t="inlineStr">
        <is>
          <t>Y054</t>
        </is>
      </c>
      <c r="D1688" s="38" t="inlineStr">
        <is>
          <t>TOTAL</t>
        </is>
      </c>
      <c r="E1688" s="38" t="inlineStr">
        <is>
          <t>POP</t>
        </is>
      </c>
      <c r="F1688" s="38" t="n">
        <v>29</v>
      </c>
    </row>
    <row r="1689" ht="15" customHeight="1" s="39">
      <c r="A1689" s="38" t="inlineStr">
        <is>
          <t>2021</t>
        </is>
      </c>
      <c r="B1689" s="42" t="inlineStr">
        <is>
          <t>431444</t>
        </is>
      </c>
      <c r="C1689" s="38" t="inlineStr">
        <is>
          <t>Y055</t>
        </is>
      </c>
      <c r="D1689" s="38" t="inlineStr">
        <is>
          <t>TOTAL</t>
        </is>
      </c>
      <c r="E1689" s="38" t="inlineStr">
        <is>
          <t>POP</t>
        </is>
      </c>
      <c r="F1689" s="38" t="n">
        <v>26</v>
      </c>
    </row>
    <row r="1690" ht="15" customHeight="1" s="39">
      <c r="A1690" s="38" t="inlineStr">
        <is>
          <t>2021</t>
        </is>
      </c>
      <c r="B1690" s="42" t="inlineStr">
        <is>
          <t>431444</t>
        </is>
      </c>
      <c r="C1690" s="38" t="inlineStr">
        <is>
          <t>Y056</t>
        </is>
      </c>
      <c r="D1690" s="38" t="inlineStr">
        <is>
          <t>TOTAL</t>
        </is>
      </c>
      <c r="E1690" s="38" t="inlineStr">
        <is>
          <t>POP</t>
        </is>
      </c>
      <c r="F1690" s="38" t="n">
        <v>26</v>
      </c>
    </row>
    <row r="1691" ht="15" customHeight="1" s="39">
      <c r="A1691" s="38" t="inlineStr">
        <is>
          <t>2021</t>
        </is>
      </c>
      <c r="B1691" s="42" t="inlineStr">
        <is>
          <t>431444</t>
        </is>
      </c>
      <c r="C1691" s="38" t="inlineStr">
        <is>
          <t>Y057</t>
        </is>
      </c>
      <c r="D1691" s="38" t="inlineStr">
        <is>
          <t>TOTAL</t>
        </is>
      </c>
      <c r="E1691" s="38" t="inlineStr">
        <is>
          <t>POP</t>
        </is>
      </c>
      <c r="F1691" s="38" t="n">
        <v>21</v>
      </c>
    </row>
    <row r="1692" ht="15" customHeight="1" s="39">
      <c r="A1692" s="38" t="inlineStr">
        <is>
          <t>2021</t>
        </is>
      </c>
      <c r="B1692" s="42" t="inlineStr">
        <is>
          <t>431444</t>
        </is>
      </c>
      <c r="C1692" s="38" t="inlineStr">
        <is>
          <t>Y058</t>
        </is>
      </c>
      <c r="D1692" s="38" t="inlineStr">
        <is>
          <t>TOTAL</t>
        </is>
      </c>
      <c r="E1692" s="38" t="inlineStr">
        <is>
          <t>POP</t>
        </is>
      </c>
      <c r="F1692" s="38" t="n">
        <v>22</v>
      </c>
    </row>
    <row r="1693" ht="15" customHeight="1" s="39">
      <c r="A1693" s="38" t="inlineStr">
        <is>
          <t>2021</t>
        </is>
      </c>
      <c r="B1693" s="42" t="inlineStr">
        <is>
          <t>431444</t>
        </is>
      </c>
      <c r="C1693" s="38" t="inlineStr">
        <is>
          <t>Y059</t>
        </is>
      </c>
      <c r="D1693" s="38" t="inlineStr">
        <is>
          <t>TOTAL</t>
        </is>
      </c>
      <c r="E1693" s="38" t="inlineStr">
        <is>
          <t>POP</t>
        </is>
      </c>
      <c r="F1693" s="38" t="n">
        <v>21</v>
      </c>
    </row>
    <row r="1694" ht="15" customHeight="1" s="39">
      <c r="A1694" s="38" t="inlineStr">
        <is>
          <t>2021</t>
        </is>
      </c>
      <c r="B1694" s="42" t="inlineStr">
        <is>
          <t>431444</t>
        </is>
      </c>
      <c r="C1694" s="38" t="inlineStr">
        <is>
          <t>Y060</t>
        </is>
      </c>
      <c r="D1694" s="38" t="inlineStr">
        <is>
          <t>TOTAL</t>
        </is>
      </c>
      <c r="E1694" s="38" t="inlineStr">
        <is>
          <t>POP</t>
        </is>
      </c>
      <c r="F1694" s="38" t="n">
        <v>17</v>
      </c>
    </row>
    <row r="1695" ht="15" customHeight="1" s="39">
      <c r="A1695" s="38" t="inlineStr">
        <is>
          <t>2021</t>
        </is>
      </c>
      <c r="B1695" s="42" t="inlineStr">
        <is>
          <t>431444</t>
        </is>
      </c>
      <c r="C1695" s="38" t="inlineStr">
        <is>
          <t>Y061</t>
        </is>
      </c>
      <c r="D1695" s="38" t="inlineStr">
        <is>
          <t>TOTAL</t>
        </is>
      </c>
      <c r="E1695" s="38" t="inlineStr">
        <is>
          <t>POP</t>
        </is>
      </c>
      <c r="F1695" s="38" t="n">
        <v>31</v>
      </c>
    </row>
    <row r="1696" ht="15" customHeight="1" s="39">
      <c r="A1696" s="38" t="inlineStr">
        <is>
          <t>2021</t>
        </is>
      </c>
      <c r="B1696" s="42" t="inlineStr">
        <is>
          <t>431444</t>
        </is>
      </c>
      <c r="C1696" s="38" t="inlineStr">
        <is>
          <t>Y062</t>
        </is>
      </c>
      <c r="D1696" s="38" t="inlineStr">
        <is>
          <t>TOTAL</t>
        </is>
      </c>
      <c r="E1696" s="38" t="inlineStr">
        <is>
          <t>POP</t>
        </is>
      </c>
      <c r="F1696" s="38" t="n">
        <v>22</v>
      </c>
    </row>
    <row r="1697" ht="15" customHeight="1" s="39">
      <c r="A1697" s="38" t="inlineStr">
        <is>
          <t>2021</t>
        </is>
      </c>
      <c r="B1697" s="42" t="inlineStr">
        <is>
          <t>431444</t>
        </is>
      </c>
      <c r="C1697" s="38" t="inlineStr">
        <is>
          <t>Y063</t>
        </is>
      </c>
      <c r="D1697" s="38" t="inlineStr">
        <is>
          <t>TOTAL</t>
        </is>
      </c>
      <c r="E1697" s="38" t="inlineStr">
        <is>
          <t>POP</t>
        </is>
      </c>
      <c r="F1697" s="38" t="n">
        <v>18</v>
      </c>
    </row>
    <row r="1698" ht="15" customHeight="1" s="39">
      <c r="A1698" s="38" t="inlineStr">
        <is>
          <t>2021</t>
        </is>
      </c>
      <c r="B1698" s="42" t="inlineStr">
        <is>
          <t>431444</t>
        </is>
      </c>
      <c r="C1698" s="38" t="inlineStr">
        <is>
          <t>Y064</t>
        </is>
      </c>
      <c r="D1698" s="38" t="inlineStr">
        <is>
          <t>TOTAL</t>
        </is>
      </c>
      <c r="E1698" s="38" t="inlineStr">
        <is>
          <t>POP</t>
        </is>
      </c>
      <c r="F1698" s="38" t="n">
        <v>13</v>
      </c>
    </row>
    <row r="1699" ht="15" customHeight="1" s="39">
      <c r="A1699" s="38" t="inlineStr">
        <is>
          <t>2021</t>
        </is>
      </c>
      <c r="B1699" s="42" t="inlineStr">
        <is>
          <t>431444</t>
        </is>
      </c>
      <c r="C1699" s="38" t="inlineStr">
        <is>
          <t>Y065</t>
        </is>
      </c>
      <c r="D1699" s="38" t="inlineStr">
        <is>
          <t>TOTAL</t>
        </is>
      </c>
      <c r="E1699" s="38" t="inlineStr">
        <is>
          <t>POP</t>
        </is>
      </c>
      <c r="F1699" s="38" t="n">
        <v>16</v>
      </c>
    </row>
    <row r="1700" ht="15" customHeight="1" s="39">
      <c r="A1700" s="38" t="inlineStr">
        <is>
          <t>2021</t>
        </is>
      </c>
      <c r="B1700" s="42" t="inlineStr">
        <is>
          <t>431444</t>
        </is>
      </c>
      <c r="C1700" s="38" t="inlineStr">
        <is>
          <t>Y066</t>
        </is>
      </c>
      <c r="D1700" s="38" t="inlineStr">
        <is>
          <t>TOTAL</t>
        </is>
      </c>
      <c r="E1700" s="38" t="inlineStr">
        <is>
          <t>POP</t>
        </is>
      </c>
      <c r="F1700" s="38" t="n">
        <v>16</v>
      </c>
    </row>
    <row r="1701" ht="15" customHeight="1" s="39">
      <c r="A1701" s="38" t="inlineStr">
        <is>
          <t>2021</t>
        </is>
      </c>
      <c r="B1701" s="42" t="inlineStr">
        <is>
          <t>431444</t>
        </is>
      </c>
      <c r="C1701" s="38" t="inlineStr">
        <is>
          <t>Y067</t>
        </is>
      </c>
      <c r="D1701" s="38" t="inlineStr">
        <is>
          <t>TOTAL</t>
        </is>
      </c>
      <c r="E1701" s="38" t="inlineStr">
        <is>
          <t>POP</t>
        </is>
      </c>
      <c r="F1701" s="38" t="n">
        <v>17</v>
      </c>
    </row>
    <row r="1702" ht="15" customHeight="1" s="39">
      <c r="A1702" s="38" t="inlineStr">
        <is>
          <t>2021</t>
        </is>
      </c>
      <c r="B1702" s="42" t="inlineStr">
        <is>
          <t>431444</t>
        </is>
      </c>
      <c r="C1702" s="38" t="inlineStr">
        <is>
          <t>Y068</t>
        </is>
      </c>
      <c r="D1702" s="38" t="inlineStr">
        <is>
          <t>TOTAL</t>
        </is>
      </c>
      <c r="E1702" s="38" t="inlineStr">
        <is>
          <t>POP</t>
        </is>
      </c>
      <c r="F1702" s="38" t="n">
        <v>22</v>
      </c>
    </row>
    <row r="1703" ht="15" customHeight="1" s="39">
      <c r="A1703" s="38" t="inlineStr">
        <is>
          <t>2021</t>
        </is>
      </c>
      <c r="B1703" s="42" t="inlineStr">
        <is>
          <t>431444</t>
        </is>
      </c>
      <c r="C1703" s="38" t="inlineStr">
        <is>
          <t>Y069</t>
        </is>
      </c>
      <c r="D1703" s="38" t="inlineStr">
        <is>
          <t>TOTAL</t>
        </is>
      </c>
      <c r="E1703" s="38" t="inlineStr">
        <is>
          <t>POP</t>
        </is>
      </c>
      <c r="F1703" s="38" t="n">
        <v>13</v>
      </c>
    </row>
    <row r="1704" ht="15" customHeight="1" s="39">
      <c r="A1704" s="38" t="inlineStr">
        <is>
          <t>2021</t>
        </is>
      </c>
      <c r="B1704" s="42" t="inlineStr">
        <is>
          <t>431444</t>
        </is>
      </c>
      <c r="C1704" s="38" t="inlineStr">
        <is>
          <t>Y070</t>
        </is>
      </c>
      <c r="D1704" s="38" t="inlineStr">
        <is>
          <t>TOTAL</t>
        </is>
      </c>
      <c r="E1704" s="38" t="inlineStr">
        <is>
          <t>POP</t>
        </is>
      </c>
      <c r="F1704" s="38" t="n">
        <v>12</v>
      </c>
    </row>
    <row r="1705" ht="15" customHeight="1" s="39">
      <c r="A1705" s="38" t="inlineStr">
        <is>
          <t>2021</t>
        </is>
      </c>
      <c r="B1705" s="42" t="inlineStr">
        <is>
          <t>431444</t>
        </is>
      </c>
      <c r="C1705" s="38" t="inlineStr">
        <is>
          <t>Y071</t>
        </is>
      </c>
      <c r="D1705" s="38" t="inlineStr">
        <is>
          <t>TOTAL</t>
        </is>
      </c>
      <c r="E1705" s="38" t="inlineStr">
        <is>
          <t>POP</t>
        </is>
      </c>
      <c r="F1705" s="38" t="n">
        <v>16</v>
      </c>
    </row>
    <row r="1706" ht="15" customHeight="1" s="39">
      <c r="A1706" s="38" t="inlineStr">
        <is>
          <t>2021</t>
        </is>
      </c>
      <c r="B1706" s="42" t="inlineStr">
        <is>
          <t>431444</t>
        </is>
      </c>
      <c r="C1706" s="38" t="inlineStr">
        <is>
          <t>Y072</t>
        </is>
      </c>
      <c r="D1706" s="38" t="inlineStr">
        <is>
          <t>TOTAL</t>
        </is>
      </c>
      <c r="E1706" s="38" t="inlineStr">
        <is>
          <t>POP</t>
        </is>
      </c>
      <c r="F1706" s="38" t="n">
        <v>11</v>
      </c>
    </row>
    <row r="1707" ht="15" customHeight="1" s="39">
      <c r="A1707" s="38" t="inlineStr">
        <is>
          <t>2021</t>
        </is>
      </c>
      <c r="B1707" s="42" t="inlineStr">
        <is>
          <t>431444</t>
        </is>
      </c>
      <c r="C1707" s="38" t="inlineStr">
        <is>
          <t>Y073</t>
        </is>
      </c>
      <c r="D1707" s="38" t="inlineStr">
        <is>
          <t>TOTAL</t>
        </is>
      </c>
      <c r="E1707" s="38" t="inlineStr">
        <is>
          <t>POP</t>
        </is>
      </c>
      <c r="F1707" s="38" t="n">
        <v>19</v>
      </c>
    </row>
    <row r="1708" ht="15" customHeight="1" s="39">
      <c r="A1708" s="38" t="inlineStr">
        <is>
          <t>2021</t>
        </is>
      </c>
      <c r="B1708" s="42" t="inlineStr">
        <is>
          <t>431444</t>
        </is>
      </c>
      <c r="C1708" s="38" t="inlineStr">
        <is>
          <t>Y074</t>
        </is>
      </c>
      <c r="D1708" s="38" t="inlineStr">
        <is>
          <t>TOTAL</t>
        </is>
      </c>
      <c r="E1708" s="38" t="inlineStr">
        <is>
          <t>POP</t>
        </is>
      </c>
      <c r="F1708" s="38" t="n">
        <v>15</v>
      </c>
    </row>
    <row r="1709" ht="15" customHeight="1" s="39">
      <c r="A1709" s="38" t="inlineStr">
        <is>
          <t>2021</t>
        </is>
      </c>
      <c r="B1709" s="42" t="inlineStr">
        <is>
          <t>431444</t>
        </is>
      </c>
      <c r="C1709" s="38" t="inlineStr">
        <is>
          <t>Y075</t>
        </is>
      </c>
      <c r="D1709" s="38" t="inlineStr">
        <is>
          <t>TOTAL</t>
        </is>
      </c>
      <c r="E1709" s="38" t="inlineStr">
        <is>
          <t>POP</t>
        </is>
      </c>
      <c r="F1709" s="38" t="n">
        <v>7</v>
      </c>
    </row>
    <row r="1710" ht="15" customHeight="1" s="39">
      <c r="A1710" s="38" t="inlineStr">
        <is>
          <t>2021</t>
        </is>
      </c>
      <c r="B1710" s="42" t="inlineStr">
        <is>
          <t>431444</t>
        </is>
      </c>
      <c r="C1710" s="38" t="inlineStr">
        <is>
          <t>Y076</t>
        </is>
      </c>
      <c r="D1710" s="38" t="inlineStr">
        <is>
          <t>TOTAL</t>
        </is>
      </c>
      <c r="E1710" s="38" t="inlineStr">
        <is>
          <t>POP</t>
        </is>
      </c>
      <c r="F1710" s="38" t="n">
        <v>6</v>
      </c>
    </row>
    <row r="1711" ht="15" customHeight="1" s="39">
      <c r="A1711" s="38" t="inlineStr">
        <is>
          <t>2021</t>
        </is>
      </c>
      <c r="B1711" s="42" t="inlineStr">
        <is>
          <t>431444</t>
        </is>
      </c>
      <c r="C1711" s="38" t="inlineStr">
        <is>
          <t>Y077</t>
        </is>
      </c>
      <c r="D1711" s="38" t="inlineStr">
        <is>
          <t>TOTAL</t>
        </is>
      </c>
      <c r="E1711" s="38" t="inlineStr">
        <is>
          <t>POP</t>
        </is>
      </c>
      <c r="F1711" s="38" t="n">
        <v>6</v>
      </c>
    </row>
    <row r="1712" ht="15" customHeight="1" s="39">
      <c r="A1712" s="38" t="inlineStr">
        <is>
          <t>2021</t>
        </is>
      </c>
      <c r="B1712" s="42" t="inlineStr">
        <is>
          <t>431444</t>
        </is>
      </c>
      <c r="C1712" s="38" t="inlineStr">
        <is>
          <t>Y078</t>
        </is>
      </c>
      <c r="D1712" s="38" t="inlineStr">
        <is>
          <t>TOTAL</t>
        </is>
      </c>
      <c r="E1712" s="38" t="inlineStr">
        <is>
          <t>POP</t>
        </is>
      </c>
      <c r="F1712" s="38" t="n">
        <v>7</v>
      </c>
    </row>
    <row r="1713" ht="15" customHeight="1" s="39">
      <c r="A1713" s="38" t="inlineStr">
        <is>
          <t>2021</t>
        </is>
      </c>
      <c r="B1713" s="42" t="inlineStr">
        <is>
          <t>431444</t>
        </is>
      </c>
      <c r="C1713" s="38" t="inlineStr">
        <is>
          <t>Y079</t>
        </is>
      </c>
      <c r="D1713" s="38" t="inlineStr">
        <is>
          <t>TOTAL</t>
        </is>
      </c>
      <c r="E1713" s="38" t="inlineStr">
        <is>
          <t>POP</t>
        </is>
      </c>
      <c r="F1713" s="38" t="n">
        <v>9</v>
      </c>
    </row>
    <row r="1714" ht="15" customHeight="1" s="39">
      <c r="A1714" s="38" t="inlineStr">
        <is>
          <t>2021</t>
        </is>
      </c>
      <c r="B1714" s="42" t="inlineStr">
        <is>
          <t>431444</t>
        </is>
      </c>
      <c r="C1714" s="38" t="inlineStr">
        <is>
          <t>Y080</t>
        </is>
      </c>
      <c r="D1714" s="38" t="inlineStr">
        <is>
          <t>TOTAL</t>
        </is>
      </c>
      <c r="E1714" s="38" t="inlineStr">
        <is>
          <t>POP</t>
        </is>
      </c>
      <c r="F1714" s="38" t="n">
        <v>8</v>
      </c>
    </row>
    <row r="1715" ht="15" customHeight="1" s="39">
      <c r="A1715" s="38" t="inlineStr">
        <is>
          <t>2021</t>
        </is>
      </c>
      <c r="B1715" s="42" t="inlineStr">
        <is>
          <t>431444</t>
        </is>
      </c>
      <c r="C1715" s="38" t="inlineStr">
        <is>
          <t>Y081</t>
        </is>
      </c>
      <c r="D1715" s="38" t="inlineStr">
        <is>
          <t>TOTAL</t>
        </is>
      </c>
      <c r="E1715" s="38" t="inlineStr">
        <is>
          <t>POP</t>
        </is>
      </c>
      <c r="F1715" s="38" t="n">
        <v>3</v>
      </c>
    </row>
    <row r="1716" ht="15" customHeight="1" s="39">
      <c r="A1716" s="38" t="inlineStr">
        <is>
          <t>2021</t>
        </is>
      </c>
      <c r="B1716" s="42" t="inlineStr">
        <is>
          <t>431444</t>
        </is>
      </c>
      <c r="C1716" s="38" t="inlineStr">
        <is>
          <t>Y082</t>
        </is>
      </c>
      <c r="D1716" s="38" t="inlineStr">
        <is>
          <t>TOTAL</t>
        </is>
      </c>
      <c r="E1716" s="38" t="inlineStr">
        <is>
          <t>POP</t>
        </is>
      </c>
      <c r="F1716" s="38" t="n">
        <v>3</v>
      </c>
    </row>
    <row r="1717" ht="15" customHeight="1" s="39">
      <c r="A1717" s="38" t="inlineStr">
        <is>
          <t>2021</t>
        </is>
      </c>
      <c r="B1717" s="42" t="inlineStr">
        <is>
          <t>431444</t>
        </is>
      </c>
      <c r="C1717" s="38" t="inlineStr">
        <is>
          <t>Y083</t>
        </is>
      </c>
      <c r="D1717" s="38" t="inlineStr">
        <is>
          <t>TOTAL</t>
        </is>
      </c>
      <c r="E1717" s="38" t="inlineStr">
        <is>
          <t>POP</t>
        </is>
      </c>
      <c r="F1717" s="38" t="n">
        <v>5</v>
      </c>
    </row>
    <row r="1718" ht="15" customHeight="1" s="39">
      <c r="A1718" s="38" t="inlineStr">
        <is>
          <t>2021</t>
        </is>
      </c>
      <c r="B1718" s="42" t="inlineStr">
        <is>
          <t>431444</t>
        </is>
      </c>
      <c r="C1718" s="38" t="inlineStr">
        <is>
          <t>Y084</t>
        </is>
      </c>
      <c r="D1718" s="38" t="inlineStr">
        <is>
          <t>TOTAL</t>
        </is>
      </c>
      <c r="E1718" s="38" t="inlineStr">
        <is>
          <t>POP</t>
        </is>
      </c>
      <c r="F1718" s="38" t="n">
        <v>10</v>
      </c>
    </row>
    <row r="1719" ht="15" customHeight="1" s="39">
      <c r="A1719" s="38" t="inlineStr">
        <is>
          <t>2021</t>
        </is>
      </c>
      <c r="B1719" s="42" t="inlineStr">
        <is>
          <t>431444</t>
        </is>
      </c>
      <c r="C1719" s="38" t="inlineStr">
        <is>
          <t>Y085</t>
        </is>
      </c>
      <c r="D1719" s="38" t="inlineStr">
        <is>
          <t>TOTAL</t>
        </is>
      </c>
      <c r="E1719" s="38" t="inlineStr">
        <is>
          <t>POP</t>
        </is>
      </c>
      <c r="F1719" s="38" t="n">
        <v>4</v>
      </c>
    </row>
    <row r="1720" ht="15" customHeight="1" s="39">
      <c r="A1720" s="38" t="inlineStr">
        <is>
          <t>2021</t>
        </is>
      </c>
      <c r="B1720" s="42" t="inlineStr">
        <is>
          <t>431444</t>
        </is>
      </c>
      <c r="C1720" s="38" t="inlineStr">
        <is>
          <t>Y086</t>
        </is>
      </c>
      <c r="D1720" s="38" t="inlineStr">
        <is>
          <t>TOTAL</t>
        </is>
      </c>
      <c r="E1720" s="38" t="inlineStr">
        <is>
          <t>POP</t>
        </is>
      </c>
      <c r="F1720" s="38" t="n">
        <v>13</v>
      </c>
    </row>
    <row r="1721" ht="15" customHeight="1" s="39">
      <c r="A1721" s="38" t="inlineStr">
        <is>
          <t>2021</t>
        </is>
      </c>
      <c r="B1721" s="42" t="inlineStr">
        <is>
          <t>431444</t>
        </is>
      </c>
      <c r="C1721" s="38" t="inlineStr">
        <is>
          <t>Y087</t>
        </is>
      </c>
      <c r="D1721" s="38" t="inlineStr">
        <is>
          <t>TOTAL</t>
        </is>
      </c>
      <c r="E1721" s="38" t="inlineStr">
        <is>
          <t>POP</t>
        </is>
      </c>
      <c r="F1721" s="38" t="n">
        <v>8</v>
      </c>
    </row>
    <row r="1722" ht="15" customHeight="1" s="39">
      <c r="A1722" s="38" t="inlineStr">
        <is>
          <t>2021</t>
        </is>
      </c>
      <c r="B1722" s="42" t="inlineStr">
        <is>
          <t>431444</t>
        </is>
      </c>
      <c r="C1722" s="38" t="inlineStr">
        <is>
          <t>Y088</t>
        </is>
      </c>
      <c r="D1722" s="38" t="inlineStr">
        <is>
          <t>TOTAL</t>
        </is>
      </c>
      <c r="E1722" s="38" t="inlineStr">
        <is>
          <t>POP</t>
        </is>
      </c>
      <c r="F1722" s="38" t="n">
        <v>11</v>
      </c>
    </row>
    <row r="1723" ht="15" customHeight="1" s="39">
      <c r="A1723" s="38" t="inlineStr">
        <is>
          <t>2021</t>
        </is>
      </c>
      <c r="B1723" s="42" t="inlineStr">
        <is>
          <t>431444</t>
        </is>
      </c>
      <c r="C1723" s="38" t="inlineStr">
        <is>
          <t>Y089</t>
        </is>
      </c>
      <c r="D1723" s="38" t="inlineStr">
        <is>
          <t>TOTAL</t>
        </is>
      </c>
      <c r="E1723" s="38" t="inlineStr">
        <is>
          <t>POP</t>
        </is>
      </c>
      <c r="F1723" s="38" t="n">
        <v>5</v>
      </c>
    </row>
    <row r="1724" ht="15" customHeight="1" s="39">
      <c r="A1724" s="38" t="inlineStr">
        <is>
          <t>2021</t>
        </is>
      </c>
      <c r="B1724" s="42" t="inlineStr">
        <is>
          <t>431444</t>
        </is>
      </c>
      <c r="C1724" s="38" t="inlineStr">
        <is>
          <t>Y090</t>
        </is>
      </c>
      <c r="D1724" s="38" t="inlineStr">
        <is>
          <t>TOTAL</t>
        </is>
      </c>
      <c r="E1724" s="38" t="inlineStr">
        <is>
          <t>POP</t>
        </is>
      </c>
      <c r="F1724" s="38" t="n">
        <v>6</v>
      </c>
    </row>
    <row r="1725" ht="15" customHeight="1" s="39">
      <c r="A1725" s="38" t="inlineStr">
        <is>
          <t>2021</t>
        </is>
      </c>
      <c r="B1725" s="42" t="inlineStr">
        <is>
          <t>431444</t>
        </is>
      </c>
      <c r="C1725" s="38" t="inlineStr">
        <is>
          <t>Y091</t>
        </is>
      </c>
      <c r="D1725" s="38" t="inlineStr">
        <is>
          <t>TOTAL</t>
        </is>
      </c>
      <c r="E1725" s="38" t="inlineStr">
        <is>
          <t>POP</t>
        </is>
      </c>
      <c r="F1725" s="38" t="n">
        <v>2</v>
      </c>
    </row>
    <row r="1726" ht="15" customHeight="1" s="39">
      <c r="A1726" s="38" t="inlineStr">
        <is>
          <t>2021</t>
        </is>
      </c>
      <c r="B1726" s="42" t="inlineStr">
        <is>
          <t>431444</t>
        </is>
      </c>
      <c r="C1726" s="38" t="inlineStr">
        <is>
          <t>Y092</t>
        </is>
      </c>
      <c r="D1726" s="38" t="inlineStr">
        <is>
          <t>TOTAL</t>
        </is>
      </c>
      <c r="E1726" s="38" t="inlineStr">
        <is>
          <t>POP</t>
        </is>
      </c>
      <c r="F1726" s="38" t="n">
        <v>3</v>
      </c>
    </row>
    <row r="1727" ht="15" customHeight="1" s="39">
      <c r="A1727" s="38" t="inlineStr">
        <is>
          <t>2021</t>
        </is>
      </c>
      <c r="B1727" s="42" t="inlineStr">
        <is>
          <t>431444</t>
        </is>
      </c>
      <c r="C1727" s="38" t="inlineStr">
        <is>
          <t>Y093</t>
        </is>
      </c>
      <c r="D1727" s="38" t="inlineStr">
        <is>
          <t>TOTAL</t>
        </is>
      </c>
      <c r="E1727" s="38" t="inlineStr">
        <is>
          <t>POP</t>
        </is>
      </c>
      <c r="F1727" s="38" t="n">
        <v>1</v>
      </c>
    </row>
    <row r="1728" ht="15" customHeight="1" s="39">
      <c r="A1728" s="38" t="inlineStr">
        <is>
          <t>2021</t>
        </is>
      </c>
      <c r="B1728" s="42" t="inlineStr">
        <is>
          <t>431444</t>
        </is>
      </c>
      <c r="C1728" s="38" t="inlineStr">
        <is>
          <t>Y094</t>
        </is>
      </c>
      <c r="D1728" s="38" t="inlineStr">
        <is>
          <t>TOTAL</t>
        </is>
      </c>
      <c r="E1728" s="38" t="inlineStr">
        <is>
          <t>POP</t>
        </is>
      </c>
      <c r="F1728" s="38" t="n">
        <v>0</v>
      </c>
    </row>
    <row r="1729" ht="15" customHeight="1" s="39">
      <c r="A1729" s="38" t="inlineStr">
        <is>
          <t>2021</t>
        </is>
      </c>
      <c r="B1729" s="42" t="inlineStr">
        <is>
          <t>431444</t>
        </is>
      </c>
      <c r="C1729" s="38" t="inlineStr">
        <is>
          <t>Y095</t>
        </is>
      </c>
      <c r="D1729" s="38" t="inlineStr">
        <is>
          <t>TOTAL</t>
        </is>
      </c>
      <c r="E1729" s="38" t="inlineStr">
        <is>
          <t>POP</t>
        </is>
      </c>
      <c r="F1729" s="38" t="n">
        <v>1</v>
      </c>
    </row>
    <row r="1730" ht="15" customHeight="1" s="39">
      <c r="A1730" s="38" t="inlineStr">
        <is>
          <t>2021</t>
        </is>
      </c>
      <c r="B1730" s="42" t="inlineStr">
        <is>
          <t>431444</t>
        </is>
      </c>
      <c r="C1730" s="38" t="inlineStr">
        <is>
          <t>Y096</t>
        </is>
      </c>
      <c r="D1730" s="38" t="inlineStr">
        <is>
          <t>TOTAL</t>
        </is>
      </c>
      <c r="E1730" s="38" t="inlineStr">
        <is>
          <t>POP</t>
        </is>
      </c>
      <c r="F1730" s="38" t="n">
        <v>0</v>
      </c>
    </row>
    <row r="1731" ht="15" customHeight="1" s="39">
      <c r="A1731" s="38" t="inlineStr">
        <is>
          <t>2021</t>
        </is>
      </c>
      <c r="B1731" s="42" t="inlineStr">
        <is>
          <t>431444</t>
        </is>
      </c>
      <c r="C1731" s="38" t="inlineStr">
        <is>
          <t>Y097</t>
        </is>
      </c>
      <c r="D1731" s="38" t="inlineStr">
        <is>
          <t>TOTAL</t>
        </is>
      </c>
      <c r="E1731" s="38" t="inlineStr">
        <is>
          <t>POP</t>
        </is>
      </c>
      <c r="F1731" s="38" t="n">
        <v>1</v>
      </c>
    </row>
    <row r="1732" ht="15" customHeight="1" s="39">
      <c r="A1732" s="38" t="inlineStr">
        <is>
          <t>2021</t>
        </is>
      </c>
      <c r="B1732" s="42" t="inlineStr">
        <is>
          <t>431444</t>
        </is>
      </c>
      <c r="C1732" s="38" t="inlineStr">
        <is>
          <t>Y098</t>
        </is>
      </c>
      <c r="D1732" s="38" t="inlineStr">
        <is>
          <t>TOTAL</t>
        </is>
      </c>
      <c r="E1732" s="38" t="inlineStr">
        <is>
          <t>POP</t>
        </is>
      </c>
      <c r="F1732" s="38" t="n">
        <v>1</v>
      </c>
    </row>
    <row r="1733" ht="15" customHeight="1" s="39">
      <c r="A1733" s="38" t="inlineStr">
        <is>
          <t>2021</t>
        </is>
      </c>
      <c r="B1733" s="42" t="inlineStr">
        <is>
          <t>431444</t>
        </is>
      </c>
      <c r="C1733" s="38" t="inlineStr">
        <is>
          <t>Y099</t>
        </is>
      </c>
      <c r="D1733" s="38" t="inlineStr">
        <is>
          <t>TOTAL</t>
        </is>
      </c>
      <c r="E1733" s="38" t="inlineStr">
        <is>
          <t>POP</t>
        </is>
      </c>
      <c r="F1733" s="38" t="n">
        <v>0</v>
      </c>
    </row>
    <row r="1734" ht="15" customHeight="1" s="39">
      <c r="A1734" s="38" t="inlineStr">
        <is>
          <t>2021</t>
        </is>
      </c>
      <c r="B1734" s="42" t="inlineStr">
        <is>
          <t>431444</t>
        </is>
      </c>
      <c r="C1734" s="38" t="inlineStr">
        <is>
          <t>Y_GE100</t>
        </is>
      </c>
      <c r="D1734" s="38" t="inlineStr">
        <is>
          <t>TOTAL</t>
        </is>
      </c>
      <c r="E1734" s="38" t="inlineStr">
        <is>
          <t>POP</t>
        </is>
      </c>
      <c r="F1734" s="38" t="n">
        <v>0</v>
      </c>
    </row>
    <row r="1735" ht="15" customHeight="1" s="39">
      <c r="A1735" s="38" t="inlineStr">
        <is>
          <t>2021</t>
        </is>
      </c>
      <c r="B1735" s="42" t="inlineStr">
        <is>
          <t>431444</t>
        </is>
      </c>
      <c r="C1735" s="38" t="inlineStr">
        <is>
          <t>TOTAL</t>
        </is>
      </c>
      <c r="D1735" s="38" t="inlineStr">
        <is>
          <t>TOTAL</t>
        </is>
      </c>
      <c r="E1735" s="38" t="inlineStr">
        <is>
          <t>POP</t>
        </is>
      </c>
      <c r="F1735" s="38" t="n">
        <v>1728</v>
      </c>
    </row>
    <row r="1736" ht="15" customHeight="1" s="39">
      <c r="A1736" s="38" t="inlineStr">
        <is>
          <t>2021</t>
        </is>
      </c>
      <c r="B1736" s="42" t="inlineStr">
        <is>
          <t>431482</t>
        </is>
      </c>
      <c r="C1736" s="38" t="inlineStr">
        <is>
          <t>Y000</t>
        </is>
      </c>
      <c r="D1736" s="38" t="inlineStr">
        <is>
          <t>TOTAL</t>
        </is>
      </c>
      <c r="E1736" s="38" t="inlineStr">
        <is>
          <t>POP</t>
        </is>
      </c>
      <c r="F1736" s="38" t="n">
        <v>1060</v>
      </c>
    </row>
    <row r="1737" ht="15" customHeight="1" s="39">
      <c r="A1737" s="38" t="inlineStr">
        <is>
          <t>2021</t>
        </is>
      </c>
      <c r="B1737" s="42" t="inlineStr">
        <is>
          <t>431482</t>
        </is>
      </c>
      <c r="C1737" s="38" t="inlineStr">
        <is>
          <t>Y001</t>
        </is>
      </c>
      <c r="D1737" s="38" t="inlineStr">
        <is>
          <t>TOTAL</t>
        </is>
      </c>
      <c r="E1737" s="38" t="inlineStr">
        <is>
          <t>POP</t>
        </is>
      </c>
      <c r="F1737" s="38" t="n">
        <v>1095</v>
      </c>
    </row>
    <row r="1738" ht="15" customHeight="1" s="39">
      <c r="A1738" s="38" t="inlineStr">
        <is>
          <t>2021</t>
        </is>
      </c>
      <c r="B1738" s="42" t="inlineStr">
        <is>
          <t>431482</t>
        </is>
      </c>
      <c r="C1738" s="38" t="inlineStr">
        <is>
          <t>Y002</t>
        </is>
      </c>
      <c r="D1738" s="38" t="inlineStr">
        <is>
          <t>TOTAL</t>
        </is>
      </c>
      <c r="E1738" s="38" t="inlineStr">
        <is>
          <t>POP</t>
        </is>
      </c>
      <c r="F1738" s="38" t="n">
        <v>1184</v>
      </c>
    </row>
    <row r="1739" ht="15" customHeight="1" s="39">
      <c r="A1739" s="38" t="inlineStr">
        <is>
          <t>2021</t>
        </is>
      </c>
      <c r="B1739" s="42" t="inlineStr">
        <is>
          <t>431482</t>
        </is>
      </c>
      <c r="C1739" s="38" t="inlineStr">
        <is>
          <t>Y003</t>
        </is>
      </c>
      <c r="D1739" s="38" t="inlineStr">
        <is>
          <t>TOTAL</t>
        </is>
      </c>
      <c r="E1739" s="38" t="inlineStr">
        <is>
          <t>POP</t>
        </is>
      </c>
      <c r="F1739" s="38" t="n">
        <v>1213</v>
      </c>
    </row>
    <row r="1740" ht="15" customHeight="1" s="39">
      <c r="A1740" s="38" t="inlineStr">
        <is>
          <t>2021</t>
        </is>
      </c>
      <c r="B1740" s="42" t="inlineStr">
        <is>
          <t>431482</t>
        </is>
      </c>
      <c r="C1740" s="38" t="inlineStr">
        <is>
          <t>Y004</t>
        </is>
      </c>
      <c r="D1740" s="38" t="inlineStr">
        <is>
          <t>TOTAL</t>
        </is>
      </c>
      <c r="E1740" s="38" t="inlineStr">
        <is>
          <t>POP</t>
        </is>
      </c>
      <c r="F1740" s="38" t="n">
        <v>1239</v>
      </c>
    </row>
    <row r="1741" ht="15" customHeight="1" s="39">
      <c r="A1741" s="38" t="inlineStr">
        <is>
          <t>2021</t>
        </is>
      </c>
      <c r="B1741" s="42" t="inlineStr">
        <is>
          <t>431482</t>
        </is>
      </c>
      <c r="C1741" s="38" t="inlineStr">
        <is>
          <t>Y005</t>
        </is>
      </c>
      <c r="D1741" s="38" t="inlineStr">
        <is>
          <t>TOTAL</t>
        </is>
      </c>
      <c r="E1741" s="38" t="inlineStr">
        <is>
          <t>POP</t>
        </is>
      </c>
      <c r="F1741" s="38" t="n">
        <v>1305</v>
      </c>
    </row>
    <row r="1742" ht="15" customHeight="1" s="39">
      <c r="A1742" s="38" t="inlineStr">
        <is>
          <t>2021</t>
        </is>
      </c>
      <c r="B1742" s="42" t="inlineStr">
        <is>
          <t>431482</t>
        </is>
      </c>
      <c r="C1742" s="38" t="inlineStr">
        <is>
          <t>Y006</t>
        </is>
      </c>
      <c r="D1742" s="38" t="inlineStr">
        <is>
          <t>TOTAL</t>
        </is>
      </c>
      <c r="E1742" s="38" t="inlineStr">
        <is>
          <t>POP</t>
        </is>
      </c>
      <c r="F1742" s="38" t="n">
        <v>1330</v>
      </c>
    </row>
    <row r="1743" ht="15" customHeight="1" s="39">
      <c r="A1743" s="38" t="inlineStr">
        <is>
          <t>2021</t>
        </is>
      </c>
      <c r="B1743" s="42" t="inlineStr">
        <is>
          <t>431482</t>
        </is>
      </c>
      <c r="C1743" s="38" t="inlineStr">
        <is>
          <t>Y007</t>
        </is>
      </c>
      <c r="D1743" s="38" t="inlineStr">
        <is>
          <t>TOTAL</t>
        </is>
      </c>
      <c r="E1743" s="38" t="inlineStr">
        <is>
          <t>POP</t>
        </is>
      </c>
      <c r="F1743" s="38" t="n">
        <v>1233</v>
      </c>
    </row>
    <row r="1744" ht="15" customHeight="1" s="39">
      <c r="A1744" s="38" t="inlineStr">
        <is>
          <t>2021</t>
        </is>
      </c>
      <c r="B1744" s="42" t="inlineStr">
        <is>
          <t>431482</t>
        </is>
      </c>
      <c r="C1744" s="38" t="inlineStr">
        <is>
          <t>Y008</t>
        </is>
      </c>
      <c r="D1744" s="38" t="inlineStr">
        <is>
          <t>TOTAL</t>
        </is>
      </c>
      <c r="E1744" s="38" t="inlineStr">
        <is>
          <t>POP</t>
        </is>
      </c>
      <c r="F1744" s="38" t="n">
        <v>1373</v>
      </c>
    </row>
    <row r="1745" ht="15" customHeight="1" s="39">
      <c r="A1745" s="38" t="inlineStr">
        <is>
          <t>2021</t>
        </is>
      </c>
      <c r="B1745" s="42" t="inlineStr">
        <is>
          <t>431482</t>
        </is>
      </c>
      <c r="C1745" s="38" t="inlineStr">
        <is>
          <t>Y009</t>
        </is>
      </c>
      <c r="D1745" s="38" t="inlineStr">
        <is>
          <t>TOTAL</t>
        </is>
      </c>
      <c r="E1745" s="38" t="inlineStr">
        <is>
          <t>POP</t>
        </is>
      </c>
      <c r="F1745" s="38" t="n">
        <v>1432</v>
      </c>
    </row>
    <row r="1746" ht="15" customHeight="1" s="39">
      <c r="A1746" s="38" t="inlineStr">
        <is>
          <t>2021</t>
        </is>
      </c>
      <c r="B1746" s="42" t="inlineStr">
        <is>
          <t>431482</t>
        </is>
      </c>
      <c r="C1746" s="38" t="inlineStr">
        <is>
          <t>Y010</t>
        </is>
      </c>
      <c r="D1746" s="38" t="inlineStr">
        <is>
          <t>TOTAL</t>
        </is>
      </c>
      <c r="E1746" s="38" t="inlineStr">
        <is>
          <t>POP</t>
        </is>
      </c>
      <c r="F1746" s="38" t="n">
        <v>1533</v>
      </c>
    </row>
    <row r="1747" ht="15" customHeight="1" s="39">
      <c r="A1747" s="38" t="inlineStr">
        <is>
          <t>2021</t>
        </is>
      </c>
      <c r="B1747" s="42" t="inlineStr">
        <is>
          <t>431482</t>
        </is>
      </c>
      <c r="C1747" s="38" t="inlineStr">
        <is>
          <t>Y011</t>
        </is>
      </c>
      <c r="D1747" s="38" t="inlineStr">
        <is>
          <t>TOTAL</t>
        </is>
      </c>
      <c r="E1747" s="38" t="inlineStr">
        <is>
          <t>POP</t>
        </is>
      </c>
      <c r="F1747" s="38" t="n">
        <v>1511</v>
      </c>
    </row>
    <row r="1748" ht="15" customHeight="1" s="39">
      <c r="A1748" s="38" t="inlineStr">
        <is>
          <t>2021</t>
        </is>
      </c>
      <c r="B1748" s="42" t="inlineStr">
        <is>
          <t>431482</t>
        </is>
      </c>
      <c r="C1748" s="38" t="inlineStr">
        <is>
          <t>Y012</t>
        </is>
      </c>
      <c r="D1748" s="38" t="inlineStr">
        <is>
          <t>TOTAL</t>
        </is>
      </c>
      <c r="E1748" s="38" t="inlineStr">
        <is>
          <t>POP</t>
        </is>
      </c>
      <c r="F1748" s="38" t="n">
        <v>1604</v>
      </c>
    </row>
    <row r="1749" ht="15" customHeight="1" s="39">
      <c r="A1749" s="38" t="inlineStr">
        <is>
          <t>2021</t>
        </is>
      </c>
      <c r="B1749" s="42" t="inlineStr">
        <is>
          <t>431482</t>
        </is>
      </c>
      <c r="C1749" s="38" t="inlineStr">
        <is>
          <t>Y013</t>
        </is>
      </c>
      <c r="D1749" s="38" t="inlineStr">
        <is>
          <t>TOTAL</t>
        </is>
      </c>
      <c r="E1749" s="38" t="inlineStr">
        <is>
          <t>POP</t>
        </is>
      </c>
      <c r="F1749" s="38" t="n">
        <v>1533</v>
      </c>
    </row>
    <row r="1750" ht="15" customHeight="1" s="39">
      <c r="A1750" s="38" t="inlineStr">
        <is>
          <t>2021</t>
        </is>
      </c>
      <c r="B1750" s="42" t="inlineStr">
        <is>
          <t>431482</t>
        </is>
      </c>
      <c r="C1750" s="38" t="inlineStr">
        <is>
          <t>Y014</t>
        </is>
      </c>
      <c r="D1750" s="38" t="inlineStr">
        <is>
          <t>TOTAL</t>
        </is>
      </c>
      <c r="E1750" s="38" t="inlineStr">
        <is>
          <t>POP</t>
        </is>
      </c>
      <c r="F1750" s="38" t="n">
        <v>1612</v>
      </c>
    </row>
    <row r="1751" ht="15" customHeight="1" s="39">
      <c r="A1751" s="38" t="inlineStr">
        <is>
          <t>2021</t>
        </is>
      </c>
      <c r="B1751" s="42" t="inlineStr">
        <is>
          <t>431482</t>
        </is>
      </c>
      <c r="C1751" s="38" t="inlineStr">
        <is>
          <t>Y015</t>
        </is>
      </c>
      <c r="D1751" s="38" t="inlineStr">
        <is>
          <t>TOTAL</t>
        </is>
      </c>
      <c r="E1751" s="38" t="inlineStr">
        <is>
          <t>POP</t>
        </is>
      </c>
      <c r="F1751" s="38" t="n">
        <v>1571</v>
      </c>
    </row>
    <row r="1752" ht="15" customHeight="1" s="39">
      <c r="A1752" s="38" t="inlineStr">
        <is>
          <t>2021</t>
        </is>
      </c>
      <c r="B1752" s="42" t="inlineStr">
        <is>
          <t>431482</t>
        </is>
      </c>
      <c r="C1752" s="38" t="inlineStr">
        <is>
          <t>Y016</t>
        </is>
      </c>
      <c r="D1752" s="38" t="inlineStr">
        <is>
          <t>TOTAL</t>
        </is>
      </c>
      <c r="E1752" s="38" t="inlineStr">
        <is>
          <t>POP</t>
        </is>
      </c>
      <c r="F1752" s="38" t="n">
        <v>1585</v>
      </c>
    </row>
    <row r="1753" ht="15" customHeight="1" s="39">
      <c r="A1753" s="38" t="inlineStr">
        <is>
          <t>2021</t>
        </is>
      </c>
      <c r="B1753" s="42" t="inlineStr">
        <is>
          <t>431482</t>
        </is>
      </c>
      <c r="C1753" s="38" t="inlineStr">
        <is>
          <t>Y017</t>
        </is>
      </c>
      <c r="D1753" s="38" t="inlineStr">
        <is>
          <t>TOTAL</t>
        </is>
      </c>
      <c r="E1753" s="38" t="inlineStr">
        <is>
          <t>POP</t>
        </is>
      </c>
      <c r="F1753" s="38" t="n">
        <v>1534</v>
      </c>
    </row>
    <row r="1754" ht="15" customHeight="1" s="39">
      <c r="A1754" s="38" t="inlineStr">
        <is>
          <t>2021</t>
        </is>
      </c>
      <c r="B1754" s="42" t="inlineStr">
        <is>
          <t>431482</t>
        </is>
      </c>
      <c r="C1754" s="38" t="inlineStr">
        <is>
          <t>Y018</t>
        </is>
      </c>
      <c r="D1754" s="38" t="inlineStr">
        <is>
          <t>TOTAL</t>
        </is>
      </c>
      <c r="E1754" s="38" t="inlineStr">
        <is>
          <t>POP</t>
        </is>
      </c>
      <c r="F1754" s="38" t="n">
        <v>1520</v>
      </c>
    </row>
    <row r="1755" ht="15" customHeight="1" s="39">
      <c r="A1755" s="38" t="inlineStr">
        <is>
          <t>2021</t>
        </is>
      </c>
      <c r="B1755" s="42" t="inlineStr">
        <is>
          <t>431482</t>
        </is>
      </c>
      <c r="C1755" s="38" t="inlineStr">
        <is>
          <t>Y019</t>
        </is>
      </c>
      <c r="D1755" s="38" t="inlineStr">
        <is>
          <t>TOTAL</t>
        </is>
      </c>
      <c r="E1755" s="38" t="inlineStr">
        <is>
          <t>POP</t>
        </is>
      </c>
      <c r="F1755" s="38" t="n">
        <v>1476</v>
      </c>
    </row>
    <row r="1756" ht="15" customHeight="1" s="39">
      <c r="A1756" s="38" t="inlineStr">
        <is>
          <t>2021</t>
        </is>
      </c>
      <c r="B1756" s="42" t="inlineStr">
        <is>
          <t>431482</t>
        </is>
      </c>
      <c r="C1756" s="38" t="inlineStr">
        <is>
          <t>Y020</t>
        </is>
      </c>
      <c r="D1756" s="38" t="inlineStr">
        <is>
          <t>TOTAL</t>
        </is>
      </c>
      <c r="E1756" s="38" t="inlineStr">
        <is>
          <t>POP</t>
        </is>
      </c>
      <c r="F1756" s="38" t="n">
        <v>1519</v>
      </c>
    </row>
    <row r="1757" ht="15" customHeight="1" s="39">
      <c r="A1757" s="38" t="inlineStr">
        <is>
          <t>2021</t>
        </is>
      </c>
      <c r="B1757" s="42" t="inlineStr">
        <is>
          <t>431482</t>
        </is>
      </c>
      <c r="C1757" s="38" t="inlineStr">
        <is>
          <t>Y021</t>
        </is>
      </c>
      <c r="D1757" s="38" t="inlineStr">
        <is>
          <t>TOTAL</t>
        </is>
      </c>
      <c r="E1757" s="38" t="inlineStr">
        <is>
          <t>POP</t>
        </is>
      </c>
      <c r="F1757" s="38" t="n">
        <v>1444</v>
      </c>
    </row>
    <row r="1758" ht="15" customHeight="1" s="39">
      <c r="A1758" s="38" t="inlineStr">
        <is>
          <t>2021</t>
        </is>
      </c>
      <c r="B1758" s="42" t="inlineStr">
        <is>
          <t>431482</t>
        </is>
      </c>
      <c r="C1758" s="38" t="inlineStr">
        <is>
          <t>Y022</t>
        </is>
      </c>
      <c r="D1758" s="38" t="inlineStr">
        <is>
          <t>TOTAL</t>
        </is>
      </c>
      <c r="E1758" s="38" t="inlineStr">
        <is>
          <t>POP</t>
        </is>
      </c>
      <c r="F1758" s="38" t="n">
        <v>1368</v>
      </c>
    </row>
    <row r="1759" ht="15" customHeight="1" s="39">
      <c r="A1759" s="38" t="inlineStr">
        <is>
          <t>2021</t>
        </is>
      </c>
      <c r="B1759" s="42" t="inlineStr">
        <is>
          <t>431482</t>
        </is>
      </c>
      <c r="C1759" s="38" t="inlineStr">
        <is>
          <t>Y023</t>
        </is>
      </c>
      <c r="D1759" s="38" t="inlineStr">
        <is>
          <t>TOTAL</t>
        </is>
      </c>
      <c r="E1759" s="38" t="inlineStr">
        <is>
          <t>POP</t>
        </is>
      </c>
      <c r="F1759" s="38" t="n">
        <v>1464</v>
      </c>
    </row>
    <row r="1760" ht="15" customHeight="1" s="39">
      <c r="A1760" s="38" t="inlineStr">
        <is>
          <t>2021</t>
        </is>
      </c>
      <c r="B1760" s="42" t="inlineStr">
        <is>
          <t>431482</t>
        </is>
      </c>
      <c r="C1760" s="38" t="inlineStr">
        <is>
          <t>Y024</t>
        </is>
      </c>
      <c r="D1760" s="38" t="inlineStr">
        <is>
          <t>TOTAL</t>
        </is>
      </c>
      <c r="E1760" s="38" t="inlineStr">
        <is>
          <t>POP</t>
        </is>
      </c>
      <c r="F1760" s="38" t="n">
        <v>1511</v>
      </c>
    </row>
    <row r="1761" ht="15" customHeight="1" s="39">
      <c r="A1761" s="38" t="inlineStr">
        <is>
          <t>2021</t>
        </is>
      </c>
      <c r="B1761" s="42" t="inlineStr">
        <is>
          <t>431482</t>
        </is>
      </c>
      <c r="C1761" s="38" t="inlineStr">
        <is>
          <t>Y025</t>
        </is>
      </c>
      <c r="D1761" s="38" t="inlineStr">
        <is>
          <t>TOTAL</t>
        </is>
      </c>
      <c r="E1761" s="38" t="inlineStr">
        <is>
          <t>POP</t>
        </is>
      </c>
      <c r="F1761" s="38" t="n">
        <v>1597</v>
      </c>
    </row>
    <row r="1762" ht="15" customHeight="1" s="39">
      <c r="A1762" s="38" t="inlineStr">
        <is>
          <t>2021</t>
        </is>
      </c>
      <c r="B1762" s="42" t="inlineStr">
        <is>
          <t>431482</t>
        </is>
      </c>
      <c r="C1762" s="38" t="inlineStr">
        <is>
          <t>Y026</t>
        </is>
      </c>
      <c r="D1762" s="38" t="inlineStr">
        <is>
          <t>TOTAL</t>
        </is>
      </c>
      <c r="E1762" s="38" t="inlineStr">
        <is>
          <t>POP</t>
        </is>
      </c>
      <c r="F1762" s="38" t="n">
        <v>1600</v>
      </c>
    </row>
    <row r="1763" ht="15" customHeight="1" s="39">
      <c r="A1763" s="38" t="inlineStr">
        <is>
          <t>2021</t>
        </is>
      </c>
      <c r="B1763" s="42" t="inlineStr">
        <is>
          <t>431482</t>
        </is>
      </c>
      <c r="C1763" s="38" t="inlineStr">
        <is>
          <t>Y027</t>
        </is>
      </c>
      <c r="D1763" s="38" t="inlineStr">
        <is>
          <t>TOTAL</t>
        </is>
      </c>
      <c r="E1763" s="38" t="inlineStr">
        <is>
          <t>POP</t>
        </is>
      </c>
      <c r="F1763" s="38" t="n">
        <v>1616</v>
      </c>
    </row>
    <row r="1764" ht="15" customHeight="1" s="39">
      <c r="A1764" s="38" t="inlineStr">
        <is>
          <t>2021</t>
        </is>
      </c>
      <c r="B1764" s="42" t="inlineStr">
        <is>
          <t>431482</t>
        </is>
      </c>
      <c r="C1764" s="38" t="inlineStr">
        <is>
          <t>Y028</t>
        </is>
      </c>
      <c r="D1764" s="38" t="inlineStr">
        <is>
          <t>TOTAL</t>
        </is>
      </c>
      <c r="E1764" s="38" t="inlineStr">
        <is>
          <t>POP</t>
        </is>
      </c>
      <c r="F1764" s="38" t="n">
        <v>1632</v>
      </c>
    </row>
    <row r="1765" ht="15" customHeight="1" s="39">
      <c r="A1765" s="38" t="inlineStr">
        <is>
          <t>2021</t>
        </is>
      </c>
      <c r="B1765" s="42" t="inlineStr">
        <is>
          <t>431482</t>
        </is>
      </c>
      <c r="C1765" s="38" t="inlineStr">
        <is>
          <t>Y029</t>
        </is>
      </c>
      <c r="D1765" s="38" t="inlineStr">
        <is>
          <t>TOTAL</t>
        </is>
      </c>
      <c r="E1765" s="38" t="inlineStr">
        <is>
          <t>POP</t>
        </is>
      </c>
      <c r="F1765" s="38" t="n">
        <v>1562</v>
      </c>
    </row>
    <row r="1766" ht="15" customHeight="1" s="39">
      <c r="A1766" s="38" t="inlineStr">
        <is>
          <t>2021</t>
        </is>
      </c>
      <c r="B1766" s="42" t="inlineStr">
        <is>
          <t>431482</t>
        </is>
      </c>
      <c r="C1766" s="38" t="inlineStr">
        <is>
          <t>Y030</t>
        </is>
      </c>
      <c r="D1766" s="38" t="inlineStr">
        <is>
          <t>TOTAL</t>
        </is>
      </c>
      <c r="E1766" s="38" t="inlineStr">
        <is>
          <t>POP</t>
        </is>
      </c>
      <c r="F1766" s="38" t="n">
        <v>1572</v>
      </c>
    </row>
    <row r="1767" ht="15" customHeight="1" s="39">
      <c r="A1767" s="38" t="inlineStr">
        <is>
          <t>2021</t>
        </is>
      </c>
      <c r="B1767" s="42" t="inlineStr">
        <is>
          <t>431482</t>
        </is>
      </c>
      <c r="C1767" s="38" t="inlineStr">
        <is>
          <t>Y031</t>
        </is>
      </c>
      <c r="D1767" s="38" t="inlineStr">
        <is>
          <t>TOTAL</t>
        </is>
      </c>
      <c r="E1767" s="38" t="inlineStr">
        <is>
          <t>POP</t>
        </is>
      </c>
      <c r="F1767" s="38" t="n">
        <v>1607</v>
      </c>
    </row>
    <row r="1768" ht="15" customHeight="1" s="39">
      <c r="A1768" s="38" t="inlineStr">
        <is>
          <t>2021</t>
        </is>
      </c>
      <c r="B1768" s="42" t="inlineStr">
        <is>
          <t>431482</t>
        </is>
      </c>
      <c r="C1768" s="38" t="inlineStr">
        <is>
          <t>Y032</t>
        </is>
      </c>
      <c r="D1768" s="38" t="inlineStr">
        <is>
          <t>TOTAL</t>
        </is>
      </c>
      <c r="E1768" s="38" t="inlineStr">
        <is>
          <t>POP</t>
        </is>
      </c>
      <c r="F1768" s="38" t="n">
        <v>1686</v>
      </c>
    </row>
    <row r="1769" ht="15" customHeight="1" s="39">
      <c r="A1769" s="38" t="inlineStr">
        <is>
          <t>2021</t>
        </is>
      </c>
      <c r="B1769" s="42" t="inlineStr">
        <is>
          <t>431482</t>
        </is>
      </c>
      <c r="C1769" s="38" t="inlineStr">
        <is>
          <t>Y033</t>
        </is>
      </c>
      <c r="D1769" s="38" t="inlineStr">
        <is>
          <t>TOTAL</t>
        </is>
      </c>
      <c r="E1769" s="38" t="inlineStr">
        <is>
          <t>POP</t>
        </is>
      </c>
      <c r="F1769" s="38" t="n">
        <v>1608</v>
      </c>
    </row>
    <row r="1770" ht="15" customHeight="1" s="39">
      <c r="A1770" s="38" t="inlineStr">
        <is>
          <t>2021</t>
        </is>
      </c>
      <c r="B1770" s="42" t="inlineStr">
        <is>
          <t>431482</t>
        </is>
      </c>
      <c r="C1770" s="38" t="inlineStr">
        <is>
          <t>Y034</t>
        </is>
      </c>
      <c r="D1770" s="38" t="inlineStr">
        <is>
          <t>TOTAL</t>
        </is>
      </c>
      <c r="E1770" s="38" t="inlineStr">
        <is>
          <t>POP</t>
        </is>
      </c>
      <c r="F1770" s="38" t="n">
        <v>1603</v>
      </c>
    </row>
    <row r="1771" ht="15" customHeight="1" s="39">
      <c r="A1771" s="38" t="inlineStr">
        <is>
          <t>2021</t>
        </is>
      </c>
      <c r="B1771" s="42" t="inlineStr">
        <is>
          <t>431482</t>
        </is>
      </c>
      <c r="C1771" s="38" t="inlineStr">
        <is>
          <t>Y035</t>
        </is>
      </c>
      <c r="D1771" s="38" t="inlineStr">
        <is>
          <t>TOTAL</t>
        </is>
      </c>
      <c r="E1771" s="38" t="inlineStr">
        <is>
          <t>POP</t>
        </is>
      </c>
      <c r="F1771" s="38" t="n">
        <v>1780</v>
      </c>
    </row>
    <row r="1772" ht="15" customHeight="1" s="39">
      <c r="A1772" s="38" t="inlineStr">
        <is>
          <t>2021</t>
        </is>
      </c>
      <c r="B1772" s="42" t="inlineStr">
        <is>
          <t>431482</t>
        </is>
      </c>
      <c r="C1772" s="38" t="inlineStr">
        <is>
          <t>Y036</t>
        </is>
      </c>
      <c r="D1772" s="38" t="inlineStr">
        <is>
          <t>TOTAL</t>
        </is>
      </c>
      <c r="E1772" s="38" t="inlineStr">
        <is>
          <t>POP</t>
        </is>
      </c>
      <c r="F1772" s="38" t="n">
        <v>1745</v>
      </c>
    </row>
    <row r="1773" ht="15" customHeight="1" s="39">
      <c r="A1773" s="38" t="inlineStr">
        <is>
          <t>2021</t>
        </is>
      </c>
      <c r="B1773" s="42" t="inlineStr">
        <is>
          <t>431482</t>
        </is>
      </c>
      <c r="C1773" s="38" t="inlineStr">
        <is>
          <t>Y037</t>
        </is>
      </c>
      <c r="D1773" s="38" t="inlineStr">
        <is>
          <t>TOTAL</t>
        </is>
      </c>
      <c r="E1773" s="38" t="inlineStr">
        <is>
          <t>POP</t>
        </is>
      </c>
      <c r="F1773" s="38" t="n">
        <v>1781</v>
      </c>
    </row>
    <row r="1774" ht="15" customHeight="1" s="39">
      <c r="A1774" s="38" t="inlineStr">
        <is>
          <t>2021</t>
        </is>
      </c>
      <c r="B1774" s="42" t="inlineStr">
        <is>
          <t>431482</t>
        </is>
      </c>
      <c r="C1774" s="38" t="inlineStr">
        <is>
          <t>Y038</t>
        </is>
      </c>
      <c r="D1774" s="38" t="inlineStr">
        <is>
          <t>TOTAL</t>
        </is>
      </c>
      <c r="E1774" s="38" t="inlineStr">
        <is>
          <t>POP</t>
        </is>
      </c>
      <c r="F1774" s="38" t="n">
        <v>1936</v>
      </c>
    </row>
    <row r="1775" ht="15" customHeight="1" s="39">
      <c r="A1775" s="38" t="inlineStr">
        <is>
          <t>2021</t>
        </is>
      </c>
      <c r="B1775" s="42" t="inlineStr">
        <is>
          <t>431482</t>
        </is>
      </c>
      <c r="C1775" s="38" t="inlineStr">
        <is>
          <t>Y039</t>
        </is>
      </c>
      <c r="D1775" s="38" t="inlineStr">
        <is>
          <t>TOTAL</t>
        </is>
      </c>
      <c r="E1775" s="38" t="inlineStr">
        <is>
          <t>POP</t>
        </is>
      </c>
      <c r="F1775" s="38" t="n">
        <v>2006</v>
      </c>
    </row>
    <row r="1776" ht="15" customHeight="1" s="39">
      <c r="A1776" s="38" t="inlineStr">
        <is>
          <t>2021</t>
        </is>
      </c>
      <c r="B1776" s="42" t="inlineStr">
        <is>
          <t>431482</t>
        </is>
      </c>
      <c r="C1776" s="38" t="inlineStr">
        <is>
          <t>Y040</t>
        </is>
      </c>
      <c r="D1776" s="38" t="inlineStr">
        <is>
          <t>TOTAL</t>
        </is>
      </c>
      <c r="E1776" s="38" t="inlineStr">
        <is>
          <t>POP</t>
        </is>
      </c>
      <c r="F1776" s="38" t="n">
        <v>2106</v>
      </c>
    </row>
    <row r="1777" ht="15" customHeight="1" s="39">
      <c r="A1777" s="38" t="inlineStr">
        <is>
          <t>2021</t>
        </is>
      </c>
      <c r="B1777" s="42" t="inlineStr">
        <is>
          <t>431482</t>
        </is>
      </c>
      <c r="C1777" s="38" t="inlineStr">
        <is>
          <t>Y041</t>
        </is>
      </c>
      <c r="D1777" s="38" t="inlineStr">
        <is>
          <t>TOTAL</t>
        </is>
      </c>
      <c r="E1777" s="38" t="inlineStr">
        <is>
          <t>POP</t>
        </is>
      </c>
      <c r="F1777" s="38" t="n">
        <v>2217</v>
      </c>
    </row>
    <row r="1778" ht="15" customHeight="1" s="39">
      <c r="A1778" s="38" t="inlineStr">
        <is>
          <t>2021</t>
        </is>
      </c>
      <c r="B1778" s="42" t="inlineStr">
        <is>
          <t>431482</t>
        </is>
      </c>
      <c r="C1778" s="38" t="inlineStr">
        <is>
          <t>Y042</t>
        </is>
      </c>
      <c r="D1778" s="38" t="inlineStr">
        <is>
          <t>TOTAL</t>
        </is>
      </c>
      <c r="E1778" s="38" t="inlineStr">
        <is>
          <t>POP</t>
        </is>
      </c>
      <c r="F1778" s="38" t="n">
        <v>2289</v>
      </c>
    </row>
    <row r="1779" ht="15" customHeight="1" s="39">
      <c r="A1779" s="38" t="inlineStr">
        <is>
          <t>2021</t>
        </is>
      </c>
      <c r="B1779" s="42" t="inlineStr">
        <is>
          <t>431482</t>
        </is>
      </c>
      <c r="C1779" s="38" t="inlineStr">
        <is>
          <t>Y043</t>
        </is>
      </c>
      <c r="D1779" s="38" t="inlineStr">
        <is>
          <t>TOTAL</t>
        </is>
      </c>
      <c r="E1779" s="38" t="inlineStr">
        <is>
          <t>POP</t>
        </is>
      </c>
      <c r="F1779" s="38" t="n">
        <v>2358</v>
      </c>
    </row>
    <row r="1780" ht="15" customHeight="1" s="39">
      <c r="A1780" s="38" t="inlineStr">
        <is>
          <t>2021</t>
        </is>
      </c>
      <c r="B1780" s="42" t="inlineStr">
        <is>
          <t>431482</t>
        </is>
      </c>
      <c r="C1780" s="38" t="inlineStr">
        <is>
          <t>Y044</t>
        </is>
      </c>
      <c r="D1780" s="38" t="inlineStr">
        <is>
          <t>TOTAL</t>
        </is>
      </c>
      <c r="E1780" s="38" t="inlineStr">
        <is>
          <t>POP</t>
        </is>
      </c>
      <c r="F1780" s="38" t="n">
        <v>2369</v>
      </c>
    </row>
    <row r="1781" ht="15" customHeight="1" s="39">
      <c r="A1781" s="38" t="inlineStr">
        <is>
          <t>2021</t>
        </is>
      </c>
      <c r="B1781" s="42" t="inlineStr">
        <is>
          <t>431482</t>
        </is>
      </c>
      <c r="C1781" s="38" t="inlineStr">
        <is>
          <t>Y045</t>
        </is>
      </c>
      <c r="D1781" s="38" t="inlineStr">
        <is>
          <t>TOTAL</t>
        </is>
      </c>
      <c r="E1781" s="38" t="inlineStr">
        <is>
          <t>POP</t>
        </is>
      </c>
      <c r="F1781" s="38" t="n">
        <v>2360</v>
      </c>
    </row>
    <row r="1782" ht="15" customHeight="1" s="39">
      <c r="A1782" s="38" t="inlineStr">
        <is>
          <t>2021</t>
        </is>
      </c>
      <c r="B1782" s="42" t="inlineStr">
        <is>
          <t>431482</t>
        </is>
      </c>
      <c r="C1782" s="38" t="inlineStr">
        <is>
          <t>Y046</t>
        </is>
      </c>
      <c r="D1782" s="38" t="inlineStr">
        <is>
          <t>TOTAL</t>
        </is>
      </c>
      <c r="E1782" s="38" t="inlineStr">
        <is>
          <t>POP</t>
        </is>
      </c>
      <c r="F1782" s="38" t="n">
        <v>2303</v>
      </c>
    </row>
    <row r="1783" ht="15" customHeight="1" s="39">
      <c r="A1783" s="38" t="inlineStr">
        <is>
          <t>2021</t>
        </is>
      </c>
      <c r="B1783" s="42" t="inlineStr">
        <is>
          <t>431482</t>
        </is>
      </c>
      <c r="C1783" s="38" t="inlineStr">
        <is>
          <t>Y047</t>
        </is>
      </c>
      <c r="D1783" s="38" t="inlineStr">
        <is>
          <t>TOTAL</t>
        </is>
      </c>
      <c r="E1783" s="38" t="inlineStr">
        <is>
          <t>POP</t>
        </is>
      </c>
      <c r="F1783" s="38" t="n">
        <v>2245</v>
      </c>
    </row>
    <row r="1784" ht="15" customHeight="1" s="39">
      <c r="A1784" s="38" t="inlineStr">
        <is>
          <t>2021</t>
        </is>
      </c>
      <c r="B1784" s="42" t="inlineStr">
        <is>
          <t>431482</t>
        </is>
      </c>
      <c r="C1784" s="38" t="inlineStr">
        <is>
          <t>Y048</t>
        </is>
      </c>
      <c r="D1784" s="38" t="inlineStr">
        <is>
          <t>TOTAL</t>
        </is>
      </c>
      <c r="E1784" s="38" t="inlineStr">
        <is>
          <t>POP</t>
        </is>
      </c>
      <c r="F1784" s="38" t="n">
        <v>2257</v>
      </c>
    </row>
    <row r="1785" ht="15" customHeight="1" s="39">
      <c r="A1785" s="38" t="inlineStr">
        <is>
          <t>2021</t>
        </is>
      </c>
      <c r="B1785" s="42" t="inlineStr">
        <is>
          <t>431482</t>
        </is>
      </c>
      <c r="C1785" s="38" t="inlineStr">
        <is>
          <t>Y049</t>
        </is>
      </c>
      <c r="D1785" s="38" t="inlineStr">
        <is>
          <t>TOTAL</t>
        </is>
      </c>
      <c r="E1785" s="38" t="inlineStr">
        <is>
          <t>POP</t>
        </is>
      </c>
      <c r="F1785" s="38" t="n">
        <v>2084</v>
      </c>
    </row>
    <row r="1786" ht="15" customHeight="1" s="39">
      <c r="A1786" s="38" t="inlineStr">
        <is>
          <t>2021</t>
        </is>
      </c>
      <c r="B1786" s="42" t="inlineStr">
        <is>
          <t>431482</t>
        </is>
      </c>
      <c r="C1786" s="38" t="inlineStr">
        <is>
          <t>Y050</t>
        </is>
      </c>
      <c r="D1786" s="38" t="inlineStr">
        <is>
          <t>TOTAL</t>
        </is>
      </c>
      <c r="E1786" s="38" t="inlineStr">
        <is>
          <t>POP</t>
        </is>
      </c>
      <c r="F1786" s="38" t="n">
        <v>2112</v>
      </c>
    </row>
    <row r="1787" ht="15" customHeight="1" s="39">
      <c r="A1787" s="38" t="inlineStr">
        <is>
          <t>2021</t>
        </is>
      </c>
      <c r="B1787" s="42" t="inlineStr">
        <is>
          <t>431482</t>
        </is>
      </c>
      <c r="C1787" s="38" t="inlineStr">
        <is>
          <t>Y051</t>
        </is>
      </c>
      <c r="D1787" s="38" t="inlineStr">
        <is>
          <t>TOTAL</t>
        </is>
      </c>
      <c r="E1787" s="38" t="inlineStr">
        <is>
          <t>POP</t>
        </is>
      </c>
      <c r="F1787" s="38" t="n">
        <v>2011</v>
      </c>
    </row>
    <row r="1788" ht="15" customHeight="1" s="39">
      <c r="A1788" s="38" t="inlineStr">
        <is>
          <t>2021</t>
        </is>
      </c>
      <c r="B1788" s="42" t="inlineStr">
        <is>
          <t>431482</t>
        </is>
      </c>
      <c r="C1788" s="38" t="inlineStr">
        <is>
          <t>Y052</t>
        </is>
      </c>
      <c r="D1788" s="38" t="inlineStr">
        <is>
          <t>TOTAL</t>
        </is>
      </c>
      <c r="E1788" s="38" t="inlineStr">
        <is>
          <t>POP</t>
        </is>
      </c>
      <c r="F1788" s="38" t="n">
        <v>2010</v>
      </c>
    </row>
    <row r="1789" ht="15" customHeight="1" s="39">
      <c r="A1789" s="38" t="inlineStr">
        <is>
          <t>2021</t>
        </is>
      </c>
      <c r="B1789" s="42" t="inlineStr">
        <is>
          <t>431482</t>
        </is>
      </c>
      <c r="C1789" s="38" t="inlineStr">
        <is>
          <t>Y053</t>
        </is>
      </c>
      <c r="D1789" s="38" t="inlineStr">
        <is>
          <t>TOTAL</t>
        </is>
      </c>
      <c r="E1789" s="38" t="inlineStr">
        <is>
          <t>POP</t>
        </is>
      </c>
      <c r="F1789" s="38" t="n">
        <v>2096</v>
      </c>
    </row>
    <row r="1790" ht="15" customHeight="1" s="39">
      <c r="A1790" s="38" t="inlineStr">
        <is>
          <t>2021</t>
        </is>
      </c>
      <c r="B1790" s="42" t="inlineStr">
        <is>
          <t>431482</t>
        </is>
      </c>
      <c r="C1790" s="38" t="inlineStr">
        <is>
          <t>Y054</t>
        </is>
      </c>
      <c r="D1790" s="38" t="inlineStr">
        <is>
          <t>TOTAL</t>
        </is>
      </c>
      <c r="E1790" s="38" t="inlineStr">
        <is>
          <t>POP</t>
        </is>
      </c>
      <c r="F1790" s="38" t="n">
        <v>2077</v>
      </c>
    </row>
    <row r="1791" ht="15" customHeight="1" s="39">
      <c r="A1791" s="38" t="inlineStr">
        <is>
          <t>2021</t>
        </is>
      </c>
      <c r="B1791" s="42" t="inlineStr">
        <is>
          <t>431482</t>
        </is>
      </c>
      <c r="C1791" s="38" t="inlineStr">
        <is>
          <t>Y055</t>
        </is>
      </c>
      <c r="D1791" s="38" t="inlineStr">
        <is>
          <t>TOTAL</t>
        </is>
      </c>
      <c r="E1791" s="38" t="inlineStr">
        <is>
          <t>POP</t>
        </is>
      </c>
      <c r="F1791" s="38" t="n">
        <v>1851</v>
      </c>
    </row>
    <row r="1792" ht="15" customHeight="1" s="39">
      <c r="A1792" s="38" t="inlineStr">
        <is>
          <t>2021</t>
        </is>
      </c>
      <c r="B1792" s="42" t="inlineStr">
        <is>
          <t>431482</t>
        </is>
      </c>
      <c r="C1792" s="38" t="inlineStr">
        <is>
          <t>Y056</t>
        </is>
      </c>
      <c r="D1792" s="38" t="inlineStr">
        <is>
          <t>TOTAL</t>
        </is>
      </c>
      <c r="E1792" s="38" t="inlineStr">
        <is>
          <t>POP</t>
        </is>
      </c>
      <c r="F1792" s="38" t="n">
        <v>1930</v>
      </c>
    </row>
    <row r="1793" ht="15" customHeight="1" s="39">
      <c r="A1793" s="38" t="inlineStr">
        <is>
          <t>2021</t>
        </is>
      </c>
      <c r="B1793" s="42" t="inlineStr">
        <is>
          <t>431482</t>
        </is>
      </c>
      <c r="C1793" s="38" t="inlineStr">
        <is>
          <t>Y057</t>
        </is>
      </c>
      <c r="D1793" s="38" t="inlineStr">
        <is>
          <t>TOTAL</t>
        </is>
      </c>
      <c r="E1793" s="38" t="inlineStr">
        <is>
          <t>POP</t>
        </is>
      </c>
      <c r="F1793" s="38" t="n">
        <v>1798</v>
      </c>
    </row>
    <row r="1794" ht="15" customHeight="1" s="39">
      <c r="A1794" s="38" t="inlineStr">
        <is>
          <t>2021</t>
        </is>
      </c>
      <c r="B1794" s="42" t="inlineStr">
        <is>
          <t>431482</t>
        </is>
      </c>
      <c r="C1794" s="38" t="inlineStr">
        <is>
          <t>Y058</t>
        </is>
      </c>
      <c r="D1794" s="38" t="inlineStr">
        <is>
          <t>TOTAL</t>
        </is>
      </c>
      <c r="E1794" s="38" t="inlineStr">
        <is>
          <t>POP</t>
        </is>
      </c>
      <c r="F1794" s="38" t="n">
        <v>1722</v>
      </c>
    </row>
    <row r="1795" ht="15" customHeight="1" s="39">
      <c r="A1795" s="38" t="inlineStr">
        <is>
          <t>2021</t>
        </is>
      </c>
      <c r="B1795" s="42" t="inlineStr">
        <is>
          <t>431482</t>
        </is>
      </c>
      <c r="C1795" s="38" t="inlineStr">
        <is>
          <t>Y059</t>
        </is>
      </c>
      <c r="D1795" s="38" t="inlineStr">
        <is>
          <t>TOTAL</t>
        </is>
      </c>
      <c r="E1795" s="38" t="inlineStr">
        <is>
          <t>POP</t>
        </is>
      </c>
      <c r="F1795" s="38" t="n">
        <v>1732</v>
      </c>
    </row>
    <row r="1796" ht="15" customHeight="1" s="39">
      <c r="A1796" s="38" t="inlineStr">
        <is>
          <t>2021</t>
        </is>
      </c>
      <c r="B1796" s="42" t="inlineStr">
        <is>
          <t>431482</t>
        </is>
      </c>
      <c r="C1796" s="38" t="inlineStr">
        <is>
          <t>Y060</t>
        </is>
      </c>
      <c r="D1796" s="38" t="inlineStr">
        <is>
          <t>TOTAL</t>
        </is>
      </c>
      <c r="E1796" s="38" t="inlineStr">
        <is>
          <t>POP</t>
        </is>
      </c>
      <c r="F1796" s="38" t="n">
        <v>1741</v>
      </c>
    </row>
    <row r="1797" ht="15" customHeight="1" s="39">
      <c r="A1797" s="38" t="inlineStr">
        <is>
          <t>2021</t>
        </is>
      </c>
      <c r="B1797" s="42" t="inlineStr">
        <is>
          <t>431482</t>
        </is>
      </c>
      <c r="C1797" s="38" t="inlineStr">
        <is>
          <t>Y061</t>
        </is>
      </c>
      <c r="D1797" s="38" t="inlineStr">
        <is>
          <t>TOTAL</t>
        </is>
      </c>
      <c r="E1797" s="38" t="inlineStr">
        <is>
          <t>POP</t>
        </is>
      </c>
      <c r="F1797" s="38" t="n">
        <v>1712</v>
      </c>
    </row>
    <row r="1798" ht="15" customHeight="1" s="39">
      <c r="A1798" s="38" t="inlineStr">
        <is>
          <t>2021</t>
        </is>
      </c>
      <c r="B1798" s="42" t="inlineStr">
        <is>
          <t>431482</t>
        </is>
      </c>
      <c r="C1798" s="38" t="inlineStr">
        <is>
          <t>Y062</t>
        </is>
      </c>
      <c r="D1798" s="38" t="inlineStr">
        <is>
          <t>TOTAL</t>
        </is>
      </c>
      <c r="E1798" s="38" t="inlineStr">
        <is>
          <t>POP</t>
        </is>
      </c>
      <c r="F1798" s="38" t="n">
        <v>1624</v>
      </c>
    </row>
    <row r="1799" ht="15" customHeight="1" s="39">
      <c r="A1799" s="38" t="inlineStr">
        <is>
          <t>2021</t>
        </is>
      </c>
      <c r="B1799" s="42" t="inlineStr">
        <is>
          <t>431482</t>
        </is>
      </c>
      <c r="C1799" s="38" t="inlineStr">
        <is>
          <t>Y063</t>
        </is>
      </c>
      <c r="D1799" s="38" t="inlineStr">
        <is>
          <t>TOTAL</t>
        </is>
      </c>
      <c r="E1799" s="38" t="inlineStr">
        <is>
          <t>POP</t>
        </is>
      </c>
      <c r="F1799" s="38" t="n">
        <v>1623</v>
      </c>
    </row>
    <row r="1800" ht="15" customHeight="1" s="39">
      <c r="A1800" s="38" t="inlineStr">
        <is>
          <t>2021</t>
        </is>
      </c>
      <c r="B1800" s="42" t="inlineStr">
        <is>
          <t>431482</t>
        </is>
      </c>
      <c r="C1800" s="38" t="inlineStr">
        <is>
          <t>Y064</t>
        </is>
      </c>
      <c r="D1800" s="38" t="inlineStr">
        <is>
          <t>TOTAL</t>
        </is>
      </c>
      <c r="E1800" s="38" t="inlineStr">
        <is>
          <t>POP</t>
        </is>
      </c>
      <c r="F1800" s="38" t="n">
        <v>1542</v>
      </c>
    </row>
    <row r="1801" ht="15" customHeight="1" s="39">
      <c r="A1801" s="38" t="inlineStr">
        <is>
          <t>2021</t>
        </is>
      </c>
      <c r="B1801" s="42" t="inlineStr">
        <is>
          <t>431482</t>
        </is>
      </c>
      <c r="C1801" s="38" t="inlineStr">
        <is>
          <t>Y065</t>
        </is>
      </c>
      <c r="D1801" s="38" t="inlineStr">
        <is>
          <t>TOTAL</t>
        </is>
      </c>
      <c r="E1801" s="38" t="inlineStr">
        <is>
          <t>POP</t>
        </is>
      </c>
      <c r="F1801" s="38" t="n">
        <v>1525</v>
      </c>
    </row>
    <row r="1802" ht="15" customHeight="1" s="39">
      <c r="A1802" s="38" t="inlineStr">
        <is>
          <t>2021</t>
        </is>
      </c>
      <c r="B1802" s="42" t="inlineStr">
        <is>
          <t>431482</t>
        </is>
      </c>
      <c r="C1802" s="38" t="inlineStr">
        <is>
          <t>Y066</t>
        </is>
      </c>
      <c r="D1802" s="38" t="inlineStr">
        <is>
          <t>TOTAL</t>
        </is>
      </c>
      <c r="E1802" s="38" t="inlineStr">
        <is>
          <t>POP</t>
        </is>
      </c>
      <c r="F1802" s="38" t="n">
        <v>1403</v>
      </c>
    </row>
    <row r="1803" ht="15" customHeight="1" s="39">
      <c r="A1803" s="38" t="inlineStr">
        <is>
          <t>2021</t>
        </is>
      </c>
      <c r="B1803" s="42" t="inlineStr">
        <is>
          <t>431482</t>
        </is>
      </c>
      <c r="C1803" s="38" t="inlineStr">
        <is>
          <t>Y067</t>
        </is>
      </c>
      <c r="D1803" s="38" t="inlineStr">
        <is>
          <t>TOTAL</t>
        </is>
      </c>
      <c r="E1803" s="38" t="inlineStr">
        <is>
          <t>POP</t>
        </is>
      </c>
      <c r="F1803" s="38" t="n">
        <v>1335</v>
      </c>
    </row>
    <row r="1804" ht="15" customHeight="1" s="39">
      <c r="A1804" s="38" t="inlineStr">
        <is>
          <t>2021</t>
        </is>
      </c>
      <c r="B1804" s="42" t="inlineStr">
        <is>
          <t>431482</t>
        </is>
      </c>
      <c r="C1804" s="38" t="inlineStr">
        <is>
          <t>Y068</t>
        </is>
      </c>
      <c r="D1804" s="38" t="inlineStr">
        <is>
          <t>TOTAL</t>
        </is>
      </c>
      <c r="E1804" s="38" t="inlineStr">
        <is>
          <t>POP</t>
        </is>
      </c>
      <c r="F1804" s="38" t="n">
        <v>1385</v>
      </c>
    </row>
    <row r="1805" ht="15" customHeight="1" s="39">
      <c r="A1805" s="38" t="inlineStr">
        <is>
          <t>2021</t>
        </is>
      </c>
      <c r="B1805" s="42" t="inlineStr">
        <is>
          <t>431482</t>
        </is>
      </c>
      <c r="C1805" s="38" t="inlineStr">
        <is>
          <t>Y069</t>
        </is>
      </c>
      <c r="D1805" s="38" t="inlineStr">
        <is>
          <t>TOTAL</t>
        </is>
      </c>
      <c r="E1805" s="38" t="inlineStr">
        <is>
          <t>POP</t>
        </is>
      </c>
      <c r="F1805" s="38" t="n">
        <v>1301</v>
      </c>
    </row>
    <row r="1806" ht="15" customHeight="1" s="39">
      <c r="A1806" s="38" t="inlineStr">
        <is>
          <t>2021</t>
        </is>
      </c>
      <c r="B1806" s="42" t="inlineStr">
        <is>
          <t>431482</t>
        </is>
      </c>
      <c r="C1806" s="38" t="inlineStr">
        <is>
          <t>Y070</t>
        </is>
      </c>
      <c r="D1806" s="38" t="inlineStr">
        <is>
          <t>TOTAL</t>
        </is>
      </c>
      <c r="E1806" s="38" t="inlineStr">
        <is>
          <t>POP</t>
        </is>
      </c>
      <c r="F1806" s="38" t="n">
        <v>1217</v>
      </c>
    </row>
    <row r="1807" ht="15" customHeight="1" s="39">
      <c r="A1807" s="38" t="inlineStr">
        <is>
          <t>2021</t>
        </is>
      </c>
      <c r="B1807" s="42" t="inlineStr">
        <is>
          <t>431482</t>
        </is>
      </c>
      <c r="C1807" s="38" t="inlineStr">
        <is>
          <t>Y071</t>
        </is>
      </c>
      <c r="D1807" s="38" t="inlineStr">
        <is>
          <t>TOTAL</t>
        </is>
      </c>
      <c r="E1807" s="38" t="inlineStr">
        <is>
          <t>POP</t>
        </is>
      </c>
      <c r="F1807" s="38" t="n">
        <v>1323</v>
      </c>
    </row>
    <row r="1808" ht="15" customHeight="1" s="39">
      <c r="A1808" s="38" t="inlineStr">
        <is>
          <t>2021</t>
        </is>
      </c>
      <c r="B1808" s="42" t="inlineStr">
        <is>
          <t>431482</t>
        </is>
      </c>
      <c r="C1808" s="38" t="inlineStr">
        <is>
          <t>Y072</t>
        </is>
      </c>
      <c r="D1808" s="38" t="inlineStr">
        <is>
          <t>TOTAL</t>
        </is>
      </c>
      <c r="E1808" s="38" t="inlineStr">
        <is>
          <t>POP</t>
        </is>
      </c>
      <c r="F1808" s="38" t="n">
        <v>1299</v>
      </c>
    </row>
    <row r="1809" ht="15" customHeight="1" s="39">
      <c r="A1809" s="38" t="inlineStr">
        <is>
          <t>2021</t>
        </is>
      </c>
      <c r="B1809" s="42" t="inlineStr">
        <is>
          <t>431482</t>
        </is>
      </c>
      <c r="C1809" s="38" t="inlineStr">
        <is>
          <t>Y073</t>
        </is>
      </c>
      <c r="D1809" s="38" t="inlineStr">
        <is>
          <t>TOTAL</t>
        </is>
      </c>
      <c r="E1809" s="38" t="inlineStr">
        <is>
          <t>POP</t>
        </is>
      </c>
      <c r="F1809" s="38" t="n">
        <v>1258</v>
      </c>
    </row>
    <row r="1810" ht="15" customHeight="1" s="39">
      <c r="A1810" s="38" t="inlineStr">
        <is>
          <t>2021</t>
        </is>
      </c>
      <c r="B1810" s="42" t="inlineStr">
        <is>
          <t>431482</t>
        </is>
      </c>
      <c r="C1810" s="38" t="inlineStr">
        <is>
          <t>Y074</t>
        </is>
      </c>
      <c r="D1810" s="38" t="inlineStr">
        <is>
          <t>TOTAL</t>
        </is>
      </c>
      <c r="E1810" s="38" t="inlineStr">
        <is>
          <t>POP</t>
        </is>
      </c>
      <c r="F1810" s="38" t="n">
        <v>1132</v>
      </c>
    </row>
    <row r="1811" ht="15" customHeight="1" s="39">
      <c r="A1811" s="38" t="inlineStr">
        <is>
          <t>2021</t>
        </is>
      </c>
      <c r="B1811" s="42" t="inlineStr">
        <is>
          <t>431482</t>
        </is>
      </c>
      <c r="C1811" s="38" t="inlineStr">
        <is>
          <t>Y075</t>
        </is>
      </c>
      <c r="D1811" s="38" t="inlineStr">
        <is>
          <t>TOTAL</t>
        </is>
      </c>
      <c r="E1811" s="38" t="inlineStr">
        <is>
          <t>POP</t>
        </is>
      </c>
      <c r="F1811" s="38" t="n">
        <v>1153</v>
      </c>
    </row>
    <row r="1812" ht="15" customHeight="1" s="39">
      <c r="A1812" s="38" t="inlineStr">
        <is>
          <t>2021</t>
        </is>
      </c>
      <c r="B1812" s="42" t="inlineStr">
        <is>
          <t>431482</t>
        </is>
      </c>
      <c r="C1812" s="38" t="inlineStr">
        <is>
          <t>Y076</t>
        </is>
      </c>
      <c r="D1812" s="38" t="inlineStr">
        <is>
          <t>TOTAL</t>
        </is>
      </c>
      <c r="E1812" s="38" t="inlineStr">
        <is>
          <t>POP</t>
        </is>
      </c>
      <c r="F1812" s="38" t="n">
        <v>1004</v>
      </c>
    </row>
    <row r="1813" ht="15" customHeight="1" s="39">
      <c r="A1813" s="38" t="inlineStr">
        <is>
          <t>2021</t>
        </is>
      </c>
      <c r="B1813" s="42" t="inlineStr">
        <is>
          <t>431482</t>
        </is>
      </c>
      <c r="C1813" s="38" t="inlineStr">
        <is>
          <t>Y077</t>
        </is>
      </c>
      <c r="D1813" s="38" t="inlineStr">
        <is>
          <t>TOTAL</t>
        </is>
      </c>
      <c r="E1813" s="38" t="inlineStr">
        <is>
          <t>POP</t>
        </is>
      </c>
      <c r="F1813" s="38" t="n">
        <v>1002</v>
      </c>
    </row>
    <row r="1814" ht="15" customHeight="1" s="39">
      <c r="A1814" s="38" t="inlineStr">
        <is>
          <t>2021</t>
        </is>
      </c>
      <c r="B1814" s="42" t="inlineStr">
        <is>
          <t>431482</t>
        </is>
      </c>
      <c r="C1814" s="38" t="inlineStr">
        <is>
          <t>Y078</t>
        </is>
      </c>
      <c r="D1814" s="38" t="inlineStr">
        <is>
          <t>TOTAL</t>
        </is>
      </c>
      <c r="E1814" s="38" t="inlineStr">
        <is>
          <t>POP</t>
        </is>
      </c>
      <c r="F1814" s="38" t="n">
        <v>908</v>
      </c>
    </row>
    <row r="1815" ht="15" customHeight="1" s="39">
      <c r="A1815" s="38" t="inlineStr">
        <is>
          <t>2021</t>
        </is>
      </c>
      <c r="B1815" s="42" t="inlineStr">
        <is>
          <t>431482</t>
        </is>
      </c>
      <c r="C1815" s="38" t="inlineStr">
        <is>
          <t>Y079</t>
        </is>
      </c>
      <c r="D1815" s="38" t="inlineStr">
        <is>
          <t>TOTAL</t>
        </is>
      </c>
      <c r="E1815" s="38" t="inlineStr">
        <is>
          <t>POP</t>
        </is>
      </c>
      <c r="F1815" s="38" t="n">
        <v>730</v>
      </c>
    </row>
    <row r="1816" ht="15" customHeight="1" s="39">
      <c r="A1816" s="38" t="inlineStr">
        <is>
          <t>2021</t>
        </is>
      </c>
      <c r="B1816" s="42" t="inlineStr">
        <is>
          <t>431482</t>
        </is>
      </c>
      <c r="C1816" s="38" t="inlineStr">
        <is>
          <t>Y080</t>
        </is>
      </c>
      <c r="D1816" s="38" t="inlineStr">
        <is>
          <t>TOTAL</t>
        </is>
      </c>
      <c r="E1816" s="38" t="inlineStr">
        <is>
          <t>POP</t>
        </is>
      </c>
      <c r="F1816" s="38" t="n">
        <v>947</v>
      </c>
    </row>
    <row r="1817" ht="15" customHeight="1" s="39">
      <c r="A1817" s="38" t="inlineStr">
        <is>
          <t>2021</t>
        </is>
      </c>
      <c r="B1817" s="42" t="inlineStr">
        <is>
          <t>431482</t>
        </is>
      </c>
      <c r="C1817" s="38" t="inlineStr">
        <is>
          <t>Y081</t>
        </is>
      </c>
      <c r="D1817" s="38" t="inlineStr">
        <is>
          <t>TOTAL</t>
        </is>
      </c>
      <c r="E1817" s="38" t="inlineStr">
        <is>
          <t>POP</t>
        </is>
      </c>
      <c r="F1817" s="38" t="n">
        <v>478</v>
      </c>
    </row>
    <row r="1818" ht="15" customHeight="1" s="39">
      <c r="A1818" s="38" t="inlineStr">
        <is>
          <t>2021</t>
        </is>
      </c>
      <c r="B1818" s="42" t="inlineStr">
        <is>
          <t>431482</t>
        </is>
      </c>
      <c r="C1818" s="38" t="inlineStr">
        <is>
          <t>Y082</t>
        </is>
      </c>
      <c r="D1818" s="38" t="inlineStr">
        <is>
          <t>TOTAL</t>
        </is>
      </c>
      <c r="E1818" s="38" t="inlineStr">
        <is>
          <t>POP</t>
        </is>
      </c>
      <c r="F1818" s="38" t="n">
        <v>579</v>
      </c>
    </row>
    <row r="1819" ht="15" customHeight="1" s="39">
      <c r="A1819" s="38" t="inlineStr">
        <is>
          <t>2021</t>
        </is>
      </c>
      <c r="B1819" s="42" t="inlineStr">
        <is>
          <t>431482</t>
        </is>
      </c>
      <c r="C1819" s="38" t="inlineStr">
        <is>
          <t>Y083</t>
        </is>
      </c>
      <c r="D1819" s="38" t="inlineStr">
        <is>
          <t>TOTAL</t>
        </is>
      </c>
      <c r="E1819" s="38" t="inlineStr">
        <is>
          <t>POP</t>
        </is>
      </c>
      <c r="F1819" s="38" t="n">
        <v>693</v>
      </c>
    </row>
    <row r="1820" ht="15" customHeight="1" s="39">
      <c r="A1820" s="38" t="inlineStr">
        <is>
          <t>2021</t>
        </is>
      </c>
      <c r="B1820" s="42" t="inlineStr">
        <is>
          <t>431482</t>
        </is>
      </c>
      <c r="C1820" s="38" t="inlineStr">
        <is>
          <t>Y084</t>
        </is>
      </c>
      <c r="D1820" s="38" t="inlineStr">
        <is>
          <t>TOTAL</t>
        </is>
      </c>
      <c r="E1820" s="38" t="inlineStr">
        <is>
          <t>POP</t>
        </is>
      </c>
      <c r="F1820" s="38" t="n">
        <v>683</v>
      </c>
    </row>
    <row r="1821" ht="15" customHeight="1" s="39">
      <c r="A1821" s="38" t="inlineStr">
        <is>
          <t>2021</t>
        </is>
      </c>
      <c r="B1821" s="42" t="inlineStr">
        <is>
          <t>431482</t>
        </is>
      </c>
      <c r="C1821" s="38" t="inlineStr">
        <is>
          <t>Y085</t>
        </is>
      </c>
      <c r="D1821" s="38" t="inlineStr">
        <is>
          <t>TOTAL</t>
        </is>
      </c>
      <c r="E1821" s="38" t="inlineStr">
        <is>
          <t>POP</t>
        </is>
      </c>
      <c r="F1821" s="38" t="n">
        <v>616</v>
      </c>
    </row>
    <row r="1822" ht="15" customHeight="1" s="39">
      <c r="A1822" s="38" t="inlineStr">
        <is>
          <t>2021</t>
        </is>
      </c>
      <c r="B1822" s="42" t="inlineStr">
        <is>
          <t>431482</t>
        </is>
      </c>
      <c r="C1822" s="38" t="inlineStr">
        <is>
          <t>Y086</t>
        </is>
      </c>
      <c r="D1822" s="38" t="inlineStr">
        <is>
          <t>TOTAL</t>
        </is>
      </c>
      <c r="E1822" s="38" t="inlineStr">
        <is>
          <t>POP</t>
        </is>
      </c>
      <c r="F1822" s="38" t="n">
        <v>540</v>
      </c>
    </row>
    <row r="1823" ht="15" customHeight="1" s="39">
      <c r="A1823" s="38" t="inlineStr">
        <is>
          <t>2021</t>
        </is>
      </c>
      <c r="B1823" s="42" t="inlineStr">
        <is>
          <t>431482</t>
        </is>
      </c>
      <c r="C1823" s="38" t="inlineStr">
        <is>
          <t>Y087</t>
        </is>
      </c>
      <c r="D1823" s="38" t="inlineStr">
        <is>
          <t>TOTAL</t>
        </is>
      </c>
      <c r="E1823" s="38" t="inlineStr">
        <is>
          <t>POP</t>
        </is>
      </c>
      <c r="F1823" s="38" t="n">
        <v>522</v>
      </c>
    </row>
    <row r="1824" ht="15" customHeight="1" s="39">
      <c r="A1824" s="38" t="inlineStr">
        <is>
          <t>2021</t>
        </is>
      </c>
      <c r="B1824" s="42" t="inlineStr">
        <is>
          <t>431482</t>
        </is>
      </c>
      <c r="C1824" s="38" t="inlineStr">
        <is>
          <t>Y088</t>
        </is>
      </c>
      <c r="D1824" s="38" t="inlineStr">
        <is>
          <t>TOTAL</t>
        </is>
      </c>
      <c r="E1824" s="38" t="inlineStr">
        <is>
          <t>POP</t>
        </is>
      </c>
      <c r="F1824" s="38" t="n">
        <v>459</v>
      </c>
    </row>
    <row r="1825" ht="15" customHeight="1" s="39">
      <c r="A1825" s="38" t="inlineStr">
        <is>
          <t>2021</t>
        </is>
      </c>
      <c r="B1825" s="42" t="inlineStr">
        <is>
          <t>431482</t>
        </is>
      </c>
      <c r="C1825" s="38" t="inlineStr">
        <is>
          <t>Y089</t>
        </is>
      </c>
      <c r="D1825" s="38" t="inlineStr">
        <is>
          <t>TOTAL</t>
        </is>
      </c>
      <c r="E1825" s="38" t="inlineStr">
        <is>
          <t>POP</t>
        </is>
      </c>
      <c r="F1825" s="38" t="n">
        <v>397</v>
      </c>
    </row>
    <row r="1826" ht="15" customHeight="1" s="39">
      <c r="A1826" s="38" t="inlineStr">
        <is>
          <t>2021</t>
        </is>
      </c>
      <c r="B1826" s="42" t="inlineStr">
        <is>
          <t>431482</t>
        </is>
      </c>
      <c r="C1826" s="38" t="inlineStr">
        <is>
          <t>Y090</t>
        </is>
      </c>
      <c r="D1826" s="38" t="inlineStr">
        <is>
          <t>TOTAL</t>
        </is>
      </c>
      <c r="E1826" s="38" t="inlineStr">
        <is>
          <t>POP</t>
        </is>
      </c>
      <c r="F1826" s="38" t="n">
        <v>347</v>
      </c>
    </row>
    <row r="1827" ht="15" customHeight="1" s="39">
      <c r="A1827" s="38" t="inlineStr">
        <is>
          <t>2021</t>
        </is>
      </c>
      <c r="B1827" s="42" t="inlineStr">
        <is>
          <t>431482</t>
        </is>
      </c>
      <c r="C1827" s="38" t="inlineStr">
        <is>
          <t>Y091</t>
        </is>
      </c>
      <c r="D1827" s="38" t="inlineStr">
        <is>
          <t>TOTAL</t>
        </is>
      </c>
      <c r="E1827" s="38" t="inlineStr">
        <is>
          <t>POP</t>
        </is>
      </c>
      <c r="F1827" s="38" t="n">
        <v>268</v>
      </c>
    </row>
    <row r="1828" ht="15" customHeight="1" s="39">
      <c r="A1828" s="38" t="inlineStr">
        <is>
          <t>2021</t>
        </is>
      </c>
      <c r="B1828" s="42" t="inlineStr">
        <is>
          <t>431482</t>
        </is>
      </c>
      <c r="C1828" s="38" t="inlineStr">
        <is>
          <t>Y092</t>
        </is>
      </c>
      <c r="D1828" s="38" t="inlineStr">
        <is>
          <t>TOTAL</t>
        </is>
      </c>
      <c r="E1828" s="38" t="inlineStr">
        <is>
          <t>POP</t>
        </is>
      </c>
      <c r="F1828" s="38" t="n">
        <v>255</v>
      </c>
    </row>
    <row r="1829" ht="15" customHeight="1" s="39">
      <c r="A1829" s="38" t="inlineStr">
        <is>
          <t>2021</t>
        </is>
      </c>
      <c r="B1829" s="42" t="inlineStr">
        <is>
          <t>431482</t>
        </is>
      </c>
      <c r="C1829" s="38" t="inlineStr">
        <is>
          <t>Y093</t>
        </is>
      </c>
      <c r="D1829" s="38" t="inlineStr">
        <is>
          <t>TOTAL</t>
        </is>
      </c>
      <c r="E1829" s="38" t="inlineStr">
        <is>
          <t>POP</t>
        </is>
      </c>
      <c r="F1829" s="38" t="n">
        <v>154</v>
      </c>
    </row>
    <row r="1830" ht="15" customHeight="1" s="39">
      <c r="A1830" s="38" t="inlineStr">
        <is>
          <t>2021</t>
        </is>
      </c>
      <c r="B1830" s="42" t="inlineStr">
        <is>
          <t>431482</t>
        </is>
      </c>
      <c r="C1830" s="38" t="inlineStr">
        <is>
          <t>Y094</t>
        </is>
      </c>
      <c r="D1830" s="38" t="inlineStr">
        <is>
          <t>TOTAL</t>
        </is>
      </c>
      <c r="E1830" s="38" t="inlineStr">
        <is>
          <t>POP</t>
        </is>
      </c>
      <c r="F1830" s="38" t="n">
        <v>149</v>
      </c>
    </row>
    <row r="1831" ht="15" customHeight="1" s="39">
      <c r="A1831" s="38" t="inlineStr">
        <is>
          <t>2021</t>
        </is>
      </c>
      <c r="B1831" s="42" t="inlineStr">
        <is>
          <t>431482</t>
        </is>
      </c>
      <c r="C1831" s="38" t="inlineStr">
        <is>
          <t>Y095</t>
        </is>
      </c>
      <c r="D1831" s="38" t="inlineStr">
        <is>
          <t>TOTAL</t>
        </is>
      </c>
      <c r="E1831" s="38" t="inlineStr">
        <is>
          <t>POP</t>
        </is>
      </c>
      <c r="F1831" s="38" t="n">
        <v>90</v>
      </c>
    </row>
    <row r="1832" ht="15" customHeight="1" s="39">
      <c r="A1832" s="38" t="inlineStr">
        <is>
          <t>2021</t>
        </is>
      </c>
      <c r="B1832" s="42" t="inlineStr">
        <is>
          <t>431482</t>
        </is>
      </c>
      <c r="C1832" s="38" t="inlineStr">
        <is>
          <t>Y096</t>
        </is>
      </c>
      <c r="D1832" s="38" t="inlineStr">
        <is>
          <t>TOTAL</t>
        </is>
      </c>
      <c r="E1832" s="38" t="inlineStr">
        <is>
          <t>POP</t>
        </is>
      </c>
      <c r="F1832" s="38" t="n">
        <v>98</v>
      </c>
    </row>
    <row r="1833" ht="15" customHeight="1" s="39">
      <c r="A1833" s="38" t="inlineStr">
        <is>
          <t>2021</t>
        </is>
      </c>
      <c r="B1833" s="42" t="inlineStr">
        <is>
          <t>431482</t>
        </is>
      </c>
      <c r="C1833" s="38" t="inlineStr">
        <is>
          <t>Y097</t>
        </is>
      </c>
      <c r="D1833" s="38" t="inlineStr">
        <is>
          <t>TOTAL</t>
        </is>
      </c>
      <c r="E1833" s="38" t="inlineStr">
        <is>
          <t>POP</t>
        </is>
      </c>
      <c r="F1833" s="38" t="n">
        <v>49</v>
      </c>
    </row>
    <row r="1834" ht="15" customHeight="1" s="39">
      <c r="A1834" s="38" t="inlineStr">
        <is>
          <t>2021</t>
        </is>
      </c>
      <c r="B1834" s="42" t="inlineStr">
        <is>
          <t>431482</t>
        </is>
      </c>
      <c r="C1834" s="38" t="inlineStr">
        <is>
          <t>Y098</t>
        </is>
      </c>
      <c r="D1834" s="38" t="inlineStr">
        <is>
          <t>TOTAL</t>
        </is>
      </c>
      <c r="E1834" s="38" t="inlineStr">
        <is>
          <t>POP</t>
        </is>
      </c>
      <c r="F1834" s="38" t="n">
        <v>41</v>
      </c>
    </row>
    <row r="1835" ht="15" customHeight="1" s="39">
      <c r="A1835" s="38" t="inlineStr">
        <is>
          <t>2021</t>
        </is>
      </c>
      <c r="B1835" s="42" t="inlineStr">
        <is>
          <t>431482</t>
        </is>
      </c>
      <c r="C1835" s="38" t="inlineStr">
        <is>
          <t>Y099</t>
        </is>
      </c>
      <c r="D1835" s="38" t="inlineStr">
        <is>
          <t>TOTAL</t>
        </is>
      </c>
      <c r="E1835" s="38" t="inlineStr">
        <is>
          <t>POP</t>
        </is>
      </c>
      <c r="F1835" s="38" t="n">
        <v>26</v>
      </c>
    </row>
    <row r="1836" ht="15" customHeight="1" s="39">
      <c r="A1836" s="38" t="inlineStr">
        <is>
          <t>2021</t>
        </is>
      </c>
      <c r="B1836" s="42" t="inlineStr">
        <is>
          <t>431482</t>
        </is>
      </c>
      <c r="C1836" s="38" t="inlineStr">
        <is>
          <t>Y_GE100</t>
        </is>
      </c>
      <c r="D1836" s="38" t="inlineStr">
        <is>
          <t>TOTAL</t>
        </is>
      </c>
      <c r="E1836" s="38" t="inlineStr">
        <is>
          <t>POP</t>
        </is>
      </c>
      <c r="F1836" s="38" t="n">
        <v>35</v>
      </c>
    </row>
    <row r="1837" ht="15" customHeight="1" s="39">
      <c r="A1837" s="38" t="inlineStr">
        <is>
          <t>2021</t>
        </is>
      </c>
      <c r="B1837" s="42" t="inlineStr">
        <is>
          <t>431482</t>
        </is>
      </c>
      <c r="C1837" s="38" t="inlineStr">
        <is>
          <t>TOTAL</t>
        </is>
      </c>
      <c r="D1837" s="38" t="inlineStr">
        <is>
          <t>TOTAL</t>
        </is>
      </c>
      <c r="E1837" s="38" t="inlineStr">
        <is>
          <t>POP</t>
        </is>
      </c>
      <c r="F1837" s="38" t="n">
        <v>136150</v>
      </c>
    </row>
    <row r="1838" ht="15" customHeight="1" s="39">
      <c r="A1838" s="38" t="inlineStr">
        <is>
          <t>2021</t>
        </is>
      </c>
      <c r="B1838" s="42" t="inlineStr">
        <is>
          <t>431536</t>
        </is>
      </c>
      <c r="C1838" s="38" t="inlineStr">
        <is>
          <t>Y000</t>
        </is>
      </c>
      <c r="D1838" s="38" t="inlineStr">
        <is>
          <t>TOTAL</t>
        </is>
      </c>
      <c r="E1838" s="38" t="inlineStr">
        <is>
          <t>POP</t>
        </is>
      </c>
      <c r="F1838" s="38" t="n">
        <v>121</v>
      </c>
    </row>
    <row r="1839" ht="15" customHeight="1" s="39">
      <c r="A1839" s="38" t="inlineStr">
        <is>
          <t>2021</t>
        </is>
      </c>
      <c r="B1839" s="42" t="inlineStr">
        <is>
          <t>431536</t>
        </is>
      </c>
      <c r="C1839" s="38" t="inlineStr">
        <is>
          <t>Y001</t>
        </is>
      </c>
      <c r="D1839" s="38" t="inlineStr">
        <is>
          <t>TOTAL</t>
        </is>
      </c>
      <c r="E1839" s="38" t="inlineStr">
        <is>
          <t>POP</t>
        </is>
      </c>
      <c r="F1839" s="38" t="n">
        <v>155</v>
      </c>
    </row>
    <row r="1840" ht="15" customHeight="1" s="39">
      <c r="A1840" s="38" t="inlineStr">
        <is>
          <t>2021</t>
        </is>
      </c>
      <c r="B1840" s="42" t="inlineStr">
        <is>
          <t>431536</t>
        </is>
      </c>
      <c r="C1840" s="38" t="inlineStr">
        <is>
          <t>Y002</t>
        </is>
      </c>
      <c r="D1840" s="38" t="inlineStr">
        <is>
          <t>TOTAL</t>
        </is>
      </c>
      <c r="E1840" s="38" t="inlineStr">
        <is>
          <t>POP</t>
        </is>
      </c>
      <c r="F1840" s="38" t="n">
        <v>145</v>
      </c>
    </row>
    <row r="1841" ht="15" customHeight="1" s="39">
      <c r="A1841" s="38" t="inlineStr">
        <is>
          <t>2021</t>
        </is>
      </c>
      <c r="B1841" s="42" t="inlineStr">
        <is>
          <t>431536</t>
        </is>
      </c>
      <c r="C1841" s="38" t="inlineStr">
        <is>
          <t>Y003</t>
        </is>
      </c>
      <c r="D1841" s="38" t="inlineStr">
        <is>
          <t>TOTAL</t>
        </is>
      </c>
      <c r="E1841" s="38" t="inlineStr">
        <is>
          <t>POP</t>
        </is>
      </c>
      <c r="F1841" s="38" t="n">
        <v>150</v>
      </c>
    </row>
    <row r="1842" ht="15" customHeight="1" s="39">
      <c r="A1842" s="38" t="inlineStr">
        <is>
          <t>2021</t>
        </is>
      </c>
      <c r="B1842" s="42" t="inlineStr">
        <is>
          <t>431536</t>
        </is>
      </c>
      <c r="C1842" s="38" t="inlineStr">
        <is>
          <t>Y004</t>
        </is>
      </c>
      <c r="D1842" s="38" t="inlineStr">
        <is>
          <t>TOTAL</t>
        </is>
      </c>
      <c r="E1842" s="38" t="inlineStr">
        <is>
          <t>POP</t>
        </is>
      </c>
      <c r="F1842" s="38" t="n">
        <v>162</v>
      </c>
    </row>
    <row r="1843" ht="15" customHeight="1" s="39">
      <c r="A1843" s="38" t="inlineStr">
        <is>
          <t>2021</t>
        </is>
      </c>
      <c r="B1843" s="42" t="inlineStr">
        <is>
          <t>431536</t>
        </is>
      </c>
      <c r="C1843" s="38" t="inlineStr">
        <is>
          <t>Y005</t>
        </is>
      </c>
      <c r="D1843" s="38" t="inlineStr">
        <is>
          <t>TOTAL</t>
        </is>
      </c>
      <c r="E1843" s="38" t="inlineStr">
        <is>
          <t>POP</t>
        </is>
      </c>
      <c r="F1843" s="38" t="n">
        <v>159</v>
      </c>
    </row>
    <row r="1844" ht="15" customHeight="1" s="39">
      <c r="A1844" s="38" t="inlineStr">
        <is>
          <t>2021</t>
        </is>
      </c>
      <c r="B1844" s="42" t="inlineStr">
        <is>
          <t>431536</t>
        </is>
      </c>
      <c r="C1844" s="38" t="inlineStr">
        <is>
          <t>Y006</t>
        </is>
      </c>
      <c r="D1844" s="38" t="inlineStr">
        <is>
          <t>TOTAL</t>
        </is>
      </c>
      <c r="E1844" s="38" t="inlineStr">
        <is>
          <t>POP</t>
        </is>
      </c>
      <c r="F1844" s="38" t="n">
        <v>191</v>
      </c>
    </row>
    <row r="1845" ht="15" customHeight="1" s="39">
      <c r="A1845" s="38" t="inlineStr">
        <is>
          <t>2021</t>
        </is>
      </c>
      <c r="B1845" s="42" t="inlineStr">
        <is>
          <t>431536</t>
        </is>
      </c>
      <c r="C1845" s="38" t="inlineStr">
        <is>
          <t>Y007</t>
        </is>
      </c>
      <c r="D1845" s="38" t="inlineStr">
        <is>
          <t>TOTAL</t>
        </is>
      </c>
      <c r="E1845" s="38" t="inlineStr">
        <is>
          <t>POP</t>
        </is>
      </c>
      <c r="F1845" s="38" t="n">
        <v>156</v>
      </c>
    </row>
    <row r="1846" ht="15" customHeight="1" s="39">
      <c r="A1846" s="38" t="inlineStr">
        <is>
          <t>2021</t>
        </is>
      </c>
      <c r="B1846" s="42" t="inlineStr">
        <is>
          <t>431536</t>
        </is>
      </c>
      <c r="C1846" s="38" t="inlineStr">
        <is>
          <t>Y008</t>
        </is>
      </c>
      <c r="D1846" s="38" t="inlineStr">
        <is>
          <t>TOTAL</t>
        </is>
      </c>
      <c r="E1846" s="38" t="inlineStr">
        <is>
          <t>POP</t>
        </is>
      </c>
      <c r="F1846" s="38" t="n">
        <v>180</v>
      </c>
    </row>
    <row r="1847" ht="15" customHeight="1" s="39">
      <c r="A1847" s="38" t="inlineStr">
        <is>
          <t>2021</t>
        </is>
      </c>
      <c r="B1847" s="42" t="inlineStr">
        <is>
          <t>431536</t>
        </is>
      </c>
      <c r="C1847" s="38" t="inlineStr">
        <is>
          <t>Y009</t>
        </is>
      </c>
      <c r="D1847" s="38" t="inlineStr">
        <is>
          <t>TOTAL</t>
        </is>
      </c>
      <c r="E1847" s="38" t="inlineStr">
        <is>
          <t>POP</t>
        </is>
      </c>
      <c r="F1847" s="38" t="n">
        <v>176</v>
      </c>
    </row>
    <row r="1848" ht="15" customHeight="1" s="39">
      <c r="A1848" s="38" t="inlineStr">
        <is>
          <t>2021</t>
        </is>
      </c>
      <c r="B1848" s="42" t="inlineStr">
        <is>
          <t>431536</t>
        </is>
      </c>
      <c r="C1848" s="38" t="inlineStr">
        <is>
          <t>Y010</t>
        </is>
      </c>
      <c r="D1848" s="38" t="inlineStr">
        <is>
          <t>TOTAL</t>
        </is>
      </c>
      <c r="E1848" s="38" t="inlineStr">
        <is>
          <t>POP</t>
        </is>
      </c>
      <c r="F1848" s="38" t="n">
        <v>197</v>
      </c>
    </row>
    <row r="1849" ht="15" customHeight="1" s="39">
      <c r="A1849" s="38" t="inlineStr">
        <is>
          <t>2021</t>
        </is>
      </c>
      <c r="B1849" s="42" t="inlineStr">
        <is>
          <t>431536</t>
        </is>
      </c>
      <c r="C1849" s="38" t="inlineStr">
        <is>
          <t>Y011</t>
        </is>
      </c>
      <c r="D1849" s="38" t="inlineStr">
        <is>
          <t>TOTAL</t>
        </is>
      </c>
      <c r="E1849" s="38" t="inlineStr">
        <is>
          <t>POP</t>
        </is>
      </c>
      <c r="F1849" s="38" t="n">
        <v>182</v>
      </c>
    </row>
    <row r="1850" ht="15" customHeight="1" s="39">
      <c r="A1850" s="38" t="inlineStr">
        <is>
          <t>2021</t>
        </is>
      </c>
      <c r="B1850" s="42" t="inlineStr">
        <is>
          <t>431536</t>
        </is>
      </c>
      <c r="C1850" s="38" t="inlineStr">
        <is>
          <t>Y012</t>
        </is>
      </c>
      <c r="D1850" s="38" t="inlineStr">
        <is>
          <t>TOTAL</t>
        </is>
      </c>
      <c r="E1850" s="38" t="inlineStr">
        <is>
          <t>POP</t>
        </is>
      </c>
      <c r="F1850" s="38" t="n">
        <v>193</v>
      </c>
    </row>
    <row r="1851" ht="15" customHeight="1" s="39">
      <c r="A1851" s="38" t="inlineStr">
        <is>
          <t>2021</t>
        </is>
      </c>
      <c r="B1851" s="42" t="inlineStr">
        <is>
          <t>431536</t>
        </is>
      </c>
      <c r="C1851" s="38" t="inlineStr">
        <is>
          <t>Y013</t>
        </is>
      </c>
      <c r="D1851" s="38" t="inlineStr">
        <is>
          <t>TOTAL</t>
        </is>
      </c>
      <c r="E1851" s="38" t="inlineStr">
        <is>
          <t>POP</t>
        </is>
      </c>
      <c r="F1851" s="38" t="n">
        <v>174</v>
      </c>
    </row>
    <row r="1852" ht="15" customHeight="1" s="39">
      <c r="A1852" s="38" t="inlineStr">
        <is>
          <t>2021</t>
        </is>
      </c>
      <c r="B1852" s="42" t="inlineStr">
        <is>
          <t>431536</t>
        </is>
      </c>
      <c r="C1852" s="38" t="inlineStr">
        <is>
          <t>Y014</t>
        </is>
      </c>
      <c r="D1852" s="38" t="inlineStr">
        <is>
          <t>TOTAL</t>
        </is>
      </c>
      <c r="E1852" s="38" t="inlineStr">
        <is>
          <t>POP</t>
        </is>
      </c>
      <c r="F1852" s="38" t="n">
        <v>177</v>
      </c>
    </row>
    <row r="1853" ht="15" customHeight="1" s="39">
      <c r="A1853" s="38" t="inlineStr">
        <is>
          <t>2021</t>
        </is>
      </c>
      <c r="B1853" s="42" t="inlineStr">
        <is>
          <t>431536</t>
        </is>
      </c>
      <c r="C1853" s="38" t="inlineStr">
        <is>
          <t>Y015</t>
        </is>
      </c>
      <c r="D1853" s="38" t="inlineStr">
        <is>
          <t>TOTAL</t>
        </is>
      </c>
      <c r="E1853" s="38" t="inlineStr">
        <is>
          <t>POP</t>
        </is>
      </c>
      <c r="F1853" s="38" t="n">
        <v>181</v>
      </c>
    </row>
    <row r="1854" ht="15" customHeight="1" s="39">
      <c r="A1854" s="38" t="inlineStr">
        <is>
          <t>2021</t>
        </is>
      </c>
      <c r="B1854" s="42" t="inlineStr">
        <is>
          <t>431536</t>
        </is>
      </c>
      <c r="C1854" s="38" t="inlineStr">
        <is>
          <t>Y016</t>
        </is>
      </c>
      <c r="D1854" s="38" t="inlineStr">
        <is>
          <t>TOTAL</t>
        </is>
      </c>
      <c r="E1854" s="38" t="inlineStr">
        <is>
          <t>POP</t>
        </is>
      </c>
      <c r="F1854" s="38" t="n">
        <v>186</v>
      </c>
    </row>
    <row r="1855" ht="15" customHeight="1" s="39">
      <c r="A1855" s="38" t="inlineStr">
        <is>
          <t>2021</t>
        </is>
      </c>
      <c r="B1855" s="42" t="inlineStr">
        <is>
          <t>431536</t>
        </is>
      </c>
      <c r="C1855" s="38" t="inlineStr">
        <is>
          <t>Y017</t>
        </is>
      </c>
      <c r="D1855" s="38" t="inlineStr">
        <is>
          <t>TOTAL</t>
        </is>
      </c>
      <c r="E1855" s="38" t="inlineStr">
        <is>
          <t>POP</t>
        </is>
      </c>
      <c r="F1855" s="38" t="n">
        <v>192</v>
      </c>
    </row>
    <row r="1856" ht="15" customHeight="1" s="39">
      <c r="A1856" s="38" t="inlineStr">
        <is>
          <t>2021</t>
        </is>
      </c>
      <c r="B1856" s="42" t="inlineStr">
        <is>
          <t>431536</t>
        </is>
      </c>
      <c r="C1856" s="38" t="inlineStr">
        <is>
          <t>Y018</t>
        </is>
      </c>
      <c r="D1856" s="38" t="inlineStr">
        <is>
          <t>TOTAL</t>
        </is>
      </c>
      <c r="E1856" s="38" t="inlineStr">
        <is>
          <t>POP</t>
        </is>
      </c>
      <c r="F1856" s="38" t="n">
        <v>186</v>
      </c>
    </row>
    <row r="1857" ht="15" customHeight="1" s="39">
      <c r="A1857" s="38" t="inlineStr">
        <is>
          <t>2021</t>
        </is>
      </c>
      <c r="B1857" s="42" t="inlineStr">
        <is>
          <t>431536</t>
        </is>
      </c>
      <c r="C1857" s="38" t="inlineStr">
        <is>
          <t>Y019</t>
        </is>
      </c>
      <c r="D1857" s="38" t="inlineStr">
        <is>
          <t>TOTAL</t>
        </is>
      </c>
      <c r="E1857" s="38" t="inlineStr">
        <is>
          <t>POP</t>
        </is>
      </c>
      <c r="F1857" s="38" t="n">
        <v>177</v>
      </c>
    </row>
    <row r="1858" ht="15" customHeight="1" s="39">
      <c r="A1858" s="38" t="inlineStr">
        <is>
          <t>2021</t>
        </is>
      </c>
      <c r="B1858" s="42" t="inlineStr">
        <is>
          <t>431536</t>
        </is>
      </c>
      <c r="C1858" s="38" t="inlineStr">
        <is>
          <t>Y020</t>
        </is>
      </c>
      <c r="D1858" s="38" t="inlineStr">
        <is>
          <t>TOTAL</t>
        </is>
      </c>
      <c r="E1858" s="38" t="inlineStr">
        <is>
          <t>POP</t>
        </is>
      </c>
      <c r="F1858" s="38" t="n">
        <v>177</v>
      </c>
    </row>
    <row r="1859" ht="15" customHeight="1" s="39">
      <c r="A1859" s="38" t="inlineStr">
        <is>
          <t>2021</t>
        </is>
      </c>
      <c r="B1859" s="42" t="inlineStr">
        <is>
          <t>431536</t>
        </is>
      </c>
      <c r="C1859" s="38" t="inlineStr">
        <is>
          <t>Y021</t>
        </is>
      </c>
      <c r="D1859" s="38" t="inlineStr">
        <is>
          <t>TOTAL</t>
        </is>
      </c>
      <c r="E1859" s="38" t="inlineStr">
        <is>
          <t>POP</t>
        </is>
      </c>
      <c r="F1859" s="38" t="n">
        <v>158</v>
      </c>
    </row>
    <row r="1860" ht="15" customHeight="1" s="39">
      <c r="A1860" s="38" t="inlineStr">
        <is>
          <t>2021</t>
        </is>
      </c>
      <c r="B1860" s="42" t="inlineStr">
        <is>
          <t>431536</t>
        </is>
      </c>
      <c r="C1860" s="38" t="inlineStr">
        <is>
          <t>Y022</t>
        </is>
      </c>
      <c r="D1860" s="38" t="inlineStr">
        <is>
          <t>TOTAL</t>
        </is>
      </c>
      <c r="E1860" s="38" t="inlineStr">
        <is>
          <t>POP</t>
        </is>
      </c>
      <c r="F1860" s="38" t="n">
        <v>177</v>
      </c>
    </row>
    <row r="1861" ht="15" customHeight="1" s="39">
      <c r="A1861" s="38" t="inlineStr">
        <is>
          <t>2021</t>
        </is>
      </c>
      <c r="B1861" s="42" t="inlineStr">
        <is>
          <t>431536</t>
        </is>
      </c>
      <c r="C1861" s="38" t="inlineStr">
        <is>
          <t>Y023</t>
        </is>
      </c>
      <c r="D1861" s="38" t="inlineStr">
        <is>
          <t>TOTAL</t>
        </is>
      </c>
      <c r="E1861" s="38" t="inlineStr">
        <is>
          <t>POP</t>
        </is>
      </c>
      <c r="F1861" s="38" t="n">
        <v>158</v>
      </c>
    </row>
    <row r="1862" ht="15" customHeight="1" s="39">
      <c r="A1862" s="38" t="inlineStr">
        <is>
          <t>2021</t>
        </is>
      </c>
      <c r="B1862" s="42" t="inlineStr">
        <is>
          <t>431536</t>
        </is>
      </c>
      <c r="C1862" s="38" t="inlineStr">
        <is>
          <t>Y024</t>
        </is>
      </c>
      <c r="D1862" s="38" t="inlineStr">
        <is>
          <t>TOTAL</t>
        </is>
      </c>
      <c r="E1862" s="38" t="inlineStr">
        <is>
          <t>POP</t>
        </is>
      </c>
      <c r="F1862" s="38" t="n">
        <v>170</v>
      </c>
    </row>
    <row r="1863" ht="15" customHeight="1" s="39">
      <c r="A1863" s="38" t="inlineStr">
        <is>
          <t>2021</t>
        </is>
      </c>
      <c r="B1863" s="42" t="inlineStr">
        <is>
          <t>431536</t>
        </is>
      </c>
      <c r="C1863" s="38" t="inlineStr">
        <is>
          <t>Y025</t>
        </is>
      </c>
      <c r="D1863" s="38" t="inlineStr">
        <is>
          <t>TOTAL</t>
        </is>
      </c>
      <c r="E1863" s="38" t="inlineStr">
        <is>
          <t>POP</t>
        </is>
      </c>
      <c r="F1863" s="38" t="n">
        <v>162</v>
      </c>
    </row>
    <row r="1864" ht="15" customHeight="1" s="39">
      <c r="A1864" s="38" t="inlineStr">
        <is>
          <t>2021</t>
        </is>
      </c>
      <c r="B1864" s="42" t="inlineStr">
        <is>
          <t>431536</t>
        </is>
      </c>
      <c r="C1864" s="38" t="inlineStr">
        <is>
          <t>Y026</t>
        </is>
      </c>
      <c r="D1864" s="38" t="inlineStr">
        <is>
          <t>TOTAL</t>
        </is>
      </c>
      <c r="E1864" s="38" t="inlineStr">
        <is>
          <t>POP</t>
        </is>
      </c>
      <c r="F1864" s="38" t="n">
        <v>181</v>
      </c>
    </row>
    <row r="1865" ht="15" customHeight="1" s="39">
      <c r="A1865" s="38" t="inlineStr">
        <is>
          <t>2021</t>
        </is>
      </c>
      <c r="B1865" s="42" t="inlineStr">
        <is>
          <t>431536</t>
        </is>
      </c>
      <c r="C1865" s="38" t="inlineStr">
        <is>
          <t>Y027</t>
        </is>
      </c>
      <c r="D1865" s="38" t="inlineStr">
        <is>
          <t>TOTAL</t>
        </is>
      </c>
      <c r="E1865" s="38" t="inlineStr">
        <is>
          <t>POP</t>
        </is>
      </c>
      <c r="F1865" s="38" t="n">
        <v>189</v>
      </c>
    </row>
    <row r="1866" ht="15" customHeight="1" s="39">
      <c r="A1866" s="38" t="inlineStr">
        <is>
          <t>2021</t>
        </is>
      </c>
      <c r="B1866" s="42" t="inlineStr">
        <is>
          <t>431536</t>
        </is>
      </c>
      <c r="C1866" s="38" t="inlineStr">
        <is>
          <t>Y028</t>
        </is>
      </c>
      <c r="D1866" s="38" t="inlineStr">
        <is>
          <t>TOTAL</t>
        </is>
      </c>
      <c r="E1866" s="38" t="inlineStr">
        <is>
          <t>POP</t>
        </is>
      </c>
      <c r="F1866" s="38" t="n">
        <v>189</v>
      </c>
    </row>
    <row r="1867" ht="15" customHeight="1" s="39">
      <c r="A1867" s="38" t="inlineStr">
        <is>
          <t>2021</t>
        </is>
      </c>
      <c r="B1867" s="42" t="inlineStr">
        <is>
          <t>431536</t>
        </is>
      </c>
      <c r="C1867" s="38" t="inlineStr">
        <is>
          <t>Y029</t>
        </is>
      </c>
      <c r="D1867" s="38" t="inlineStr">
        <is>
          <t>TOTAL</t>
        </is>
      </c>
      <c r="E1867" s="38" t="inlineStr">
        <is>
          <t>POP</t>
        </is>
      </c>
      <c r="F1867" s="38" t="n">
        <v>169</v>
      </c>
    </row>
    <row r="1868" ht="15" customHeight="1" s="39">
      <c r="A1868" s="38" t="inlineStr">
        <is>
          <t>2021</t>
        </is>
      </c>
      <c r="B1868" s="42" t="inlineStr">
        <is>
          <t>431536</t>
        </is>
      </c>
      <c r="C1868" s="38" t="inlineStr">
        <is>
          <t>Y030</t>
        </is>
      </c>
      <c r="D1868" s="38" t="inlineStr">
        <is>
          <t>TOTAL</t>
        </is>
      </c>
      <c r="E1868" s="38" t="inlineStr">
        <is>
          <t>POP</t>
        </is>
      </c>
      <c r="F1868" s="38" t="n">
        <v>154</v>
      </c>
    </row>
    <row r="1869" ht="15" customHeight="1" s="39">
      <c r="A1869" s="38" t="inlineStr">
        <is>
          <t>2021</t>
        </is>
      </c>
      <c r="B1869" s="42" t="inlineStr">
        <is>
          <t>431536</t>
        </is>
      </c>
      <c r="C1869" s="38" t="inlineStr">
        <is>
          <t>Y031</t>
        </is>
      </c>
      <c r="D1869" s="38" t="inlineStr">
        <is>
          <t>TOTAL</t>
        </is>
      </c>
      <c r="E1869" s="38" t="inlineStr">
        <is>
          <t>POP</t>
        </is>
      </c>
      <c r="F1869" s="38" t="n">
        <v>178</v>
      </c>
    </row>
    <row r="1870" ht="15" customHeight="1" s="39">
      <c r="A1870" s="38" t="inlineStr">
        <is>
          <t>2021</t>
        </is>
      </c>
      <c r="B1870" s="42" t="inlineStr">
        <is>
          <t>431536</t>
        </is>
      </c>
      <c r="C1870" s="38" t="inlineStr">
        <is>
          <t>Y032</t>
        </is>
      </c>
      <c r="D1870" s="38" t="inlineStr">
        <is>
          <t>TOTAL</t>
        </is>
      </c>
      <c r="E1870" s="38" t="inlineStr">
        <is>
          <t>POP</t>
        </is>
      </c>
      <c r="F1870" s="38" t="n">
        <v>201</v>
      </c>
    </row>
    <row r="1871" ht="15" customHeight="1" s="39">
      <c r="A1871" s="38" t="inlineStr">
        <is>
          <t>2021</t>
        </is>
      </c>
      <c r="B1871" s="42" t="inlineStr">
        <is>
          <t>431536</t>
        </is>
      </c>
      <c r="C1871" s="38" t="inlineStr">
        <is>
          <t>Y033</t>
        </is>
      </c>
      <c r="D1871" s="38" t="inlineStr">
        <is>
          <t>TOTAL</t>
        </is>
      </c>
      <c r="E1871" s="38" t="inlineStr">
        <is>
          <t>POP</t>
        </is>
      </c>
      <c r="F1871" s="38" t="n">
        <v>181</v>
      </c>
    </row>
    <row r="1872" ht="15" customHeight="1" s="39">
      <c r="A1872" s="38" t="inlineStr">
        <is>
          <t>2021</t>
        </is>
      </c>
      <c r="B1872" s="42" t="inlineStr">
        <is>
          <t>431536</t>
        </is>
      </c>
      <c r="C1872" s="38" t="inlineStr">
        <is>
          <t>Y034</t>
        </is>
      </c>
      <c r="D1872" s="38" t="inlineStr">
        <is>
          <t>TOTAL</t>
        </is>
      </c>
      <c r="E1872" s="38" t="inlineStr">
        <is>
          <t>POP</t>
        </is>
      </c>
      <c r="F1872" s="38" t="n">
        <v>202</v>
      </c>
    </row>
    <row r="1873" ht="15" customHeight="1" s="39">
      <c r="A1873" s="38" t="inlineStr">
        <is>
          <t>2021</t>
        </is>
      </c>
      <c r="B1873" s="42" t="inlineStr">
        <is>
          <t>431536</t>
        </is>
      </c>
      <c r="C1873" s="38" t="inlineStr">
        <is>
          <t>Y035</t>
        </is>
      </c>
      <c r="D1873" s="38" t="inlineStr">
        <is>
          <t>TOTAL</t>
        </is>
      </c>
      <c r="E1873" s="38" t="inlineStr">
        <is>
          <t>POP</t>
        </is>
      </c>
      <c r="F1873" s="38" t="n">
        <v>205</v>
      </c>
    </row>
    <row r="1874" ht="15" customHeight="1" s="39">
      <c r="A1874" s="38" t="inlineStr">
        <is>
          <t>2021</t>
        </is>
      </c>
      <c r="B1874" s="42" t="inlineStr">
        <is>
          <t>431536</t>
        </is>
      </c>
      <c r="C1874" s="38" t="inlineStr">
        <is>
          <t>Y036</t>
        </is>
      </c>
      <c r="D1874" s="38" t="inlineStr">
        <is>
          <t>TOTAL</t>
        </is>
      </c>
      <c r="E1874" s="38" t="inlineStr">
        <is>
          <t>POP</t>
        </is>
      </c>
      <c r="F1874" s="38" t="n">
        <v>213</v>
      </c>
    </row>
    <row r="1875" ht="15" customHeight="1" s="39">
      <c r="A1875" s="38" t="inlineStr">
        <is>
          <t>2021</t>
        </is>
      </c>
      <c r="B1875" s="42" t="inlineStr">
        <is>
          <t>431536</t>
        </is>
      </c>
      <c r="C1875" s="38" t="inlineStr">
        <is>
          <t>Y037</t>
        </is>
      </c>
      <c r="D1875" s="38" t="inlineStr">
        <is>
          <t>TOTAL</t>
        </is>
      </c>
      <c r="E1875" s="38" t="inlineStr">
        <is>
          <t>POP</t>
        </is>
      </c>
      <c r="F1875" s="38" t="n">
        <v>235</v>
      </c>
    </row>
    <row r="1876" ht="15" customHeight="1" s="39">
      <c r="A1876" s="38" t="inlineStr">
        <is>
          <t>2021</t>
        </is>
      </c>
      <c r="B1876" s="42" t="inlineStr">
        <is>
          <t>431536</t>
        </is>
      </c>
      <c r="C1876" s="38" t="inlineStr">
        <is>
          <t>Y038</t>
        </is>
      </c>
      <c r="D1876" s="38" t="inlineStr">
        <is>
          <t>TOTAL</t>
        </is>
      </c>
      <c r="E1876" s="38" t="inlineStr">
        <is>
          <t>POP</t>
        </is>
      </c>
      <c r="F1876" s="38" t="n">
        <v>266</v>
      </c>
    </row>
    <row r="1877" ht="15" customHeight="1" s="39">
      <c r="A1877" s="38" t="inlineStr">
        <is>
          <t>2021</t>
        </is>
      </c>
      <c r="B1877" s="42" t="inlineStr">
        <is>
          <t>431536</t>
        </is>
      </c>
      <c r="C1877" s="38" t="inlineStr">
        <is>
          <t>Y039</t>
        </is>
      </c>
      <c r="D1877" s="38" t="inlineStr">
        <is>
          <t>TOTAL</t>
        </is>
      </c>
      <c r="E1877" s="38" t="inlineStr">
        <is>
          <t>POP</t>
        </is>
      </c>
      <c r="F1877" s="38" t="n">
        <v>256</v>
      </c>
    </row>
    <row r="1878" ht="15" customHeight="1" s="39">
      <c r="A1878" s="38" t="inlineStr">
        <is>
          <t>2021</t>
        </is>
      </c>
      <c r="B1878" s="42" t="inlineStr">
        <is>
          <t>431536</t>
        </is>
      </c>
      <c r="C1878" s="38" t="inlineStr">
        <is>
          <t>Y040</t>
        </is>
      </c>
      <c r="D1878" s="38" t="inlineStr">
        <is>
          <t>TOTAL</t>
        </is>
      </c>
      <c r="E1878" s="38" t="inlineStr">
        <is>
          <t>POP</t>
        </is>
      </c>
      <c r="F1878" s="38" t="n">
        <v>254</v>
      </c>
    </row>
    <row r="1879" ht="15" customHeight="1" s="39">
      <c r="A1879" s="38" t="inlineStr">
        <is>
          <t>2021</t>
        </is>
      </c>
      <c r="B1879" s="42" t="inlineStr">
        <is>
          <t>431536</t>
        </is>
      </c>
      <c r="C1879" s="38" t="inlineStr">
        <is>
          <t>Y041</t>
        </is>
      </c>
      <c r="D1879" s="38" t="inlineStr">
        <is>
          <t>TOTAL</t>
        </is>
      </c>
      <c r="E1879" s="38" t="inlineStr">
        <is>
          <t>POP</t>
        </is>
      </c>
      <c r="F1879" s="38" t="n">
        <v>277</v>
      </c>
    </row>
    <row r="1880" ht="15" customHeight="1" s="39">
      <c r="A1880" s="38" t="inlineStr">
        <is>
          <t>2021</t>
        </is>
      </c>
      <c r="B1880" s="42" t="inlineStr">
        <is>
          <t>431536</t>
        </is>
      </c>
      <c r="C1880" s="38" t="inlineStr">
        <is>
          <t>Y042</t>
        </is>
      </c>
      <c r="D1880" s="38" t="inlineStr">
        <is>
          <t>TOTAL</t>
        </is>
      </c>
      <c r="E1880" s="38" t="inlineStr">
        <is>
          <t>POP</t>
        </is>
      </c>
      <c r="F1880" s="38" t="n">
        <v>302</v>
      </c>
    </row>
    <row r="1881" ht="15" customHeight="1" s="39">
      <c r="A1881" s="38" t="inlineStr">
        <is>
          <t>2021</t>
        </is>
      </c>
      <c r="B1881" s="42" t="inlineStr">
        <is>
          <t>431536</t>
        </is>
      </c>
      <c r="C1881" s="38" t="inlineStr">
        <is>
          <t>Y043</t>
        </is>
      </c>
      <c r="D1881" s="38" t="inlineStr">
        <is>
          <t>TOTAL</t>
        </is>
      </c>
      <c r="E1881" s="38" t="inlineStr">
        <is>
          <t>POP</t>
        </is>
      </c>
      <c r="F1881" s="38" t="n">
        <v>276</v>
      </c>
    </row>
    <row r="1882" ht="15" customHeight="1" s="39">
      <c r="A1882" s="38" t="inlineStr">
        <is>
          <t>2021</t>
        </is>
      </c>
      <c r="B1882" s="42" t="inlineStr">
        <is>
          <t>431536</t>
        </is>
      </c>
      <c r="C1882" s="38" t="inlineStr">
        <is>
          <t>Y044</t>
        </is>
      </c>
      <c r="D1882" s="38" t="inlineStr">
        <is>
          <t>TOTAL</t>
        </is>
      </c>
      <c r="E1882" s="38" t="inlineStr">
        <is>
          <t>POP</t>
        </is>
      </c>
      <c r="F1882" s="38" t="n">
        <v>260</v>
      </c>
    </row>
    <row r="1883" ht="15" customHeight="1" s="39">
      <c r="A1883" s="38" t="inlineStr">
        <is>
          <t>2021</t>
        </is>
      </c>
      <c r="B1883" s="42" t="inlineStr">
        <is>
          <t>431536</t>
        </is>
      </c>
      <c r="C1883" s="38" t="inlineStr">
        <is>
          <t>Y045</t>
        </is>
      </c>
      <c r="D1883" s="38" t="inlineStr">
        <is>
          <t>TOTAL</t>
        </is>
      </c>
      <c r="E1883" s="38" t="inlineStr">
        <is>
          <t>POP</t>
        </is>
      </c>
      <c r="F1883" s="38" t="n">
        <v>272</v>
      </c>
    </row>
    <row r="1884" ht="15" customHeight="1" s="39">
      <c r="A1884" s="38" t="inlineStr">
        <is>
          <t>2021</t>
        </is>
      </c>
      <c r="B1884" s="42" t="inlineStr">
        <is>
          <t>431536</t>
        </is>
      </c>
      <c r="C1884" s="38" t="inlineStr">
        <is>
          <t>Y046</t>
        </is>
      </c>
      <c r="D1884" s="38" t="inlineStr">
        <is>
          <t>TOTAL</t>
        </is>
      </c>
      <c r="E1884" s="38" t="inlineStr">
        <is>
          <t>POP</t>
        </is>
      </c>
      <c r="F1884" s="38" t="n">
        <v>278</v>
      </c>
    </row>
    <row r="1885" ht="15" customHeight="1" s="39">
      <c r="A1885" s="38" t="inlineStr">
        <is>
          <t>2021</t>
        </is>
      </c>
      <c r="B1885" s="42" t="inlineStr">
        <is>
          <t>431536</t>
        </is>
      </c>
      <c r="C1885" s="38" t="inlineStr">
        <is>
          <t>Y047</t>
        </is>
      </c>
      <c r="D1885" s="38" t="inlineStr">
        <is>
          <t>TOTAL</t>
        </is>
      </c>
      <c r="E1885" s="38" t="inlineStr">
        <is>
          <t>POP</t>
        </is>
      </c>
      <c r="F1885" s="38" t="n">
        <v>262</v>
      </c>
    </row>
    <row r="1886" ht="15" customHeight="1" s="39">
      <c r="A1886" s="38" t="inlineStr">
        <is>
          <t>2021</t>
        </is>
      </c>
      <c r="B1886" s="42" t="inlineStr">
        <is>
          <t>431536</t>
        </is>
      </c>
      <c r="C1886" s="38" t="inlineStr">
        <is>
          <t>Y048</t>
        </is>
      </c>
      <c r="D1886" s="38" t="inlineStr">
        <is>
          <t>TOTAL</t>
        </is>
      </c>
      <c r="E1886" s="38" t="inlineStr">
        <is>
          <t>POP</t>
        </is>
      </c>
      <c r="F1886" s="38" t="n">
        <v>255</v>
      </c>
    </row>
    <row r="1887" ht="15" customHeight="1" s="39">
      <c r="A1887" s="38" t="inlineStr">
        <is>
          <t>2021</t>
        </is>
      </c>
      <c r="B1887" s="42" t="inlineStr">
        <is>
          <t>431536</t>
        </is>
      </c>
      <c r="C1887" s="38" t="inlineStr">
        <is>
          <t>Y049</t>
        </is>
      </c>
      <c r="D1887" s="38" t="inlineStr">
        <is>
          <t>TOTAL</t>
        </is>
      </c>
      <c r="E1887" s="38" t="inlineStr">
        <is>
          <t>POP</t>
        </is>
      </c>
      <c r="F1887" s="38" t="n">
        <v>270</v>
      </c>
    </row>
    <row r="1888" ht="15" customHeight="1" s="39">
      <c r="A1888" s="38" t="inlineStr">
        <is>
          <t>2021</t>
        </is>
      </c>
      <c r="B1888" s="42" t="inlineStr">
        <is>
          <t>431536</t>
        </is>
      </c>
      <c r="C1888" s="38" t="inlineStr">
        <is>
          <t>Y050</t>
        </is>
      </c>
      <c r="D1888" s="38" t="inlineStr">
        <is>
          <t>TOTAL</t>
        </is>
      </c>
      <c r="E1888" s="38" t="inlineStr">
        <is>
          <t>POP</t>
        </is>
      </c>
      <c r="F1888" s="38" t="n">
        <v>261</v>
      </c>
    </row>
    <row r="1889" ht="15" customHeight="1" s="39">
      <c r="A1889" s="38" t="inlineStr">
        <is>
          <t>2021</t>
        </is>
      </c>
      <c r="B1889" s="42" t="inlineStr">
        <is>
          <t>431536</t>
        </is>
      </c>
      <c r="C1889" s="38" t="inlineStr">
        <is>
          <t>Y051</t>
        </is>
      </c>
      <c r="D1889" s="38" t="inlineStr">
        <is>
          <t>TOTAL</t>
        </is>
      </c>
      <c r="E1889" s="38" t="inlineStr">
        <is>
          <t>POP</t>
        </is>
      </c>
      <c r="F1889" s="38" t="n">
        <v>273</v>
      </c>
    </row>
    <row r="1890" ht="15" customHeight="1" s="39">
      <c r="A1890" s="38" t="inlineStr">
        <is>
          <t>2021</t>
        </is>
      </c>
      <c r="B1890" s="42" t="inlineStr">
        <is>
          <t>431536</t>
        </is>
      </c>
      <c r="C1890" s="38" t="inlineStr">
        <is>
          <t>Y052</t>
        </is>
      </c>
      <c r="D1890" s="38" t="inlineStr">
        <is>
          <t>TOTAL</t>
        </is>
      </c>
      <c r="E1890" s="38" t="inlineStr">
        <is>
          <t>POP</t>
        </is>
      </c>
      <c r="F1890" s="38" t="n">
        <v>260</v>
      </c>
    </row>
    <row r="1891" ht="15" customHeight="1" s="39">
      <c r="A1891" s="38" t="inlineStr">
        <is>
          <t>2021</t>
        </is>
      </c>
      <c r="B1891" s="42" t="inlineStr">
        <is>
          <t>431536</t>
        </is>
      </c>
      <c r="C1891" s="38" t="inlineStr">
        <is>
          <t>Y053</t>
        </is>
      </c>
      <c r="D1891" s="38" t="inlineStr">
        <is>
          <t>TOTAL</t>
        </is>
      </c>
      <c r="E1891" s="38" t="inlineStr">
        <is>
          <t>POP</t>
        </is>
      </c>
      <c r="F1891" s="38" t="n">
        <v>275</v>
      </c>
    </row>
    <row r="1892" ht="15" customHeight="1" s="39">
      <c r="A1892" s="38" t="inlineStr">
        <is>
          <t>2021</t>
        </is>
      </c>
      <c r="B1892" s="42" t="inlineStr">
        <is>
          <t>431536</t>
        </is>
      </c>
      <c r="C1892" s="38" t="inlineStr">
        <is>
          <t>Y054</t>
        </is>
      </c>
      <c r="D1892" s="38" t="inlineStr">
        <is>
          <t>TOTAL</t>
        </is>
      </c>
      <c r="E1892" s="38" t="inlineStr">
        <is>
          <t>POP</t>
        </is>
      </c>
      <c r="F1892" s="38" t="n">
        <v>272</v>
      </c>
    </row>
    <row r="1893" ht="15" customHeight="1" s="39">
      <c r="A1893" s="38" t="inlineStr">
        <is>
          <t>2021</t>
        </is>
      </c>
      <c r="B1893" s="42" t="inlineStr">
        <is>
          <t>431536</t>
        </is>
      </c>
      <c r="C1893" s="38" t="inlineStr">
        <is>
          <t>Y055</t>
        </is>
      </c>
      <c r="D1893" s="38" t="inlineStr">
        <is>
          <t>TOTAL</t>
        </is>
      </c>
      <c r="E1893" s="38" t="inlineStr">
        <is>
          <t>POP</t>
        </is>
      </c>
      <c r="F1893" s="38" t="n">
        <v>242</v>
      </c>
    </row>
    <row r="1894" ht="15" customHeight="1" s="39">
      <c r="A1894" s="38" t="inlineStr">
        <is>
          <t>2021</t>
        </is>
      </c>
      <c r="B1894" s="42" t="inlineStr">
        <is>
          <t>431536</t>
        </is>
      </c>
      <c r="C1894" s="38" t="inlineStr">
        <is>
          <t>Y056</t>
        </is>
      </c>
      <c r="D1894" s="38" t="inlineStr">
        <is>
          <t>TOTAL</t>
        </is>
      </c>
      <c r="E1894" s="38" t="inlineStr">
        <is>
          <t>POP</t>
        </is>
      </c>
      <c r="F1894" s="38" t="n">
        <v>266</v>
      </c>
    </row>
    <row r="1895" ht="15" customHeight="1" s="39">
      <c r="A1895" s="38" t="inlineStr">
        <is>
          <t>2021</t>
        </is>
      </c>
      <c r="B1895" s="42" t="inlineStr">
        <is>
          <t>431536</t>
        </is>
      </c>
      <c r="C1895" s="38" t="inlineStr">
        <is>
          <t>Y057</t>
        </is>
      </c>
      <c r="D1895" s="38" t="inlineStr">
        <is>
          <t>TOTAL</t>
        </is>
      </c>
      <c r="E1895" s="38" t="inlineStr">
        <is>
          <t>POP</t>
        </is>
      </c>
      <c r="F1895" s="38" t="n">
        <v>233</v>
      </c>
    </row>
    <row r="1896" ht="15" customHeight="1" s="39">
      <c r="A1896" s="38" t="inlineStr">
        <is>
          <t>2021</t>
        </is>
      </c>
      <c r="B1896" s="42" t="inlineStr">
        <is>
          <t>431536</t>
        </is>
      </c>
      <c r="C1896" s="38" t="inlineStr">
        <is>
          <t>Y058</t>
        </is>
      </c>
      <c r="D1896" s="38" t="inlineStr">
        <is>
          <t>TOTAL</t>
        </is>
      </c>
      <c r="E1896" s="38" t="inlineStr">
        <is>
          <t>POP</t>
        </is>
      </c>
      <c r="F1896" s="38" t="n">
        <v>259</v>
      </c>
    </row>
    <row r="1897" ht="15" customHeight="1" s="39">
      <c r="A1897" s="38" t="inlineStr">
        <is>
          <t>2021</t>
        </is>
      </c>
      <c r="B1897" s="42" t="inlineStr">
        <is>
          <t>431536</t>
        </is>
      </c>
      <c r="C1897" s="38" t="inlineStr">
        <is>
          <t>Y059</t>
        </is>
      </c>
      <c r="D1897" s="38" t="inlineStr">
        <is>
          <t>TOTAL</t>
        </is>
      </c>
      <c r="E1897" s="38" t="inlineStr">
        <is>
          <t>POP</t>
        </is>
      </c>
      <c r="F1897" s="38" t="n">
        <v>220</v>
      </c>
    </row>
    <row r="1898" ht="15" customHeight="1" s="39">
      <c r="A1898" s="38" t="inlineStr">
        <is>
          <t>2021</t>
        </is>
      </c>
      <c r="B1898" s="42" t="inlineStr">
        <is>
          <t>431536</t>
        </is>
      </c>
      <c r="C1898" s="38" t="inlineStr">
        <is>
          <t>Y060</t>
        </is>
      </c>
      <c r="D1898" s="38" t="inlineStr">
        <is>
          <t>TOTAL</t>
        </is>
      </c>
      <c r="E1898" s="38" t="inlineStr">
        <is>
          <t>POP</t>
        </is>
      </c>
      <c r="F1898" s="38" t="n">
        <v>244</v>
      </c>
    </row>
    <row r="1899" ht="15" customHeight="1" s="39">
      <c r="A1899" s="38" t="inlineStr">
        <is>
          <t>2021</t>
        </is>
      </c>
      <c r="B1899" s="42" t="inlineStr">
        <is>
          <t>431536</t>
        </is>
      </c>
      <c r="C1899" s="38" t="inlineStr">
        <is>
          <t>Y061</t>
        </is>
      </c>
      <c r="D1899" s="38" t="inlineStr">
        <is>
          <t>TOTAL</t>
        </is>
      </c>
      <c r="E1899" s="38" t="inlineStr">
        <is>
          <t>POP</t>
        </is>
      </c>
      <c r="F1899" s="38" t="n">
        <v>245</v>
      </c>
    </row>
    <row r="1900" ht="15" customHeight="1" s="39">
      <c r="A1900" s="38" t="inlineStr">
        <is>
          <t>2021</t>
        </is>
      </c>
      <c r="B1900" s="42" t="inlineStr">
        <is>
          <t>431536</t>
        </is>
      </c>
      <c r="C1900" s="38" t="inlineStr">
        <is>
          <t>Y062</t>
        </is>
      </c>
      <c r="D1900" s="38" t="inlineStr">
        <is>
          <t>TOTAL</t>
        </is>
      </c>
      <c r="E1900" s="38" t="inlineStr">
        <is>
          <t>POP</t>
        </is>
      </c>
      <c r="F1900" s="38" t="n">
        <v>224</v>
      </c>
    </row>
    <row r="1901" ht="15" customHeight="1" s="39">
      <c r="A1901" s="38" t="inlineStr">
        <is>
          <t>2021</t>
        </is>
      </c>
      <c r="B1901" s="42" t="inlineStr">
        <is>
          <t>431536</t>
        </is>
      </c>
      <c r="C1901" s="38" t="inlineStr">
        <is>
          <t>Y063</t>
        </is>
      </c>
      <c r="D1901" s="38" t="inlineStr">
        <is>
          <t>TOTAL</t>
        </is>
      </c>
      <c r="E1901" s="38" t="inlineStr">
        <is>
          <t>POP</t>
        </is>
      </c>
      <c r="F1901" s="38" t="n">
        <v>215</v>
      </c>
    </row>
    <row r="1902" ht="15" customHeight="1" s="39">
      <c r="A1902" s="38" t="inlineStr">
        <is>
          <t>2021</t>
        </is>
      </c>
      <c r="B1902" s="42" t="inlineStr">
        <is>
          <t>431536</t>
        </is>
      </c>
      <c r="C1902" s="38" t="inlineStr">
        <is>
          <t>Y064</t>
        </is>
      </c>
      <c r="D1902" s="38" t="inlineStr">
        <is>
          <t>TOTAL</t>
        </is>
      </c>
      <c r="E1902" s="38" t="inlineStr">
        <is>
          <t>POP</t>
        </is>
      </c>
      <c r="F1902" s="38" t="n">
        <v>204</v>
      </c>
    </row>
    <row r="1903" ht="15" customHeight="1" s="39">
      <c r="A1903" s="38" t="inlineStr">
        <is>
          <t>2021</t>
        </is>
      </c>
      <c r="B1903" s="42" t="inlineStr">
        <is>
          <t>431536</t>
        </is>
      </c>
      <c r="C1903" s="38" t="inlineStr">
        <is>
          <t>Y065</t>
        </is>
      </c>
      <c r="D1903" s="38" t="inlineStr">
        <is>
          <t>TOTAL</t>
        </is>
      </c>
      <c r="E1903" s="38" t="inlineStr">
        <is>
          <t>POP</t>
        </is>
      </c>
      <c r="F1903" s="38" t="n">
        <v>218</v>
      </c>
    </row>
    <row r="1904" ht="15" customHeight="1" s="39">
      <c r="A1904" s="38" t="inlineStr">
        <is>
          <t>2021</t>
        </is>
      </c>
      <c r="B1904" s="42" t="inlineStr">
        <is>
          <t>431536</t>
        </is>
      </c>
      <c r="C1904" s="38" t="inlineStr">
        <is>
          <t>Y066</t>
        </is>
      </c>
      <c r="D1904" s="38" t="inlineStr">
        <is>
          <t>TOTAL</t>
        </is>
      </c>
      <c r="E1904" s="38" t="inlineStr">
        <is>
          <t>POP</t>
        </is>
      </c>
      <c r="F1904" s="38" t="n">
        <v>213</v>
      </c>
    </row>
    <row r="1905" ht="15" customHeight="1" s="39">
      <c r="A1905" s="38" t="inlineStr">
        <is>
          <t>2021</t>
        </is>
      </c>
      <c r="B1905" s="42" t="inlineStr">
        <is>
          <t>431536</t>
        </is>
      </c>
      <c r="C1905" s="38" t="inlineStr">
        <is>
          <t>Y067</t>
        </is>
      </c>
      <c r="D1905" s="38" t="inlineStr">
        <is>
          <t>TOTAL</t>
        </is>
      </c>
      <c r="E1905" s="38" t="inlineStr">
        <is>
          <t>POP</t>
        </is>
      </c>
      <c r="F1905" s="38" t="n">
        <v>200</v>
      </c>
    </row>
    <row r="1906" ht="15" customHeight="1" s="39">
      <c r="A1906" s="38" t="inlineStr">
        <is>
          <t>2021</t>
        </is>
      </c>
      <c r="B1906" s="42" t="inlineStr">
        <is>
          <t>431536</t>
        </is>
      </c>
      <c r="C1906" s="38" t="inlineStr">
        <is>
          <t>Y068</t>
        </is>
      </c>
      <c r="D1906" s="38" t="inlineStr">
        <is>
          <t>TOTAL</t>
        </is>
      </c>
      <c r="E1906" s="38" t="inlineStr">
        <is>
          <t>POP</t>
        </is>
      </c>
      <c r="F1906" s="38" t="n">
        <v>195</v>
      </c>
    </row>
    <row r="1907" ht="15" customHeight="1" s="39">
      <c r="A1907" s="38" t="inlineStr">
        <is>
          <t>2021</t>
        </is>
      </c>
      <c r="B1907" s="42" t="inlineStr">
        <is>
          <t>431536</t>
        </is>
      </c>
      <c r="C1907" s="38" t="inlineStr">
        <is>
          <t>Y069</t>
        </is>
      </c>
      <c r="D1907" s="38" t="inlineStr">
        <is>
          <t>TOTAL</t>
        </is>
      </c>
      <c r="E1907" s="38" t="inlineStr">
        <is>
          <t>POP</t>
        </is>
      </c>
      <c r="F1907" s="38" t="n">
        <v>180</v>
      </c>
    </row>
    <row r="1908" ht="15" customHeight="1" s="39">
      <c r="A1908" s="38" t="inlineStr">
        <is>
          <t>2021</t>
        </is>
      </c>
      <c r="B1908" s="42" t="inlineStr">
        <is>
          <t>431536</t>
        </is>
      </c>
      <c r="C1908" s="38" t="inlineStr">
        <is>
          <t>Y070</t>
        </is>
      </c>
      <c r="D1908" s="38" t="inlineStr">
        <is>
          <t>TOTAL</t>
        </is>
      </c>
      <c r="E1908" s="38" t="inlineStr">
        <is>
          <t>POP</t>
        </is>
      </c>
      <c r="F1908" s="38" t="n">
        <v>161</v>
      </c>
    </row>
    <row r="1909" ht="15" customHeight="1" s="39">
      <c r="A1909" s="38" t="inlineStr">
        <is>
          <t>2021</t>
        </is>
      </c>
      <c r="B1909" s="42" t="inlineStr">
        <is>
          <t>431536</t>
        </is>
      </c>
      <c r="C1909" s="38" t="inlineStr">
        <is>
          <t>Y071</t>
        </is>
      </c>
      <c r="D1909" s="38" t="inlineStr">
        <is>
          <t>TOTAL</t>
        </is>
      </c>
      <c r="E1909" s="38" t="inlineStr">
        <is>
          <t>POP</t>
        </is>
      </c>
      <c r="F1909" s="38" t="n">
        <v>170</v>
      </c>
    </row>
    <row r="1910" ht="15" customHeight="1" s="39">
      <c r="A1910" s="38" t="inlineStr">
        <is>
          <t>2021</t>
        </is>
      </c>
      <c r="B1910" s="42" t="inlineStr">
        <is>
          <t>431536</t>
        </is>
      </c>
      <c r="C1910" s="38" t="inlineStr">
        <is>
          <t>Y072</t>
        </is>
      </c>
      <c r="D1910" s="38" t="inlineStr">
        <is>
          <t>TOTAL</t>
        </is>
      </c>
      <c r="E1910" s="38" t="inlineStr">
        <is>
          <t>POP</t>
        </is>
      </c>
      <c r="F1910" s="38" t="n">
        <v>175</v>
      </c>
    </row>
    <row r="1911" ht="15" customHeight="1" s="39">
      <c r="A1911" s="38" t="inlineStr">
        <is>
          <t>2021</t>
        </is>
      </c>
      <c r="B1911" s="42" t="inlineStr">
        <is>
          <t>431536</t>
        </is>
      </c>
      <c r="C1911" s="38" t="inlineStr">
        <is>
          <t>Y073</t>
        </is>
      </c>
      <c r="D1911" s="38" t="inlineStr">
        <is>
          <t>TOTAL</t>
        </is>
      </c>
      <c r="E1911" s="38" t="inlineStr">
        <is>
          <t>POP</t>
        </is>
      </c>
      <c r="F1911" s="38" t="n">
        <v>179</v>
      </c>
    </row>
    <row r="1912" ht="15" customHeight="1" s="39">
      <c r="A1912" s="38" t="inlineStr">
        <is>
          <t>2021</t>
        </is>
      </c>
      <c r="B1912" s="42" t="inlineStr">
        <is>
          <t>431536</t>
        </is>
      </c>
      <c r="C1912" s="38" t="inlineStr">
        <is>
          <t>Y074</t>
        </is>
      </c>
      <c r="D1912" s="38" t="inlineStr">
        <is>
          <t>TOTAL</t>
        </is>
      </c>
      <c r="E1912" s="38" t="inlineStr">
        <is>
          <t>POP</t>
        </is>
      </c>
      <c r="F1912" s="38" t="n">
        <v>131</v>
      </c>
    </row>
    <row r="1913" ht="15" customHeight="1" s="39">
      <c r="A1913" s="38" t="inlineStr">
        <is>
          <t>2021</t>
        </is>
      </c>
      <c r="B1913" s="42" t="inlineStr">
        <is>
          <t>431536</t>
        </is>
      </c>
      <c r="C1913" s="38" t="inlineStr">
        <is>
          <t>Y075</t>
        </is>
      </c>
      <c r="D1913" s="38" t="inlineStr">
        <is>
          <t>TOTAL</t>
        </is>
      </c>
      <c r="E1913" s="38" t="inlineStr">
        <is>
          <t>POP</t>
        </is>
      </c>
      <c r="F1913" s="38" t="n">
        <v>136</v>
      </c>
    </row>
    <row r="1914" ht="15" customHeight="1" s="39">
      <c r="A1914" s="38" t="inlineStr">
        <is>
          <t>2021</t>
        </is>
      </c>
      <c r="B1914" s="42" t="inlineStr">
        <is>
          <t>431536</t>
        </is>
      </c>
      <c r="C1914" s="38" t="inlineStr">
        <is>
          <t>Y076</t>
        </is>
      </c>
      <c r="D1914" s="38" t="inlineStr">
        <is>
          <t>TOTAL</t>
        </is>
      </c>
      <c r="E1914" s="38" t="inlineStr">
        <is>
          <t>POP</t>
        </is>
      </c>
      <c r="F1914" s="38" t="n">
        <v>146</v>
      </c>
    </row>
    <row r="1915" ht="15" customHeight="1" s="39">
      <c r="A1915" s="38" t="inlineStr">
        <is>
          <t>2021</t>
        </is>
      </c>
      <c r="B1915" s="42" t="inlineStr">
        <is>
          <t>431536</t>
        </is>
      </c>
      <c r="C1915" s="38" t="inlineStr">
        <is>
          <t>Y077</t>
        </is>
      </c>
      <c r="D1915" s="38" t="inlineStr">
        <is>
          <t>TOTAL</t>
        </is>
      </c>
      <c r="E1915" s="38" t="inlineStr">
        <is>
          <t>POP</t>
        </is>
      </c>
      <c r="F1915" s="38" t="n">
        <v>127</v>
      </c>
    </row>
    <row r="1916" ht="15" customHeight="1" s="39">
      <c r="A1916" s="38" t="inlineStr">
        <is>
          <t>2021</t>
        </is>
      </c>
      <c r="B1916" s="42" t="inlineStr">
        <is>
          <t>431536</t>
        </is>
      </c>
      <c r="C1916" s="38" t="inlineStr">
        <is>
          <t>Y078</t>
        </is>
      </c>
      <c r="D1916" s="38" t="inlineStr">
        <is>
          <t>TOTAL</t>
        </is>
      </c>
      <c r="E1916" s="38" t="inlineStr">
        <is>
          <t>POP</t>
        </is>
      </c>
      <c r="F1916" s="38" t="n">
        <v>93</v>
      </c>
    </row>
    <row r="1917" ht="15" customHeight="1" s="39">
      <c r="A1917" s="38" t="inlineStr">
        <is>
          <t>2021</t>
        </is>
      </c>
      <c r="B1917" s="42" t="inlineStr">
        <is>
          <t>431536</t>
        </is>
      </c>
      <c r="C1917" s="38" t="inlineStr">
        <is>
          <t>Y079</t>
        </is>
      </c>
      <c r="D1917" s="38" t="inlineStr">
        <is>
          <t>TOTAL</t>
        </is>
      </c>
      <c r="E1917" s="38" t="inlineStr">
        <is>
          <t>POP</t>
        </is>
      </c>
      <c r="F1917" s="38" t="n">
        <v>100</v>
      </c>
    </row>
    <row r="1918" ht="15" customHeight="1" s="39">
      <c r="A1918" s="38" t="inlineStr">
        <is>
          <t>2021</t>
        </is>
      </c>
      <c r="B1918" s="42" t="inlineStr">
        <is>
          <t>431536</t>
        </is>
      </c>
      <c r="C1918" s="38" t="inlineStr">
        <is>
          <t>Y080</t>
        </is>
      </c>
      <c r="D1918" s="38" t="inlineStr">
        <is>
          <t>TOTAL</t>
        </is>
      </c>
      <c r="E1918" s="38" t="inlineStr">
        <is>
          <t>POP</t>
        </is>
      </c>
      <c r="F1918" s="38" t="n">
        <v>115</v>
      </c>
    </row>
    <row r="1919" ht="15" customHeight="1" s="39">
      <c r="A1919" s="38" t="inlineStr">
        <is>
          <t>2021</t>
        </is>
      </c>
      <c r="B1919" s="42" t="inlineStr">
        <is>
          <t>431536</t>
        </is>
      </c>
      <c r="C1919" s="38" t="inlineStr">
        <is>
          <t>Y081</t>
        </is>
      </c>
      <c r="D1919" s="38" t="inlineStr">
        <is>
          <t>TOTAL</t>
        </is>
      </c>
      <c r="E1919" s="38" t="inlineStr">
        <is>
          <t>POP</t>
        </is>
      </c>
      <c r="F1919" s="38" t="n">
        <v>64</v>
      </c>
    </row>
    <row r="1920" ht="15" customHeight="1" s="39">
      <c r="A1920" s="38" t="inlineStr">
        <is>
          <t>2021</t>
        </is>
      </c>
      <c r="B1920" s="42" t="inlineStr">
        <is>
          <t>431536</t>
        </is>
      </c>
      <c r="C1920" s="38" t="inlineStr">
        <is>
          <t>Y082</t>
        </is>
      </c>
      <c r="D1920" s="38" t="inlineStr">
        <is>
          <t>TOTAL</t>
        </is>
      </c>
      <c r="E1920" s="38" t="inlineStr">
        <is>
          <t>POP</t>
        </is>
      </c>
      <c r="F1920" s="38" t="n">
        <v>80</v>
      </c>
    </row>
    <row r="1921" ht="15" customHeight="1" s="39">
      <c r="A1921" s="38" t="inlineStr">
        <is>
          <t>2021</t>
        </is>
      </c>
      <c r="B1921" s="42" t="inlineStr">
        <is>
          <t>431536</t>
        </is>
      </c>
      <c r="C1921" s="38" t="inlineStr">
        <is>
          <t>Y083</t>
        </is>
      </c>
      <c r="D1921" s="38" t="inlineStr">
        <is>
          <t>TOTAL</t>
        </is>
      </c>
      <c r="E1921" s="38" t="inlineStr">
        <is>
          <t>POP</t>
        </is>
      </c>
      <c r="F1921" s="38" t="n">
        <v>90</v>
      </c>
    </row>
    <row r="1922" ht="15" customHeight="1" s="39">
      <c r="A1922" s="38" t="inlineStr">
        <is>
          <t>2021</t>
        </is>
      </c>
      <c r="B1922" s="42" t="inlineStr">
        <is>
          <t>431536</t>
        </is>
      </c>
      <c r="C1922" s="38" t="inlineStr">
        <is>
          <t>Y084</t>
        </is>
      </c>
      <c r="D1922" s="38" t="inlineStr">
        <is>
          <t>TOTAL</t>
        </is>
      </c>
      <c r="E1922" s="38" t="inlineStr">
        <is>
          <t>POP</t>
        </is>
      </c>
      <c r="F1922" s="38" t="n">
        <v>86</v>
      </c>
    </row>
    <row r="1923" ht="15" customHeight="1" s="39">
      <c r="A1923" s="38" t="inlineStr">
        <is>
          <t>2021</t>
        </is>
      </c>
      <c r="B1923" s="42" t="inlineStr">
        <is>
          <t>431536</t>
        </is>
      </c>
      <c r="C1923" s="38" t="inlineStr">
        <is>
          <t>Y085</t>
        </is>
      </c>
      <c r="D1923" s="38" t="inlineStr">
        <is>
          <t>TOTAL</t>
        </is>
      </c>
      <c r="E1923" s="38" t="inlineStr">
        <is>
          <t>POP</t>
        </is>
      </c>
      <c r="F1923" s="38" t="n">
        <v>90</v>
      </c>
    </row>
    <row r="1924" ht="15" customHeight="1" s="39">
      <c r="A1924" s="38" t="inlineStr">
        <is>
          <t>2021</t>
        </is>
      </c>
      <c r="B1924" s="42" t="inlineStr">
        <is>
          <t>431536</t>
        </is>
      </c>
      <c r="C1924" s="38" t="inlineStr">
        <is>
          <t>Y086</t>
        </is>
      </c>
      <c r="D1924" s="38" t="inlineStr">
        <is>
          <t>TOTAL</t>
        </is>
      </c>
      <c r="E1924" s="38" t="inlineStr">
        <is>
          <t>POP</t>
        </is>
      </c>
      <c r="F1924" s="38" t="n">
        <v>69</v>
      </c>
    </row>
    <row r="1925" ht="15" customHeight="1" s="39">
      <c r="A1925" s="38" t="inlineStr">
        <is>
          <t>2021</t>
        </is>
      </c>
      <c r="B1925" s="42" t="inlineStr">
        <is>
          <t>431536</t>
        </is>
      </c>
      <c r="C1925" s="38" t="inlineStr">
        <is>
          <t>Y087</t>
        </is>
      </c>
      <c r="D1925" s="38" t="inlineStr">
        <is>
          <t>TOTAL</t>
        </is>
      </c>
      <c r="E1925" s="38" t="inlineStr">
        <is>
          <t>POP</t>
        </is>
      </c>
      <c r="F1925" s="38" t="n">
        <v>61</v>
      </c>
    </row>
    <row r="1926" ht="15" customHeight="1" s="39">
      <c r="A1926" s="38" t="inlineStr">
        <is>
          <t>2021</t>
        </is>
      </c>
      <c r="B1926" s="42" t="inlineStr">
        <is>
          <t>431536</t>
        </is>
      </c>
      <c r="C1926" s="38" t="inlineStr">
        <is>
          <t>Y088</t>
        </is>
      </c>
      <c r="D1926" s="38" t="inlineStr">
        <is>
          <t>TOTAL</t>
        </is>
      </c>
      <c r="E1926" s="38" t="inlineStr">
        <is>
          <t>POP</t>
        </is>
      </c>
      <c r="F1926" s="38" t="n">
        <v>51</v>
      </c>
    </row>
    <row r="1927" ht="15" customHeight="1" s="39">
      <c r="A1927" s="38" t="inlineStr">
        <is>
          <t>2021</t>
        </is>
      </c>
      <c r="B1927" s="42" t="inlineStr">
        <is>
          <t>431536</t>
        </is>
      </c>
      <c r="C1927" s="38" t="inlineStr">
        <is>
          <t>Y089</t>
        </is>
      </c>
      <c r="D1927" s="38" t="inlineStr">
        <is>
          <t>TOTAL</t>
        </is>
      </c>
      <c r="E1927" s="38" t="inlineStr">
        <is>
          <t>POP</t>
        </is>
      </c>
      <c r="F1927" s="38" t="n">
        <v>47</v>
      </c>
    </row>
    <row r="1928" ht="15" customHeight="1" s="39">
      <c r="A1928" s="38" t="inlineStr">
        <is>
          <t>2021</t>
        </is>
      </c>
      <c r="B1928" s="42" t="inlineStr">
        <is>
          <t>431536</t>
        </is>
      </c>
      <c r="C1928" s="38" t="inlineStr">
        <is>
          <t>Y090</t>
        </is>
      </c>
      <c r="D1928" s="38" t="inlineStr">
        <is>
          <t>TOTAL</t>
        </is>
      </c>
      <c r="E1928" s="38" t="inlineStr">
        <is>
          <t>POP</t>
        </is>
      </c>
      <c r="F1928" s="38" t="n">
        <v>38</v>
      </c>
    </row>
    <row r="1929" ht="15" customHeight="1" s="39">
      <c r="A1929" s="38" t="inlineStr">
        <is>
          <t>2021</t>
        </is>
      </c>
      <c r="B1929" s="42" t="inlineStr">
        <is>
          <t>431536</t>
        </is>
      </c>
      <c r="C1929" s="38" t="inlineStr">
        <is>
          <t>Y091</t>
        </is>
      </c>
      <c r="D1929" s="38" t="inlineStr">
        <is>
          <t>TOTAL</t>
        </is>
      </c>
      <c r="E1929" s="38" t="inlineStr">
        <is>
          <t>POP</t>
        </is>
      </c>
      <c r="F1929" s="38" t="n">
        <v>43</v>
      </c>
    </row>
    <row r="1930" ht="15" customHeight="1" s="39">
      <c r="A1930" s="38" t="inlineStr">
        <is>
          <t>2021</t>
        </is>
      </c>
      <c r="B1930" s="42" t="inlineStr">
        <is>
          <t>431536</t>
        </is>
      </c>
      <c r="C1930" s="38" t="inlineStr">
        <is>
          <t>Y092</t>
        </is>
      </c>
      <c r="D1930" s="38" t="inlineStr">
        <is>
          <t>TOTAL</t>
        </is>
      </c>
      <c r="E1930" s="38" t="inlineStr">
        <is>
          <t>POP</t>
        </is>
      </c>
      <c r="F1930" s="38" t="n">
        <v>26</v>
      </c>
    </row>
    <row r="1931" ht="15" customHeight="1" s="39">
      <c r="A1931" s="38" t="inlineStr">
        <is>
          <t>2021</t>
        </is>
      </c>
      <c r="B1931" s="42" t="inlineStr">
        <is>
          <t>431536</t>
        </is>
      </c>
      <c r="C1931" s="38" t="inlineStr">
        <is>
          <t>Y093</t>
        </is>
      </c>
      <c r="D1931" s="38" t="inlineStr">
        <is>
          <t>TOTAL</t>
        </is>
      </c>
      <c r="E1931" s="38" t="inlineStr">
        <is>
          <t>POP</t>
        </is>
      </c>
      <c r="F1931" s="38" t="n">
        <v>20</v>
      </c>
    </row>
    <row r="1932" ht="15" customHeight="1" s="39">
      <c r="A1932" s="38" t="inlineStr">
        <is>
          <t>2021</t>
        </is>
      </c>
      <c r="B1932" s="42" t="inlineStr">
        <is>
          <t>431536</t>
        </is>
      </c>
      <c r="C1932" s="38" t="inlineStr">
        <is>
          <t>Y094</t>
        </is>
      </c>
      <c r="D1932" s="38" t="inlineStr">
        <is>
          <t>TOTAL</t>
        </is>
      </c>
      <c r="E1932" s="38" t="inlineStr">
        <is>
          <t>POP</t>
        </is>
      </c>
      <c r="F1932" s="38" t="n">
        <v>15</v>
      </c>
    </row>
    <row r="1933" ht="15" customHeight="1" s="39">
      <c r="A1933" s="38" t="inlineStr">
        <is>
          <t>2021</t>
        </is>
      </c>
      <c r="B1933" s="42" t="inlineStr">
        <is>
          <t>431536</t>
        </is>
      </c>
      <c r="C1933" s="38" t="inlineStr">
        <is>
          <t>Y095</t>
        </is>
      </c>
      <c r="D1933" s="38" t="inlineStr">
        <is>
          <t>TOTAL</t>
        </is>
      </c>
      <c r="E1933" s="38" t="inlineStr">
        <is>
          <t>POP</t>
        </is>
      </c>
      <c r="F1933" s="38" t="n">
        <v>15</v>
      </c>
    </row>
    <row r="1934" ht="15" customHeight="1" s="39">
      <c r="A1934" s="38" t="inlineStr">
        <is>
          <t>2021</t>
        </is>
      </c>
      <c r="B1934" s="42" t="inlineStr">
        <is>
          <t>431536</t>
        </is>
      </c>
      <c r="C1934" s="38" t="inlineStr">
        <is>
          <t>Y096</t>
        </is>
      </c>
      <c r="D1934" s="38" t="inlineStr">
        <is>
          <t>TOTAL</t>
        </is>
      </c>
      <c r="E1934" s="38" t="inlineStr">
        <is>
          <t>POP</t>
        </is>
      </c>
      <c r="F1934" s="38" t="n">
        <v>7</v>
      </c>
    </row>
    <row r="1935" ht="15" customHeight="1" s="39">
      <c r="A1935" s="38" t="inlineStr">
        <is>
          <t>2021</t>
        </is>
      </c>
      <c r="B1935" s="42" t="inlineStr">
        <is>
          <t>431536</t>
        </is>
      </c>
      <c r="C1935" s="38" t="inlineStr">
        <is>
          <t>Y097</t>
        </is>
      </c>
      <c r="D1935" s="38" t="inlineStr">
        <is>
          <t>TOTAL</t>
        </is>
      </c>
      <c r="E1935" s="38" t="inlineStr">
        <is>
          <t>POP</t>
        </is>
      </c>
      <c r="F1935" s="38" t="n">
        <v>4</v>
      </c>
    </row>
    <row r="1936" ht="15" customHeight="1" s="39">
      <c r="A1936" s="38" t="inlineStr">
        <is>
          <t>2021</t>
        </is>
      </c>
      <c r="B1936" s="42" t="inlineStr">
        <is>
          <t>431536</t>
        </is>
      </c>
      <c r="C1936" s="38" t="inlineStr">
        <is>
          <t>Y098</t>
        </is>
      </c>
      <c r="D1936" s="38" t="inlineStr">
        <is>
          <t>TOTAL</t>
        </is>
      </c>
      <c r="E1936" s="38" t="inlineStr">
        <is>
          <t>POP</t>
        </is>
      </c>
      <c r="F1936" s="38" t="n">
        <v>8</v>
      </c>
    </row>
    <row r="1937" ht="15" customHeight="1" s="39">
      <c r="A1937" s="38" t="inlineStr">
        <is>
          <t>2021</t>
        </is>
      </c>
      <c r="B1937" s="42" t="inlineStr">
        <is>
          <t>431536</t>
        </is>
      </c>
      <c r="C1937" s="38" t="inlineStr">
        <is>
          <t>Y099</t>
        </is>
      </c>
      <c r="D1937" s="38" t="inlineStr">
        <is>
          <t>TOTAL</t>
        </is>
      </c>
      <c r="E1937" s="38" t="inlineStr">
        <is>
          <t>POP</t>
        </is>
      </c>
      <c r="F1937" s="38" t="n">
        <v>5</v>
      </c>
    </row>
    <row r="1938" ht="15" customHeight="1" s="39">
      <c r="A1938" s="38" t="inlineStr">
        <is>
          <t>2021</t>
        </is>
      </c>
      <c r="B1938" s="42" t="inlineStr">
        <is>
          <t>431536</t>
        </is>
      </c>
      <c r="C1938" s="38" t="inlineStr">
        <is>
          <t>Y_GE100</t>
        </is>
      </c>
      <c r="D1938" s="38" t="inlineStr">
        <is>
          <t>TOTAL</t>
        </is>
      </c>
      <c r="E1938" s="38" t="inlineStr">
        <is>
          <t>POP</t>
        </is>
      </c>
      <c r="F1938" s="38" t="n">
        <v>5</v>
      </c>
    </row>
    <row r="1939" ht="15" customHeight="1" s="39">
      <c r="A1939" s="38" t="inlineStr">
        <is>
          <t>2021</t>
        </is>
      </c>
      <c r="B1939" s="42" t="inlineStr">
        <is>
          <t>431536</t>
        </is>
      </c>
      <c r="C1939" s="38" t="inlineStr">
        <is>
          <t>TOTAL</t>
        </is>
      </c>
      <c r="D1939" s="38" t="inlineStr">
        <is>
          <t>TOTAL</t>
        </is>
      </c>
      <c r="E1939" s="38" t="inlineStr">
        <is>
          <t>POP</t>
        </is>
      </c>
      <c r="F1939" s="38" t="n">
        <v>17023</v>
      </c>
    </row>
    <row r="1940" ht="15" customHeight="1" s="39">
      <c r="A1940" s="38" t="inlineStr">
        <is>
          <t>2021</t>
        </is>
      </c>
      <c r="B1940" s="42" t="inlineStr">
        <is>
          <t>431649</t>
        </is>
      </c>
      <c r="C1940" s="38" t="inlineStr">
        <is>
          <t>Y000</t>
        </is>
      </c>
      <c r="D1940" s="38" t="inlineStr">
        <is>
          <t>TOTAL</t>
        </is>
      </c>
      <c r="E1940" s="38" t="inlineStr">
        <is>
          <t>POP</t>
        </is>
      </c>
      <c r="F1940" s="38" t="n">
        <v>5</v>
      </c>
    </row>
    <row r="1941" ht="15" customHeight="1" s="39">
      <c r="A1941" s="38" t="inlineStr">
        <is>
          <t>2021</t>
        </is>
      </c>
      <c r="B1941" s="42" t="inlineStr">
        <is>
          <t>431649</t>
        </is>
      </c>
      <c r="C1941" s="38" t="inlineStr">
        <is>
          <t>Y001</t>
        </is>
      </c>
      <c r="D1941" s="38" t="inlineStr">
        <is>
          <t>TOTAL</t>
        </is>
      </c>
      <c r="E1941" s="38" t="inlineStr">
        <is>
          <t>POP</t>
        </is>
      </c>
      <c r="F1941" s="38" t="n">
        <v>3</v>
      </c>
    </row>
    <row r="1942" ht="15" customHeight="1" s="39">
      <c r="A1942" s="38" t="inlineStr">
        <is>
          <t>2021</t>
        </is>
      </c>
      <c r="B1942" s="42" t="inlineStr">
        <is>
          <t>431649</t>
        </is>
      </c>
      <c r="C1942" s="38" t="inlineStr">
        <is>
          <t>Y002</t>
        </is>
      </c>
      <c r="D1942" s="38" t="inlineStr">
        <is>
          <t>TOTAL</t>
        </is>
      </c>
      <c r="E1942" s="38" t="inlineStr">
        <is>
          <t>POP</t>
        </is>
      </c>
      <c r="F1942" s="38" t="n">
        <v>3</v>
      </c>
    </row>
    <row r="1943" ht="15" customHeight="1" s="39">
      <c r="A1943" s="38" t="inlineStr">
        <is>
          <t>2021</t>
        </is>
      </c>
      <c r="B1943" s="42" t="inlineStr">
        <is>
          <t>431649</t>
        </is>
      </c>
      <c r="C1943" s="38" t="inlineStr">
        <is>
          <t>Y003</t>
        </is>
      </c>
      <c r="D1943" s="38" t="inlineStr">
        <is>
          <t>TOTAL</t>
        </is>
      </c>
      <c r="E1943" s="38" t="inlineStr">
        <is>
          <t>POP</t>
        </is>
      </c>
      <c r="F1943" s="38" t="n">
        <v>1</v>
      </c>
    </row>
    <row r="1944" ht="15" customHeight="1" s="39">
      <c r="A1944" s="38" t="inlineStr">
        <is>
          <t>2021</t>
        </is>
      </c>
      <c r="B1944" s="42" t="inlineStr">
        <is>
          <t>431649</t>
        </is>
      </c>
      <c r="C1944" s="38" t="inlineStr">
        <is>
          <t>Y004</t>
        </is>
      </c>
      <c r="D1944" s="38" t="inlineStr">
        <is>
          <t>TOTAL</t>
        </is>
      </c>
      <c r="E1944" s="38" t="inlineStr">
        <is>
          <t>POP</t>
        </is>
      </c>
      <c r="F1944" s="38" t="n">
        <v>6</v>
      </c>
    </row>
    <row r="1945" ht="15" customHeight="1" s="39">
      <c r="A1945" s="38" t="inlineStr">
        <is>
          <t>2021</t>
        </is>
      </c>
      <c r="B1945" s="42" t="inlineStr">
        <is>
          <t>431649</t>
        </is>
      </c>
      <c r="C1945" s="38" t="inlineStr">
        <is>
          <t>Y005</t>
        </is>
      </c>
      <c r="D1945" s="38" t="inlineStr">
        <is>
          <t>TOTAL</t>
        </is>
      </c>
      <c r="E1945" s="38" t="inlineStr">
        <is>
          <t>POP</t>
        </is>
      </c>
      <c r="F1945" s="38" t="n">
        <v>5</v>
      </c>
    </row>
    <row r="1946" ht="15" customHeight="1" s="39">
      <c r="A1946" s="38" t="inlineStr">
        <is>
          <t>2021</t>
        </is>
      </c>
      <c r="B1946" s="42" t="inlineStr">
        <is>
          <t>431649</t>
        </is>
      </c>
      <c r="C1946" s="38" t="inlineStr">
        <is>
          <t>Y006</t>
        </is>
      </c>
      <c r="D1946" s="38" t="inlineStr">
        <is>
          <t>TOTAL</t>
        </is>
      </c>
      <c r="E1946" s="38" t="inlineStr">
        <is>
          <t>POP</t>
        </is>
      </c>
      <c r="F1946" s="38" t="n">
        <v>7</v>
      </c>
    </row>
    <row r="1947" ht="15" customHeight="1" s="39">
      <c r="A1947" s="38" t="inlineStr">
        <is>
          <t>2021</t>
        </is>
      </c>
      <c r="B1947" s="42" t="inlineStr">
        <is>
          <t>431649</t>
        </is>
      </c>
      <c r="C1947" s="38" t="inlineStr">
        <is>
          <t>Y007</t>
        </is>
      </c>
      <c r="D1947" s="38" t="inlineStr">
        <is>
          <t>TOTAL</t>
        </is>
      </c>
      <c r="E1947" s="38" t="inlineStr">
        <is>
          <t>POP</t>
        </is>
      </c>
      <c r="F1947" s="38" t="n">
        <v>6</v>
      </c>
    </row>
    <row r="1948" ht="15" customHeight="1" s="39">
      <c r="A1948" s="38" t="inlineStr">
        <is>
          <t>2021</t>
        </is>
      </c>
      <c r="B1948" s="42" t="inlineStr">
        <is>
          <t>431649</t>
        </is>
      </c>
      <c r="C1948" s="38" t="inlineStr">
        <is>
          <t>Y008</t>
        </is>
      </c>
      <c r="D1948" s="38" t="inlineStr">
        <is>
          <t>TOTAL</t>
        </is>
      </c>
      <c r="E1948" s="38" t="inlineStr">
        <is>
          <t>POP</t>
        </is>
      </c>
      <c r="F1948" s="38" t="n">
        <v>8</v>
      </c>
    </row>
    <row r="1949" ht="15" customHeight="1" s="39">
      <c r="A1949" s="38" t="inlineStr">
        <is>
          <t>2021</t>
        </is>
      </c>
      <c r="B1949" s="42" t="inlineStr">
        <is>
          <t>431649</t>
        </is>
      </c>
      <c r="C1949" s="38" t="inlineStr">
        <is>
          <t>Y009</t>
        </is>
      </c>
      <c r="D1949" s="38" t="inlineStr">
        <is>
          <t>TOTAL</t>
        </is>
      </c>
      <c r="E1949" s="38" t="inlineStr">
        <is>
          <t>POP</t>
        </is>
      </c>
      <c r="F1949" s="38" t="n">
        <v>4</v>
      </c>
    </row>
    <row r="1950" ht="15" customHeight="1" s="39">
      <c r="A1950" s="38" t="inlineStr">
        <is>
          <t>2021</t>
        </is>
      </c>
      <c r="B1950" s="42" t="inlineStr">
        <is>
          <t>431649</t>
        </is>
      </c>
      <c r="C1950" s="38" t="inlineStr">
        <is>
          <t>Y010</t>
        </is>
      </c>
      <c r="D1950" s="38" t="inlineStr">
        <is>
          <t>TOTAL</t>
        </is>
      </c>
      <c r="E1950" s="38" t="inlineStr">
        <is>
          <t>POP</t>
        </is>
      </c>
      <c r="F1950" s="38" t="n">
        <v>2</v>
      </c>
    </row>
    <row r="1951" ht="15" customHeight="1" s="39">
      <c r="A1951" s="38" t="inlineStr">
        <is>
          <t>2021</t>
        </is>
      </c>
      <c r="B1951" s="42" t="inlineStr">
        <is>
          <t>431649</t>
        </is>
      </c>
      <c r="C1951" s="38" t="inlineStr">
        <is>
          <t>Y011</t>
        </is>
      </c>
      <c r="D1951" s="38" t="inlineStr">
        <is>
          <t>TOTAL</t>
        </is>
      </c>
      <c r="E1951" s="38" t="inlineStr">
        <is>
          <t>POP</t>
        </is>
      </c>
      <c r="F1951" s="38" t="n">
        <v>6</v>
      </c>
    </row>
    <row r="1952" ht="15" customHeight="1" s="39">
      <c r="A1952" s="38" t="inlineStr">
        <is>
          <t>2021</t>
        </is>
      </c>
      <c r="B1952" s="42" t="inlineStr">
        <is>
          <t>431649</t>
        </is>
      </c>
      <c r="C1952" s="38" t="inlineStr">
        <is>
          <t>Y012</t>
        </is>
      </c>
      <c r="D1952" s="38" t="inlineStr">
        <is>
          <t>TOTAL</t>
        </is>
      </c>
      <c r="E1952" s="38" t="inlineStr">
        <is>
          <t>POP</t>
        </is>
      </c>
      <c r="F1952" s="38" t="n">
        <v>6</v>
      </c>
    </row>
    <row r="1953" ht="15" customHeight="1" s="39">
      <c r="A1953" s="38" t="inlineStr">
        <is>
          <t>2021</t>
        </is>
      </c>
      <c r="B1953" s="42" t="inlineStr">
        <is>
          <t>431649</t>
        </is>
      </c>
      <c r="C1953" s="38" t="inlineStr">
        <is>
          <t>Y013</t>
        </is>
      </c>
      <c r="D1953" s="38" t="inlineStr">
        <is>
          <t>TOTAL</t>
        </is>
      </c>
      <c r="E1953" s="38" t="inlineStr">
        <is>
          <t>POP</t>
        </is>
      </c>
      <c r="F1953" s="38" t="n">
        <v>2</v>
      </c>
    </row>
    <row r="1954" ht="15" customHeight="1" s="39">
      <c r="A1954" s="38" t="inlineStr">
        <is>
          <t>2021</t>
        </is>
      </c>
      <c r="B1954" s="42" t="inlineStr">
        <is>
          <t>431649</t>
        </is>
      </c>
      <c r="C1954" s="38" t="inlineStr">
        <is>
          <t>Y014</t>
        </is>
      </c>
      <c r="D1954" s="38" t="inlineStr">
        <is>
          <t>TOTAL</t>
        </is>
      </c>
      <c r="E1954" s="38" t="inlineStr">
        <is>
          <t>POP</t>
        </is>
      </c>
      <c r="F1954" s="38" t="n">
        <v>7</v>
      </c>
    </row>
    <row r="1955" ht="15" customHeight="1" s="39">
      <c r="A1955" s="38" t="inlineStr">
        <is>
          <t>2021</t>
        </is>
      </c>
      <c r="B1955" s="42" t="inlineStr">
        <is>
          <t>431649</t>
        </is>
      </c>
      <c r="C1955" s="38" t="inlineStr">
        <is>
          <t>Y015</t>
        </is>
      </c>
      <c r="D1955" s="38" t="inlineStr">
        <is>
          <t>TOTAL</t>
        </is>
      </c>
      <c r="E1955" s="38" t="inlineStr">
        <is>
          <t>POP</t>
        </is>
      </c>
      <c r="F1955" s="38" t="n">
        <v>4</v>
      </c>
    </row>
    <row r="1956" ht="15" customHeight="1" s="39">
      <c r="A1956" s="38" t="inlineStr">
        <is>
          <t>2021</t>
        </is>
      </c>
      <c r="B1956" s="42" t="inlineStr">
        <is>
          <t>431649</t>
        </is>
      </c>
      <c r="C1956" s="38" t="inlineStr">
        <is>
          <t>Y016</t>
        </is>
      </c>
      <c r="D1956" s="38" t="inlineStr">
        <is>
          <t>TOTAL</t>
        </is>
      </c>
      <c r="E1956" s="38" t="inlineStr">
        <is>
          <t>POP</t>
        </is>
      </c>
      <c r="F1956" s="38" t="n">
        <v>6</v>
      </c>
    </row>
    <row r="1957" ht="15" customHeight="1" s="39">
      <c r="A1957" s="38" t="inlineStr">
        <is>
          <t>2021</t>
        </is>
      </c>
      <c r="B1957" s="42" t="inlineStr">
        <is>
          <t>431649</t>
        </is>
      </c>
      <c r="C1957" s="38" t="inlineStr">
        <is>
          <t>Y017</t>
        </is>
      </c>
      <c r="D1957" s="38" t="inlineStr">
        <is>
          <t>TOTAL</t>
        </is>
      </c>
      <c r="E1957" s="38" t="inlineStr">
        <is>
          <t>POP</t>
        </is>
      </c>
      <c r="F1957" s="38" t="n">
        <v>0</v>
      </c>
    </row>
    <row r="1958" ht="15" customHeight="1" s="39">
      <c r="A1958" s="38" t="inlineStr">
        <is>
          <t>2021</t>
        </is>
      </c>
      <c r="B1958" s="42" t="inlineStr">
        <is>
          <t>431649</t>
        </is>
      </c>
      <c r="C1958" s="38" t="inlineStr">
        <is>
          <t>Y018</t>
        </is>
      </c>
      <c r="D1958" s="38" t="inlineStr">
        <is>
          <t>TOTAL</t>
        </is>
      </c>
      <c r="E1958" s="38" t="inlineStr">
        <is>
          <t>POP</t>
        </is>
      </c>
      <c r="F1958" s="38" t="n">
        <v>4</v>
      </c>
    </row>
    <row r="1959" ht="15" customHeight="1" s="39">
      <c r="A1959" s="38" t="inlineStr">
        <is>
          <t>2021</t>
        </is>
      </c>
      <c r="B1959" s="42" t="inlineStr">
        <is>
          <t>431649</t>
        </is>
      </c>
      <c r="C1959" s="38" t="inlineStr">
        <is>
          <t>Y019</t>
        </is>
      </c>
      <c r="D1959" s="38" t="inlineStr">
        <is>
          <t>TOTAL</t>
        </is>
      </c>
      <c r="E1959" s="38" t="inlineStr">
        <is>
          <t>POP</t>
        </is>
      </c>
      <c r="F1959" s="38" t="n">
        <v>0</v>
      </c>
    </row>
    <row r="1960" ht="15" customHeight="1" s="39">
      <c r="A1960" s="38" t="inlineStr">
        <is>
          <t>2021</t>
        </is>
      </c>
      <c r="B1960" s="42" t="inlineStr">
        <is>
          <t>431649</t>
        </is>
      </c>
      <c r="C1960" s="38" t="inlineStr">
        <is>
          <t>Y020</t>
        </is>
      </c>
      <c r="D1960" s="38" t="inlineStr">
        <is>
          <t>TOTAL</t>
        </is>
      </c>
      <c r="E1960" s="38" t="inlineStr">
        <is>
          <t>POP</t>
        </is>
      </c>
      <c r="F1960" s="38" t="n">
        <v>4</v>
      </c>
    </row>
    <row r="1961" ht="15" customHeight="1" s="39">
      <c r="A1961" s="38" t="inlineStr">
        <is>
          <t>2021</t>
        </is>
      </c>
      <c r="B1961" s="42" t="inlineStr">
        <is>
          <t>431649</t>
        </is>
      </c>
      <c r="C1961" s="38" t="inlineStr">
        <is>
          <t>Y021</t>
        </is>
      </c>
      <c r="D1961" s="38" t="inlineStr">
        <is>
          <t>TOTAL</t>
        </is>
      </c>
      <c r="E1961" s="38" t="inlineStr">
        <is>
          <t>POP</t>
        </is>
      </c>
      <c r="F1961" s="38" t="n">
        <v>2</v>
      </c>
    </row>
    <row r="1962" ht="15" customHeight="1" s="39">
      <c r="A1962" s="38" t="inlineStr">
        <is>
          <t>2021</t>
        </is>
      </c>
      <c r="B1962" s="42" t="inlineStr">
        <is>
          <t>431649</t>
        </is>
      </c>
      <c r="C1962" s="38" t="inlineStr">
        <is>
          <t>Y022</t>
        </is>
      </c>
      <c r="D1962" s="38" t="inlineStr">
        <is>
          <t>TOTAL</t>
        </is>
      </c>
      <c r="E1962" s="38" t="inlineStr">
        <is>
          <t>POP</t>
        </is>
      </c>
      <c r="F1962" s="38" t="n">
        <v>4</v>
      </c>
    </row>
    <row r="1963" ht="15" customHeight="1" s="39">
      <c r="A1963" s="38" t="inlineStr">
        <is>
          <t>2021</t>
        </is>
      </c>
      <c r="B1963" s="42" t="inlineStr">
        <is>
          <t>431649</t>
        </is>
      </c>
      <c r="C1963" s="38" t="inlineStr">
        <is>
          <t>Y023</t>
        </is>
      </c>
      <c r="D1963" s="38" t="inlineStr">
        <is>
          <t>TOTAL</t>
        </is>
      </c>
      <c r="E1963" s="38" t="inlineStr">
        <is>
          <t>POP</t>
        </is>
      </c>
      <c r="F1963" s="38" t="n">
        <v>3</v>
      </c>
    </row>
    <row r="1964" ht="15" customHeight="1" s="39">
      <c r="A1964" s="38" t="inlineStr">
        <is>
          <t>2021</t>
        </is>
      </c>
      <c r="B1964" s="42" t="inlineStr">
        <is>
          <t>431649</t>
        </is>
      </c>
      <c r="C1964" s="38" t="inlineStr">
        <is>
          <t>Y024</t>
        </is>
      </c>
      <c r="D1964" s="38" t="inlineStr">
        <is>
          <t>TOTAL</t>
        </is>
      </c>
      <c r="E1964" s="38" t="inlineStr">
        <is>
          <t>POP</t>
        </is>
      </c>
      <c r="F1964" s="38" t="n">
        <v>3</v>
      </c>
    </row>
    <row r="1965" ht="15" customHeight="1" s="39">
      <c r="A1965" s="38" t="inlineStr">
        <is>
          <t>2021</t>
        </is>
      </c>
      <c r="B1965" s="42" t="inlineStr">
        <is>
          <t>431649</t>
        </is>
      </c>
      <c r="C1965" s="38" t="inlineStr">
        <is>
          <t>Y025</t>
        </is>
      </c>
      <c r="D1965" s="38" t="inlineStr">
        <is>
          <t>TOTAL</t>
        </is>
      </c>
      <c r="E1965" s="38" t="inlineStr">
        <is>
          <t>POP</t>
        </is>
      </c>
      <c r="F1965" s="38" t="n">
        <v>0</v>
      </c>
    </row>
    <row r="1966" ht="15" customHeight="1" s="39">
      <c r="A1966" s="38" t="inlineStr">
        <is>
          <t>2021</t>
        </is>
      </c>
      <c r="B1966" s="42" t="inlineStr">
        <is>
          <t>431649</t>
        </is>
      </c>
      <c r="C1966" s="38" t="inlineStr">
        <is>
          <t>Y026</t>
        </is>
      </c>
      <c r="D1966" s="38" t="inlineStr">
        <is>
          <t>TOTAL</t>
        </is>
      </c>
      <c r="E1966" s="38" t="inlineStr">
        <is>
          <t>POP</t>
        </is>
      </c>
      <c r="F1966" s="38" t="n">
        <v>5</v>
      </c>
    </row>
    <row r="1967" ht="15" customHeight="1" s="39">
      <c r="A1967" s="38" t="inlineStr">
        <is>
          <t>2021</t>
        </is>
      </c>
      <c r="B1967" s="42" t="inlineStr">
        <is>
          <t>431649</t>
        </is>
      </c>
      <c r="C1967" s="38" t="inlineStr">
        <is>
          <t>Y027</t>
        </is>
      </c>
      <c r="D1967" s="38" t="inlineStr">
        <is>
          <t>TOTAL</t>
        </is>
      </c>
      <c r="E1967" s="38" t="inlineStr">
        <is>
          <t>POP</t>
        </is>
      </c>
      <c r="F1967" s="38" t="n">
        <v>1</v>
      </c>
    </row>
    <row r="1968" ht="15" customHeight="1" s="39">
      <c r="A1968" s="38" t="inlineStr">
        <is>
          <t>2021</t>
        </is>
      </c>
      <c r="B1968" s="42" t="inlineStr">
        <is>
          <t>431649</t>
        </is>
      </c>
      <c r="C1968" s="38" t="inlineStr">
        <is>
          <t>Y028</t>
        </is>
      </c>
      <c r="D1968" s="38" t="inlineStr">
        <is>
          <t>TOTAL</t>
        </is>
      </c>
      <c r="E1968" s="38" t="inlineStr">
        <is>
          <t>POP</t>
        </is>
      </c>
      <c r="F1968" s="38" t="n">
        <v>2</v>
      </c>
    </row>
    <row r="1969" ht="15" customHeight="1" s="39">
      <c r="A1969" s="38" t="inlineStr">
        <is>
          <t>2021</t>
        </is>
      </c>
      <c r="B1969" s="42" t="inlineStr">
        <is>
          <t>431649</t>
        </is>
      </c>
      <c r="C1969" s="38" t="inlineStr">
        <is>
          <t>Y029</t>
        </is>
      </c>
      <c r="D1969" s="38" t="inlineStr">
        <is>
          <t>TOTAL</t>
        </is>
      </c>
      <c r="E1969" s="38" t="inlineStr">
        <is>
          <t>POP</t>
        </is>
      </c>
      <c r="F1969" s="38" t="n">
        <v>1</v>
      </c>
    </row>
    <row r="1970" ht="15" customHeight="1" s="39">
      <c r="A1970" s="38" t="inlineStr">
        <is>
          <t>2021</t>
        </is>
      </c>
      <c r="B1970" s="42" t="inlineStr">
        <is>
          <t>431649</t>
        </is>
      </c>
      <c r="C1970" s="38" t="inlineStr">
        <is>
          <t>Y030</t>
        </is>
      </c>
      <c r="D1970" s="38" t="inlineStr">
        <is>
          <t>TOTAL</t>
        </is>
      </c>
      <c r="E1970" s="38" t="inlineStr">
        <is>
          <t>POP</t>
        </is>
      </c>
      <c r="F1970" s="38" t="n">
        <v>5</v>
      </c>
    </row>
    <row r="1971" ht="15" customHeight="1" s="39">
      <c r="A1971" s="38" t="inlineStr">
        <is>
          <t>2021</t>
        </is>
      </c>
      <c r="B1971" s="42" t="inlineStr">
        <is>
          <t>431649</t>
        </is>
      </c>
      <c r="C1971" s="38" t="inlineStr">
        <is>
          <t>Y031</t>
        </is>
      </c>
      <c r="D1971" s="38" t="inlineStr">
        <is>
          <t>TOTAL</t>
        </is>
      </c>
      <c r="E1971" s="38" t="inlineStr">
        <is>
          <t>POP</t>
        </is>
      </c>
      <c r="F1971" s="38" t="n">
        <v>4</v>
      </c>
    </row>
    <row r="1972" ht="15" customHeight="1" s="39">
      <c r="A1972" s="38" t="inlineStr">
        <is>
          <t>2021</t>
        </is>
      </c>
      <c r="B1972" s="42" t="inlineStr">
        <is>
          <t>431649</t>
        </is>
      </c>
      <c r="C1972" s="38" t="inlineStr">
        <is>
          <t>Y032</t>
        </is>
      </c>
      <c r="D1972" s="38" t="inlineStr">
        <is>
          <t>TOTAL</t>
        </is>
      </c>
      <c r="E1972" s="38" t="inlineStr">
        <is>
          <t>POP</t>
        </is>
      </c>
      <c r="F1972" s="38" t="n">
        <v>2</v>
      </c>
    </row>
    <row r="1973" ht="15" customHeight="1" s="39">
      <c r="A1973" s="38" t="inlineStr">
        <is>
          <t>2021</t>
        </is>
      </c>
      <c r="B1973" s="42" t="inlineStr">
        <is>
          <t>431649</t>
        </is>
      </c>
      <c r="C1973" s="38" t="inlineStr">
        <is>
          <t>Y033</t>
        </is>
      </c>
      <c r="D1973" s="38" t="inlineStr">
        <is>
          <t>TOTAL</t>
        </is>
      </c>
      <c r="E1973" s="38" t="inlineStr">
        <is>
          <t>POP</t>
        </is>
      </c>
      <c r="F1973" s="38" t="n">
        <v>9</v>
      </c>
    </row>
    <row r="1974" ht="15" customHeight="1" s="39">
      <c r="A1974" s="38" t="inlineStr">
        <is>
          <t>2021</t>
        </is>
      </c>
      <c r="B1974" s="42" t="inlineStr">
        <is>
          <t>431649</t>
        </is>
      </c>
      <c r="C1974" s="38" t="inlineStr">
        <is>
          <t>Y034</t>
        </is>
      </c>
      <c r="D1974" s="38" t="inlineStr">
        <is>
          <t>TOTAL</t>
        </is>
      </c>
      <c r="E1974" s="38" t="inlineStr">
        <is>
          <t>POP</t>
        </is>
      </c>
      <c r="F1974" s="38" t="n">
        <v>5</v>
      </c>
    </row>
    <row r="1975" ht="15" customHeight="1" s="39">
      <c r="A1975" s="38" t="inlineStr">
        <is>
          <t>2021</t>
        </is>
      </c>
      <c r="B1975" s="42" t="inlineStr">
        <is>
          <t>431649</t>
        </is>
      </c>
      <c r="C1975" s="38" t="inlineStr">
        <is>
          <t>Y035</t>
        </is>
      </c>
      <c r="D1975" s="38" t="inlineStr">
        <is>
          <t>TOTAL</t>
        </is>
      </c>
      <c r="E1975" s="38" t="inlineStr">
        <is>
          <t>POP</t>
        </is>
      </c>
      <c r="F1975" s="38" t="n">
        <v>5</v>
      </c>
    </row>
    <row r="1976" ht="15" customHeight="1" s="39">
      <c r="A1976" s="38" t="inlineStr">
        <is>
          <t>2021</t>
        </is>
      </c>
      <c r="B1976" s="42" t="inlineStr">
        <is>
          <t>431649</t>
        </is>
      </c>
      <c r="C1976" s="38" t="inlineStr">
        <is>
          <t>Y036</t>
        </is>
      </c>
      <c r="D1976" s="38" t="inlineStr">
        <is>
          <t>TOTAL</t>
        </is>
      </c>
      <c r="E1976" s="38" t="inlineStr">
        <is>
          <t>POP</t>
        </is>
      </c>
      <c r="F1976" s="38" t="n">
        <v>6</v>
      </c>
    </row>
    <row r="1977" ht="15" customHeight="1" s="39">
      <c r="A1977" s="38" t="inlineStr">
        <is>
          <t>2021</t>
        </is>
      </c>
      <c r="B1977" s="42" t="inlineStr">
        <is>
          <t>431649</t>
        </is>
      </c>
      <c r="C1977" s="38" t="inlineStr">
        <is>
          <t>Y037</t>
        </is>
      </c>
      <c r="D1977" s="38" t="inlineStr">
        <is>
          <t>TOTAL</t>
        </is>
      </c>
      <c r="E1977" s="38" t="inlineStr">
        <is>
          <t>POP</t>
        </is>
      </c>
      <c r="F1977" s="38" t="n">
        <v>6</v>
      </c>
    </row>
    <row r="1978" ht="15" customHeight="1" s="39">
      <c r="A1978" s="38" t="inlineStr">
        <is>
          <t>2021</t>
        </is>
      </c>
      <c r="B1978" s="42" t="inlineStr">
        <is>
          <t>431649</t>
        </is>
      </c>
      <c r="C1978" s="38" t="inlineStr">
        <is>
          <t>Y038</t>
        </is>
      </c>
      <c r="D1978" s="38" t="inlineStr">
        <is>
          <t>TOTAL</t>
        </is>
      </c>
      <c r="E1978" s="38" t="inlineStr">
        <is>
          <t>POP</t>
        </is>
      </c>
      <c r="F1978" s="38" t="n">
        <v>6</v>
      </c>
    </row>
    <row r="1979" ht="15" customHeight="1" s="39">
      <c r="A1979" s="38" t="inlineStr">
        <is>
          <t>2021</t>
        </is>
      </c>
      <c r="B1979" s="42" t="inlineStr">
        <is>
          <t>431649</t>
        </is>
      </c>
      <c r="C1979" s="38" t="inlineStr">
        <is>
          <t>Y039</t>
        </is>
      </c>
      <c r="D1979" s="38" t="inlineStr">
        <is>
          <t>TOTAL</t>
        </is>
      </c>
      <c r="E1979" s="38" t="inlineStr">
        <is>
          <t>POP</t>
        </is>
      </c>
      <c r="F1979" s="38" t="n">
        <v>8</v>
      </c>
    </row>
    <row r="1980" ht="15" customHeight="1" s="39">
      <c r="A1980" s="38" t="inlineStr">
        <is>
          <t>2021</t>
        </is>
      </c>
      <c r="B1980" s="42" t="inlineStr">
        <is>
          <t>431649</t>
        </is>
      </c>
      <c r="C1980" s="38" t="inlineStr">
        <is>
          <t>Y040</t>
        </is>
      </c>
      <c r="D1980" s="38" t="inlineStr">
        <is>
          <t>TOTAL</t>
        </is>
      </c>
      <c r="E1980" s="38" t="inlineStr">
        <is>
          <t>POP</t>
        </is>
      </c>
      <c r="F1980" s="38" t="n">
        <v>9</v>
      </c>
    </row>
    <row r="1981" ht="15" customHeight="1" s="39">
      <c r="A1981" s="38" t="inlineStr">
        <is>
          <t>2021</t>
        </is>
      </c>
      <c r="B1981" s="42" t="inlineStr">
        <is>
          <t>431649</t>
        </is>
      </c>
      <c r="C1981" s="38" t="inlineStr">
        <is>
          <t>Y041</t>
        </is>
      </c>
      <c r="D1981" s="38" t="inlineStr">
        <is>
          <t>TOTAL</t>
        </is>
      </c>
      <c r="E1981" s="38" t="inlineStr">
        <is>
          <t>POP</t>
        </is>
      </c>
      <c r="F1981" s="38" t="n">
        <v>9</v>
      </c>
    </row>
    <row r="1982" ht="15" customHeight="1" s="39">
      <c r="A1982" s="38" t="inlineStr">
        <is>
          <t>2021</t>
        </is>
      </c>
      <c r="B1982" s="42" t="inlineStr">
        <is>
          <t>431649</t>
        </is>
      </c>
      <c r="C1982" s="38" t="inlineStr">
        <is>
          <t>Y042</t>
        </is>
      </c>
      <c r="D1982" s="38" t="inlineStr">
        <is>
          <t>TOTAL</t>
        </is>
      </c>
      <c r="E1982" s="38" t="inlineStr">
        <is>
          <t>POP</t>
        </is>
      </c>
      <c r="F1982" s="38" t="n">
        <v>9</v>
      </c>
    </row>
    <row r="1983" ht="15" customHeight="1" s="39">
      <c r="A1983" s="38" t="inlineStr">
        <is>
          <t>2021</t>
        </is>
      </c>
      <c r="B1983" s="42" t="inlineStr">
        <is>
          <t>431649</t>
        </is>
      </c>
      <c r="C1983" s="38" t="inlineStr">
        <is>
          <t>Y043</t>
        </is>
      </c>
      <c r="D1983" s="38" t="inlineStr">
        <is>
          <t>TOTAL</t>
        </is>
      </c>
      <c r="E1983" s="38" t="inlineStr">
        <is>
          <t>POP</t>
        </is>
      </c>
      <c r="F1983" s="38" t="n">
        <v>9</v>
      </c>
    </row>
    <row r="1984" ht="15" customHeight="1" s="39">
      <c r="A1984" s="38" t="inlineStr">
        <is>
          <t>2021</t>
        </is>
      </c>
      <c r="B1984" s="42" t="inlineStr">
        <is>
          <t>431649</t>
        </is>
      </c>
      <c r="C1984" s="38" t="inlineStr">
        <is>
          <t>Y044</t>
        </is>
      </c>
      <c r="D1984" s="38" t="inlineStr">
        <is>
          <t>TOTAL</t>
        </is>
      </c>
      <c r="E1984" s="38" t="inlineStr">
        <is>
          <t>POP</t>
        </is>
      </c>
      <c r="F1984" s="38" t="n">
        <v>4</v>
      </c>
    </row>
    <row r="1985" ht="15" customHeight="1" s="39">
      <c r="A1985" s="38" t="inlineStr">
        <is>
          <t>2021</t>
        </is>
      </c>
      <c r="B1985" s="42" t="inlineStr">
        <is>
          <t>431649</t>
        </is>
      </c>
      <c r="C1985" s="38" t="inlineStr">
        <is>
          <t>Y045</t>
        </is>
      </c>
      <c r="D1985" s="38" t="inlineStr">
        <is>
          <t>TOTAL</t>
        </is>
      </c>
      <c r="E1985" s="38" t="inlineStr">
        <is>
          <t>POP</t>
        </is>
      </c>
      <c r="F1985" s="38" t="n">
        <v>8</v>
      </c>
    </row>
    <row r="1986" ht="15" customHeight="1" s="39">
      <c r="A1986" s="38" t="inlineStr">
        <is>
          <t>2021</t>
        </is>
      </c>
      <c r="B1986" s="42" t="inlineStr">
        <is>
          <t>431649</t>
        </is>
      </c>
      <c r="C1986" s="38" t="inlineStr">
        <is>
          <t>Y046</t>
        </is>
      </c>
      <c r="D1986" s="38" t="inlineStr">
        <is>
          <t>TOTAL</t>
        </is>
      </c>
      <c r="E1986" s="38" t="inlineStr">
        <is>
          <t>POP</t>
        </is>
      </c>
      <c r="F1986" s="38" t="n">
        <v>13</v>
      </c>
    </row>
    <row r="1987" ht="15" customHeight="1" s="39">
      <c r="A1987" s="38" t="inlineStr">
        <is>
          <t>2021</t>
        </is>
      </c>
      <c r="B1987" s="42" t="inlineStr">
        <is>
          <t>431649</t>
        </is>
      </c>
      <c r="C1987" s="38" t="inlineStr">
        <is>
          <t>Y047</t>
        </is>
      </c>
      <c r="D1987" s="38" t="inlineStr">
        <is>
          <t>TOTAL</t>
        </is>
      </c>
      <c r="E1987" s="38" t="inlineStr">
        <is>
          <t>POP</t>
        </is>
      </c>
      <c r="F1987" s="38" t="n">
        <v>6</v>
      </c>
    </row>
    <row r="1988" ht="15" customHeight="1" s="39">
      <c r="A1988" s="38" t="inlineStr">
        <is>
          <t>2021</t>
        </is>
      </c>
      <c r="B1988" s="42" t="inlineStr">
        <is>
          <t>431649</t>
        </is>
      </c>
      <c r="C1988" s="38" t="inlineStr">
        <is>
          <t>Y048</t>
        </is>
      </c>
      <c r="D1988" s="38" t="inlineStr">
        <is>
          <t>TOTAL</t>
        </is>
      </c>
      <c r="E1988" s="38" t="inlineStr">
        <is>
          <t>POP</t>
        </is>
      </c>
      <c r="F1988" s="38" t="n">
        <v>6</v>
      </c>
    </row>
    <row r="1989" ht="15" customHeight="1" s="39">
      <c r="A1989" s="38" t="inlineStr">
        <is>
          <t>2021</t>
        </is>
      </c>
      <c r="B1989" s="42" t="inlineStr">
        <is>
          <t>431649</t>
        </is>
      </c>
      <c r="C1989" s="38" t="inlineStr">
        <is>
          <t>Y049</t>
        </is>
      </c>
      <c r="D1989" s="38" t="inlineStr">
        <is>
          <t>TOTAL</t>
        </is>
      </c>
      <c r="E1989" s="38" t="inlineStr">
        <is>
          <t>POP</t>
        </is>
      </c>
      <c r="F1989" s="38" t="n">
        <v>7</v>
      </c>
    </row>
    <row r="1990" ht="15" customHeight="1" s="39">
      <c r="A1990" s="38" t="inlineStr">
        <is>
          <t>2021</t>
        </is>
      </c>
      <c r="B1990" s="42" t="inlineStr">
        <is>
          <t>431649</t>
        </is>
      </c>
      <c r="C1990" s="38" t="inlineStr">
        <is>
          <t>Y050</t>
        </is>
      </c>
      <c r="D1990" s="38" t="inlineStr">
        <is>
          <t>TOTAL</t>
        </is>
      </c>
      <c r="E1990" s="38" t="inlineStr">
        <is>
          <t>POP</t>
        </is>
      </c>
      <c r="F1990" s="38" t="n">
        <v>9</v>
      </c>
    </row>
    <row r="1991" ht="15" customHeight="1" s="39">
      <c r="A1991" s="38" t="inlineStr">
        <is>
          <t>2021</t>
        </is>
      </c>
      <c r="B1991" s="42" t="inlineStr">
        <is>
          <t>431649</t>
        </is>
      </c>
      <c r="C1991" s="38" t="inlineStr">
        <is>
          <t>Y051</t>
        </is>
      </c>
      <c r="D1991" s="38" t="inlineStr">
        <is>
          <t>TOTAL</t>
        </is>
      </c>
      <c r="E1991" s="38" t="inlineStr">
        <is>
          <t>POP</t>
        </is>
      </c>
      <c r="F1991" s="38" t="n">
        <v>11</v>
      </c>
    </row>
    <row r="1992" ht="15" customHeight="1" s="39">
      <c r="A1992" s="38" t="inlineStr">
        <is>
          <t>2021</t>
        </is>
      </c>
      <c r="B1992" s="42" t="inlineStr">
        <is>
          <t>431649</t>
        </is>
      </c>
      <c r="C1992" s="38" t="inlineStr">
        <is>
          <t>Y052</t>
        </is>
      </c>
      <c r="D1992" s="38" t="inlineStr">
        <is>
          <t>TOTAL</t>
        </is>
      </c>
      <c r="E1992" s="38" t="inlineStr">
        <is>
          <t>POP</t>
        </is>
      </c>
      <c r="F1992" s="38" t="n">
        <v>6</v>
      </c>
    </row>
    <row r="1993" ht="15" customHeight="1" s="39">
      <c r="A1993" s="38" t="inlineStr">
        <is>
          <t>2021</t>
        </is>
      </c>
      <c r="B1993" s="42" t="inlineStr">
        <is>
          <t>431649</t>
        </is>
      </c>
      <c r="C1993" s="38" t="inlineStr">
        <is>
          <t>Y053</t>
        </is>
      </c>
      <c r="D1993" s="38" t="inlineStr">
        <is>
          <t>TOTAL</t>
        </is>
      </c>
      <c r="E1993" s="38" t="inlineStr">
        <is>
          <t>POP</t>
        </is>
      </c>
      <c r="F1993" s="38" t="n">
        <v>6</v>
      </c>
    </row>
    <row r="1994" ht="15" customHeight="1" s="39">
      <c r="A1994" s="38" t="inlineStr">
        <is>
          <t>2021</t>
        </is>
      </c>
      <c r="B1994" s="42" t="inlineStr">
        <is>
          <t>431649</t>
        </is>
      </c>
      <c r="C1994" s="38" t="inlineStr">
        <is>
          <t>Y054</t>
        </is>
      </c>
      <c r="D1994" s="38" t="inlineStr">
        <is>
          <t>TOTAL</t>
        </is>
      </c>
      <c r="E1994" s="38" t="inlineStr">
        <is>
          <t>POP</t>
        </is>
      </c>
      <c r="F1994" s="38" t="n">
        <v>9</v>
      </c>
    </row>
    <row r="1995" ht="15" customHeight="1" s="39">
      <c r="A1995" s="38" t="inlineStr">
        <is>
          <t>2021</t>
        </is>
      </c>
      <c r="B1995" s="42" t="inlineStr">
        <is>
          <t>431649</t>
        </is>
      </c>
      <c r="C1995" s="38" t="inlineStr">
        <is>
          <t>Y055</t>
        </is>
      </c>
      <c r="D1995" s="38" t="inlineStr">
        <is>
          <t>TOTAL</t>
        </is>
      </c>
      <c r="E1995" s="38" t="inlineStr">
        <is>
          <t>POP</t>
        </is>
      </c>
      <c r="F1995" s="38" t="n">
        <v>3</v>
      </c>
    </row>
    <row r="1996" ht="15" customHeight="1" s="39">
      <c r="A1996" s="38" t="inlineStr">
        <is>
          <t>2021</t>
        </is>
      </c>
      <c r="B1996" s="42" t="inlineStr">
        <is>
          <t>431649</t>
        </is>
      </c>
      <c r="C1996" s="38" t="inlineStr">
        <is>
          <t>Y056</t>
        </is>
      </c>
      <c r="D1996" s="38" t="inlineStr">
        <is>
          <t>TOTAL</t>
        </is>
      </c>
      <c r="E1996" s="38" t="inlineStr">
        <is>
          <t>POP</t>
        </is>
      </c>
      <c r="F1996" s="38" t="n">
        <v>7</v>
      </c>
    </row>
    <row r="1997" ht="15" customHeight="1" s="39">
      <c r="A1997" s="38" t="inlineStr">
        <is>
          <t>2021</t>
        </is>
      </c>
      <c r="B1997" s="42" t="inlineStr">
        <is>
          <t>431649</t>
        </is>
      </c>
      <c r="C1997" s="38" t="inlineStr">
        <is>
          <t>Y057</t>
        </is>
      </c>
      <c r="D1997" s="38" t="inlineStr">
        <is>
          <t>TOTAL</t>
        </is>
      </c>
      <c r="E1997" s="38" t="inlineStr">
        <is>
          <t>POP</t>
        </is>
      </c>
      <c r="F1997" s="38" t="n">
        <v>6</v>
      </c>
    </row>
    <row r="1998" ht="15" customHeight="1" s="39">
      <c r="A1998" s="38" t="inlineStr">
        <is>
          <t>2021</t>
        </is>
      </c>
      <c r="B1998" s="42" t="inlineStr">
        <is>
          <t>431649</t>
        </is>
      </c>
      <c r="C1998" s="38" t="inlineStr">
        <is>
          <t>Y058</t>
        </is>
      </c>
      <c r="D1998" s="38" t="inlineStr">
        <is>
          <t>TOTAL</t>
        </is>
      </c>
      <c r="E1998" s="38" t="inlineStr">
        <is>
          <t>POP</t>
        </is>
      </c>
      <c r="F1998" s="38" t="n">
        <v>9</v>
      </c>
    </row>
    <row r="1999" ht="15" customHeight="1" s="39">
      <c r="A1999" s="38" t="inlineStr">
        <is>
          <t>2021</t>
        </is>
      </c>
      <c r="B1999" s="42" t="inlineStr">
        <is>
          <t>431649</t>
        </is>
      </c>
      <c r="C1999" s="38" t="inlineStr">
        <is>
          <t>Y059</t>
        </is>
      </c>
      <c r="D1999" s="38" t="inlineStr">
        <is>
          <t>TOTAL</t>
        </is>
      </c>
      <c r="E1999" s="38" t="inlineStr">
        <is>
          <t>POP</t>
        </is>
      </c>
      <c r="F1999" s="38" t="n">
        <v>5</v>
      </c>
    </row>
    <row r="2000" ht="15" customHeight="1" s="39">
      <c r="A2000" s="38" t="inlineStr">
        <is>
          <t>2021</t>
        </is>
      </c>
      <c r="B2000" s="42" t="inlineStr">
        <is>
          <t>431649</t>
        </is>
      </c>
      <c r="C2000" s="38" t="inlineStr">
        <is>
          <t>Y060</t>
        </is>
      </c>
      <c r="D2000" s="38" t="inlineStr">
        <is>
          <t>TOTAL</t>
        </is>
      </c>
      <c r="E2000" s="38" t="inlineStr">
        <is>
          <t>POP</t>
        </is>
      </c>
      <c r="F2000" s="38" t="n">
        <v>4</v>
      </c>
    </row>
    <row r="2001" ht="15" customHeight="1" s="39">
      <c r="A2001" s="38" t="inlineStr">
        <is>
          <t>2021</t>
        </is>
      </c>
      <c r="B2001" s="42" t="inlineStr">
        <is>
          <t>431649</t>
        </is>
      </c>
      <c r="C2001" s="38" t="inlineStr">
        <is>
          <t>Y061</t>
        </is>
      </c>
      <c r="D2001" s="38" t="inlineStr">
        <is>
          <t>TOTAL</t>
        </is>
      </c>
      <c r="E2001" s="38" t="inlineStr">
        <is>
          <t>POP</t>
        </is>
      </c>
      <c r="F2001" s="38" t="n">
        <v>9</v>
      </c>
    </row>
    <row r="2002" ht="15" customHeight="1" s="39">
      <c r="A2002" s="38" t="inlineStr">
        <is>
          <t>2021</t>
        </is>
      </c>
      <c r="B2002" s="42" t="inlineStr">
        <is>
          <t>431649</t>
        </is>
      </c>
      <c r="C2002" s="38" t="inlineStr">
        <is>
          <t>Y062</t>
        </is>
      </c>
      <c r="D2002" s="38" t="inlineStr">
        <is>
          <t>TOTAL</t>
        </is>
      </c>
      <c r="E2002" s="38" t="inlineStr">
        <is>
          <t>POP</t>
        </is>
      </c>
      <c r="F2002" s="38" t="n">
        <v>10</v>
      </c>
    </row>
    <row r="2003" ht="15" customHeight="1" s="39">
      <c r="A2003" s="38" t="inlineStr">
        <is>
          <t>2021</t>
        </is>
      </c>
      <c r="B2003" s="42" t="inlineStr">
        <is>
          <t>431649</t>
        </is>
      </c>
      <c r="C2003" s="38" t="inlineStr">
        <is>
          <t>Y063</t>
        </is>
      </c>
      <c r="D2003" s="38" t="inlineStr">
        <is>
          <t>TOTAL</t>
        </is>
      </c>
      <c r="E2003" s="38" t="inlineStr">
        <is>
          <t>POP</t>
        </is>
      </c>
      <c r="F2003" s="38" t="n">
        <v>6</v>
      </c>
    </row>
    <row r="2004" ht="15" customHeight="1" s="39">
      <c r="A2004" s="38" t="inlineStr">
        <is>
          <t>2021</t>
        </is>
      </c>
      <c r="B2004" s="42" t="inlineStr">
        <is>
          <t>431649</t>
        </is>
      </c>
      <c r="C2004" s="38" t="inlineStr">
        <is>
          <t>Y064</t>
        </is>
      </c>
      <c r="D2004" s="38" t="inlineStr">
        <is>
          <t>TOTAL</t>
        </is>
      </c>
      <c r="E2004" s="38" t="inlineStr">
        <is>
          <t>POP</t>
        </is>
      </c>
      <c r="F2004" s="38" t="n">
        <v>8</v>
      </c>
    </row>
    <row r="2005" ht="15" customHeight="1" s="39">
      <c r="A2005" s="38" t="inlineStr">
        <is>
          <t>2021</t>
        </is>
      </c>
      <c r="B2005" s="42" t="inlineStr">
        <is>
          <t>431649</t>
        </is>
      </c>
      <c r="C2005" s="38" t="inlineStr">
        <is>
          <t>Y065</t>
        </is>
      </c>
      <c r="D2005" s="38" t="inlineStr">
        <is>
          <t>TOTAL</t>
        </is>
      </c>
      <c r="E2005" s="38" t="inlineStr">
        <is>
          <t>POP</t>
        </is>
      </c>
      <c r="F2005" s="38" t="n">
        <v>8</v>
      </c>
    </row>
    <row r="2006" ht="15" customHeight="1" s="39">
      <c r="A2006" s="38" t="inlineStr">
        <is>
          <t>2021</t>
        </is>
      </c>
      <c r="B2006" s="42" t="inlineStr">
        <is>
          <t>431649</t>
        </is>
      </c>
      <c r="C2006" s="38" t="inlineStr">
        <is>
          <t>Y066</t>
        </is>
      </c>
      <c r="D2006" s="38" t="inlineStr">
        <is>
          <t>TOTAL</t>
        </is>
      </c>
      <c r="E2006" s="38" t="inlineStr">
        <is>
          <t>POP</t>
        </is>
      </c>
      <c r="F2006" s="38" t="n">
        <v>9</v>
      </c>
    </row>
    <row r="2007" ht="15" customHeight="1" s="39">
      <c r="A2007" s="38" t="inlineStr">
        <is>
          <t>2021</t>
        </is>
      </c>
      <c r="B2007" s="42" t="inlineStr">
        <is>
          <t>431649</t>
        </is>
      </c>
      <c r="C2007" s="38" t="inlineStr">
        <is>
          <t>Y067</t>
        </is>
      </c>
      <c r="D2007" s="38" t="inlineStr">
        <is>
          <t>TOTAL</t>
        </is>
      </c>
      <c r="E2007" s="38" t="inlineStr">
        <is>
          <t>POP</t>
        </is>
      </c>
      <c r="F2007" s="38" t="n">
        <v>6</v>
      </c>
    </row>
    <row r="2008" ht="15" customHeight="1" s="39">
      <c r="A2008" s="38" t="inlineStr">
        <is>
          <t>2021</t>
        </is>
      </c>
      <c r="B2008" s="42" t="inlineStr">
        <is>
          <t>431649</t>
        </is>
      </c>
      <c r="C2008" s="38" t="inlineStr">
        <is>
          <t>Y068</t>
        </is>
      </c>
      <c r="D2008" s="38" t="inlineStr">
        <is>
          <t>TOTAL</t>
        </is>
      </c>
      <c r="E2008" s="38" t="inlineStr">
        <is>
          <t>POP</t>
        </is>
      </c>
      <c r="F2008" s="38" t="n">
        <v>7</v>
      </c>
    </row>
    <row r="2009" ht="15" customHeight="1" s="39">
      <c r="A2009" s="38" t="inlineStr">
        <is>
          <t>2021</t>
        </is>
      </c>
      <c r="B2009" s="42" t="inlineStr">
        <is>
          <t>431649</t>
        </is>
      </c>
      <c r="C2009" s="38" t="inlineStr">
        <is>
          <t>Y069</t>
        </is>
      </c>
      <c r="D2009" s="38" t="inlineStr">
        <is>
          <t>TOTAL</t>
        </is>
      </c>
      <c r="E2009" s="38" t="inlineStr">
        <is>
          <t>POP</t>
        </is>
      </c>
      <c r="F2009" s="38" t="n">
        <v>5</v>
      </c>
    </row>
    <row r="2010" ht="15" customHeight="1" s="39">
      <c r="A2010" s="38" t="inlineStr">
        <is>
          <t>2021</t>
        </is>
      </c>
      <c r="B2010" s="42" t="inlineStr">
        <is>
          <t>431649</t>
        </is>
      </c>
      <c r="C2010" s="38" t="inlineStr">
        <is>
          <t>Y070</t>
        </is>
      </c>
      <c r="D2010" s="38" t="inlineStr">
        <is>
          <t>TOTAL</t>
        </is>
      </c>
      <c r="E2010" s="38" t="inlineStr">
        <is>
          <t>POP</t>
        </is>
      </c>
      <c r="F2010" s="38" t="n">
        <v>8</v>
      </c>
    </row>
    <row r="2011" ht="15" customHeight="1" s="39">
      <c r="A2011" s="38" t="inlineStr">
        <is>
          <t>2021</t>
        </is>
      </c>
      <c r="B2011" s="42" t="inlineStr">
        <is>
          <t>431649</t>
        </is>
      </c>
      <c r="C2011" s="38" t="inlineStr">
        <is>
          <t>Y071</t>
        </is>
      </c>
      <c r="D2011" s="38" t="inlineStr">
        <is>
          <t>TOTAL</t>
        </is>
      </c>
      <c r="E2011" s="38" t="inlineStr">
        <is>
          <t>POP</t>
        </is>
      </c>
      <c r="F2011" s="38" t="n">
        <v>5</v>
      </c>
    </row>
    <row r="2012" ht="15" customHeight="1" s="39">
      <c r="A2012" s="38" t="inlineStr">
        <is>
          <t>2021</t>
        </is>
      </c>
      <c r="B2012" s="42" t="inlineStr">
        <is>
          <t>431649</t>
        </is>
      </c>
      <c r="C2012" s="38" t="inlineStr">
        <is>
          <t>Y072</t>
        </is>
      </c>
      <c r="D2012" s="38" t="inlineStr">
        <is>
          <t>TOTAL</t>
        </is>
      </c>
      <c r="E2012" s="38" t="inlineStr">
        <is>
          <t>POP</t>
        </is>
      </c>
      <c r="F2012" s="38" t="n">
        <v>11</v>
      </c>
    </row>
    <row r="2013" ht="15" customHeight="1" s="39">
      <c r="A2013" s="38" t="inlineStr">
        <is>
          <t>2021</t>
        </is>
      </c>
      <c r="B2013" s="42" t="inlineStr">
        <is>
          <t>431649</t>
        </is>
      </c>
      <c r="C2013" s="38" t="inlineStr">
        <is>
          <t>Y073</t>
        </is>
      </c>
      <c r="D2013" s="38" t="inlineStr">
        <is>
          <t>TOTAL</t>
        </is>
      </c>
      <c r="E2013" s="38" t="inlineStr">
        <is>
          <t>POP</t>
        </is>
      </c>
      <c r="F2013" s="38" t="n">
        <v>6</v>
      </c>
    </row>
    <row r="2014" ht="15" customHeight="1" s="39">
      <c r="A2014" s="38" t="inlineStr">
        <is>
          <t>2021</t>
        </is>
      </c>
      <c r="B2014" s="42" t="inlineStr">
        <is>
          <t>431649</t>
        </is>
      </c>
      <c r="C2014" s="38" t="inlineStr">
        <is>
          <t>Y074</t>
        </is>
      </c>
      <c r="D2014" s="38" t="inlineStr">
        <is>
          <t>TOTAL</t>
        </is>
      </c>
      <c r="E2014" s="38" t="inlineStr">
        <is>
          <t>POP</t>
        </is>
      </c>
      <c r="F2014" s="38" t="n">
        <v>4</v>
      </c>
    </row>
    <row r="2015" ht="15" customHeight="1" s="39">
      <c r="A2015" s="38" t="inlineStr">
        <is>
          <t>2021</t>
        </is>
      </c>
      <c r="B2015" s="42" t="inlineStr">
        <is>
          <t>431649</t>
        </is>
      </c>
      <c r="C2015" s="38" t="inlineStr">
        <is>
          <t>Y075</t>
        </is>
      </c>
      <c r="D2015" s="38" t="inlineStr">
        <is>
          <t>TOTAL</t>
        </is>
      </c>
      <c r="E2015" s="38" t="inlineStr">
        <is>
          <t>POP</t>
        </is>
      </c>
      <c r="F2015" s="38" t="n">
        <v>4</v>
      </c>
    </row>
    <row r="2016" ht="15" customHeight="1" s="39">
      <c r="A2016" s="38" t="inlineStr">
        <is>
          <t>2021</t>
        </is>
      </c>
      <c r="B2016" s="42" t="inlineStr">
        <is>
          <t>431649</t>
        </is>
      </c>
      <c r="C2016" s="38" t="inlineStr">
        <is>
          <t>Y076</t>
        </is>
      </c>
      <c r="D2016" s="38" t="inlineStr">
        <is>
          <t>TOTAL</t>
        </is>
      </c>
      <c r="E2016" s="38" t="inlineStr">
        <is>
          <t>POP</t>
        </is>
      </c>
      <c r="F2016" s="38" t="n">
        <v>5</v>
      </c>
    </row>
    <row r="2017" ht="15" customHeight="1" s="39">
      <c r="A2017" s="38" t="inlineStr">
        <is>
          <t>2021</t>
        </is>
      </c>
      <c r="B2017" s="42" t="inlineStr">
        <is>
          <t>431649</t>
        </is>
      </c>
      <c r="C2017" s="38" t="inlineStr">
        <is>
          <t>Y077</t>
        </is>
      </c>
      <c r="D2017" s="38" t="inlineStr">
        <is>
          <t>TOTAL</t>
        </is>
      </c>
      <c r="E2017" s="38" t="inlineStr">
        <is>
          <t>POP</t>
        </is>
      </c>
      <c r="F2017" s="38" t="n">
        <v>1</v>
      </c>
    </row>
    <row r="2018" ht="15" customHeight="1" s="39">
      <c r="A2018" s="38" t="inlineStr">
        <is>
          <t>2021</t>
        </is>
      </c>
      <c r="B2018" s="42" t="inlineStr">
        <is>
          <t>431649</t>
        </is>
      </c>
      <c r="C2018" s="38" t="inlineStr">
        <is>
          <t>Y078</t>
        </is>
      </c>
      <c r="D2018" s="38" t="inlineStr">
        <is>
          <t>TOTAL</t>
        </is>
      </c>
      <c r="E2018" s="38" t="inlineStr">
        <is>
          <t>POP</t>
        </is>
      </c>
      <c r="F2018" s="38" t="n">
        <v>2</v>
      </c>
    </row>
    <row r="2019" ht="15" customHeight="1" s="39">
      <c r="A2019" s="38" t="inlineStr">
        <is>
          <t>2021</t>
        </is>
      </c>
      <c r="B2019" s="42" t="inlineStr">
        <is>
          <t>431649</t>
        </is>
      </c>
      <c r="C2019" s="38" t="inlineStr">
        <is>
          <t>Y079</t>
        </is>
      </c>
      <c r="D2019" s="38" t="inlineStr">
        <is>
          <t>TOTAL</t>
        </is>
      </c>
      <c r="E2019" s="38" t="inlineStr">
        <is>
          <t>POP</t>
        </is>
      </c>
      <c r="F2019" s="38" t="n">
        <v>4</v>
      </c>
    </row>
    <row r="2020" ht="15" customHeight="1" s="39">
      <c r="A2020" s="38" t="inlineStr">
        <is>
          <t>2021</t>
        </is>
      </c>
      <c r="B2020" s="42" t="inlineStr">
        <is>
          <t>431649</t>
        </is>
      </c>
      <c r="C2020" s="38" t="inlineStr">
        <is>
          <t>Y080</t>
        </is>
      </c>
      <c r="D2020" s="38" t="inlineStr">
        <is>
          <t>TOTAL</t>
        </is>
      </c>
      <c r="E2020" s="38" t="inlineStr">
        <is>
          <t>POP</t>
        </is>
      </c>
      <c r="F2020" s="38" t="n">
        <v>1</v>
      </c>
    </row>
    <row r="2021" ht="15" customHeight="1" s="39">
      <c r="A2021" s="38" t="inlineStr">
        <is>
          <t>2021</t>
        </is>
      </c>
      <c r="B2021" s="42" t="inlineStr">
        <is>
          <t>431649</t>
        </is>
      </c>
      <c r="C2021" s="38" t="inlineStr">
        <is>
          <t>Y081</t>
        </is>
      </c>
      <c r="D2021" s="38" t="inlineStr">
        <is>
          <t>TOTAL</t>
        </is>
      </c>
      <c r="E2021" s="38" t="inlineStr">
        <is>
          <t>POP</t>
        </is>
      </c>
      <c r="F2021" s="38" t="n">
        <v>0</v>
      </c>
    </row>
    <row r="2022" ht="15" customHeight="1" s="39">
      <c r="A2022" s="38" t="inlineStr">
        <is>
          <t>2021</t>
        </is>
      </c>
      <c r="B2022" s="42" t="inlineStr">
        <is>
          <t>431649</t>
        </is>
      </c>
      <c r="C2022" s="38" t="inlineStr">
        <is>
          <t>Y082</t>
        </is>
      </c>
      <c r="D2022" s="38" t="inlineStr">
        <is>
          <t>TOTAL</t>
        </is>
      </c>
      <c r="E2022" s="38" t="inlineStr">
        <is>
          <t>POP</t>
        </is>
      </c>
      <c r="F2022" s="38" t="n">
        <v>2</v>
      </c>
    </row>
    <row r="2023" ht="15" customHeight="1" s="39">
      <c r="A2023" s="38" t="inlineStr">
        <is>
          <t>2021</t>
        </is>
      </c>
      <c r="B2023" s="42" t="inlineStr">
        <is>
          <t>431649</t>
        </is>
      </c>
      <c r="C2023" s="38" t="inlineStr">
        <is>
          <t>Y083</t>
        </is>
      </c>
      <c r="D2023" s="38" t="inlineStr">
        <is>
          <t>TOTAL</t>
        </is>
      </c>
      <c r="E2023" s="38" t="inlineStr">
        <is>
          <t>POP</t>
        </is>
      </c>
      <c r="F2023" s="38" t="n">
        <v>2</v>
      </c>
    </row>
    <row r="2024" ht="15" customHeight="1" s="39">
      <c r="A2024" s="38" t="inlineStr">
        <is>
          <t>2021</t>
        </is>
      </c>
      <c r="B2024" s="42" t="inlineStr">
        <is>
          <t>431649</t>
        </is>
      </c>
      <c r="C2024" s="38" t="inlineStr">
        <is>
          <t>Y084</t>
        </is>
      </c>
      <c r="D2024" s="38" t="inlineStr">
        <is>
          <t>TOTAL</t>
        </is>
      </c>
      <c r="E2024" s="38" t="inlineStr">
        <is>
          <t>POP</t>
        </is>
      </c>
      <c r="F2024" s="38" t="n">
        <v>2</v>
      </c>
    </row>
    <row r="2025" ht="15" customHeight="1" s="39">
      <c r="A2025" s="38" t="inlineStr">
        <is>
          <t>2021</t>
        </is>
      </c>
      <c r="B2025" s="42" t="inlineStr">
        <is>
          <t>431649</t>
        </is>
      </c>
      <c r="C2025" s="38" t="inlineStr">
        <is>
          <t>Y085</t>
        </is>
      </c>
      <c r="D2025" s="38" t="inlineStr">
        <is>
          <t>TOTAL</t>
        </is>
      </c>
      <c r="E2025" s="38" t="inlineStr">
        <is>
          <t>POP</t>
        </is>
      </c>
      <c r="F2025" s="38" t="n">
        <v>4</v>
      </c>
    </row>
    <row r="2026" ht="15" customHeight="1" s="39">
      <c r="A2026" s="38" t="inlineStr">
        <is>
          <t>2021</t>
        </is>
      </c>
      <c r="B2026" s="42" t="inlineStr">
        <is>
          <t>431649</t>
        </is>
      </c>
      <c r="C2026" s="38" t="inlineStr">
        <is>
          <t>Y086</t>
        </is>
      </c>
      <c r="D2026" s="38" t="inlineStr">
        <is>
          <t>TOTAL</t>
        </is>
      </c>
      <c r="E2026" s="38" t="inlineStr">
        <is>
          <t>POP</t>
        </is>
      </c>
      <c r="F2026" s="38" t="n">
        <v>2</v>
      </c>
    </row>
    <row r="2027" ht="15" customHeight="1" s="39">
      <c r="A2027" s="38" t="inlineStr">
        <is>
          <t>2021</t>
        </is>
      </c>
      <c r="B2027" s="42" t="inlineStr">
        <is>
          <t>431649</t>
        </is>
      </c>
      <c r="C2027" s="38" t="inlineStr">
        <is>
          <t>Y087</t>
        </is>
      </c>
      <c r="D2027" s="38" t="inlineStr">
        <is>
          <t>TOTAL</t>
        </is>
      </c>
      <c r="E2027" s="38" t="inlineStr">
        <is>
          <t>POP</t>
        </is>
      </c>
      <c r="F2027" s="38" t="n">
        <v>2</v>
      </c>
    </row>
    <row r="2028" ht="15" customHeight="1" s="39">
      <c r="A2028" s="38" t="inlineStr">
        <is>
          <t>2021</t>
        </is>
      </c>
      <c r="B2028" s="42" t="inlineStr">
        <is>
          <t>431649</t>
        </is>
      </c>
      <c r="C2028" s="38" t="inlineStr">
        <is>
          <t>Y088</t>
        </is>
      </c>
      <c r="D2028" s="38" t="inlineStr">
        <is>
          <t>TOTAL</t>
        </is>
      </c>
      <c r="E2028" s="38" t="inlineStr">
        <is>
          <t>POP</t>
        </is>
      </c>
      <c r="F2028" s="38" t="n">
        <v>1</v>
      </c>
    </row>
    <row r="2029" ht="15" customHeight="1" s="39">
      <c r="A2029" s="38" t="inlineStr">
        <is>
          <t>2021</t>
        </is>
      </c>
      <c r="B2029" s="42" t="inlineStr">
        <is>
          <t>431649</t>
        </is>
      </c>
      <c r="C2029" s="38" t="inlineStr">
        <is>
          <t>Y089</t>
        </is>
      </c>
      <c r="D2029" s="38" t="inlineStr">
        <is>
          <t>TOTAL</t>
        </is>
      </c>
      <c r="E2029" s="38" t="inlineStr">
        <is>
          <t>POP</t>
        </is>
      </c>
      <c r="F2029" s="38" t="n">
        <v>2</v>
      </c>
    </row>
    <row r="2030" ht="15" customHeight="1" s="39">
      <c r="A2030" s="38" t="inlineStr">
        <is>
          <t>2021</t>
        </is>
      </c>
      <c r="B2030" s="42" t="inlineStr">
        <is>
          <t>431649</t>
        </is>
      </c>
      <c r="C2030" s="38" t="inlineStr">
        <is>
          <t>Y090</t>
        </is>
      </c>
      <c r="D2030" s="38" t="inlineStr">
        <is>
          <t>TOTAL</t>
        </is>
      </c>
      <c r="E2030" s="38" t="inlineStr">
        <is>
          <t>POP</t>
        </is>
      </c>
      <c r="F2030" s="38" t="n">
        <v>1</v>
      </c>
    </row>
    <row r="2031" ht="15" customHeight="1" s="39">
      <c r="A2031" s="38" t="inlineStr">
        <is>
          <t>2021</t>
        </is>
      </c>
      <c r="B2031" s="42" t="inlineStr">
        <is>
          <t>431649</t>
        </is>
      </c>
      <c r="C2031" s="38" t="inlineStr">
        <is>
          <t>Y091</t>
        </is>
      </c>
      <c r="D2031" s="38" t="inlineStr">
        <is>
          <t>TOTAL</t>
        </is>
      </c>
      <c r="E2031" s="38" t="inlineStr">
        <is>
          <t>POP</t>
        </is>
      </c>
      <c r="F2031" s="38" t="n">
        <v>0</v>
      </c>
    </row>
    <row r="2032" ht="15" customHeight="1" s="39">
      <c r="A2032" s="38" t="inlineStr">
        <is>
          <t>2021</t>
        </is>
      </c>
      <c r="B2032" s="42" t="inlineStr">
        <is>
          <t>431649</t>
        </is>
      </c>
      <c r="C2032" s="38" t="inlineStr">
        <is>
          <t>Y092</t>
        </is>
      </c>
      <c r="D2032" s="38" t="inlineStr">
        <is>
          <t>TOTAL</t>
        </is>
      </c>
      <c r="E2032" s="38" t="inlineStr">
        <is>
          <t>POP</t>
        </is>
      </c>
      <c r="F2032" s="38" t="n">
        <v>0</v>
      </c>
    </row>
    <row r="2033" ht="15" customHeight="1" s="39">
      <c r="A2033" s="38" t="inlineStr">
        <is>
          <t>2021</t>
        </is>
      </c>
      <c r="B2033" s="42" t="inlineStr">
        <is>
          <t>431649</t>
        </is>
      </c>
      <c r="C2033" s="38" t="inlineStr">
        <is>
          <t>Y093</t>
        </is>
      </c>
      <c r="D2033" s="38" t="inlineStr">
        <is>
          <t>TOTAL</t>
        </is>
      </c>
      <c r="E2033" s="38" t="inlineStr">
        <is>
          <t>POP</t>
        </is>
      </c>
      <c r="F2033" s="38" t="n">
        <v>0</v>
      </c>
    </row>
    <row r="2034" ht="15" customHeight="1" s="39">
      <c r="A2034" s="38" t="inlineStr">
        <is>
          <t>2021</t>
        </is>
      </c>
      <c r="B2034" s="42" t="inlineStr">
        <is>
          <t>431649</t>
        </is>
      </c>
      <c r="C2034" s="38" t="inlineStr">
        <is>
          <t>Y094</t>
        </is>
      </c>
      <c r="D2034" s="38" t="inlineStr">
        <is>
          <t>TOTAL</t>
        </is>
      </c>
      <c r="E2034" s="38" t="inlineStr">
        <is>
          <t>POP</t>
        </is>
      </c>
      <c r="F2034" s="38" t="n">
        <v>1</v>
      </c>
    </row>
    <row r="2035" ht="15" customHeight="1" s="39">
      <c r="A2035" s="38" t="inlineStr">
        <is>
          <t>2021</t>
        </is>
      </c>
      <c r="B2035" s="42" t="inlineStr">
        <is>
          <t>431649</t>
        </is>
      </c>
      <c r="C2035" s="38" t="inlineStr">
        <is>
          <t>Y095</t>
        </is>
      </c>
      <c r="D2035" s="38" t="inlineStr">
        <is>
          <t>TOTAL</t>
        </is>
      </c>
      <c r="E2035" s="38" t="inlineStr">
        <is>
          <t>POP</t>
        </is>
      </c>
      <c r="F2035" s="38" t="n">
        <v>0</v>
      </c>
    </row>
    <row r="2036" ht="15" customHeight="1" s="39">
      <c r="A2036" s="38" t="inlineStr">
        <is>
          <t>2021</t>
        </is>
      </c>
      <c r="B2036" s="42" t="inlineStr">
        <is>
          <t>431649</t>
        </is>
      </c>
      <c r="C2036" s="38" t="inlineStr">
        <is>
          <t>Y096</t>
        </is>
      </c>
      <c r="D2036" s="38" t="inlineStr">
        <is>
          <t>TOTAL</t>
        </is>
      </c>
      <c r="E2036" s="38" t="inlineStr">
        <is>
          <t>POP</t>
        </is>
      </c>
      <c r="F2036" s="38" t="n">
        <v>0</v>
      </c>
    </row>
    <row r="2037" ht="15" customHeight="1" s="39">
      <c r="A2037" s="38" t="inlineStr">
        <is>
          <t>2021</t>
        </is>
      </c>
      <c r="B2037" s="42" t="inlineStr">
        <is>
          <t>431649</t>
        </is>
      </c>
      <c r="C2037" s="38" t="inlineStr">
        <is>
          <t>Y097</t>
        </is>
      </c>
      <c r="D2037" s="38" t="inlineStr">
        <is>
          <t>TOTAL</t>
        </is>
      </c>
      <c r="E2037" s="38" t="inlineStr">
        <is>
          <t>POP</t>
        </is>
      </c>
      <c r="F2037" s="38" t="n">
        <v>0</v>
      </c>
    </row>
    <row r="2038" ht="15" customHeight="1" s="39">
      <c r="A2038" s="38" t="inlineStr">
        <is>
          <t>2021</t>
        </is>
      </c>
      <c r="B2038" s="42" t="inlineStr">
        <is>
          <t>431649</t>
        </is>
      </c>
      <c r="C2038" s="38" t="inlineStr">
        <is>
          <t>Y098</t>
        </is>
      </c>
      <c r="D2038" s="38" t="inlineStr">
        <is>
          <t>TOTAL</t>
        </is>
      </c>
      <c r="E2038" s="38" t="inlineStr">
        <is>
          <t>POP</t>
        </is>
      </c>
      <c r="F2038" s="38" t="n">
        <v>0</v>
      </c>
    </row>
    <row r="2039" ht="15" customHeight="1" s="39">
      <c r="A2039" s="38" t="inlineStr">
        <is>
          <t>2021</t>
        </is>
      </c>
      <c r="B2039" s="42" t="inlineStr">
        <is>
          <t>431649</t>
        </is>
      </c>
      <c r="C2039" s="38" t="inlineStr">
        <is>
          <t>Y099</t>
        </is>
      </c>
      <c r="D2039" s="38" t="inlineStr">
        <is>
          <t>TOTAL</t>
        </is>
      </c>
      <c r="E2039" s="38" t="inlineStr">
        <is>
          <t>POP</t>
        </is>
      </c>
      <c r="F2039" s="38" t="n">
        <v>0</v>
      </c>
    </row>
    <row r="2040" ht="15" customHeight="1" s="39">
      <c r="A2040" s="38" t="inlineStr">
        <is>
          <t>2021</t>
        </is>
      </c>
      <c r="B2040" s="42" t="inlineStr">
        <is>
          <t>431649</t>
        </is>
      </c>
      <c r="C2040" s="38" t="inlineStr">
        <is>
          <t>Y_GE100</t>
        </is>
      </c>
      <c r="D2040" s="38" t="inlineStr">
        <is>
          <t>TOTAL</t>
        </is>
      </c>
      <c r="E2040" s="38" t="inlineStr">
        <is>
          <t>POP</t>
        </is>
      </c>
      <c r="F2040" s="38" t="n">
        <v>0</v>
      </c>
    </row>
    <row r="2041" ht="15" customHeight="1" s="39">
      <c r="A2041" s="38" t="inlineStr">
        <is>
          <t>2021</t>
        </is>
      </c>
      <c r="B2041" s="42" t="inlineStr">
        <is>
          <t>431649</t>
        </is>
      </c>
      <c r="C2041" s="38" t="inlineStr">
        <is>
          <t>TOTAL</t>
        </is>
      </c>
      <c r="D2041" s="38" t="inlineStr">
        <is>
          <t>TOTAL</t>
        </is>
      </c>
      <c r="E2041" s="38" t="inlineStr">
        <is>
          <t>POP</t>
        </is>
      </c>
      <c r="F2041" s="38" t="n">
        <v>459</v>
      </c>
    </row>
    <row r="2042" ht="15" customHeight="1" s="39">
      <c r="A2042" s="38" t="inlineStr">
        <is>
          <t>2021</t>
        </is>
      </c>
      <c r="B2042" s="42" t="inlineStr">
        <is>
          <t>431665</t>
        </is>
      </c>
      <c r="C2042" s="38" t="inlineStr">
        <is>
          <t>Y000</t>
        </is>
      </c>
      <c r="D2042" s="38" t="inlineStr">
        <is>
          <t>TOTAL</t>
        </is>
      </c>
      <c r="E2042" s="38" t="inlineStr">
        <is>
          <t>POP</t>
        </is>
      </c>
      <c r="F2042" s="38" t="n">
        <v>24</v>
      </c>
    </row>
    <row r="2043" ht="15" customHeight="1" s="39">
      <c r="A2043" s="38" t="inlineStr">
        <is>
          <t>2021</t>
        </is>
      </c>
      <c r="B2043" s="42" t="inlineStr">
        <is>
          <t>431665</t>
        </is>
      </c>
      <c r="C2043" s="38" t="inlineStr">
        <is>
          <t>Y001</t>
        </is>
      </c>
      <c r="D2043" s="38" t="inlineStr">
        <is>
          <t>TOTAL</t>
        </is>
      </c>
      <c r="E2043" s="38" t="inlineStr">
        <is>
          <t>POP</t>
        </is>
      </c>
      <c r="F2043" s="38" t="n">
        <v>28</v>
      </c>
    </row>
    <row r="2044" ht="15" customHeight="1" s="39">
      <c r="A2044" s="38" t="inlineStr">
        <is>
          <t>2021</t>
        </is>
      </c>
      <c r="B2044" s="42" t="inlineStr">
        <is>
          <t>431665</t>
        </is>
      </c>
      <c r="C2044" s="38" t="inlineStr">
        <is>
          <t>Y002</t>
        </is>
      </c>
      <c r="D2044" s="38" t="inlineStr">
        <is>
          <t>TOTAL</t>
        </is>
      </c>
      <c r="E2044" s="38" t="inlineStr">
        <is>
          <t>POP</t>
        </is>
      </c>
      <c r="F2044" s="38" t="n">
        <v>31</v>
      </c>
    </row>
    <row r="2045" ht="15" customHeight="1" s="39">
      <c r="A2045" s="38" t="inlineStr">
        <is>
          <t>2021</t>
        </is>
      </c>
      <c r="B2045" s="42" t="inlineStr">
        <is>
          <t>431665</t>
        </is>
      </c>
      <c r="C2045" s="38" t="inlineStr">
        <is>
          <t>Y003</t>
        </is>
      </c>
      <c r="D2045" s="38" t="inlineStr">
        <is>
          <t>TOTAL</t>
        </is>
      </c>
      <c r="E2045" s="38" t="inlineStr">
        <is>
          <t>POP</t>
        </is>
      </c>
      <c r="F2045" s="38" t="n">
        <v>22</v>
      </c>
    </row>
    <row r="2046" ht="15" customHeight="1" s="39">
      <c r="A2046" s="38" t="inlineStr">
        <is>
          <t>2021</t>
        </is>
      </c>
      <c r="B2046" s="42" t="inlineStr">
        <is>
          <t>431665</t>
        </is>
      </c>
      <c r="C2046" s="38" t="inlineStr">
        <is>
          <t>Y004</t>
        </is>
      </c>
      <c r="D2046" s="38" t="inlineStr">
        <is>
          <t>TOTAL</t>
        </is>
      </c>
      <c r="E2046" s="38" t="inlineStr">
        <is>
          <t>POP</t>
        </is>
      </c>
      <c r="F2046" s="38" t="n">
        <v>47</v>
      </c>
    </row>
    <row r="2047" ht="15" customHeight="1" s="39">
      <c r="A2047" s="38" t="inlineStr">
        <is>
          <t>2021</t>
        </is>
      </c>
      <c r="B2047" s="42" t="inlineStr">
        <is>
          <t>431665</t>
        </is>
      </c>
      <c r="C2047" s="38" t="inlineStr">
        <is>
          <t>Y005</t>
        </is>
      </c>
      <c r="D2047" s="38" t="inlineStr">
        <is>
          <t>TOTAL</t>
        </is>
      </c>
      <c r="E2047" s="38" t="inlineStr">
        <is>
          <t>POP</t>
        </is>
      </c>
      <c r="F2047" s="38" t="n">
        <v>36</v>
      </c>
    </row>
    <row r="2048" ht="15" customHeight="1" s="39">
      <c r="A2048" s="38" t="inlineStr">
        <is>
          <t>2021</t>
        </is>
      </c>
      <c r="B2048" s="42" t="inlineStr">
        <is>
          <t>431665</t>
        </is>
      </c>
      <c r="C2048" s="38" t="inlineStr">
        <is>
          <t>Y006</t>
        </is>
      </c>
      <c r="D2048" s="38" t="inlineStr">
        <is>
          <t>TOTAL</t>
        </is>
      </c>
      <c r="E2048" s="38" t="inlineStr">
        <is>
          <t>POP</t>
        </is>
      </c>
      <c r="F2048" s="38" t="n">
        <v>34</v>
      </c>
    </row>
    <row r="2049" ht="15" customHeight="1" s="39">
      <c r="A2049" s="38" t="inlineStr">
        <is>
          <t>2021</t>
        </is>
      </c>
      <c r="B2049" s="42" t="inlineStr">
        <is>
          <t>431665</t>
        </is>
      </c>
      <c r="C2049" s="38" t="inlineStr">
        <is>
          <t>Y007</t>
        </is>
      </c>
      <c r="D2049" s="38" t="inlineStr">
        <is>
          <t>TOTAL</t>
        </is>
      </c>
      <c r="E2049" s="38" t="inlineStr">
        <is>
          <t>POP</t>
        </is>
      </c>
      <c r="F2049" s="38" t="n">
        <v>26</v>
      </c>
    </row>
    <row r="2050" ht="15" customHeight="1" s="39">
      <c r="A2050" s="38" t="inlineStr">
        <is>
          <t>2021</t>
        </is>
      </c>
      <c r="B2050" s="42" t="inlineStr">
        <is>
          <t>431665</t>
        </is>
      </c>
      <c r="C2050" s="38" t="inlineStr">
        <is>
          <t>Y008</t>
        </is>
      </c>
      <c r="D2050" s="38" t="inlineStr">
        <is>
          <t>TOTAL</t>
        </is>
      </c>
      <c r="E2050" s="38" t="inlineStr">
        <is>
          <t>POP</t>
        </is>
      </c>
      <c r="F2050" s="38" t="n">
        <v>37</v>
      </c>
    </row>
    <row r="2051" ht="15" customHeight="1" s="39">
      <c r="A2051" s="38" t="inlineStr">
        <is>
          <t>2021</t>
        </is>
      </c>
      <c r="B2051" s="42" t="inlineStr">
        <is>
          <t>431665</t>
        </is>
      </c>
      <c r="C2051" s="38" t="inlineStr">
        <is>
          <t>Y009</t>
        </is>
      </c>
      <c r="D2051" s="38" t="inlineStr">
        <is>
          <t>TOTAL</t>
        </is>
      </c>
      <c r="E2051" s="38" t="inlineStr">
        <is>
          <t>POP</t>
        </is>
      </c>
      <c r="F2051" s="38" t="n">
        <v>32</v>
      </c>
    </row>
    <row r="2052" ht="15" customHeight="1" s="39">
      <c r="A2052" s="38" t="inlineStr">
        <is>
          <t>2021</t>
        </is>
      </c>
      <c r="B2052" s="42" t="inlineStr">
        <is>
          <t>431665</t>
        </is>
      </c>
      <c r="C2052" s="38" t="inlineStr">
        <is>
          <t>Y010</t>
        </is>
      </c>
      <c r="D2052" s="38" t="inlineStr">
        <is>
          <t>TOTAL</t>
        </is>
      </c>
      <c r="E2052" s="38" t="inlineStr">
        <is>
          <t>POP</t>
        </is>
      </c>
      <c r="F2052" s="38" t="n">
        <v>52</v>
      </c>
    </row>
    <row r="2053" ht="15" customHeight="1" s="39">
      <c r="A2053" s="38" t="inlineStr">
        <is>
          <t>2021</t>
        </is>
      </c>
      <c r="B2053" s="42" t="inlineStr">
        <is>
          <t>431665</t>
        </is>
      </c>
      <c r="C2053" s="38" t="inlineStr">
        <is>
          <t>Y011</t>
        </is>
      </c>
      <c r="D2053" s="38" t="inlineStr">
        <is>
          <t>TOTAL</t>
        </is>
      </c>
      <c r="E2053" s="38" t="inlineStr">
        <is>
          <t>POP</t>
        </is>
      </c>
      <c r="F2053" s="38" t="n">
        <v>34</v>
      </c>
    </row>
    <row r="2054" ht="15" customHeight="1" s="39">
      <c r="A2054" s="38" t="inlineStr">
        <is>
          <t>2021</t>
        </is>
      </c>
      <c r="B2054" s="42" t="inlineStr">
        <is>
          <t>431665</t>
        </is>
      </c>
      <c r="C2054" s="38" t="inlineStr">
        <is>
          <t>Y012</t>
        </is>
      </c>
      <c r="D2054" s="38" t="inlineStr">
        <is>
          <t>TOTAL</t>
        </is>
      </c>
      <c r="E2054" s="38" t="inlineStr">
        <is>
          <t>POP</t>
        </is>
      </c>
      <c r="F2054" s="38" t="n">
        <v>37</v>
      </c>
    </row>
    <row r="2055" ht="15" customHeight="1" s="39">
      <c r="A2055" s="38" t="inlineStr">
        <is>
          <t>2021</t>
        </is>
      </c>
      <c r="B2055" s="42" t="inlineStr">
        <is>
          <t>431665</t>
        </is>
      </c>
      <c r="C2055" s="38" t="inlineStr">
        <is>
          <t>Y013</t>
        </is>
      </c>
      <c r="D2055" s="38" t="inlineStr">
        <is>
          <t>TOTAL</t>
        </is>
      </c>
      <c r="E2055" s="38" t="inlineStr">
        <is>
          <t>POP</t>
        </is>
      </c>
      <c r="F2055" s="38" t="n">
        <v>41</v>
      </c>
    </row>
    <row r="2056" ht="15" customHeight="1" s="39">
      <c r="A2056" s="38" t="inlineStr">
        <is>
          <t>2021</t>
        </is>
      </c>
      <c r="B2056" s="42" t="inlineStr">
        <is>
          <t>431665</t>
        </is>
      </c>
      <c r="C2056" s="38" t="inlineStr">
        <is>
          <t>Y014</t>
        </is>
      </c>
      <c r="D2056" s="38" t="inlineStr">
        <is>
          <t>TOTAL</t>
        </is>
      </c>
      <c r="E2056" s="38" t="inlineStr">
        <is>
          <t>POP</t>
        </is>
      </c>
      <c r="F2056" s="38" t="n">
        <v>33</v>
      </c>
    </row>
    <row r="2057" ht="15" customHeight="1" s="39">
      <c r="A2057" s="38" t="inlineStr">
        <is>
          <t>2021</t>
        </is>
      </c>
      <c r="B2057" s="42" t="inlineStr">
        <is>
          <t>431665</t>
        </is>
      </c>
      <c r="C2057" s="38" t="inlineStr">
        <is>
          <t>Y015</t>
        </is>
      </c>
      <c r="D2057" s="38" t="inlineStr">
        <is>
          <t>TOTAL</t>
        </is>
      </c>
      <c r="E2057" s="38" t="inlineStr">
        <is>
          <t>POP</t>
        </is>
      </c>
      <c r="F2057" s="38" t="n">
        <v>16</v>
      </c>
    </row>
    <row r="2058" ht="15" customHeight="1" s="39">
      <c r="A2058" s="38" t="inlineStr">
        <is>
          <t>2021</t>
        </is>
      </c>
      <c r="B2058" s="42" t="inlineStr">
        <is>
          <t>431665</t>
        </is>
      </c>
      <c r="C2058" s="38" t="inlineStr">
        <is>
          <t>Y016</t>
        </is>
      </c>
      <c r="D2058" s="38" t="inlineStr">
        <is>
          <t>TOTAL</t>
        </is>
      </c>
      <c r="E2058" s="38" t="inlineStr">
        <is>
          <t>POP</t>
        </is>
      </c>
      <c r="F2058" s="38" t="n">
        <v>20</v>
      </c>
    </row>
    <row r="2059" ht="15" customHeight="1" s="39">
      <c r="A2059" s="38" t="inlineStr">
        <is>
          <t>2021</t>
        </is>
      </c>
      <c r="B2059" s="42" t="inlineStr">
        <is>
          <t>431665</t>
        </is>
      </c>
      <c r="C2059" s="38" t="inlineStr">
        <is>
          <t>Y017</t>
        </is>
      </c>
      <c r="D2059" s="38" t="inlineStr">
        <is>
          <t>TOTAL</t>
        </is>
      </c>
      <c r="E2059" s="38" t="inlineStr">
        <is>
          <t>POP</t>
        </is>
      </c>
      <c r="F2059" s="38" t="n">
        <v>23</v>
      </c>
    </row>
    <row r="2060" ht="15" customHeight="1" s="39">
      <c r="A2060" s="38" t="inlineStr">
        <is>
          <t>2021</t>
        </is>
      </c>
      <c r="B2060" s="42" t="inlineStr">
        <is>
          <t>431665</t>
        </is>
      </c>
      <c r="C2060" s="38" t="inlineStr">
        <is>
          <t>Y018</t>
        </is>
      </c>
      <c r="D2060" s="38" t="inlineStr">
        <is>
          <t>TOTAL</t>
        </is>
      </c>
      <c r="E2060" s="38" t="inlineStr">
        <is>
          <t>POP</t>
        </is>
      </c>
      <c r="F2060" s="38" t="n">
        <v>25</v>
      </c>
    </row>
    <row r="2061" ht="15" customHeight="1" s="39">
      <c r="A2061" s="38" t="inlineStr">
        <is>
          <t>2021</t>
        </is>
      </c>
      <c r="B2061" s="42" t="inlineStr">
        <is>
          <t>431665</t>
        </is>
      </c>
      <c r="C2061" s="38" t="inlineStr">
        <is>
          <t>Y019</t>
        </is>
      </c>
      <c r="D2061" s="38" t="inlineStr">
        <is>
          <t>TOTAL</t>
        </is>
      </c>
      <c r="E2061" s="38" t="inlineStr">
        <is>
          <t>POP</t>
        </is>
      </c>
      <c r="F2061" s="38" t="n">
        <v>14</v>
      </c>
    </row>
    <row r="2062" ht="15" customHeight="1" s="39">
      <c r="A2062" s="38" t="inlineStr">
        <is>
          <t>2021</t>
        </is>
      </c>
      <c r="B2062" s="42" t="inlineStr">
        <is>
          <t>431665</t>
        </is>
      </c>
      <c r="C2062" s="38" t="inlineStr">
        <is>
          <t>Y020</t>
        </is>
      </c>
      <c r="D2062" s="38" t="inlineStr">
        <is>
          <t>TOTAL</t>
        </is>
      </c>
      <c r="E2062" s="38" t="inlineStr">
        <is>
          <t>POP</t>
        </is>
      </c>
      <c r="F2062" s="38" t="n">
        <v>18</v>
      </c>
    </row>
    <row r="2063" ht="15" customHeight="1" s="39">
      <c r="A2063" s="38" t="inlineStr">
        <is>
          <t>2021</t>
        </is>
      </c>
      <c r="B2063" s="42" t="inlineStr">
        <is>
          <t>431665</t>
        </is>
      </c>
      <c r="C2063" s="38" t="inlineStr">
        <is>
          <t>Y021</t>
        </is>
      </c>
      <c r="D2063" s="38" t="inlineStr">
        <is>
          <t>TOTAL</t>
        </is>
      </c>
      <c r="E2063" s="38" t="inlineStr">
        <is>
          <t>POP</t>
        </is>
      </c>
      <c r="F2063" s="38" t="n">
        <v>19</v>
      </c>
    </row>
    <row r="2064" ht="15" customHeight="1" s="39">
      <c r="A2064" s="38" t="inlineStr">
        <is>
          <t>2021</t>
        </is>
      </c>
      <c r="B2064" s="42" t="inlineStr">
        <is>
          <t>431665</t>
        </is>
      </c>
      <c r="C2064" s="38" t="inlineStr">
        <is>
          <t>Y022</t>
        </is>
      </c>
      <c r="D2064" s="38" t="inlineStr">
        <is>
          <t>TOTAL</t>
        </is>
      </c>
      <c r="E2064" s="38" t="inlineStr">
        <is>
          <t>POP</t>
        </is>
      </c>
      <c r="F2064" s="38" t="n">
        <v>13</v>
      </c>
    </row>
    <row r="2065" ht="15" customHeight="1" s="39">
      <c r="A2065" s="38" t="inlineStr">
        <is>
          <t>2021</t>
        </is>
      </c>
      <c r="B2065" s="42" t="inlineStr">
        <is>
          <t>431665</t>
        </is>
      </c>
      <c r="C2065" s="38" t="inlineStr">
        <is>
          <t>Y023</t>
        </is>
      </c>
      <c r="D2065" s="38" t="inlineStr">
        <is>
          <t>TOTAL</t>
        </is>
      </c>
      <c r="E2065" s="38" t="inlineStr">
        <is>
          <t>POP</t>
        </is>
      </c>
      <c r="F2065" s="38" t="n">
        <v>21</v>
      </c>
    </row>
    <row r="2066" ht="15" customHeight="1" s="39">
      <c r="A2066" s="38" t="inlineStr">
        <is>
          <t>2021</t>
        </is>
      </c>
      <c r="B2066" s="42" t="inlineStr">
        <is>
          <t>431665</t>
        </is>
      </c>
      <c r="C2066" s="38" t="inlineStr">
        <is>
          <t>Y024</t>
        </is>
      </c>
      <c r="D2066" s="38" t="inlineStr">
        <is>
          <t>TOTAL</t>
        </is>
      </c>
      <c r="E2066" s="38" t="inlineStr">
        <is>
          <t>POP</t>
        </is>
      </c>
      <c r="F2066" s="38" t="n">
        <v>27</v>
      </c>
    </row>
    <row r="2067" ht="15" customHeight="1" s="39">
      <c r="A2067" s="38" t="inlineStr">
        <is>
          <t>2021</t>
        </is>
      </c>
      <c r="B2067" s="42" t="inlineStr">
        <is>
          <t>431665</t>
        </is>
      </c>
      <c r="C2067" s="38" t="inlineStr">
        <is>
          <t>Y025</t>
        </is>
      </c>
      <c r="D2067" s="38" t="inlineStr">
        <is>
          <t>TOTAL</t>
        </is>
      </c>
      <c r="E2067" s="38" t="inlineStr">
        <is>
          <t>POP</t>
        </is>
      </c>
      <c r="F2067" s="38" t="n">
        <v>21</v>
      </c>
    </row>
    <row r="2068" ht="15" customHeight="1" s="39">
      <c r="A2068" s="38" t="inlineStr">
        <is>
          <t>2021</t>
        </is>
      </c>
      <c r="B2068" s="42" t="inlineStr">
        <is>
          <t>431665</t>
        </is>
      </c>
      <c r="C2068" s="38" t="inlineStr">
        <is>
          <t>Y026</t>
        </is>
      </c>
      <c r="D2068" s="38" t="inlineStr">
        <is>
          <t>TOTAL</t>
        </is>
      </c>
      <c r="E2068" s="38" t="inlineStr">
        <is>
          <t>POP</t>
        </is>
      </c>
      <c r="F2068" s="38" t="n">
        <v>18</v>
      </c>
    </row>
    <row r="2069" ht="15" customHeight="1" s="39">
      <c r="A2069" s="38" t="inlineStr">
        <is>
          <t>2021</t>
        </is>
      </c>
      <c r="B2069" s="42" t="inlineStr">
        <is>
          <t>431665</t>
        </is>
      </c>
      <c r="C2069" s="38" t="inlineStr">
        <is>
          <t>Y027</t>
        </is>
      </c>
      <c r="D2069" s="38" t="inlineStr">
        <is>
          <t>TOTAL</t>
        </is>
      </c>
      <c r="E2069" s="38" t="inlineStr">
        <is>
          <t>POP</t>
        </is>
      </c>
      <c r="F2069" s="38" t="n">
        <v>25</v>
      </c>
    </row>
    <row r="2070" ht="15" customHeight="1" s="39">
      <c r="A2070" s="38" t="inlineStr">
        <is>
          <t>2021</t>
        </is>
      </c>
      <c r="B2070" s="42" t="inlineStr">
        <is>
          <t>431665</t>
        </is>
      </c>
      <c r="C2070" s="38" t="inlineStr">
        <is>
          <t>Y028</t>
        </is>
      </c>
      <c r="D2070" s="38" t="inlineStr">
        <is>
          <t>TOTAL</t>
        </is>
      </c>
      <c r="E2070" s="38" t="inlineStr">
        <is>
          <t>POP</t>
        </is>
      </c>
      <c r="F2070" s="38" t="n">
        <v>28</v>
      </c>
    </row>
    <row r="2071" ht="15" customHeight="1" s="39">
      <c r="A2071" s="38" t="inlineStr">
        <is>
          <t>2021</t>
        </is>
      </c>
      <c r="B2071" s="42" t="inlineStr">
        <is>
          <t>431665</t>
        </is>
      </c>
      <c r="C2071" s="38" t="inlineStr">
        <is>
          <t>Y029</t>
        </is>
      </c>
      <c r="D2071" s="38" t="inlineStr">
        <is>
          <t>TOTAL</t>
        </is>
      </c>
      <c r="E2071" s="38" t="inlineStr">
        <is>
          <t>POP</t>
        </is>
      </c>
      <c r="F2071" s="38" t="n">
        <v>25</v>
      </c>
    </row>
    <row r="2072" ht="15" customHeight="1" s="39">
      <c r="A2072" s="38" t="inlineStr">
        <is>
          <t>2021</t>
        </is>
      </c>
      <c r="B2072" s="42" t="inlineStr">
        <is>
          <t>431665</t>
        </is>
      </c>
      <c r="C2072" s="38" t="inlineStr">
        <is>
          <t>Y030</t>
        </is>
      </c>
      <c r="D2072" s="38" t="inlineStr">
        <is>
          <t>TOTAL</t>
        </is>
      </c>
      <c r="E2072" s="38" t="inlineStr">
        <is>
          <t>POP</t>
        </is>
      </c>
      <c r="F2072" s="38" t="n">
        <v>21</v>
      </c>
    </row>
    <row r="2073" ht="15" customHeight="1" s="39">
      <c r="A2073" s="38" t="inlineStr">
        <is>
          <t>2021</t>
        </is>
      </c>
      <c r="B2073" s="42" t="inlineStr">
        <is>
          <t>431665</t>
        </is>
      </c>
      <c r="C2073" s="38" t="inlineStr">
        <is>
          <t>Y031</t>
        </is>
      </c>
      <c r="D2073" s="38" t="inlineStr">
        <is>
          <t>TOTAL</t>
        </is>
      </c>
      <c r="E2073" s="38" t="inlineStr">
        <is>
          <t>POP</t>
        </is>
      </c>
      <c r="F2073" s="38" t="n">
        <v>30</v>
      </c>
    </row>
    <row r="2074" ht="15" customHeight="1" s="39">
      <c r="A2074" s="38" t="inlineStr">
        <is>
          <t>2021</t>
        </is>
      </c>
      <c r="B2074" s="42" t="inlineStr">
        <is>
          <t>431665</t>
        </is>
      </c>
      <c r="C2074" s="38" t="inlineStr">
        <is>
          <t>Y032</t>
        </is>
      </c>
      <c r="D2074" s="38" t="inlineStr">
        <is>
          <t>TOTAL</t>
        </is>
      </c>
      <c r="E2074" s="38" t="inlineStr">
        <is>
          <t>POP</t>
        </is>
      </c>
      <c r="F2074" s="38" t="n">
        <v>30</v>
      </c>
    </row>
    <row r="2075" ht="15" customHeight="1" s="39">
      <c r="A2075" s="38" t="inlineStr">
        <is>
          <t>2021</t>
        </is>
      </c>
      <c r="B2075" s="42" t="inlineStr">
        <is>
          <t>431665</t>
        </is>
      </c>
      <c r="C2075" s="38" t="inlineStr">
        <is>
          <t>Y033</t>
        </is>
      </c>
      <c r="D2075" s="38" t="inlineStr">
        <is>
          <t>TOTAL</t>
        </is>
      </c>
      <c r="E2075" s="38" t="inlineStr">
        <is>
          <t>POP</t>
        </is>
      </c>
      <c r="F2075" s="38" t="n">
        <v>28</v>
      </c>
    </row>
    <row r="2076" ht="15" customHeight="1" s="39">
      <c r="A2076" s="38" t="inlineStr">
        <is>
          <t>2021</t>
        </is>
      </c>
      <c r="B2076" s="42" t="inlineStr">
        <is>
          <t>431665</t>
        </is>
      </c>
      <c r="C2076" s="38" t="inlineStr">
        <is>
          <t>Y034</t>
        </is>
      </c>
      <c r="D2076" s="38" t="inlineStr">
        <is>
          <t>TOTAL</t>
        </is>
      </c>
      <c r="E2076" s="38" t="inlineStr">
        <is>
          <t>POP</t>
        </is>
      </c>
      <c r="F2076" s="38" t="n">
        <v>43</v>
      </c>
    </row>
    <row r="2077" ht="15" customHeight="1" s="39">
      <c r="A2077" s="38" t="inlineStr">
        <is>
          <t>2021</t>
        </is>
      </c>
      <c r="B2077" s="42" t="inlineStr">
        <is>
          <t>431665</t>
        </is>
      </c>
      <c r="C2077" s="38" t="inlineStr">
        <is>
          <t>Y035</t>
        </is>
      </c>
      <c r="D2077" s="38" t="inlineStr">
        <is>
          <t>TOTAL</t>
        </is>
      </c>
      <c r="E2077" s="38" t="inlineStr">
        <is>
          <t>POP</t>
        </is>
      </c>
      <c r="F2077" s="38" t="n">
        <v>44</v>
      </c>
    </row>
    <row r="2078" ht="15" customHeight="1" s="39">
      <c r="A2078" s="38" t="inlineStr">
        <is>
          <t>2021</t>
        </is>
      </c>
      <c r="B2078" s="42" t="inlineStr">
        <is>
          <t>431665</t>
        </is>
      </c>
      <c r="C2078" s="38" t="inlineStr">
        <is>
          <t>Y036</t>
        </is>
      </c>
      <c r="D2078" s="38" t="inlineStr">
        <is>
          <t>TOTAL</t>
        </is>
      </c>
      <c r="E2078" s="38" t="inlineStr">
        <is>
          <t>POP</t>
        </is>
      </c>
      <c r="F2078" s="38" t="n">
        <v>39</v>
      </c>
    </row>
    <row r="2079" ht="15" customHeight="1" s="39">
      <c r="A2079" s="38" t="inlineStr">
        <is>
          <t>2021</t>
        </is>
      </c>
      <c r="B2079" s="42" t="inlineStr">
        <is>
          <t>431665</t>
        </is>
      </c>
      <c r="C2079" s="38" t="inlineStr">
        <is>
          <t>Y037</t>
        </is>
      </c>
      <c r="D2079" s="38" t="inlineStr">
        <is>
          <t>TOTAL</t>
        </is>
      </c>
      <c r="E2079" s="38" t="inlineStr">
        <is>
          <t>POP</t>
        </is>
      </c>
      <c r="F2079" s="38" t="n">
        <v>42</v>
      </c>
    </row>
    <row r="2080" ht="15" customHeight="1" s="39">
      <c r="A2080" s="38" t="inlineStr">
        <is>
          <t>2021</t>
        </is>
      </c>
      <c r="B2080" s="42" t="inlineStr">
        <is>
          <t>431665</t>
        </is>
      </c>
      <c r="C2080" s="38" t="inlineStr">
        <is>
          <t>Y038</t>
        </is>
      </c>
      <c r="D2080" s="38" t="inlineStr">
        <is>
          <t>TOTAL</t>
        </is>
      </c>
      <c r="E2080" s="38" t="inlineStr">
        <is>
          <t>POP</t>
        </is>
      </c>
      <c r="F2080" s="38" t="n">
        <v>51</v>
      </c>
    </row>
    <row r="2081" ht="15" customHeight="1" s="39">
      <c r="A2081" s="38" t="inlineStr">
        <is>
          <t>2021</t>
        </is>
      </c>
      <c r="B2081" s="42" t="inlineStr">
        <is>
          <t>431665</t>
        </is>
      </c>
      <c r="C2081" s="38" t="inlineStr">
        <is>
          <t>Y039</t>
        </is>
      </c>
      <c r="D2081" s="38" t="inlineStr">
        <is>
          <t>TOTAL</t>
        </is>
      </c>
      <c r="E2081" s="38" t="inlineStr">
        <is>
          <t>POP</t>
        </is>
      </c>
      <c r="F2081" s="38" t="n">
        <v>47</v>
      </c>
    </row>
    <row r="2082" ht="15" customHeight="1" s="39">
      <c r="A2082" s="38" t="inlineStr">
        <is>
          <t>2021</t>
        </is>
      </c>
      <c r="B2082" s="42" t="inlineStr">
        <is>
          <t>431665</t>
        </is>
      </c>
      <c r="C2082" s="38" t="inlineStr">
        <is>
          <t>Y040</t>
        </is>
      </c>
      <c r="D2082" s="38" t="inlineStr">
        <is>
          <t>TOTAL</t>
        </is>
      </c>
      <c r="E2082" s="38" t="inlineStr">
        <is>
          <t>POP</t>
        </is>
      </c>
      <c r="F2082" s="38" t="n">
        <v>57</v>
      </c>
    </row>
    <row r="2083" ht="15" customHeight="1" s="39">
      <c r="A2083" s="38" t="inlineStr">
        <is>
          <t>2021</t>
        </is>
      </c>
      <c r="B2083" s="42" t="inlineStr">
        <is>
          <t>431665</t>
        </is>
      </c>
      <c r="C2083" s="38" t="inlineStr">
        <is>
          <t>Y041</t>
        </is>
      </c>
      <c r="D2083" s="38" t="inlineStr">
        <is>
          <t>TOTAL</t>
        </is>
      </c>
      <c r="E2083" s="38" t="inlineStr">
        <is>
          <t>POP</t>
        </is>
      </c>
      <c r="F2083" s="38" t="n">
        <v>42</v>
      </c>
    </row>
    <row r="2084" ht="15" customHeight="1" s="39">
      <c r="A2084" s="38" t="inlineStr">
        <is>
          <t>2021</t>
        </is>
      </c>
      <c r="B2084" s="42" t="inlineStr">
        <is>
          <t>431665</t>
        </is>
      </c>
      <c r="C2084" s="38" t="inlineStr">
        <is>
          <t>Y042</t>
        </is>
      </c>
      <c r="D2084" s="38" t="inlineStr">
        <is>
          <t>TOTAL</t>
        </is>
      </c>
      <c r="E2084" s="38" t="inlineStr">
        <is>
          <t>POP</t>
        </is>
      </c>
      <c r="F2084" s="38" t="n">
        <v>59</v>
      </c>
    </row>
    <row r="2085" ht="15" customHeight="1" s="39">
      <c r="A2085" s="38" t="inlineStr">
        <is>
          <t>2021</t>
        </is>
      </c>
      <c r="B2085" s="42" t="inlineStr">
        <is>
          <t>431665</t>
        </is>
      </c>
      <c r="C2085" s="38" t="inlineStr">
        <is>
          <t>Y043</t>
        </is>
      </c>
      <c r="D2085" s="38" t="inlineStr">
        <is>
          <t>TOTAL</t>
        </is>
      </c>
      <c r="E2085" s="38" t="inlineStr">
        <is>
          <t>POP</t>
        </is>
      </c>
      <c r="F2085" s="38" t="n">
        <v>61</v>
      </c>
    </row>
    <row r="2086" ht="15" customHeight="1" s="39">
      <c r="A2086" s="38" t="inlineStr">
        <is>
          <t>2021</t>
        </is>
      </c>
      <c r="B2086" s="42" t="inlineStr">
        <is>
          <t>431665</t>
        </is>
      </c>
      <c r="C2086" s="38" t="inlineStr">
        <is>
          <t>Y044</t>
        </is>
      </c>
      <c r="D2086" s="38" t="inlineStr">
        <is>
          <t>TOTAL</t>
        </is>
      </c>
      <c r="E2086" s="38" t="inlineStr">
        <is>
          <t>POP</t>
        </is>
      </c>
      <c r="F2086" s="38" t="n">
        <v>44</v>
      </c>
    </row>
    <row r="2087" ht="15" customHeight="1" s="39">
      <c r="A2087" s="38" t="inlineStr">
        <is>
          <t>2021</t>
        </is>
      </c>
      <c r="B2087" s="42" t="inlineStr">
        <is>
          <t>431665</t>
        </is>
      </c>
      <c r="C2087" s="38" t="inlineStr">
        <is>
          <t>Y045</t>
        </is>
      </c>
      <c r="D2087" s="38" t="inlineStr">
        <is>
          <t>TOTAL</t>
        </is>
      </c>
      <c r="E2087" s="38" t="inlineStr">
        <is>
          <t>POP</t>
        </is>
      </c>
      <c r="F2087" s="38" t="n">
        <v>60</v>
      </c>
    </row>
    <row r="2088" ht="15" customHeight="1" s="39">
      <c r="A2088" s="38" t="inlineStr">
        <is>
          <t>2021</t>
        </is>
      </c>
      <c r="B2088" s="42" t="inlineStr">
        <is>
          <t>431665</t>
        </is>
      </c>
      <c r="C2088" s="38" t="inlineStr">
        <is>
          <t>Y046</t>
        </is>
      </c>
      <c r="D2088" s="38" t="inlineStr">
        <is>
          <t>TOTAL</t>
        </is>
      </c>
      <c r="E2088" s="38" t="inlineStr">
        <is>
          <t>POP</t>
        </is>
      </c>
      <c r="F2088" s="38" t="n">
        <v>44</v>
      </c>
    </row>
    <row r="2089" ht="15" customHeight="1" s="39">
      <c r="A2089" s="38" t="inlineStr">
        <is>
          <t>2021</t>
        </is>
      </c>
      <c r="B2089" s="42" t="inlineStr">
        <is>
          <t>431665</t>
        </is>
      </c>
      <c r="C2089" s="38" t="inlineStr">
        <is>
          <t>Y047</t>
        </is>
      </c>
      <c r="D2089" s="38" t="inlineStr">
        <is>
          <t>TOTAL</t>
        </is>
      </c>
      <c r="E2089" s="38" t="inlineStr">
        <is>
          <t>POP</t>
        </is>
      </c>
      <c r="F2089" s="38" t="n">
        <v>43</v>
      </c>
    </row>
    <row r="2090" ht="15" customHeight="1" s="39">
      <c r="A2090" s="38" t="inlineStr">
        <is>
          <t>2021</t>
        </is>
      </c>
      <c r="B2090" s="42" t="inlineStr">
        <is>
          <t>431665</t>
        </is>
      </c>
      <c r="C2090" s="38" t="inlineStr">
        <is>
          <t>Y048</t>
        </is>
      </c>
      <c r="D2090" s="38" t="inlineStr">
        <is>
          <t>TOTAL</t>
        </is>
      </c>
      <c r="E2090" s="38" t="inlineStr">
        <is>
          <t>POP</t>
        </is>
      </c>
      <c r="F2090" s="38" t="n">
        <v>38</v>
      </c>
    </row>
    <row r="2091" ht="15" customHeight="1" s="39">
      <c r="A2091" s="38" t="inlineStr">
        <is>
          <t>2021</t>
        </is>
      </c>
      <c r="B2091" s="42" t="inlineStr">
        <is>
          <t>431665</t>
        </is>
      </c>
      <c r="C2091" s="38" t="inlineStr">
        <is>
          <t>Y049</t>
        </is>
      </c>
      <c r="D2091" s="38" t="inlineStr">
        <is>
          <t>TOTAL</t>
        </is>
      </c>
      <c r="E2091" s="38" t="inlineStr">
        <is>
          <t>POP</t>
        </is>
      </c>
      <c r="F2091" s="38" t="n">
        <v>38</v>
      </c>
    </row>
    <row r="2092" ht="15" customHeight="1" s="39">
      <c r="A2092" s="38" t="inlineStr">
        <is>
          <t>2021</t>
        </is>
      </c>
      <c r="B2092" s="42" t="inlineStr">
        <is>
          <t>431665</t>
        </is>
      </c>
      <c r="C2092" s="38" t="inlineStr">
        <is>
          <t>Y050</t>
        </is>
      </c>
      <c r="D2092" s="38" t="inlineStr">
        <is>
          <t>TOTAL</t>
        </is>
      </c>
      <c r="E2092" s="38" t="inlineStr">
        <is>
          <t>POP</t>
        </is>
      </c>
      <c r="F2092" s="38" t="n">
        <v>25</v>
      </c>
    </row>
    <row r="2093" ht="15" customHeight="1" s="39">
      <c r="A2093" s="38" t="inlineStr">
        <is>
          <t>2021</t>
        </is>
      </c>
      <c r="B2093" s="42" t="inlineStr">
        <is>
          <t>431665</t>
        </is>
      </c>
      <c r="C2093" s="38" t="inlineStr">
        <is>
          <t>Y051</t>
        </is>
      </c>
      <c r="D2093" s="38" t="inlineStr">
        <is>
          <t>TOTAL</t>
        </is>
      </c>
      <c r="E2093" s="38" t="inlineStr">
        <is>
          <t>POP</t>
        </is>
      </c>
      <c r="F2093" s="38" t="n">
        <v>38</v>
      </c>
    </row>
    <row r="2094" ht="15" customHeight="1" s="39">
      <c r="A2094" s="38" t="inlineStr">
        <is>
          <t>2021</t>
        </is>
      </c>
      <c r="B2094" s="42" t="inlineStr">
        <is>
          <t>431665</t>
        </is>
      </c>
      <c r="C2094" s="38" t="inlineStr">
        <is>
          <t>Y052</t>
        </is>
      </c>
      <c r="D2094" s="38" t="inlineStr">
        <is>
          <t>TOTAL</t>
        </is>
      </c>
      <c r="E2094" s="38" t="inlineStr">
        <is>
          <t>POP</t>
        </is>
      </c>
      <c r="F2094" s="38" t="n">
        <v>25</v>
      </c>
    </row>
    <row r="2095" ht="15" customHeight="1" s="39">
      <c r="A2095" s="38" t="inlineStr">
        <is>
          <t>2021</t>
        </is>
      </c>
      <c r="B2095" s="42" t="inlineStr">
        <is>
          <t>431665</t>
        </is>
      </c>
      <c r="C2095" s="38" t="inlineStr">
        <is>
          <t>Y053</t>
        </is>
      </c>
      <c r="D2095" s="38" t="inlineStr">
        <is>
          <t>TOTAL</t>
        </is>
      </c>
      <c r="E2095" s="38" t="inlineStr">
        <is>
          <t>POP</t>
        </is>
      </c>
      <c r="F2095" s="38" t="n">
        <v>25</v>
      </c>
    </row>
    <row r="2096" ht="15" customHeight="1" s="39">
      <c r="A2096" s="38" t="inlineStr">
        <is>
          <t>2021</t>
        </is>
      </c>
      <c r="B2096" s="42" t="inlineStr">
        <is>
          <t>431665</t>
        </is>
      </c>
      <c r="C2096" s="38" t="inlineStr">
        <is>
          <t>Y054</t>
        </is>
      </c>
      <c r="D2096" s="38" t="inlineStr">
        <is>
          <t>TOTAL</t>
        </is>
      </c>
      <c r="E2096" s="38" t="inlineStr">
        <is>
          <t>POP</t>
        </is>
      </c>
      <c r="F2096" s="38" t="n">
        <v>24</v>
      </c>
    </row>
    <row r="2097" ht="15" customHeight="1" s="39">
      <c r="A2097" s="38" t="inlineStr">
        <is>
          <t>2021</t>
        </is>
      </c>
      <c r="B2097" s="42" t="inlineStr">
        <is>
          <t>431665</t>
        </is>
      </c>
      <c r="C2097" s="38" t="inlineStr">
        <is>
          <t>Y055</t>
        </is>
      </c>
      <c r="D2097" s="38" t="inlineStr">
        <is>
          <t>TOTAL</t>
        </is>
      </c>
      <c r="E2097" s="38" t="inlineStr">
        <is>
          <t>POP</t>
        </is>
      </c>
      <c r="F2097" s="38" t="n">
        <v>20</v>
      </c>
    </row>
    <row r="2098" ht="15" customHeight="1" s="39">
      <c r="A2098" s="38" t="inlineStr">
        <is>
          <t>2021</t>
        </is>
      </c>
      <c r="B2098" s="42" t="inlineStr">
        <is>
          <t>431665</t>
        </is>
      </c>
      <c r="C2098" s="38" t="inlineStr">
        <is>
          <t>Y056</t>
        </is>
      </c>
      <c r="D2098" s="38" t="inlineStr">
        <is>
          <t>TOTAL</t>
        </is>
      </c>
      <c r="E2098" s="38" t="inlineStr">
        <is>
          <t>POP</t>
        </is>
      </c>
      <c r="F2098" s="38" t="n">
        <v>28</v>
      </c>
    </row>
    <row r="2099" ht="15" customHeight="1" s="39">
      <c r="A2099" s="38" t="inlineStr">
        <is>
          <t>2021</t>
        </is>
      </c>
      <c r="B2099" s="42" t="inlineStr">
        <is>
          <t>431665</t>
        </is>
      </c>
      <c r="C2099" s="38" t="inlineStr">
        <is>
          <t>Y057</t>
        </is>
      </c>
      <c r="D2099" s="38" t="inlineStr">
        <is>
          <t>TOTAL</t>
        </is>
      </c>
      <c r="E2099" s="38" t="inlineStr">
        <is>
          <t>POP</t>
        </is>
      </c>
      <c r="F2099" s="38" t="n">
        <v>26</v>
      </c>
    </row>
    <row r="2100" ht="15" customHeight="1" s="39">
      <c r="A2100" s="38" t="inlineStr">
        <is>
          <t>2021</t>
        </is>
      </c>
      <c r="B2100" s="42" t="inlineStr">
        <is>
          <t>431665</t>
        </is>
      </c>
      <c r="C2100" s="38" t="inlineStr">
        <is>
          <t>Y058</t>
        </is>
      </c>
      <c r="D2100" s="38" t="inlineStr">
        <is>
          <t>TOTAL</t>
        </is>
      </c>
      <c r="E2100" s="38" t="inlineStr">
        <is>
          <t>POP</t>
        </is>
      </c>
      <c r="F2100" s="38" t="n">
        <v>24</v>
      </c>
    </row>
    <row r="2101" ht="15" customHeight="1" s="39">
      <c r="A2101" s="38" t="inlineStr">
        <is>
          <t>2021</t>
        </is>
      </c>
      <c r="B2101" s="42" t="inlineStr">
        <is>
          <t>431665</t>
        </is>
      </c>
      <c r="C2101" s="38" t="inlineStr">
        <is>
          <t>Y059</t>
        </is>
      </c>
      <c r="D2101" s="38" t="inlineStr">
        <is>
          <t>TOTAL</t>
        </is>
      </c>
      <c r="E2101" s="38" t="inlineStr">
        <is>
          <t>POP</t>
        </is>
      </c>
      <c r="F2101" s="38" t="n">
        <v>23</v>
      </c>
    </row>
    <row r="2102" ht="15" customHeight="1" s="39">
      <c r="A2102" s="38" t="inlineStr">
        <is>
          <t>2021</t>
        </is>
      </c>
      <c r="B2102" s="42" t="inlineStr">
        <is>
          <t>431665</t>
        </is>
      </c>
      <c r="C2102" s="38" t="inlineStr">
        <is>
          <t>Y060</t>
        </is>
      </c>
      <c r="D2102" s="38" t="inlineStr">
        <is>
          <t>TOTAL</t>
        </is>
      </c>
      <c r="E2102" s="38" t="inlineStr">
        <is>
          <t>POP</t>
        </is>
      </c>
      <c r="F2102" s="38" t="n">
        <v>29</v>
      </c>
    </row>
    <row r="2103" ht="15" customHeight="1" s="39">
      <c r="A2103" s="38" t="inlineStr">
        <is>
          <t>2021</t>
        </is>
      </c>
      <c r="B2103" s="42" t="inlineStr">
        <is>
          <t>431665</t>
        </is>
      </c>
      <c r="C2103" s="38" t="inlineStr">
        <is>
          <t>Y061</t>
        </is>
      </c>
      <c r="D2103" s="38" t="inlineStr">
        <is>
          <t>TOTAL</t>
        </is>
      </c>
      <c r="E2103" s="38" t="inlineStr">
        <is>
          <t>POP</t>
        </is>
      </c>
      <c r="F2103" s="38" t="n">
        <v>15</v>
      </c>
    </row>
    <row r="2104" ht="15" customHeight="1" s="39">
      <c r="A2104" s="38" t="inlineStr">
        <is>
          <t>2021</t>
        </is>
      </c>
      <c r="B2104" s="42" t="inlineStr">
        <is>
          <t>431665</t>
        </is>
      </c>
      <c r="C2104" s="38" t="inlineStr">
        <is>
          <t>Y062</t>
        </is>
      </c>
      <c r="D2104" s="38" t="inlineStr">
        <is>
          <t>TOTAL</t>
        </is>
      </c>
      <c r="E2104" s="38" t="inlineStr">
        <is>
          <t>POP</t>
        </is>
      </c>
      <c r="F2104" s="38" t="n">
        <v>18</v>
      </c>
    </row>
    <row r="2105" ht="15" customHeight="1" s="39">
      <c r="A2105" s="38" t="inlineStr">
        <is>
          <t>2021</t>
        </is>
      </c>
      <c r="B2105" s="42" t="inlineStr">
        <is>
          <t>431665</t>
        </is>
      </c>
      <c r="C2105" s="38" t="inlineStr">
        <is>
          <t>Y063</t>
        </is>
      </c>
      <c r="D2105" s="38" t="inlineStr">
        <is>
          <t>TOTAL</t>
        </is>
      </c>
      <c r="E2105" s="38" t="inlineStr">
        <is>
          <t>POP</t>
        </is>
      </c>
      <c r="F2105" s="38" t="n">
        <v>24</v>
      </c>
    </row>
    <row r="2106" ht="15" customHeight="1" s="39">
      <c r="A2106" s="38" t="inlineStr">
        <is>
          <t>2021</t>
        </is>
      </c>
      <c r="B2106" s="42" t="inlineStr">
        <is>
          <t>431665</t>
        </is>
      </c>
      <c r="C2106" s="38" t="inlineStr">
        <is>
          <t>Y064</t>
        </is>
      </c>
      <c r="D2106" s="38" t="inlineStr">
        <is>
          <t>TOTAL</t>
        </is>
      </c>
      <c r="E2106" s="38" t="inlineStr">
        <is>
          <t>POP</t>
        </is>
      </c>
      <c r="F2106" s="38" t="n">
        <v>14</v>
      </c>
    </row>
    <row r="2107" ht="15" customHeight="1" s="39">
      <c r="A2107" s="38" t="inlineStr">
        <is>
          <t>2021</t>
        </is>
      </c>
      <c r="B2107" s="42" t="inlineStr">
        <is>
          <t>431665</t>
        </is>
      </c>
      <c r="C2107" s="38" t="inlineStr">
        <is>
          <t>Y065</t>
        </is>
      </c>
      <c r="D2107" s="38" t="inlineStr">
        <is>
          <t>TOTAL</t>
        </is>
      </c>
      <c r="E2107" s="38" t="inlineStr">
        <is>
          <t>POP</t>
        </is>
      </c>
      <c r="F2107" s="38" t="n">
        <v>24</v>
      </c>
    </row>
    <row r="2108" ht="15" customHeight="1" s="39">
      <c r="A2108" s="38" t="inlineStr">
        <is>
          <t>2021</t>
        </is>
      </c>
      <c r="B2108" s="42" t="inlineStr">
        <is>
          <t>431665</t>
        </is>
      </c>
      <c r="C2108" s="38" t="inlineStr">
        <is>
          <t>Y066</t>
        </is>
      </c>
      <c r="D2108" s="38" t="inlineStr">
        <is>
          <t>TOTAL</t>
        </is>
      </c>
      <c r="E2108" s="38" t="inlineStr">
        <is>
          <t>POP</t>
        </is>
      </c>
      <c r="F2108" s="38" t="n">
        <v>23</v>
      </c>
    </row>
    <row r="2109" ht="15" customHeight="1" s="39">
      <c r="A2109" s="38" t="inlineStr">
        <is>
          <t>2021</t>
        </is>
      </c>
      <c r="B2109" s="42" t="inlineStr">
        <is>
          <t>431665</t>
        </is>
      </c>
      <c r="C2109" s="38" t="inlineStr">
        <is>
          <t>Y067</t>
        </is>
      </c>
      <c r="D2109" s="38" t="inlineStr">
        <is>
          <t>TOTAL</t>
        </is>
      </c>
      <c r="E2109" s="38" t="inlineStr">
        <is>
          <t>POP</t>
        </is>
      </c>
      <c r="F2109" s="38" t="n">
        <v>15</v>
      </c>
    </row>
    <row r="2110" ht="15" customHeight="1" s="39">
      <c r="A2110" s="38" t="inlineStr">
        <is>
          <t>2021</t>
        </is>
      </c>
      <c r="B2110" s="42" t="inlineStr">
        <is>
          <t>431665</t>
        </is>
      </c>
      <c r="C2110" s="38" t="inlineStr">
        <is>
          <t>Y068</t>
        </is>
      </c>
      <c r="D2110" s="38" t="inlineStr">
        <is>
          <t>TOTAL</t>
        </is>
      </c>
      <c r="E2110" s="38" t="inlineStr">
        <is>
          <t>POP</t>
        </is>
      </c>
      <c r="F2110" s="38" t="n">
        <v>26</v>
      </c>
    </row>
    <row r="2111" ht="15" customHeight="1" s="39">
      <c r="A2111" s="38" t="inlineStr">
        <is>
          <t>2021</t>
        </is>
      </c>
      <c r="B2111" s="42" t="inlineStr">
        <is>
          <t>431665</t>
        </is>
      </c>
      <c r="C2111" s="38" t="inlineStr">
        <is>
          <t>Y069</t>
        </is>
      </c>
      <c r="D2111" s="38" t="inlineStr">
        <is>
          <t>TOTAL</t>
        </is>
      </c>
      <c r="E2111" s="38" t="inlineStr">
        <is>
          <t>POP</t>
        </is>
      </c>
      <c r="F2111" s="38" t="n">
        <v>14</v>
      </c>
    </row>
    <row r="2112" ht="15" customHeight="1" s="39">
      <c r="A2112" s="38" t="inlineStr">
        <is>
          <t>2021</t>
        </is>
      </c>
      <c r="B2112" s="42" t="inlineStr">
        <is>
          <t>431665</t>
        </is>
      </c>
      <c r="C2112" s="38" t="inlineStr">
        <is>
          <t>Y070</t>
        </is>
      </c>
      <c r="D2112" s="38" t="inlineStr">
        <is>
          <t>TOTAL</t>
        </is>
      </c>
      <c r="E2112" s="38" t="inlineStr">
        <is>
          <t>POP</t>
        </is>
      </c>
      <c r="F2112" s="38" t="n">
        <v>17</v>
      </c>
    </row>
    <row r="2113" ht="15" customHeight="1" s="39">
      <c r="A2113" s="38" t="inlineStr">
        <is>
          <t>2021</t>
        </is>
      </c>
      <c r="B2113" s="42" t="inlineStr">
        <is>
          <t>431665</t>
        </is>
      </c>
      <c r="C2113" s="38" t="inlineStr">
        <is>
          <t>Y071</t>
        </is>
      </c>
      <c r="D2113" s="38" t="inlineStr">
        <is>
          <t>TOTAL</t>
        </is>
      </c>
      <c r="E2113" s="38" t="inlineStr">
        <is>
          <t>POP</t>
        </is>
      </c>
      <c r="F2113" s="38" t="n">
        <v>15</v>
      </c>
    </row>
    <row r="2114" ht="15" customHeight="1" s="39">
      <c r="A2114" s="38" t="inlineStr">
        <is>
          <t>2021</t>
        </is>
      </c>
      <c r="B2114" s="42" t="inlineStr">
        <is>
          <t>431665</t>
        </is>
      </c>
      <c r="C2114" s="38" t="inlineStr">
        <is>
          <t>Y072</t>
        </is>
      </c>
      <c r="D2114" s="38" t="inlineStr">
        <is>
          <t>TOTAL</t>
        </is>
      </c>
      <c r="E2114" s="38" t="inlineStr">
        <is>
          <t>POP</t>
        </is>
      </c>
      <c r="F2114" s="38" t="n">
        <v>16</v>
      </c>
    </row>
    <row r="2115" ht="15" customHeight="1" s="39">
      <c r="A2115" s="38" t="inlineStr">
        <is>
          <t>2021</t>
        </is>
      </c>
      <c r="B2115" s="42" t="inlineStr">
        <is>
          <t>431665</t>
        </is>
      </c>
      <c r="C2115" s="38" t="inlineStr">
        <is>
          <t>Y073</t>
        </is>
      </c>
      <c r="D2115" s="38" t="inlineStr">
        <is>
          <t>TOTAL</t>
        </is>
      </c>
      <c r="E2115" s="38" t="inlineStr">
        <is>
          <t>POP</t>
        </is>
      </c>
      <c r="F2115" s="38" t="n">
        <v>13</v>
      </c>
    </row>
    <row r="2116" ht="15" customHeight="1" s="39">
      <c r="A2116" s="38" t="inlineStr">
        <is>
          <t>2021</t>
        </is>
      </c>
      <c r="B2116" s="42" t="inlineStr">
        <is>
          <t>431665</t>
        </is>
      </c>
      <c r="C2116" s="38" t="inlineStr">
        <is>
          <t>Y074</t>
        </is>
      </c>
      <c r="D2116" s="38" t="inlineStr">
        <is>
          <t>TOTAL</t>
        </is>
      </c>
      <c r="E2116" s="38" t="inlineStr">
        <is>
          <t>POP</t>
        </is>
      </c>
      <c r="F2116" s="38" t="n">
        <v>16</v>
      </c>
    </row>
    <row r="2117" ht="15" customHeight="1" s="39">
      <c r="A2117" s="38" t="inlineStr">
        <is>
          <t>2021</t>
        </is>
      </c>
      <c r="B2117" s="42" t="inlineStr">
        <is>
          <t>431665</t>
        </is>
      </c>
      <c r="C2117" s="38" t="inlineStr">
        <is>
          <t>Y075</t>
        </is>
      </c>
      <c r="D2117" s="38" t="inlineStr">
        <is>
          <t>TOTAL</t>
        </is>
      </c>
      <c r="E2117" s="38" t="inlineStr">
        <is>
          <t>POP</t>
        </is>
      </c>
      <c r="F2117" s="38" t="n">
        <v>13</v>
      </c>
    </row>
    <row r="2118" ht="15" customHeight="1" s="39">
      <c r="A2118" s="38" t="inlineStr">
        <is>
          <t>2021</t>
        </is>
      </c>
      <c r="B2118" s="42" t="inlineStr">
        <is>
          <t>431665</t>
        </is>
      </c>
      <c r="C2118" s="38" t="inlineStr">
        <is>
          <t>Y076</t>
        </is>
      </c>
      <c r="D2118" s="38" t="inlineStr">
        <is>
          <t>TOTAL</t>
        </is>
      </c>
      <c r="E2118" s="38" t="inlineStr">
        <is>
          <t>POP</t>
        </is>
      </c>
      <c r="F2118" s="38" t="n">
        <v>15</v>
      </c>
    </row>
    <row r="2119" ht="15" customHeight="1" s="39">
      <c r="A2119" s="38" t="inlineStr">
        <is>
          <t>2021</t>
        </is>
      </c>
      <c r="B2119" s="42" t="inlineStr">
        <is>
          <t>431665</t>
        </is>
      </c>
      <c r="C2119" s="38" t="inlineStr">
        <is>
          <t>Y077</t>
        </is>
      </c>
      <c r="D2119" s="38" t="inlineStr">
        <is>
          <t>TOTAL</t>
        </is>
      </c>
      <c r="E2119" s="38" t="inlineStr">
        <is>
          <t>POP</t>
        </is>
      </c>
      <c r="F2119" s="38" t="n">
        <v>13</v>
      </c>
    </row>
    <row r="2120" ht="15" customHeight="1" s="39">
      <c r="A2120" s="38" t="inlineStr">
        <is>
          <t>2021</t>
        </is>
      </c>
      <c r="B2120" s="42" t="inlineStr">
        <is>
          <t>431665</t>
        </is>
      </c>
      <c r="C2120" s="38" t="inlineStr">
        <is>
          <t>Y078</t>
        </is>
      </c>
      <c r="D2120" s="38" t="inlineStr">
        <is>
          <t>TOTAL</t>
        </is>
      </c>
      <c r="E2120" s="38" t="inlineStr">
        <is>
          <t>POP</t>
        </is>
      </c>
      <c r="F2120" s="38" t="n">
        <v>15</v>
      </c>
    </row>
    <row r="2121" ht="15" customHeight="1" s="39">
      <c r="A2121" s="38" t="inlineStr">
        <is>
          <t>2021</t>
        </is>
      </c>
      <c r="B2121" s="42" t="inlineStr">
        <is>
          <t>431665</t>
        </is>
      </c>
      <c r="C2121" s="38" t="inlineStr">
        <is>
          <t>Y079</t>
        </is>
      </c>
      <c r="D2121" s="38" t="inlineStr">
        <is>
          <t>TOTAL</t>
        </is>
      </c>
      <c r="E2121" s="38" t="inlineStr">
        <is>
          <t>POP</t>
        </is>
      </c>
      <c r="F2121" s="38" t="n">
        <v>13</v>
      </c>
    </row>
    <row r="2122" ht="15" customHeight="1" s="39">
      <c r="A2122" s="38" t="inlineStr">
        <is>
          <t>2021</t>
        </is>
      </c>
      <c r="B2122" s="42" t="inlineStr">
        <is>
          <t>431665</t>
        </is>
      </c>
      <c r="C2122" s="38" t="inlineStr">
        <is>
          <t>Y080</t>
        </is>
      </c>
      <c r="D2122" s="38" t="inlineStr">
        <is>
          <t>TOTAL</t>
        </is>
      </c>
      <c r="E2122" s="38" t="inlineStr">
        <is>
          <t>POP</t>
        </is>
      </c>
      <c r="F2122" s="38" t="n">
        <v>8</v>
      </c>
    </row>
    <row r="2123" ht="15" customHeight="1" s="39">
      <c r="A2123" s="38" t="inlineStr">
        <is>
          <t>2021</t>
        </is>
      </c>
      <c r="B2123" s="42" t="inlineStr">
        <is>
          <t>431665</t>
        </is>
      </c>
      <c r="C2123" s="38" t="inlineStr">
        <is>
          <t>Y081</t>
        </is>
      </c>
      <c r="D2123" s="38" t="inlineStr">
        <is>
          <t>TOTAL</t>
        </is>
      </c>
      <c r="E2123" s="38" t="inlineStr">
        <is>
          <t>POP</t>
        </is>
      </c>
      <c r="F2123" s="38" t="n">
        <v>3</v>
      </c>
    </row>
    <row r="2124" ht="15" customHeight="1" s="39">
      <c r="A2124" s="38" t="inlineStr">
        <is>
          <t>2021</t>
        </is>
      </c>
      <c r="B2124" s="42" t="inlineStr">
        <is>
          <t>431665</t>
        </is>
      </c>
      <c r="C2124" s="38" t="inlineStr">
        <is>
          <t>Y082</t>
        </is>
      </c>
      <c r="D2124" s="38" t="inlineStr">
        <is>
          <t>TOTAL</t>
        </is>
      </c>
      <c r="E2124" s="38" t="inlineStr">
        <is>
          <t>POP</t>
        </is>
      </c>
      <c r="F2124" s="38" t="n">
        <v>4</v>
      </c>
    </row>
    <row r="2125" ht="15" customHeight="1" s="39">
      <c r="A2125" s="38" t="inlineStr">
        <is>
          <t>2021</t>
        </is>
      </c>
      <c r="B2125" s="42" t="inlineStr">
        <is>
          <t>431665</t>
        </is>
      </c>
      <c r="C2125" s="38" t="inlineStr">
        <is>
          <t>Y083</t>
        </is>
      </c>
      <c r="D2125" s="38" t="inlineStr">
        <is>
          <t>TOTAL</t>
        </is>
      </c>
      <c r="E2125" s="38" t="inlineStr">
        <is>
          <t>POP</t>
        </is>
      </c>
      <c r="F2125" s="38" t="n">
        <v>7</v>
      </c>
    </row>
    <row r="2126" ht="15" customHeight="1" s="39">
      <c r="A2126" s="38" t="inlineStr">
        <is>
          <t>2021</t>
        </is>
      </c>
      <c r="B2126" s="42" t="inlineStr">
        <is>
          <t>431665</t>
        </is>
      </c>
      <c r="C2126" s="38" t="inlineStr">
        <is>
          <t>Y084</t>
        </is>
      </c>
      <c r="D2126" s="38" t="inlineStr">
        <is>
          <t>TOTAL</t>
        </is>
      </c>
      <c r="E2126" s="38" t="inlineStr">
        <is>
          <t>POP</t>
        </is>
      </c>
      <c r="F2126" s="38" t="n">
        <v>18</v>
      </c>
    </row>
    <row r="2127" ht="15" customHeight="1" s="39">
      <c r="A2127" s="38" t="inlineStr">
        <is>
          <t>2021</t>
        </is>
      </c>
      <c r="B2127" s="42" t="inlineStr">
        <is>
          <t>431665</t>
        </is>
      </c>
      <c r="C2127" s="38" t="inlineStr">
        <is>
          <t>Y085</t>
        </is>
      </c>
      <c r="D2127" s="38" t="inlineStr">
        <is>
          <t>TOTAL</t>
        </is>
      </c>
      <c r="E2127" s="38" t="inlineStr">
        <is>
          <t>POP</t>
        </is>
      </c>
      <c r="F2127" s="38" t="n">
        <v>6</v>
      </c>
    </row>
    <row r="2128" ht="15" customHeight="1" s="39">
      <c r="A2128" s="38" t="inlineStr">
        <is>
          <t>2021</t>
        </is>
      </c>
      <c r="B2128" s="42" t="inlineStr">
        <is>
          <t>431665</t>
        </is>
      </c>
      <c r="C2128" s="38" t="inlineStr">
        <is>
          <t>Y086</t>
        </is>
      </c>
      <c r="D2128" s="38" t="inlineStr">
        <is>
          <t>TOTAL</t>
        </is>
      </c>
      <c r="E2128" s="38" t="inlineStr">
        <is>
          <t>POP</t>
        </is>
      </c>
      <c r="F2128" s="38" t="n">
        <v>7</v>
      </c>
    </row>
    <row r="2129" ht="15" customHeight="1" s="39">
      <c r="A2129" s="38" t="inlineStr">
        <is>
          <t>2021</t>
        </is>
      </c>
      <c r="B2129" s="42" t="inlineStr">
        <is>
          <t>431665</t>
        </is>
      </c>
      <c r="C2129" s="38" t="inlineStr">
        <is>
          <t>Y087</t>
        </is>
      </c>
      <c r="D2129" s="38" t="inlineStr">
        <is>
          <t>TOTAL</t>
        </is>
      </c>
      <c r="E2129" s="38" t="inlineStr">
        <is>
          <t>POP</t>
        </is>
      </c>
      <c r="F2129" s="38" t="n">
        <v>8</v>
      </c>
    </row>
    <row r="2130" ht="15" customHeight="1" s="39">
      <c r="A2130" s="38" t="inlineStr">
        <is>
          <t>2021</t>
        </is>
      </c>
      <c r="B2130" s="42" t="inlineStr">
        <is>
          <t>431665</t>
        </is>
      </c>
      <c r="C2130" s="38" t="inlineStr">
        <is>
          <t>Y088</t>
        </is>
      </c>
      <c r="D2130" s="38" t="inlineStr">
        <is>
          <t>TOTAL</t>
        </is>
      </c>
      <c r="E2130" s="38" t="inlineStr">
        <is>
          <t>POP</t>
        </is>
      </c>
      <c r="F2130" s="38" t="n">
        <v>6</v>
      </c>
    </row>
    <row r="2131" ht="15" customHeight="1" s="39">
      <c r="A2131" s="38" t="inlineStr">
        <is>
          <t>2021</t>
        </is>
      </c>
      <c r="B2131" s="42" t="inlineStr">
        <is>
          <t>431665</t>
        </is>
      </c>
      <c r="C2131" s="38" t="inlineStr">
        <is>
          <t>Y089</t>
        </is>
      </c>
      <c r="D2131" s="38" t="inlineStr">
        <is>
          <t>TOTAL</t>
        </is>
      </c>
      <c r="E2131" s="38" t="inlineStr">
        <is>
          <t>POP</t>
        </is>
      </c>
      <c r="F2131" s="38" t="n">
        <v>2</v>
      </c>
    </row>
    <row r="2132" ht="15" customHeight="1" s="39">
      <c r="A2132" s="38" t="inlineStr">
        <is>
          <t>2021</t>
        </is>
      </c>
      <c r="B2132" s="42" t="inlineStr">
        <is>
          <t>431665</t>
        </is>
      </c>
      <c r="C2132" s="38" t="inlineStr">
        <is>
          <t>Y090</t>
        </is>
      </c>
      <c r="D2132" s="38" t="inlineStr">
        <is>
          <t>TOTAL</t>
        </is>
      </c>
      <c r="E2132" s="38" t="inlineStr">
        <is>
          <t>POP</t>
        </is>
      </c>
      <c r="F2132" s="38" t="n">
        <v>5</v>
      </c>
    </row>
    <row r="2133" ht="15" customHeight="1" s="39">
      <c r="A2133" s="38" t="inlineStr">
        <is>
          <t>2021</t>
        </is>
      </c>
      <c r="B2133" s="42" t="inlineStr">
        <is>
          <t>431665</t>
        </is>
      </c>
      <c r="C2133" s="38" t="inlineStr">
        <is>
          <t>Y091</t>
        </is>
      </c>
      <c r="D2133" s="38" t="inlineStr">
        <is>
          <t>TOTAL</t>
        </is>
      </c>
      <c r="E2133" s="38" t="inlineStr">
        <is>
          <t>POP</t>
        </is>
      </c>
      <c r="F2133" s="38" t="n">
        <v>0</v>
      </c>
    </row>
    <row r="2134" ht="15" customHeight="1" s="39">
      <c r="A2134" s="38" t="inlineStr">
        <is>
          <t>2021</t>
        </is>
      </c>
      <c r="B2134" s="42" t="inlineStr">
        <is>
          <t>431665</t>
        </is>
      </c>
      <c r="C2134" s="38" t="inlineStr">
        <is>
          <t>Y092</t>
        </is>
      </c>
      <c r="D2134" s="38" t="inlineStr">
        <is>
          <t>TOTAL</t>
        </is>
      </c>
      <c r="E2134" s="38" t="inlineStr">
        <is>
          <t>POP</t>
        </is>
      </c>
      <c r="F2134" s="38" t="n">
        <v>5</v>
      </c>
    </row>
    <row r="2135" ht="15" customHeight="1" s="39">
      <c r="A2135" s="38" t="inlineStr">
        <is>
          <t>2021</t>
        </is>
      </c>
      <c r="B2135" s="42" t="inlineStr">
        <is>
          <t>431665</t>
        </is>
      </c>
      <c r="C2135" s="38" t="inlineStr">
        <is>
          <t>Y093</t>
        </is>
      </c>
      <c r="D2135" s="38" t="inlineStr">
        <is>
          <t>TOTAL</t>
        </is>
      </c>
      <c r="E2135" s="38" t="inlineStr">
        <is>
          <t>POP</t>
        </is>
      </c>
      <c r="F2135" s="38" t="n">
        <v>4</v>
      </c>
    </row>
    <row r="2136" ht="15" customHeight="1" s="39">
      <c r="A2136" s="38" t="inlineStr">
        <is>
          <t>2021</t>
        </is>
      </c>
      <c r="B2136" s="42" t="inlineStr">
        <is>
          <t>431665</t>
        </is>
      </c>
      <c r="C2136" s="38" t="inlineStr">
        <is>
          <t>Y094</t>
        </is>
      </c>
      <c r="D2136" s="38" t="inlineStr">
        <is>
          <t>TOTAL</t>
        </is>
      </c>
      <c r="E2136" s="38" t="inlineStr">
        <is>
          <t>POP</t>
        </is>
      </c>
      <c r="F2136" s="38" t="n">
        <v>4</v>
      </c>
    </row>
    <row r="2137" ht="15" customHeight="1" s="39">
      <c r="A2137" s="38" t="inlineStr">
        <is>
          <t>2021</t>
        </is>
      </c>
      <c r="B2137" s="42" t="inlineStr">
        <is>
          <t>431665</t>
        </is>
      </c>
      <c r="C2137" s="38" t="inlineStr">
        <is>
          <t>Y095</t>
        </is>
      </c>
      <c r="D2137" s="38" t="inlineStr">
        <is>
          <t>TOTAL</t>
        </is>
      </c>
      <c r="E2137" s="38" t="inlineStr">
        <is>
          <t>POP</t>
        </is>
      </c>
      <c r="F2137" s="38" t="n">
        <v>1</v>
      </c>
    </row>
    <row r="2138" ht="15" customHeight="1" s="39">
      <c r="A2138" s="38" t="inlineStr">
        <is>
          <t>2021</t>
        </is>
      </c>
      <c r="B2138" s="42" t="inlineStr">
        <is>
          <t>431665</t>
        </is>
      </c>
      <c r="C2138" s="38" t="inlineStr">
        <is>
          <t>Y096</t>
        </is>
      </c>
      <c r="D2138" s="38" t="inlineStr">
        <is>
          <t>TOTAL</t>
        </is>
      </c>
      <c r="E2138" s="38" t="inlineStr">
        <is>
          <t>POP</t>
        </is>
      </c>
      <c r="F2138" s="38" t="n">
        <v>3</v>
      </c>
    </row>
    <row r="2139" ht="15" customHeight="1" s="39">
      <c r="A2139" s="38" t="inlineStr">
        <is>
          <t>2021</t>
        </is>
      </c>
      <c r="B2139" s="42" t="inlineStr">
        <is>
          <t>431665</t>
        </is>
      </c>
      <c r="C2139" s="38" t="inlineStr">
        <is>
          <t>Y097</t>
        </is>
      </c>
      <c r="D2139" s="38" t="inlineStr">
        <is>
          <t>TOTAL</t>
        </is>
      </c>
      <c r="E2139" s="38" t="inlineStr">
        <is>
          <t>POP</t>
        </is>
      </c>
      <c r="F2139" s="38" t="n">
        <v>0</v>
      </c>
    </row>
    <row r="2140" ht="15" customHeight="1" s="39">
      <c r="A2140" s="38" t="inlineStr">
        <is>
          <t>2021</t>
        </is>
      </c>
      <c r="B2140" s="42" t="inlineStr">
        <is>
          <t>431665</t>
        </is>
      </c>
      <c r="C2140" s="38" t="inlineStr">
        <is>
          <t>Y098</t>
        </is>
      </c>
      <c r="D2140" s="38" t="inlineStr">
        <is>
          <t>TOTAL</t>
        </is>
      </c>
      <c r="E2140" s="38" t="inlineStr">
        <is>
          <t>POP</t>
        </is>
      </c>
      <c r="F2140" s="38" t="n">
        <v>0</v>
      </c>
    </row>
    <row r="2141" ht="15" customHeight="1" s="39">
      <c r="A2141" s="38" t="inlineStr">
        <is>
          <t>2021</t>
        </is>
      </c>
      <c r="B2141" s="42" t="inlineStr">
        <is>
          <t>431665</t>
        </is>
      </c>
      <c r="C2141" s="38" t="inlineStr">
        <is>
          <t>Y099</t>
        </is>
      </c>
      <c r="D2141" s="38" t="inlineStr">
        <is>
          <t>TOTAL</t>
        </is>
      </c>
      <c r="E2141" s="38" t="inlineStr">
        <is>
          <t>POP</t>
        </is>
      </c>
      <c r="F2141" s="38" t="n">
        <v>2</v>
      </c>
    </row>
    <row r="2142" ht="15" customHeight="1" s="39">
      <c r="A2142" s="38" t="inlineStr">
        <is>
          <t>2021</t>
        </is>
      </c>
      <c r="B2142" s="42" t="inlineStr">
        <is>
          <t>431665</t>
        </is>
      </c>
      <c r="C2142" s="38" t="inlineStr">
        <is>
          <t>Y_GE100</t>
        </is>
      </c>
      <c r="D2142" s="38" t="inlineStr">
        <is>
          <t>TOTAL</t>
        </is>
      </c>
      <c r="E2142" s="38" t="inlineStr">
        <is>
          <t>POP</t>
        </is>
      </c>
      <c r="F2142" s="38" t="n">
        <v>0</v>
      </c>
    </row>
    <row r="2143" ht="15" customHeight="1" s="39">
      <c r="A2143" s="38" t="inlineStr">
        <is>
          <t>2021</t>
        </is>
      </c>
      <c r="B2143" s="42" t="inlineStr">
        <is>
          <t>431665</t>
        </is>
      </c>
      <c r="C2143" s="38" t="inlineStr">
        <is>
          <t>TOTAL</t>
        </is>
      </c>
      <c r="D2143" s="38" t="inlineStr">
        <is>
          <t>TOTAL</t>
        </is>
      </c>
      <c r="E2143" s="38" t="inlineStr">
        <is>
          <t>POP</t>
        </is>
      </c>
      <c r="F2143" s="38" t="n">
        <v>2387</v>
      </c>
    </row>
    <row r="2144" ht="15" customHeight="1" s="39">
      <c r="A2144" s="38" t="inlineStr">
        <is>
          <t>2021</t>
        </is>
      </c>
      <c r="B2144" s="42" t="inlineStr">
        <is>
          <t>431711</t>
        </is>
      </c>
      <c r="C2144" s="38" t="inlineStr">
        <is>
          <t>Y000</t>
        </is>
      </c>
      <c r="D2144" s="38" t="inlineStr">
        <is>
          <t>TOTAL</t>
        </is>
      </c>
      <c r="E2144" s="38" t="inlineStr">
        <is>
          <t>POP</t>
        </is>
      </c>
      <c r="F2144" s="38" t="n">
        <v>201</v>
      </c>
    </row>
    <row r="2145" ht="15" customHeight="1" s="39">
      <c r="A2145" s="38" t="inlineStr">
        <is>
          <t>2021</t>
        </is>
      </c>
      <c r="B2145" s="42" t="inlineStr">
        <is>
          <t>431711</t>
        </is>
      </c>
      <c r="C2145" s="38" t="inlineStr">
        <is>
          <t>Y001</t>
        </is>
      </c>
      <c r="D2145" s="38" t="inlineStr">
        <is>
          <t>TOTAL</t>
        </is>
      </c>
      <c r="E2145" s="38" t="inlineStr">
        <is>
          <t>POP</t>
        </is>
      </c>
      <c r="F2145" s="38" t="n">
        <v>200</v>
      </c>
    </row>
    <row r="2146" ht="15" customHeight="1" s="39">
      <c r="A2146" s="38" t="inlineStr">
        <is>
          <t>2021</t>
        </is>
      </c>
      <c r="B2146" s="42" t="inlineStr">
        <is>
          <t>431711</t>
        </is>
      </c>
      <c r="C2146" s="38" t="inlineStr">
        <is>
          <t>Y002</t>
        </is>
      </c>
      <c r="D2146" s="38" t="inlineStr">
        <is>
          <t>TOTAL</t>
        </is>
      </c>
      <c r="E2146" s="38" t="inlineStr">
        <is>
          <t>POP</t>
        </is>
      </c>
      <c r="F2146" s="38" t="n">
        <v>241</v>
      </c>
    </row>
    <row r="2147" ht="15" customHeight="1" s="39">
      <c r="A2147" s="38" t="inlineStr">
        <is>
          <t>2021</t>
        </is>
      </c>
      <c r="B2147" s="42" t="inlineStr">
        <is>
          <t>431711</t>
        </is>
      </c>
      <c r="C2147" s="38" t="inlineStr">
        <is>
          <t>Y003</t>
        </is>
      </c>
      <c r="D2147" s="38" t="inlineStr">
        <is>
          <t>TOTAL</t>
        </is>
      </c>
      <c r="E2147" s="38" t="inlineStr">
        <is>
          <t>POP</t>
        </is>
      </c>
      <c r="F2147" s="38" t="n">
        <v>251</v>
      </c>
    </row>
    <row r="2148" ht="15" customHeight="1" s="39">
      <c r="A2148" s="38" t="inlineStr">
        <is>
          <t>2021</t>
        </is>
      </c>
      <c r="B2148" s="42" t="inlineStr">
        <is>
          <t>431711</t>
        </is>
      </c>
      <c r="C2148" s="38" t="inlineStr">
        <is>
          <t>Y004</t>
        </is>
      </c>
      <c r="D2148" s="38" t="inlineStr">
        <is>
          <t>TOTAL</t>
        </is>
      </c>
      <c r="E2148" s="38" t="inlineStr">
        <is>
          <t>POP</t>
        </is>
      </c>
      <c r="F2148" s="38" t="n">
        <v>267</v>
      </c>
    </row>
    <row r="2149" ht="15" customHeight="1" s="39">
      <c r="A2149" s="38" t="inlineStr">
        <is>
          <t>2021</t>
        </is>
      </c>
      <c r="B2149" s="42" t="inlineStr">
        <is>
          <t>431711</t>
        </is>
      </c>
      <c r="C2149" s="38" t="inlineStr">
        <is>
          <t>Y005</t>
        </is>
      </c>
      <c r="D2149" s="38" t="inlineStr">
        <is>
          <t>TOTAL</t>
        </is>
      </c>
      <c r="E2149" s="38" t="inlineStr">
        <is>
          <t>POP</t>
        </is>
      </c>
      <c r="F2149" s="38" t="n">
        <v>297</v>
      </c>
    </row>
    <row r="2150" ht="15" customHeight="1" s="39">
      <c r="A2150" s="38" t="inlineStr">
        <is>
          <t>2021</t>
        </is>
      </c>
      <c r="B2150" s="42" t="inlineStr">
        <is>
          <t>431711</t>
        </is>
      </c>
      <c r="C2150" s="38" t="inlineStr">
        <is>
          <t>Y006</t>
        </is>
      </c>
      <c r="D2150" s="38" t="inlineStr">
        <is>
          <t>TOTAL</t>
        </is>
      </c>
      <c r="E2150" s="38" t="inlineStr">
        <is>
          <t>POP</t>
        </is>
      </c>
      <c r="F2150" s="38" t="n">
        <v>333</v>
      </c>
    </row>
    <row r="2151" ht="15" customHeight="1" s="39">
      <c r="A2151" s="38" t="inlineStr">
        <is>
          <t>2021</t>
        </is>
      </c>
      <c r="B2151" s="42" t="inlineStr">
        <is>
          <t>431711</t>
        </is>
      </c>
      <c r="C2151" s="38" t="inlineStr">
        <is>
          <t>Y007</t>
        </is>
      </c>
      <c r="D2151" s="38" t="inlineStr">
        <is>
          <t>TOTAL</t>
        </is>
      </c>
      <c r="E2151" s="38" t="inlineStr">
        <is>
          <t>POP</t>
        </is>
      </c>
      <c r="F2151" s="38" t="n">
        <v>297</v>
      </c>
    </row>
    <row r="2152" ht="15" customHeight="1" s="39">
      <c r="A2152" s="38" t="inlineStr">
        <is>
          <t>2021</t>
        </is>
      </c>
      <c r="B2152" s="42" t="inlineStr">
        <is>
          <t>431711</t>
        </is>
      </c>
      <c r="C2152" s="38" t="inlineStr">
        <is>
          <t>Y008</t>
        </is>
      </c>
      <c r="D2152" s="38" t="inlineStr">
        <is>
          <t>TOTAL</t>
        </is>
      </c>
      <c r="E2152" s="38" t="inlineStr">
        <is>
          <t>POP</t>
        </is>
      </c>
      <c r="F2152" s="38" t="n">
        <v>272</v>
      </c>
    </row>
    <row r="2153" ht="15" customHeight="1" s="39">
      <c r="A2153" s="38" t="inlineStr">
        <is>
          <t>2021</t>
        </is>
      </c>
      <c r="B2153" s="42" t="inlineStr">
        <is>
          <t>431711</t>
        </is>
      </c>
      <c r="C2153" s="38" t="inlineStr">
        <is>
          <t>Y009</t>
        </is>
      </c>
      <c r="D2153" s="38" t="inlineStr">
        <is>
          <t>TOTAL</t>
        </is>
      </c>
      <c r="E2153" s="38" t="inlineStr">
        <is>
          <t>POP</t>
        </is>
      </c>
      <c r="F2153" s="38" t="n">
        <v>316</v>
      </c>
    </row>
    <row r="2154" ht="15" customHeight="1" s="39">
      <c r="A2154" s="38" t="inlineStr">
        <is>
          <t>2021</t>
        </is>
      </c>
      <c r="B2154" s="42" t="inlineStr">
        <is>
          <t>431711</t>
        </is>
      </c>
      <c r="C2154" s="38" t="inlineStr">
        <is>
          <t>Y010</t>
        </is>
      </c>
      <c r="D2154" s="38" t="inlineStr">
        <is>
          <t>TOTAL</t>
        </is>
      </c>
      <c r="E2154" s="38" t="inlineStr">
        <is>
          <t>POP</t>
        </is>
      </c>
      <c r="F2154" s="38" t="n">
        <v>312</v>
      </c>
    </row>
    <row r="2155" ht="15" customHeight="1" s="39">
      <c r="A2155" s="38" t="inlineStr">
        <is>
          <t>2021</t>
        </is>
      </c>
      <c r="B2155" s="42" t="inlineStr">
        <is>
          <t>431711</t>
        </is>
      </c>
      <c r="C2155" s="38" t="inlineStr">
        <is>
          <t>Y011</t>
        </is>
      </c>
      <c r="D2155" s="38" t="inlineStr">
        <is>
          <t>TOTAL</t>
        </is>
      </c>
      <c r="E2155" s="38" t="inlineStr">
        <is>
          <t>POP</t>
        </is>
      </c>
      <c r="F2155" s="38" t="n">
        <v>317</v>
      </c>
    </row>
    <row r="2156" ht="15" customHeight="1" s="39">
      <c r="A2156" s="38" t="inlineStr">
        <is>
          <t>2021</t>
        </is>
      </c>
      <c r="B2156" s="42" t="inlineStr">
        <is>
          <t>431711</t>
        </is>
      </c>
      <c r="C2156" s="38" t="inlineStr">
        <is>
          <t>Y012</t>
        </is>
      </c>
      <c r="D2156" s="38" t="inlineStr">
        <is>
          <t>TOTAL</t>
        </is>
      </c>
      <c r="E2156" s="38" t="inlineStr">
        <is>
          <t>POP</t>
        </is>
      </c>
      <c r="F2156" s="38" t="n">
        <v>323</v>
      </c>
    </row>
    <row r="2157" ht="15" customHeight="1" s="39">
      <c r="A2157" s="38" t="inlineStr">
        <is>
          <t>2021</t>
        </is>
      </c>
      <c r="B2157" s="42" t="inlineStr">
        <is>
          <t>431711</t>
        </is>
      </c>
      <c r="C2157" s="38" t="inlineStr">
        <is>
          <t>Y013</t>
        </is>
      </c>
      <c r="D2157" s="38" t="inlineStr">
        <is>
          <t>TOTAL</t>
        </is>
      </c>
      <c r="E2157" s="38" t="inlineStr">
        <is>
          <t>POP</t>
        </is>
      </c>
      <c r="F2157" s="38" t="n">
        <v>251</v>
      </c>
    </row>
    <row r="2158" ht="15" customHeight="1" s="39">
      <c r="A2158" s="38" t="inlineStr">
        <is>
          <t>2021</t>
        </is>
      </c>
      <c r="B2158" s="42" t="inlineStr">
        <is>
          <t>431711</t>
        </is>
      </c>
      <c r="C2158" s="38" t="inlineStr">
        <is>
          <t>Y014</t>
        </is>
      </c>
      <c r="D2158" s="38" t="inlineStr">
        <is>
          <t>TOTAL</t>
        </is>
      </c>
      <c r="E2158" s="38" t="inlineStr">
        <is>
          <t>POP</t>
        </is>
      </c>
      <c r="F2158" s="38" t="n">
        <v>277</v>
      </c>
    </row>
    <row r="2159" ht="15" customHeight="1" s="39">
      <c r="A2159" s="38" t="inlineStr">
        <is>
          <t>2021</t>
        </is>
      </c>
      <c r="B2159" s="42" t="inlineStr">
        <is>
          <t>431711</t>
        </is>
      </c>
      <c r="C2159" s="38" t="inlineStr">
        <is>
          <t>Y015</t>
        </is>
      </c>
      <c r="D2159" s="38" t="inlineStr">
        <is>
          <t>TOTAL</t>
        </is>
      </c>
      <c r="E2159" s="38" t="inlineStr">
        <is>
          <t>POP</t>
        </is>
      </c>
      <c r="F2159" s="38" t="n">
        <v>268</v>
      </c>
    </row>
    <row r="2160" ht="15" customHeight="1" s="39">
      <c r="A2160" s="38" t="inlineStr">
        <is>
          <t>2021</t>
        </is>
      </c>
      <c r="B2160" s="42" t="inlineStr">
        <is>
          <t>431711</t>
        </is>
      </c>
      <c r="C2160" s="38" t="inlineStr">
        <is>
          <t>Y016</t>
        </is>
      </c>
      <c r="D2160" s="38" t="inlineStr">
        <is>
          <t>TOTAL</t>
        </is>
      </c>
      <c r="E2160" s="38" t="inlineStr">
        <is>
          <t>POP</t>
        </is>
      </c>
      <c r="F2160" s="38" t="n">
        <v>216</v>
      </c>
    </row>
    <row r="2161" ht="15" customHeight="1" s="39">
      <c r="A2161" s="38" t="inlineStr">
        <is>
          <t>2021</t>
        </is>
      </c>
      <c r="B2161" s="42" t="inlineStr">
        <is>
          <t>431711</t>
        </is>
      </c>
      <c r="C2161" s="38" t="inlineStr">
        <is>
          <t>Y017</t>
        </is>
      </c>
      <c r="D2161" s="38" t="inlineStr">
        <is>
          <t>TOTAL</t>
        </is>
      </c>
      <c r="E2161" s="38" t="inlineStr">
        <is>
          <t>POP</t>
        </is>
      </c>
      <c r="F2161" s="38" t="n">
        <v>227</v>
      </c>
    </row>
    <row r="2162" ht="15" customHeight="1" s="39">
      <c r="A2162" s="38" t="inlineStr">
        <is>
          <t>2021</t>
        </is>
      </c>
      <c r="B2162" s="42" t="inlineStr">
        <is>
          <t>431711</t>
        </is>
      </c>
      <c r="C2162" s="38" t="inlineStr">
        <is>
          <t>Y018</t>
        </is>
      </c>
      <c r="D2162" s="38" t="inlineStr">
        <is>
          <t>TOTAL</t>
        </is>
      </c>
      <c r="E2162" s="38" t="inlineStr">
        <is>
          <t>POP</t>
        </is>
      </c>
      <c r="F2162" s="38" t="n">
        <v>221</v>
      </c>
    </row>
    <row r="2163" ht="15" customHeight="1" s="39">
      <c r="A2163" s="38" t="inlineStr">
        <is>
          <t>2021</t>
        </is>
      </c>
      <c r="B2163" s="42" t="inlineStr">
        <is>
          <t>431711</t>
        </is>
      </c>
      <c r="C2163" s="38" t="inlineStr">
        <is>
          <t>Y019</t>
        </is>
      </c>
      <c r="D2163" s="38" t="inlineStr">
        <is>
          <t>TOTAL</t>
        </is>
      </c>
      <c r="E2163" s="38" t="inlineStr">
        <is>
          <t>POP</t>
        </is>
      </c>
      <c r="F2163" s="38" t="n">
        <v>207</v>
      </c>
    </row>
    <row r="2164" ht="15" customHeight="1" s="39">
      <c r="A2164" s="38" t="inlineStr">
        <is>
          <t>2021</t>
        </is>
      </c>
      <c r="B2164" s="42" t="inlineStr">
        <is>
          <t>431711</t>
        </is>
      </c>
      <c r="C2164" s="38" t="inlineStr">
        <is>
          <t>Y020</t>
        </is>
      </c>
      <c r="D2164" s="38" t="inlineStr">
        <is>
          <t>TOTAL</t>
        </is>
      </c>
      <c r="E2164" s="38" t="inlineStr">
        <is>
          <t>POP</t>
        </is>
      </c>
      <c r="F2164" s="38" t="n">
        <v>231</v>
      </c>
    </row>
    <row r="2165" ht="15" customHeight="1" s="39">
      <c r="A2165" s="38" t="inlineStr">
        <is>
          <t>2021</t>
        </is>
      </c>
      <c r="B2165" s="42" t="inlineStr">
        <is>
          <t>431711</t>
        </is>
      </c>
      <c r="C2165" s="38" t="inlineStr">
        <is>
          <t>Y021</t>
        </is>
      </c>
      <c r="D2165" s="38" t="inlineStr">
        <is>
          <t>TOTAL</t>
        </is>
      </c>
      <c r="E2165" s="38" t="inlineStr">
        <is>
          <t>POP</t>
        </is>
      </c>
      <c r="F2165" s="38" t="n">
        <v>193</v>
      </c>
    </row>
    <row r="2166" ht="15" customHeight="1" s="39">
      <c r="A2166" s="38" t="inlineStr">
        <is>
          <t>2021</t>
        </is>
      </c>
      <c r="B2166" s="42" t="inlineStr">
        <is>
          <t>431711</t>
        </is>
      </c>
      <c r="C2166" s="38" t="inlineStr">
        <is>
          <t>Y022</t>
        </is>
      </c>
      <c r="D2166" s="38" t="inlineStr">
        <is>
          <t>TOTAL</t>
        </is>
      </c>
      <c r="E2166" s="38" t="inlineStr">
        <is>
          <t>POP</t>
        </is>
      </c>
      <c r="F2166" s="38" t="n">
        <v>226</v>
      </c>
    </row>
    <row r="2167" ht="15" customHeight="1" s="39">
      <c r="A2167" s="38" t="inlineStr">
        <is>
          <t>2021</t>
        </is>
      </c>
      <c r="B2167" s="42" t="inlineStr">
        <is>
          <t>431711</t>
        </is>
      </c>
      <c r="C2167" s="38" t="inlineStr">
        <is>
          <t>Y023</t>
        </is>
      </c>
      <c r="D2167" s="38" t="inlineStr">
        <is>
          <t>TOTAL</t>
        </is>
      </c>
      <c r="E2167" s="38" t="inlineStr">
        <is>
          <t>POP</t>
        </is>
      </c>
      <c r="F2167" s="38" t="n">
        <v>201</v>
      </c>
    </row>
    <row r="2168" ht="15" customHeight="1" s="39">
      <c r="A2168" s="38" t="inlineStr">
        <is>
          <t>2021</t>
        </is>
      </c>
      <c r="B2168" s="42" t="inlineStr">
        <is>
          <t>431711</t>
        </is>
      </c>
      <c r="C2168" s="38" t="inlineStr">
        <is>
          <t>Y024</t>
        </is>
      </c>
      <c r="D2168" s="38" t="inlineStr">
        <is>
          <t>TOTAL</t>
        </is>
      </c>
      <c r="E2168" s="38" t="inlineStr">
        <is>
          <t>POP</t>
        </is>
      </c>
      <c r="F2168" s="38" t="n">
        <v>214</v>
      </c>
    </row>
    <row r="2169" ht="15" customHeight="1" s="39">
      <c r="A2169" s="38" t="inlineStr">
        <is>
          <t>2021</t>
        </is>
      </c>
      <c r="B2169" s="42" t="inlineStr">
        <is>
          <t>431711</t>
        </is>
      </c>
      <c r="C2169" s="38" t="inlineStr">
        <is>
          <t>Y025</t>
        </is>
      </c>
      <c r="D2169" s="38" t="inlineStr">
        <is>
          <t>TOTAL</t>
        </is>
      </c>
      <c r="E2169" s="38" t="inlineStr">
        <is>
          <t>POP</t>
        </is>
      </c>
      <c r="F2169" s="38" t="n">
        <v>181</v>
      </c>
    </row>
    <row r="2170" ht="15" customHeight="1" s="39">
      <c r="A2170" s="38" t="inlineStr">
        <is>
          <t>2021</t>
        </is>
      </c>
      <c r="B2170" s="42" t="inlineStr">
        <is>
          <t>431711</t>
        </is>
      </c>
      <c r="C2170" s="38" t="inlineStr">
        <is>
          <t>Y026</t>
        </is>
      </c>
      <c r="D2170" s="38" t="inlineStr">
        <is>
          <t>TOTAL</t>
        </is>
      </c>
      <c r="E2170" s="38" t="inlineStr">
        <is>
          <t>POP</t>
        </is>
      </c>
      <c r="F2170" s="38" t="n">
        <v>222</v>
      </c>
    </row>
    <row r="2171" ht="15" customHeight="1" s="39">
      <c r="A2171" s="38" t="inlineStr">
        <is>
          <t>2021</t>
        </is>
      </c>
      <c r="B2171" s="42" t="inlineStr">
        <is>
          <t>431711</t>
        </is>
      </c>
      <c r="C2171" s="38" t="inlineStr">
        <is>
          <t>Y027</t>
        </is>
      </c>
      <c r="D2171" s="38" t="inlineStr">
        <is>
          <t>TOTAL</t>
        </is>
      </c>
      <c r="E2171" s="38" t="inlineStr">
        <is>
          <t>POP</t>
        </is>
      </c>
      <c r="F2171" s="38" t="n">
        <v>218</v>
      </c>
    </row>
    <row r="2172" ht="15" customHeight="1" s="39">
      <c r="A2172" s="38" t="inlineStr">
        <is>
          <t>2021</t>
        </is>
      </c>
      <c r="B2172" s="42" t="inlineStr">
        <is>
          <t>431711</t>
        </is>
      </c>
      <c r="C2172" s="38" t="inlineStr">
        <is>
          <t>Y028</t>
        </is>
      </c>
      <c r="D2172" s="38" t="inlineStr">
        <is>
          <t>TOTAL</t>
        </is>
      </c>
      <c r="E2172" s="38" t="inlineStr">
        <is>
          <t>POP</t>
        </is>
      </c>
      <c r="F2172" s="38" t="n">
        <v>218</v>
      </c>
    </row>
    <row r="2173" ht="15" customHeight="1" s="39">
      <c r="A2173" s="38" t="inlineStr">
        <is>
          <t>2021</t>
        </is>
      </c>
      <c r="B2173" s="42" t="inlineStr">
        <is>
          <t>431711</t>
        </is>
      </c>
      <c r="C2173" s="38" t="inlineStr">
        <is>
          <t>Y029</t>
        </is>
      </c>
      <c r="D2173" s="38" t="inlineStr">
        <is>
          <t>TOTAL</t>
        </is>
      </c>
      <c r="E2173" s="38" t="inlineStr">
        <is>
          <t>POP</t>
        </is>
      </c>
      <c r="F2173" s="38" t="n">
        <v>252</v>
      </c>
    </row>
    <row r="2174" ht="15" customHeight="1" s="39">
      <c r="A2174" s="38" t="inlineStr">
        <is>
          <t>2021</t>
        </is>
      </c>
      <c r="B2174" s="42" t="inlineStr">
        <is>
          <t>431711</t>
        </is>
      </c>
      <c r="C2174" s="38" t="inlineStr">
        <is>
          <t>Y030</t>
        </is>
      </c>
      <c r="D2174" s="38" t="inlineStr">
        <is>
          <t>TOTAL</t>
        </is>
      </c>
      <c r="E2174" s="38" t="inlineStr">
        <is>
          <t>POP</t>
        </is>
      </c>
      <c r="F2174" s="38" t="n">
        <v>292</v>
      </c>
    </row>
    <row r="2175" ht="15" customHeight="1" s="39">
      <c r="A2175" s="38" t="inlineStr">
        <is>
          <t>2021</t>
        </is>
      </c>
      <c r="B2175" s="42" t="inlineStr">
        <is>
          <t>431711</t>
        </is>
      </c>
      <c r="C2175" s="38" t="inlineStr">
        <is>
          <t>Y031</t>
        </is>
      </c>
      <c r="D2175" s="38" t="inlineStr">
        <is>
          <t>TOTAL</t>
        </is>
      </c>
      <c r="E2175" s="38" t="inlineStr">
        <is>
          <t>POP</t>
        </is>
      </c>
      <c r="F2175" s="38" t="n">
        <v>240</v>
      </c>
    </row>
    <row r="2176" ht="15" customHeight="1" s="39">
      <c r="A2176" s="38" t="inlineStr">
        <is>
          <t>2021</t>
        </is>
      </c>
      <c r="B2176" s="42" t="inlineStr">
        <is>
          <t>431711</t>
        </is>
      </c>
      <c r="C2176" s="38" t="inlineStr">
        <is>
          <t>Y032</t>
        </is>
      </c>
      <c r="D2176" s="38" t="inlineStr">
        <is>
          <t>TOTAL</t>
        </is>
      </c>
      <c r="E2176" s="38" t="inlineStr">
        <is>
          <t>POP</t>
        </is>
      </c>
      <c r="F2176" s="38" t="n">
        <v>297</v>
      </c>
    </row>
    <row r="2177" ht="15" customHeight="1" s="39">
      <c r="A2177" s="38" t="inlineStr">
        <is>
          <t>2021</t>
        </is>
      </c>
      <c r="B2177" s="42" t="inlineStr">
        <is>
          <t>431711</t>
        </is>
      </c>
      <c r="C2177" s="38" t="inlineStr">
        <is>
          <t>Y033</t>
        </is>
      </c>
      <c r="D2177" s="38" t="inlineStr">
        <is>
          <t>TOTAL</t>
        </is>
      </c>
      <c r="E2177" s="38" t="inlineStr">
        <is>
          <t>POP</t>
        </is>
      </c>
      <c r="F2177" s="38" t="n">
        <v>342</v>
      </c>
    </row>
    <row r="2178" ht="15" customHeight="1" s="39">
      <c r="A2178" s="38" t="inlineStr">
        <is>
          <t>2021</t>
        </is>
      </c>
      <c r="B2178" s="42" t="inlineStr">
        <is>
          <t>431711</t>
        </is>
      </c>
      <c r="C2178" s="38" t="inlineStr">
        <is>
          <t>Y034</t>
        </is>
      </c>
      <c r="D2178" s="38" t="inlineStr">
        <is>
          <t>TOTAL</t>
        </is>
      </c>
      <c r="E2178" s="38" t="inlineStr">
        <is>
          <t>POP</t>
        </is>
      </c>
      <c r="F2178" s="38" t="n">
        <v>353</v>
      </c>
    </row>
    <row r="2179" ht="15" customHeight="1" s="39">
      <c r="A2179" s="38" t="inlineStr">
        <is>
          <t>2021</t>
        </is>
      </c>
      <c r="B2179" s="42" t="inlineStr">
        <is>
          <t>431711</t>
        </is>
      </c>
      <c r="C2179" s="38" t="inlineStr">
        <is>
          <t>Y035</t>
        </is>
      </c>
      <c r="D2179" s="38" t="inlineStr">
        <is>
          <t>TOTAL</t>
        </is>
      </c>
      <c r="E2179" s="38" t="inlineStr">
        <is>
          <t>POP</t>
        </is>
      </c>
      <c r="F2179" s="38" t="n">
        <v>330</v>
      </c>
    </row>
    <row r="2180" ht="15" customHeight="1" s="39">
      <c r="A2180" s="38" t="inlineStr">
        <is>
          <t>2021</t>
        </is>
      </c>
      <c r="B2180" s="42" t="inlineStr">
        <is>
          <t>431711</t>
        </is>
      </c>
      <c r="C2180" s="38" t="inlineStr">
        <is>
          <t>Y036</t>
        </is>
      </c>
      <c r="D2180" s="38" t="inlineStr">
        <is>
          <t>TOTAL</t>
        </is>
      </c>
      <c r="E2180" s="38" t="inlineStr">
        <is>
          <t>POP</t>
        </is>
      </c>
      <c r="F2180" s="38" t="n">
        <v>376</v>
      </c>
    </row>
    <row r="2181" ht="15" customHeight="1" s="39">
      <c r="A2181" s="38" t="inlineStr">
        <is>
          <t>2021</t>
        </is>
      </c>
      <c r="B2181" s="42" t="inlineStr">
        <is>
          <t>431711</t>
        </is>
      </c>
      <c r="C2181" s="38" t="inlineStr">
        <is>
          <t>Y037</t>
        </is>
      </c>
      <c r="D2181" s="38" t="inlineStr">
        <is>
          <t>TOTAL</t>
        </is>
      </c>
      <c r="E2181" s="38" t="inlineStr">
        <is>
          <t>POP</t>
        </is>
      </c>
      <c r="F2181" s="38" t="n">
        <v>390</v>
      </c>
    </row>
    <row r="2182" ht="15" customHeight="1" s="39">
      <c r="A2182" s="38" t="inlineStr">
        <is>
          <t>2021</t>
        </is>
      </c>
      <c r="B2182" s="42" t="inlineStr">
        <is>
          <t>431711</t>
        </is>
      </c>
      <c r="C2182" s="38" t="inlineStr">
        <is>
          <t>Y038</t>
        </is>
      </c>
      <c r="D2182" s="38" t="inlineStr">
        <is>
          <t>TOTAL</t>
        </is>
      </c>
      <c r="E2182" s="38" t="inlineStr">
        <is>
          <t>POP</t>
        </is>
      </c>
      <c r="F2182" s="38" t="n">
        <v>429</v>
      </c>
    </row>
    <row r="2183" ht="15" customHeight="1" s="39">
      <c r="A2183" s="38" t="inlineStr">
        <is>
          <t>2021</t>
        </is>
      </c>
      <c r="B2183" s="42" t="inlineStr">
        <is>
          <t>431711</t>
        </is>
      </c>
      <c r="C2183" s="38" t="inlineStr">
        <is>
          <t>Y039</t>
        </is>
      </c>
      <c r="D2183" s="38" t="inlineStr">
        <is>
          <t>TOTAL</t>
        </is>
      </c>
      <c r="E2183" s="38" t="inlineStr">
        <is>
          <t>POP</t>
        </is>
      </c>
      <c r="F2183" s="38" t="n">
        <v>445</v>
      </c>
    </row>
    <row r="2184" ht="15" customHeight="1" s="39">
      <c r="A2184" s="38" t="inlineStr">
        <is>
          <t>2021</t>
        </is>
      </c>
      <c r="B2184" s="42" t="inlineStr">
        <is>
          <t>431711</t>
        </is>
      </c>
      <c r="C2184" s="38" t="inlineStr">
        <is>
          <t>Y040</t>
        </is>
      </c>
      <c r="D2184" s="38" t="inlineStr">
        <is>
          <t>TOTAL</t>
        </is>
      </c>
      <c r="E2184" s="38" t="inlineStr">
        <is>
          <t>POP</t>
        </is>
      </c>
      <c r="F2184" s="38" t="n">
        <v>478</v>
      </c>
    </row>
    <row r="2185" ht="15" customHeight="1" s="39">
      <c r="A2185" s="38" t="inlineStr">
        <is>
          <t>2021</t>
        </is>
      </c>
      <c r="B2185" s="42" t="inlineStr">
        <is>
          <t>431711</t>
        </is>
      </c>
      <c r="C2185" s="38" t="inlineStr">
        <is>
          <t>Y041</t>
        </is>
      </c>
      <c r="D2185" s="38" t="inlineStr">
        <is>
          <t>TOTAL</t>
        </is>
      </c>
      <c r="E2185" s="38" t="inlineStr">
        <is>
          <t>POP</t>
        </is>
      </c>
      <c r="F2185" s="38" t="n">
        <v>477</v>
      </c>
    </row>
    <row r="2186" ht="15" customHeight="1" s="39">
      <c r="A2186" s="38" t="inlineStr">
        <is>
          <t>2021</t>
        </is>
      </c>
      <c r="B2186" s="42" t="inlineStr">
        <is>
          <t>431711</t>
        </is>
      </c>
      <c r="C2186" s="38" t="inlineStr">
        <is>
          <t>Y042</t>
        </is>
      </c>
      <c r="D2186" s="38" t="inlineStr">
        <is>
          <t>TOTAL</t>
        </is>
      </c>
      <c r="E2186" s="38" t="inlineStr">
        <is>
          <t>POP</t>
        </is>
      </c>
      <c r="F2186" s="38" t="n">
        <v>501</v>
      </c>
    </row>
    <row r="2187" ht="15" customHeight="1" s="39">
      <c r="A2187" s="38" t="inlineStr">
        <is>
          <t>2021</t>
        </is>
      </c>
      <c r="B2187" s="42" t="inlineStr">
        <is>
          <t>431711</t>
        </is>
      </c>
      <c r="C2187" s="38" t="inlineStr">
        <is>
          <t>Y043</t>
        </is>
      </c>
      <c r="D2187" s="38" t="inlineStr">
        <is>
          <t>TOTAL</t>
        </is>
      </c>
      <c r="E2187" s="38" t="inlineStr">
        <is>
          <t>POP</t>
        </is>
      </c>
      <c r="F2187" s="38" t="n">
        <v>501</v>
      </c>
    </row>
    <row r="2188" ht="15" customHeight="1" s="39">
      <c r="A2188" s="38" t="inlineStr">
        <is>
          <t>2021</t>
        </is>
      </c>
      <c r="B2188" s="42" t="inlineStr">
        <is>
          <t>431711</t>
        </is>
      </c>
      <c r="C2188" s="38" t="inlineStr">
        <is>
          <t>Y044</t>
        </is>
      </c>
      <c r="D2188" s="38" t="inlineStr">
        <is>
          <t>TOTAL</t>
        </is>
      </c>
      <c r="E2188" s="38" t="inlineStr">
        <is>
          <t>POP</t>
        </is>
      </c>
      <c r="F2188" s="38" t="n">
        <v>497</v>
      </c>
    </row>
    <row r="2189" ht="15" customHeight="1" s="39">
      <c r="A2189" s="38" t="inlineStr">
        <is>
          <t>2021</t>
        </is>
      </c>
      <c r="B2189" s="42" t="inlineStr">
        <is>
          <t>431711</t>
        </is>
      </c>
      <c r="C2189" s="38" t="inlineStr">
        <is>
          <t>Y045</t>
        </is>
      </c>
      <c r="D2189" s="38" t="inlineStr">
        <is>
          <t>TOTAL</t>
        </is>
      </c>
      <c r="E2189" s="38" t="inlineStr">
        <is>
          <t>POP</t>
        </is>
      </c>
      <c r="F2189" s="38" t="n">
        <v>439</v>
      </c>
    </row>
    <row r="2190" ht="15" customHeight="1" s="39">
      <c r="A2190" s="38" t="inlineStr">
        <is>
          <t>2021</t>
        </is>
      </c>
      <c r="B2190" s="42" t="inlineStr">
        <is>
          <t>431711</t>
        </is>
      </c>
      <c r="C2190" s="38" t="inlineStr">
        <is>
          <t>Y046</t>
        </is>
      </c>
      <c r="D2190" s="38" t="inlineStr">
        <is>
          <t>TOTAL</t>
        </is>
      </c>
      <c r="E2190" s="38" t="inlineStr">
        <is>
          <t>POP</t>
        </is>
      </c>
      <c r="F2190" s="38" t="n">
        <v>411</v>
      </c>
    </row>
    <row r="2191" ht="15" customHeight="1" s="39">
      <c r="A2191" s="38" t="inlineStr">
        <is>
          <t>2021</t>
        </is>
      </c>
      <c r="B2191" s="42" t="inlineStr">
        <is>
          <t>431711</t>
        </is>
      </c>
      <c r="C2191" s="38" t="inlineStr">
        <is>
          <t>Y047</t>
        </is>
      </c>
      <c r="D2191" s="38" t="inlineStr">
        <is>
          <t>TOTAL</t>
        </is>
      </c>
      <c r="E2191" s="38" t="inlineStr">
        <is>
          <t>POP</t>
        </is>
      </c>
      <c r="F2191" s="38" t="n">
        <v>402</v>
      </c>
    </row>
    <row r="2192" ht="15" customHeight="1" s="39">
      <c r="A2192" s="38" t="inlineStr">
        <is>
          <t>2021</t>
        </is>
      </c>
      <c r="B2192" s="42" t="inlineStr">
        <is>
          <t>431711</t>
        </is>
      </c>
      <c r="C2192" s="38" t="inlineStr">
        <is>
          <t>Y048</t>
        </is>
      </c>
      <c r="D2192" s="38" t="inlineStr">
        <is>
          <t>TOTAL</t>
        </is>
      </c>
      <c r="E2192" s="38" t="inlineStr">
        <is>
          <t>POP</t>
        </is>
      </c>
      <c r="F2192" s="38" t="n">
        <v>359</v>
      </c>
    </row>
    <row r="2193" ht="15" customHeight="1" s="39">
      <c r="A2193" s="38" t="inlineStr">
        <is>
          <t>2021</t>
        </is>
      </c>
      <c r="B2193" s="42" t="inlineStr">
        <is>
          <t>431711</t>
        </is>
      </c>
      <c r="C2193" s="38" t="inlineStr">
        <is>
          <t>Y049</t>
        </is>
      </c>
      <c r="D2193" s="38" t="inlineStr">
        <is>
          <t>TOTAL</t>
        </is>
      </c>
      <c r="E2193" s="38" t="inlineStr">
        <is>
          <t>POP</t>
        </is>
      </c>
      <c r="F2193" s="38" t="n">
        <v>341</v>
      </c>
    </row>
    <row r="2194" ht="15" customHeight="1" s="39">
      <c r="A2194" s="38" t="inlineStr">
        <is>
          <t>2021</t>
        </is>
      </c>
      <c r="B2194" s="42" t="inlineStr">
        <is>
          <t>431711</t>
        </is>
      </c>
      <c r="C2194" s="38" t="inlineStr">
        <is>
          <t>Y050</t>
        </is>
      </c>
      <c r="D2194" s="38" t="inlineStr">
        <is>
          <t>TOTAL</t>
        </is>
      </c>
      <c r="E2194" s="38" t="inlineStr">
        <is>
          <t>POP</t>
        </is>
      </c>
      <c r="F2194" s="38" t="n">
        <v>325</v>
      </c>
    </row>
    <row r="2195" ht="15" customHeight="1" s="39">
      <c r="A2195" s="38" t="inlineStr">
        <is>
          <t>2021</t>
        </is>
      </c>
      <c r="B2195" s="42" t="inlineStr">
        <is>
          <t>431711</t>
        </is>
      </c>
      <c r="C2195" s="38" t="inlineStr">
        <is>
          <t>Y051</t>
        </is>
      </c>
      <c r="D2195" s="38" t="inlineStr">
        <is>
          <t>TOTAL</t>
        </is>
      </c>
      <c r="E2195" s="38" t="inlineStr">
        <is>
          <t>POP</t>
        </is>
      </c>
      <c r="F2195" s="38" t="n">
        <v>326</v>
      </c>
    </row>
    <row r="2196" ht="15" customHeight="1" s="39">
      <c r="A2196" s="38" t="inlineStr">
        <is>
          <t>2021</t>
        </is>
      </c>
      <c r="B2196" s="42" t="inlineStr">
        <is>
          <t>431711</t>
        </is>
      </c>
      <c r="C2196" s="38" t="inlineStr">
        <is>
          <t>Y052</t>
        </is>
      </c>
      <c r="D2196" s="38" t="inlineStr">
        <is>
          <t>TOTAL</t>
        </is>
      </c>
      <c r="E2196" s="38" t="inlineStr">
        <is>
          <t>POP</t>
        </is>
      </c>
      <c r="F2196" s="38" t="n">
        <v>282</v>
      </c>
    </row>
    <row r="2197" ht="15" customHeight="1" s="39">
      <c r="A2197" s="38" t="inlineStr">
        <is>
          <t>2021</t>
        </is>
      </c>
      <c r="B2197" s="42" t="inlineStr">
        <is>
          <t>431711</t>
        </is>
      </c>
      <c r="C2197" s="38" t="inlineStr">
        <is>
          <t>Y053</t>
        </is>
      </c>
      <c r="D2197" s="38" t="inlineStr">
        <is>
          <t>TOTAL</t>
        </is>
      </c>
      <c r="E2197" s="38" t="inlineStr">
        <is>
          <t>POP</t>
        </is>
      </c>
      <c r="F2197" s="38" t="n">
        <v>300</v>
      </c>
    </row>
    <row r="2198" ht="15" customHeight="1" s="39">
      <c r="A2198" s="38" t="inlineStr">
        <is>
          <t>2021</t>
        </is>
      </c>
      <c r="B2198" s="42" t="inlineStr">
        <is>
          <t>431711</t>
        </is>
      </c>
      <c r="C2198" s="38" t="inlineStr">
        <is>
          <t>Y054</t>
        </is>
      </c>
      <c r="D2198" s="38" t="inlineStr">
        <is>
          <t>TOTAL</t>
        </is>
      </c>
      <c r="E2198" s="38" t="inlineStr">
        <is>
          <t>POP</t>
        </is>
      </c>
      <c r="F2198" s="38" t="n">
        <v>323</v>
      </c>
    </row>
    <row r="2199" ht="15" customHeight="1" s="39">
      <c r="A2199" s="38" t="inlineStr">
        <is>
          <t>2021</t>
        </is>
      </c>
      <c r="B2199" s="42" t="inlineStr">
        <is>
          <t>431711</t>
        </is>
      </c>
      <c r="C2199" s="38" t="inlineStr">
        <is>
          <t>Y055</t>
        </is>
      </c>
      <c r="D2199" s="38" t="inlineStr">
        <is>
          <t>TOTAL</t>
        </is>
      </c>
      <c r="E2199" s="38" t="inlineStr">
        <is>
          <t>POP</t>
        </is>
      </c>
      <c r="F2199" s="38" t="n">
        <v>289</v>
      </c>
    </row>
    <row r="2200" ht="15" customHeight="1" s="39">
      <c r="A2200" s="38" t="inlineStr">
        <is>
          <t>2021</t>
        </is>
      </c>
      <c r="B2200" s="42" t="inlineStr">
        <is>
          <t>431711</t>
        </is>
      </c>
      <c r="C2200" s="38" t="inlineStr">
        <is>
          <t>Y056</t>
        </is>
      </c>
      <c r="D2200" s="38" t="inlineStr">
        <is>
          <t>TOTAL</t>
        </is>
      </c>
      <c r="E2200" s="38" t="inlineStr">
        <is>
          <t>POP</t>
        </is>
      </c>
      <c r="F2200" s="38" t="n">
        <v>307</v>
      </c>
    </row>
    <row r="2201" ht="15" customHeight="1" s="39">
      <c r="A2201" s="38" t="inlineStr">
        <is>
          <t>2021</t>
        </is>
      </c>
      <c r="B2201" s="42" t="inlineStr">
        <is>
          <t>431711</t>
        </is>
      </c>
      <c r="C2201" s="38" t="inlineStr">
        <is>
          <t>Y057</t>
        </is>
      </c>
      <c r="D2201" s="38" t="inlineStr">
        <is>
          <t>TOTAL</t>
        </is>
      </c>
      <c r="E2201" s="38" t="inlineStr">
        <is>
          <t>POP</t>
        </is>
      </c>
      <c r="F2201" s="38" t="n">
        <v>287</v>
      </c>
    </row>
    <row r="2202" ht="15" customHeight="1" s="39">
      <c r="A2202" s="38" t="inlineStr">
        <is>
          <t>2021</t>
        </is>
      </c>
      <c r="B2202" s="42" t="inlineStr">
        <is>
          <t>431711</t>
        </is>
      </c>
      <c r="C2202" s="38" t="inlineStr">
        <is>
          <t>Y058</t>
        </is>
      </c>
      <c r="D2202" s="38" t="inlineStr">
        <is>
          <t>TOTAL</t>
        </is>
      </c>
      <c r="E2202" s="38" t="inlineStr">
        <is>
          <t>POP</t>
        </is>
      </c>
      <c r="F2202" s="38" t="n">
        <v>254</v>
      </c>
    </row>
    <row r="2203" ht="15" customHeight="1" s="39">
      <c r="A2203" s="38" t="inlineStr">
        <is>
          <t>2021</t>
        </is>
      </c>
      <c r="B2203" s="42" t="inlineStr">
        <is>
          <t>431711</t>
        </is>
      </c>
      <c r="C2203" s="38" t="inlineStr">
        <is>
          <t>Y059</t>
        </is>
      </c>
      <c r="D2203" s="38" t="inlineStr">
        <is>
          <t>TOTAL</t>
        </is>
      </c>
      <c r="E2203" s="38" t="inlineStr">
        <is>
          <t>POP</t>
        </is>
      </c>
      <c r="F2203" s="38" t="n">
        <v>246</v>
      </c>
    </row>
    <row r="2204" ht="15" customHeight="1" s="39">
      <c r="A2204" s="38" t="inlineStr">
        <is>
          <t>2021</t>
        </is>
      </c>
      <c r="B2204" s="42" t="inlineStr">
        <is>
          <t>431711</t>
        </is>
      </c>
      <c r="C2204" s="38" t="inlineStr">
        <is>
          <t>Y060</t>
        </is>
      </c>
      <c r="D2204" s="38" t="inlineStr">
        <is>
          <t>TOTAL</t>
        </is>
      </c>
      <c r="E2204" s="38" t="inlineStr">
        <is>
          <t>POP</t>
        </is>
      </c>
      <c r="F2204" s="38" t="n">
        <v>246</v>
      </c>
    </row>
    <row r="2205" ht="15" customHeight="1" s="39">
      <c r="A2205" s="38" t="inlineStr">
        <is>
          <t>2021</t>
        </is>
      </c>
      <c r="B2205" s="42" t="inlineStr">
        <is>
          <t>431711</t>
        </is>
      </c>
      <c r="C2205" s="38" t="inlineStr">
        <is>
          <t>Y061</t>
        </is>
      </c>
      <c r="D2205" s="38" t="inlineStr">
        <is>
          <t>TOTAL</t>
        </is>
      </c>
      <c r="E2205" s="38" t="inlineStr">
        <is>
          <t>POP</t>
        </is>
      </c>
      <c r="F2205" s="38" t="n">
        <v>245</v>
      </c>
    </row>
    <row r="2206" ht="15" customHeight="1" s="39">
      <c r="A2206" s="38" t="inlineStr">
        <is>
          <t>2021</t>
        </is>
      </c>
      <c r="B2206" s="42" t="inlineStr">
        <is>
          <t>431711</t>
        </is>
      </c>
      <c r="C2206" s="38" t="inlineStr">
        <is>
          <t>Y062</t>
        </is>
      </c>
      <c r="D2206" s="38" t="inlineStr">
        <is>
          <t>TOTAL</t>
        </is>
      </c>
      <c r="E2206" s="38" t="inlineStr">
        <is>
          <t>POP</t>
        </is>
      </c>
      <c r="F2206" s="38" t="n">
        <v>234</v>
      </c>
    </row>
    <row r="2207" ht="15" customHeight="1" s="39">
      <c r="A2207" s="38" t="inlineStr">
        <is>
          <t>2021</t>
        </is>
      </c>
      <c r="B2207" s="42" t="inlineStr">
        <is>
          <t>431711</t>
        </is>
      </c>
      <c r="C2207" s="38" t="inlineStr">
        <is>
          <t>Y063</t>
        </is>
      </c>
      <c r="D2207" s="38" t="inlineStr">
        <is>
          <t>TOTAL</t>
        </is>
      </c>
      <c r="E2207" s="38" t="inlineStr">
        <is>
          <t>POP</t>
        </is>
      </c>
      <c r="F2207" s="38" t="n">
        <v>237</v>
      </c>
    </row>
    <row r="2208" ht="15" customHeight="1" s="39">
      <c r="A2208" s="38" t="inlineStr">
        <is>
          <t>2021</t>
        </is>
      </c>
      <c r="B2208" s="42" t="inlineStr">
        <is>
          <t>431711</t>
        </is>
      </c>
      <c r="C2208" s="38" t="inlineStr">
        <is>
          <t>Y064</t>
        </is>
      </c>
      <c r="D2208" s="38" t="inlineStr">
        <is>
          <t>TOTAL</t>
        </is>
      </c>
      <c r="E2208" s="38" t="inlineStr">
        <is>
          <t>POP</t>
        </is>
      </c>
      <c r="F2208" s="38" t="n">
        <v>230</v>
      </c>
    </row>
    <row r="2209" ht="15" customHeight="1" s="39">
      <c r="A2209" s="38" t="inlineStr">
        <is>
          <t>2021</t>
        </is>
      </c>
      <c r="B2209" s="42" t="inlineStr">
        <is>
          <t>431711</t>
        </is>
      </c>
      <c r="C2209" s="38" t="inlineStr">
        <is>
          <t>Y065</t>
        </is>
      </c>
      <c r="D2209" s="38" t="inlineStr">
        <is>
          <t>TOTAL</t>
        </is>
      </c>
      <c r="E2209" s="38" t="inlineStr">
        <is>
          <t>POP</t>
        </is>
      </c>
      <c r="F2209" s="38" t="n">
        <v>255</v>
      </c>
    </row>
    <row r="2210" ht="15" customHeight="1" s="39">
      <c r="A2210" s="38" t="inlineStr">
        <is>
          <t>2021</t>
        </is>
      </c>
      <c r="B2210" s="42" t="inlineStr">
        <is>
          <t>431711</t>
        </is>
      </c>
      <c r="C2210" s="38" t="inlineStr">
        <is>
          <t>Y066</t>
        </is>
      </c>
      <c r="D2210" s="38" t="inlineStr">
        <is>
          <t>TOTAL</t>
        </is>
      </c>
      <c r="E2210" s="38" t="inlineStr">
        <is>
          <t>POP</t>
        </is>
      </c>
      <c r="F2210" s="38" t="n">
        <v>205</v>
      </c>
    </row>
    <row r="2211" ht="15" customHeight="1" s="39">
      <c r="A2211" s="38" t="inlineStr">
        <is>
          <t>2021</t>
        </is>
      </c>
      <c r="B2211" s="42" t="inlineStr">
        <is>
          <t>431711</t>
        </is>
      </c>
      <c r="C2211" s="38" t="inlineStr">
        <is>
          <t>Y067</t>
        </is>
      </c>
      <c r="D2211" s="38" t="inlineStr">
        <is>
          <t>TOTAL</t>
        </is>
      </c>
      <c r="E2211" s="38" t="inlineStr">
        <is>
          <t>POP</t>
        </is>
      </c>
      <c r="F2211" s="38" t="n">
        <v>233</v>
      </c>
    </row>
    <row r="2212" ht="15" customHeight="1" s="39">
      <c r="A2212" s="38" t="inlineStr">
        <is>
          <t>2021</t>
        </is>
      </c>
      <c r="B2212" s="42" t="inlineStr">
        <is>
          <t>431711</t>
        </is>
      </c>
      <c r="C2212" s="38" t="inlineStr">
        <is>
          <t>Y068</t>
        </is>
      </c>
      <c r="D2212" s="38" t="inlineStr">
        <is>
          <t>TOTAL</t>
        </is>
      </c>
      <c r="E2212" s="38" t="inlineStr">
        <is>
          <t>POP</t>
        </is>
      </c>
      <c r="F2212" s="38" t="n">
        <v>219</v>
      </c>
    </row>
    <row r="2213" ht="15" customHeight="1" s="39">
      <c r="A2213" s="38" t="inlineStr">
        <is>
          <t>2021</t>
        </is>
      </c>
      <c r="B2213" s="42" t="inlineStr">
        <is>
          <t>431711</t>
        </is>
      </c>
      <c r="C2213" s="38" t="inlineStr">
        <is>
          <t>Y069</t>
        </is>
      </c>
      <c r="D2213" s="38" t="inlineStr">
        <is>
          <t>TOTAL</t>
        </is>
      </c>
      <c r="E2213" s="38" t="inlineStr">
        <is>
          <t>POP</t>
        </is>
      </c>
      <c r="F2213" s="38" t="n">
        <v>193</v>
      </c>
    </row>
    <row r="2214" ht="15" customHeight="1" s="39">
      <c r="A2214" s="38" t="inlineStr">
        <is>
          <t>2021</t>
        </is>
      </c>
      <c r="B2214" s="42" t="inlineStr">
        <is>
          <t>431711</t>
        </is>
      </c>
      <c r="C2214" s="38" t="inlineStr">
        <is>
          <t>Y070</t>
        </is>
      </c>
      <c r="D2214" s="38" t="inlineStr">
        <is>
          <t>TOTAL</t>
        </is>
      </c>
      <c r="E2214" s="38" t="inlineStr">
        <is>
          <t>POP</t>
        </is>
      </c>
      <c r="F2214" s="38" t="n">
        <v>175</v>
      </c>
    </row>
    <row r="2215" ht="15" customHeight="1" s="39">
      <c r="A2215" s="38" t="inlineStr">
        <is>
          <t>2021</t>
        </is>
      </c>
      <c r="B2215" s="42" t="inlineStr">
        <is>
          <t>431711</t>
        </is>
      </c>
      <c r="C2215" s="38" t="inlineStr">
        <is>
          <t>Y071</t>
        </is>
      </c>
      <c r="D2215" s="38" t="inlineStr">
        <is>
          <t>TOTAL</t>
        </is>
      </c>
      <c r="E2215" s="38" t="inlineStr">
        <is>
          <t>POP</t>
        </is>
      </c>
      <c r="F2215" s="38" t="n">
        <v>182</v>
      </c>
    </row>
    <row r="2216" ht="15" customHeight="1" s="39">
      <c r="A2216" s="38" t="inlineStr">
        <is>
          <t>2021</t>
        </is>
      </c>
      <c r="B2216" s="42" t="inlineStr">
        <is>
          <t>431711</t>
        </is>
      </c>
      <c r="C2216" s="38" t="inlineStr">
        <is>
          <t>Y072</t>
        </is>
      </c>
      <c r="D2216" s="38" t="inlineStr">
        <is>
          <t>TOTAL</t>
        </is>
      </c>
      <c r="E2216" s="38" t="inlineStr">
        <is>
          <t>POP</t>
        </is>
      </c>
      <c r="F2216" s="38" t="n">
        <v>176</v>
      </c>
    </row>
    <row r="2217" ht="15" customHeight="1" s="39">
      <c r="A2217" s="38" t="inlineStr">
        <is>
          <t>2021</t>
        </is>
      </c>
      <c r="B2217" s="42" t="inlineStr">
        <is>
          <t>431711</t>
        </is>
      </c>
      <c r="C2217" s="38" t="inlineStr">
        <is>
          <t>Y073</t>
        </is>
      </c>
      <c r="D2217" s="38" t="inlineStr">
        <is>
          <t>TOTAL</t>
        </is>
      </c>
      <c r="E2217" s="38" t="inlineStr">
        <is>
          <t>POP</t>
        </is>
      </c>
      <c r="F2217" s="38" t="n">
        <v>174</v>
      </c>
    </row>
    <row r="2218" ht="15" customHeight="1" s="39">
      <c r="A2218" s="38" t="inlineStr">
        <is>
          <t>2021</t>
        </is>
      </c>
      <c r="B2218" s="42" t="inlineStr">
        <is>
          <t>431711</t>
        </is>
      </c>
      <c r="C2218" s="38" t="inlineStr">
        <is>
          <t>Y074</t>
        </is>
      </c>
      <c r="D2218" s="38" t="inlineStr">
        <is>
          <t>TOTAL</t>
        </is>
      </c>
      <c r="E2218" s="38" t="inlineStr">
        <is>
          <t>POP</t>
        </is>
      </c>
      <c r="F2218" s="38" t="n">
        <v>137</v>
      </c>
    </row>
    <row r="2219" ht="15" customHeight="1" s="39">
      <c r="A2219" s="38" t="inlineStr">
        <is>
          <t>2021</t>
        </is>
      </c>
      <c r="B2219" s="42" t="inlineStr">
        <is>
          <t>431711</t>
        </is>
      </c>
      <c r="C2219" s="38" t="inlineStr">
        <is>
          <t>Y075</t>
        </is>
      </c>
      <c r="D2219" s="38" t="inlineStr">
        <is>
          <t>TOTAL</t>
        </is>
      </c>
      <c r="E2219" s="38" t="inlineStr">
        <is>
          <t>POP</t>
        </is>
      </c>
      <c r="F2219" s="38" t="n">
        <v>133</v>
      </c>
    </row>
    <row r="2220" ht="15" customHeight="1" s="39">
      <c r="A2220" s="38" t="inlineStr">
        <is>
          <t>2021</t>
        </is>
      </c>
      <c r="B2220" s="42" t="inlineStr">
        <is>
          <t>431711</t>
        </is>
      </c>
      <c r="C2220" s="38" t="inlineStr">
        <is>
          <t>Y076</t>
        </is>
      </c>
      <c r="D2220" s="38" t="inlineStr">
        <is>
          <t>TOTAL</t>
        </is>
      </c>
      <c r="E2220" s="38" t="inlineStr">
        <is>
          <t>POP</t>
        </is>
      </c>
      <c r="F2220" s="38" t="n">
        <v>120</v>
      </c>
    </row>
    <row r="2221" ht="15" customHeight="1" s="39">
      <c r="A2221" s="38" t="inlineStr">
        <is>
          <t>2021</t>
        </is>
      </c>
      <c r="B2221" s="42" t="inlineStr">
        <is>
          <t>431711</t>
        </is>
      </c>
      <c r="C2221" s="38" t="inlineStr">
        <is>
          <t>Y077</t>
        </is>
      </c>
      <c r="D2221" s="38" t="inlineStr">
        <is>
          <t>TOTAL</t>
        </is>
      </c>
      <c r="E2221" s="38" t="inlineStr">
        <is>
          <t>POP</t>
        </is>
      </c>
      <c r="F2221" s="38" t="n">
        <v>126</v>
      </c>
    </row>
    <row r="2222" ht="15" customHeight="1" s="39">
      <c r="A2222" s="38" t="inlineStr">
        <is>
          <t>2021</t>
        </is>
      </c>
      <c r="B2222" s="42" t="inlineStr">
        <is>
          <t>431711</t>
        </is>
      </c>
      <c r="C2222" s="38" t="inlineStr">
        <is>
          <t>Y078</t>
        </is>
      </c>
      <c r="D2222" s="38" t="inlineStr">
        <is>
          <t>TOTAL</t>
        </is>
      </c>
      <c r="E2222" s="38" t="inlineStr">
        <is>
          <t>POP</t>
        </is>
      </c>
      <c r="F2222" s="38" t="n">
        <v>94</v>
      </c>
    </row>
    <row r="2223" ht="15" customHeight="1" s="39">
      <c r="A2223" s="38" t="inlineStr">
        <is>
          <t>2021</t>
        </is>
      </c>
      <c r="B2223" s="42" t="inlineStr">
        <is>
          <t>431711</t>
        </is>
      </c>
      <c r="C2223" s="38" t="inlineStr">
        <is>
          <t>Y079</t>
        </is>
      </c>
      <c r="D2223" s="38" t="inlineStr">
        <is>
          <t>TOTAL</t>
        </is>
      </c>
      <c r="E2223" s="38" t="inlineStr">
        <is>
          <t>POP</t>
        </is>
      </c>
      <c r="F2223" s="38" t="n">
        <v>79</v>
      </c>
    </row>
    <row r="2224" ht="15" customHeight="1" s="39">
      <c r="A2224" s="38" t="inlineStr">
        <is>
          <t>2021</t>
        </is>
      </c>
      <c r="B2224" s="42" t="inlineStr">
        <is>
          <t>431711</t>
        </is>
      </c>
      <c r="C2224" s="38" t="inlineStr">
        <is>
          <t>Y080</t>
        </is>
      </c>
      <c r="D2224" s="38" t="inlineStr">
        <is>
          <t>TOTAL</t>
        </is>
      </c>
      <c r="E2224" s="38" t="inlineStr">
        <is>
          <t>POP</t>
        </is>
      </c>
      <c r="F2224" s="38" t="n">
        <v>104</v>
      </c>
    </row>
    <row r="2225" ht="15" customHeight="1" s="39">
      <c r="A2225" s="38" t="inlineStr">
        <is>
          <t>2021</t>
        </is>
      </c>
      <c r="B2225" s="42" t="inlineStr">
        <is>
          <t>431711</t>
        </is>
      </c>
      <c r="C2225" s="38" t="inlineStr">
        <is>
          <t>Y081</t>
        </is>
      </c>
      <c r="D2225" s="38" t="inlineStr">
        <is>
          <t>TOTAL</t>
        </is>
      </c>
      <c r="E2225" s="38" t="inlineStr">
        <is>
          <t>POP</t>
        </is>
      </c>
      <c r="F2225" s="38" t="n">
        <v>56</v>
      </c>
    </row>
    <row r="2226" ht="15" customHeight="1" s="39">
      <c r="A2226" s="38" t="inlineStr">
        <is>
          <t>2021</t>
        </is>
      </c>
      <c r="B2226" s="42" t="inlineStr">
        <is>
          <t>431711</t>
        </is>
      </c>
      <c r="C2226" s="38" t="inlineStr">
        <is>
          <t>Y082</t>
        </is>
      </c>
      <c r="D2226" s="38" t="inlineStr">
        <is>
          <t>TOTAL</t>
        </is>
      </c>
      <c r="E2226" s="38" t="inlineStr">
        <is>
          <t>POP</t>
        </is>
      </c>
      <c r="F2226" s="38" t="n">
        <v>71</v>
      </c>
    </row>
    <row r="2227" ht="15" customHeight="1" s="39">
      <c r="A2227" s="38" t="inlineStr">
        <is>
          <t>2021</t>
        </is>
      </c>
      <c r="B2227" s="42" t="inlineStr">
        <is>
          <t>431711</t>
        </is>
      </c>
      <c r="C2227" s="38" t="inlineStr">
        <is>
          <t>Y083</t>
        </is>
      </c>
      <c r="D2227" s="38" t="inlineStr">
        <is>
          <t>TOTAL</t>
        </is>
      </c>
      <c r="E2227" s="38" t="inlineStr">
        <is>
          <t>POP</t>
        </is>
      </c>
      <c r="F2227" s="38" t="n">
        <v>87</v>
      </c>
    </row>
    <row r="2228" ht="15" customHeight="1" s="39">
      <c r="A2228" s="38" t="inlineStr">
        <is>
          <t>2021</t>
        </is>
      </c>
      <c r="B2228" s="42" t="inlineStr">
        <is>
          <t>431711</t>
        </is>
      </c>
      <c r="C2228" s="38" t="inlineStr">
        <is>
          <t>Y084</t>
        </is>
      </c>
      <c r="D2228" s="38" t="inlineStr">
        <is>
          <t>TOTAL</t>
        </is>
      </c>
      <c r="E2228" s="38" t="inlineStr">
        <is>
          <t>POP</t>
        </is>
      </c>
      <c r="F2228" s="38" t="n">
        <v>70</v>
      </c>
    </row>
    <row r="2229" ht="15" customHeight="1" s="39">
      <c r="A2229" s="38" t="inlineStr">
        <is>
          <t>2021</t>
        </is>
      </c>
      <c r="B2229" s="42" t="inlineStr">
        <is>
          <t>431711</t>
        </is>
      </c>
      <c r="C2229" s="38" t="inlineStr">
        <is>
          <t>Y085</t>
        </is>
      </c>
      <c r="D2229" s="38" t="inlineStr">
        <is>
          <t>TOTAL</t>
        </is>
      </c>
      <c r="E2229" s="38" t="inlineStr">
        <is>
          <t>POP</t>
        </is>
      </c>
      <c r="F2229" s="38" t="n">
        <v>67</v>
      </c>
    </row>
    <row r="2230" ht="15" customHeight="1" s="39">
      <c r="A2230" s="38" t="inlineStr">
        <is>
          <t>2021</t>
        </is>
      </c>
      <c r="B2230" s="42" t="inlineStr">
        <is>
          <t>431711</t>
        </is>
      </c>
      <c r="C2230" s="38" t="inlineStr">
        <is>
          <t>Y086</t>
        </is>
      </c>
      <c r="D2230" s="38" t="inlineStr">
        <is>
          <t>TOTAL</t>
        </is>
      </c>
      <c r="E2230" s="38" t="inlineStr">
        <is>
          <t>POP</t>
        </is>
      </c>
      <c r="F2230" s="38" t="n">
        <v>69</v>
      </c>
    </row>
    <row r="2231" ht="15" customHeight="1" s="39">
      <c r="A2231" s="38" t="inlineStr">
        <is>
          <t>2021</t>
        </is>
      </c>
      <c r="B2231" s="42" t="inlineStr">
        <is>
          <t>431711</t>
        </is>
      </c>
      <c r="C2231" s="38" t="inlineStr">
        <is>
          <t>Y087</t>
        </is>
      </c>
      <c r="D2231" s="38" t="inlineStr">
        <is>
          <t>TOTAL</t>
        </is>
      </c>
      <c r="E2231" s="38" t="inlineStr">
        <is>
          <t>POP</t>
        </is>
      </c>
      <c r="F2231" s="38" t="n">
        <v>48</v>
      </c>
    </row>
    <row r="2232" ht="15" customHeight="1" s="39">
      <c r="A2232" s="38" t="inlineStr">
        <is>
          <t>2021</t>
        </is>
      </c>
      <c r="B2232" s="42" t="inlineStr">
        <is>
          <t>431711</t>
        </is>
      </c>
      <c r="C2232" s="38" t="inlineStr">
        <is>
          <t>Y088</t>
        </is>
      </c>
      <c r="D2232" s="38" t="inlineStr">
        <is>
          <t>TOTAL</t>
        </is>
      </c>
      <c r="E2232" s="38" t="inlineStr">
        <is>
          <t>POP</t>
        </is>
      </c>
      <c r="F2232" s="38" t="n">
        <v>37</v>
      </c>
    </row>
    <row r="2233" ht="15" customHeight="1" s="39">
      <c r="A2233" s="38" t="inlineStr">
        <is>
          <t>2021</t>
        </is>
      </c>
      <c r="B2233" s="42" t="inlineStr">
        <is>
          <t>431711</t>
        </is>
      </c>
      <c r="C2233" s="38" t="inlineStr">
        <is>
          <t>Y089</t>
        </is>
      </c>
      <c r="D2233" s="38" t="inlineStr">
        <is>
          <t>TOTAL</t>
        </is>
      </c>
      <c r="E2233" s="38" t="inlineStr">
        <is>
          <t>POP</t>
        </is>
      </c>
      <c r="F2233" s="38" t="n">
        <v>36</v>
      </c>
    </row>
    <row r="2234" ht="15" customHeight="1" s="39">
      <c r="A2234" s="38" t="inlineStr">
        <is>
          <t>2021</t>
        </is>
      </c>
      <c r="B2234" s="42" t="inlineStr">
        <is>
          <t>431711</t>
        </is>
      </c>
      <c r="C2234" s="38" t="inlineStr">
        <is>
          <t>Y090</t>
        </is>
      </c>
      <c r="D2234" s="38" t="inlineStr">
        <is>
          <t>TOTAL</t>
        </is>
      </c>
      <c r="E2234" s="38" t="inlineStr">
        <is>
          <t>POP</t>
        </is>
      </c>
      <c r="F2234" s="38" t="n">
        <v>30</v>
      </c>
    </row>
    <row r="2235" ht="15" customHeight="1" s="39">
      <c r="A2235" s="38" t="inlineStr">
        <is>
          <t>2021</t>
        </is>
      </c>
      <c r="B2235" s="42" t="inlineStr">
        <is>
          <t>431711</t>
        </is>
      </c>
      <c r="C2235" s="38" t="inlineStr">
        <is>
          <t>Y091</t>
        </is>
      </c>
      <c r="D2235" s="38" t="inlineStr">
        <is>
          <t>TOTAL</t>
        </is>
      </c>
      <c r="E2235" s="38" t="inlineStr">
        <is>
          <t>POP</t>
        </is>
      </c>
      <c r="F2235" s="38" t="n">
        <v>37</v>
      </c>
    </row>
    <row r="2236" ht="15" customHeight="1" s="39">
      <c r="A2236" s="38" t="inlineStr">
        <is>
          <t>2021</t>
        </is>
      </c>
      <c r="B2236" s="42" t="inlineStr">
        <is>
          <t>431711</t>
        </is>
      </c>
      <c r="C2236" s="38" t="inlineStr">
        <is>
          <t>Y092</t>
        </is>
      </c>
      <c r="D2236" s="38" t="inlineStr">
        <is>
          <t>TOTAL</t>
        </is>
      </c>
      <c r="E2236" s="38" t="inlineStr">
        <is>
          <t>POP</t>
        </is>
      </c>
      <c r="F2236" s="38" t="n">
        <v>15</v>
      </c>
    </row>
    <row r="2237" ht="15" customHeight="1" s="39">
      <c r="A2237" s="38" t="inlineStr">
        <is>
          <t>2021</t>
        </is>
      </c>
      <c r="B2237" s="42" t="inlineStr">
        <is>
          <t>431711</t>
        </is>
      </c>
      <c r="C2237" s="38" t="inlineStr">
        <is>
          <t>Y093</t>
        </is>
      </c>
      <c r="D2237" s="38" t="inlineStr">
        <is>
          <t>TOTAL</t>
        </is>
      </c>
      <c r="E2237" s="38" t="inlineStr">
        <is>
          <t>POP</t>
        </is>
      </c>
      <c r="F2237" s="38" t="n">
        <v>11</v>
      </c>
    </row>
    <row r="2238" ht="15" customHeight="1" s="39">
      <c r="A2238" s="38" t="inlineStr">
        <is>
          <t>2021</t>
        </is>
      </c>
      <c r="B2238" s="42" t="inlineStr">
        <is>
          <t>431711</t>
        </is>
      </c>
      <c r="C2238" s="38" t="inlineStr">
        <is>
          <t>Y094</t>
        </is>
      </c>
      <c r="D2238" s="38" t="inlineStr">
        <is>
          <t>TOTAL</t>
        </is>
      </c>
      <c r="E2238" s="38" t="inlineStr">
        <is>
          <t>POP</t>
        </is>
      </c>
      <c r="F2238" s="38" t="n">
        <v>23</v>
      </c>
    </row>
    <row r="2239" ht="15" customHeight="1" s="39">
      <c r="A2239" s="38" t="inlineStr">
        <is>
          <t>2021</t>
        </is>
      </c>
      <c r="B2239" s="42" t="inlineStr">
        <is>
          <t>431711</t>
        </is>
      </c>
      <c r="C2239" s="38" t="inlineStr">
        <is>
          <t>Y095</t>
        </is>
      </c>
      <c r="D2239" s="38" t="inlineStr">
        <is>
          <t>TOTAL</t>
        </is>
      </c>
      <c r="E2239" s="38" t="inlineStr">
        <is>
          <t>POP</t>
        </is>
      </c>
      <c r="F2239" s="38" t="n">
        <v>12</v>
      </c>
    </row>
    <row r="2240" ht="15" customHeight="1" s="39">
      <c r="A2240" s="38" t="inlineStr">
        <is>
          <t>2021</t>
        </is>
      </c>
      <c r="B2240" s="42" t="inlineStr">
        <is>
          <t>431711</t>
        </is>
      </c>
      <c r="C2240" s="38" t="inlineStr">
        <is>
          <t>Y096</t>
        </is>
      </c>
      <c r="D2240" s="38" t="inlineStr">
        <is>
          <t>TOTAL</t>
        </is>
      </c>
      <c r="E2240" s="38" t="inlineStr">
        <is>
          <t>POP</t>
        </is>
      </c>
      <c r="F2240" s="38" t="n">
        <v>8</v>
      </c>
    </row>
    <row r="2241" ht="15" customHeight="1" s="39">
      <c r="A2241" s="38" t="inlineStr">
        <is>
          <t>2021</t>
        </is>
      </c>
      <c r="B2241" s="42" t="inlineStr">
        <is>
          <t>431711</t>
        </is>
      </c>
      <c r="C2241" s="38" t="inlineStr">
        <is>
          <t>Y097</t>
        </is>
      </c>
      <c r="D2241" s="38" t="inlineStr">
        <is>
          <t>TOTAL</t>
        </is>
      </c>
      <c r="E2241" s="38" t="inlineStr">
        <is>
          <t>POP</t>
        </is>
      </c>
      <c r="F2241" s="38" t="n">
        <v>6</v>
      </c>
    </row>
    <row r="2242" ht="15" customHeight="1" s="39">
      <c r="A2242" s="38" t="inlineStr">
        <is>
          <t>2021</t>
        </is>
      </c>
      <c r="B2242" s="42" t="inlineStr">
        <is>
          <t>431711</t>
        </is>
      </c>
      <c r="C2242" s="38" t="inlineStr">
        <is>
          <t>Y098</t>
        </is>
      </c>
      <c r="D2242" s="38" t="inlineStr">
        <is>
          <t>TOTAL</t>
        </is>
      </c>
      <c r="E2242" s="38" t="inlineStr">
        <is>
          <t>POP</t>
        </is>
      </c>
      <c r="F2242" s="38" t="n">
        <v>5</v>
      </c>
    </row>
    <row r="2243" ht="15" customHeight="1" s="39">
      <c r="A2243" s="38" t="inlineStr">
        <is>
          <t>2021</t>
        </is>
      </c>
      <c r="B2243" s="42" t="inlineStr">
        <is>
          <t>431711</t>
        </is>
      </c>
      <c r="C2243" s="38" t="inlineStr">
        <is>
          <t>Y099</t>
        </is>
      </c>
      <c r="D2243" s="38" t="inlineStr">
        <is>
          <t>TOTAL</t>
        </is>
      </c>
      <c r="E2243" s="38" t="inlineStr">
        <is>
          <t>POP</t>
        </is>
      </c>
      <c r="F2243" s="38" t="n">
        <v>3</v>
      </c>
    </row>
    <row r="2244" ht="15" customHeight="1" s="39">
      <c r="A2244" s="38" t="inlineStr">
        <is>
          <t>2021</t>
        </is>
      </c>
      <c r="B2244" s="42" t="inlineStr">
        <is>
          <t>431711</t>
        </is>
      </c>
      <c r="C2244" s="38" t="inlineStr">
        <is>
          <t>Y_GE100</t>
        </is>
      </c>
      <c r="D2244" s="38" t="inlineStr">
        <is>
          <t>TOTAL</t>
        </is>
      </c>
      <c r="E2244" s="38" t="inlineStr">
        <is>
          <t>POP</t>
        </is>
      </c>
      <c r="F2244" s="38" t="n">
        <v>4</v>
      </c>
    </row>
    <row r="2245" ht="15" customHeight="1" s="39">
      <c r="A2245" s="38" t="inlineStr">
        <is>
          <t>2021</t>
        </is>
      </c>
      <c r="B2245" s="42" t="inlineStr">
        <is>
          <t>431711</t>
        </is>
      </c>
      <c r="C2245" s="38" t="inlineStr">
        <is>
          <t>TOTAL</t>
        </is>
      </c>
      <c r="D2245" s="38" t="inlineStr">
        <is>
          <t>TOTAL</t>
        </is>
      </c>
      <c r="E2245" s="38" t="inlineStr">
        <is>
          <t>POP</t>
        </is>
      </c>
      <c r="F2245" s="38" t="n">
        <v>22781</v>
      </c>
    </row>
  </sheetData>
  <autoFilter ref="A1:G224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39" customWidth="1" style="38" min="2" max="2"/>
    <col width="42" customWidth="1" style="38" min="3" max="4"/>
    <col width="36" customWidth="1" style="38" min="5" max="5"/>
    <col width="42" customWidth="1" style="38" min="6" max="6"/>
    <col width="28" customWidth="1" style="38" min="7" max="7"/>
    <col width="26" customWidth="1" style="38" min="8" max="8"/>
  </cols>
  <sheetData>
    <row r="1" ht="30.75" customHeight="1" s="39">
      <c r="A1" s="41" t="inlineStr">
        <is>
          <t>Codi</t>
        </is>
      </c>
      <c r="B1" s="40" t="inlineStr">
        <is>
          <t>Nom</t>
        </is>
      </c>
      <c r="C1" s="40" t="inlineStr">
        <is>
          <t>Habitatges familiars convencionals principals</t>
        </is>
      </c>
      <c r="D1" s="40" t="inlineStr">
        <is>
          <t>Habitatges familiars convencionals no principals</t>
        </is>
      </c>
      <c r="E1" s="40" t="inlineStr">
        <is>
          <t>Habitatges familiars convencionals</t>
        </is>
      </c>
      <c r="F1" s="40" t="inlineStr">
        <is>
          <t>Habitatges familiars no convencionals (allotjaments)</t>
        </is>
      </c>
      <c r="G1" s="40" t="inlineStr">
        <is>
          <t>Total habitatges familiars</t>
        </is>
      </c>
      <c r="H1" s="40" t="inlineStr">
        <is>
          <t>Establiments col·lectius</t>
        </is>
      </c>
    </row>
    <row r="2" ht="15" customHeight="1" s="39">
      <c r="A2" s="42" t="inlineStr">
        <is>
          <t>250019</t>
        </is>
      </c>
      <c r="B2" s="38" t="inlineStr">
        <is>
          <t>Abella de la Conca</t>
        </is>
      </c>
      <c r="C2" s="38" t="inlineStr">
        <is>
          <t>65</t>
        </is>
      </c>
      <c r="D2" s="38" t="inlineStr">
        <is>
          <t>52</t>
        </is>
      </c>
      <c r="E2" s="38" t="inlineStr">
        <is>
          <t>117</t>
        </is>
      </c>
      <c r="F2" s="38" t="inlineStr">
        <is>
          <t>0</t>
        </is>
      </c>
      <c r="G2" s="38" t="inlineStr">
        <is>
          <t>117</t>
        </is>
      </c>
      <c r="H2" s="38" t="inlineStr">
        <is>
          <t>0</t>
        </is>
      </c>
    </row>
    <row r="3" ht="15" customHeight="1" s="39">
      <c r="A3" s="42" t="inlineStr">
        <is>
          <t>080018</t>
        </is>
      </c>
      <c r="B3" s="38" t="inlineStr">
        <is>
          <t>Abrera</t>
        </is>
      </c>
      <c r="C3" s="38" t="inlineStr">
        <is>
          <t>4643</t>
        </is>
      </c>
      <c r="D3" s="38" t="inlineStr">
        <is>
          <t>623</t>
        </is>
      </c>
      <c r="E3" s="38" t="inlineStr">
        <is>
          <t>5266</t>
        </is>
      </c>
      <c r="F3" s="38" t="inlineStr">
        <is>
          <t>0</t>
        </is>
      </c>
      <c r="G3" s="38" t="inlineStr">
        <is>
          <t>5266</t>
        </is>
      </c>
      <c r="H3" s="38" t="inlineStr">
        <is>
          <t>5</t>
        </is>
      </c>
    </row>
    <row r="4" ht="15" customHeight="1" s="39">
      <c r="A4" s="42" t="inlineStr">
        <is>
          <t>250024</t>
        </is>
      </c>
      <c r="B4" s="38" t="inlineStr">
        <is>
          <t>Àger</t>
        </is>
      </c>
      <c r="C4" s="38" t="inlineStr">
        <is>
          <t>239</t>
        </is>
      </c>
      <c r="D4" s="38" t="inlineStr">
        <is>
          <t>453</t>
        </is>
      </c>
      <c r="E4" s="38" t="inlineStr">
        <is>
          <t>692</t>
        </is>
      </c>
      <c r="F4" s="38" t="inlineStr">
        <is>
          <t>0</t>
        </is>
      </c>
      <c r="G4" s="38" t="inlineStr">
        <is>
          <t>692</t>
        </is>
      </c>
      <c r="H4" s="38" t="inlineStr">
        <is>
          <t>1</t>
        </is>
      </c>
    </row>
    <row r="5" ht="15" customHeight="1" s="39">
      <c r="A5" s="42" t="inlineStr">
        <is>
          <t>250030</t>
        </is>
      </c>
      <c r="B5" s="38" t="inlineStr">
        <is>
          <t>Agramunt</t>
        </is>
      </c>
      <c r="C5" s="38" t="inlineStr">
        <is>
          <t>2049</t>
        </is>
      </c>
      <c r="D5" s="38" t="inlineStr">
        <is>
          <t>696</t>
        </is>
      </c>
      <c r="E5" s="38" t="inlineStr">
        <is>
          <t>2745</t>
        </is>
      </c>
      <c r="F5" s="38" t="inlineStr">
        <is>
          <t>0</t>
        </is>
      </c>
      <c r="G5" s="38" t="inlineStr">
        <is>
          <t>2745</t>
        </is>
      </c>
      <c r="H5" s="38" t="inlineStr">
        <is>
          <t>1</t>
        </is>
      </c>
    </row>
    <row r="6" ht="15" customHeight="1" s="39">
      <c r="A6" s="42" t="inlineStr">
        <is>
          <t>080023</t>
        </is>
      </c>
      <c r="B6" s="38" t="inlineStr">
        <is>
          <t>Aguilar de Segarra</t>
        </is>
      </c>
      <c r="C6" s="38" t="inlineStr">
        <is>
          <t>99</t>
        </is>
      </c>
      <c r="D6" s="38" t="inlineStr">
        <is>
          <t>52</t>
        </is>
      </c>
      <c r="E6" s="38" t="inlineStr">
        <is>
          <t>151</t>
        </is>
      </c>
      <c r="F6" s="38" t="inlineStr">
        <is>
          <t>0</t>
        </is>
      </c>
      <c r="G6" s="38" t="inlineStr">
        <is>
          <t>151</t>
        </is>
      </c>
      <c r="H6" s="38" t="inlineStr">
        <is>
          <t>0</t>
        </is>
      </c>
    </row>
    <row r="7" ht="15" customHeight="1" s="39">
      <c r="A7" s="42" t="inlineStr">
        <is>
          <t>170010</t>
        </is>
      </c>
      <c r="B7" s="38" t="inlineStr">
        <is>
          <t>Agullana</t>
        </is>
      </c>
      <c r="C7" s="38" t="inlineStr">
        <is>
          <t>350</t>
        </is>
      </c>
      <c r="D7" s="38" t="inlineStr">
        <is>
          <t>239</t>
        </is>
      </c>
      <c r="E7" s="38" t="inlineStr">
        <is>
          <t>589</t>
        </is>
      </c>
      <c r="F7" s="38" t="inlineStr">
        <is>
          <t>0</t>
        </is>
      </c>
      <c r="G7" s="38" t="inlineStr">
        <is>
          <t>589</t>
        </is>
      </c>
      <c r="H7" s="38" t="inlineStr">
        <is>
          <t>0</t>
        </is>
      </c>
    </row>
    <row r="8" ht="15" customHeight="1" s="39">
      <c r="A8" s="42" t="inlineStr">
        <is>
          <t>080142</t>
        </is>
      </c>
      <c r="B8" s="38" t="inlineStr">
        <is>
          <t>Aiguafreda</t>
        </is>
      </c>
      <c r="C8" s="38" t="inlineStr">
        <is>
          <t>1013</t>
        </is>
      </c>
      <c r="D8" s="38" t="inlineStr">
        <is>
          <t>285</t>
        </is>
      </c>
      <c r="E8" s="38" t="inlineStr">
        <is>
          <t>1298</t>
        </is>
      </c>
      <c r="F8" s="38" t="inlineStr">
        <is>
          <t>0</t>
        </is>
      </c>
      <c r="G8" s="38" t="inlineStr">
        <is>
          <t>1298</t>
        </is>
      </c>
      <c r="H8" s="38" t="inlineStr">
        <is>
          <t>3</t>
        </is>
      </c>
    </row>
    <row r="9" ht="15" customHeight="1" s="39">
      <c r="A9" s="42" t="inlineStr">
        <is>
          <t>430017</t>
        </is>
      </c>
      <c r="B9" s="38" t="inlineStr">
        <is>
          <t>Aiguamúrcia</t>
        </is>
      </c>
      <c r="C9" s="38" t="inlineStr">
        <is>
          <t>404</t>
        </is>
      </c>
      <c r="D9" s="38" t="inlineStr">
        <is>
          <t>472</t>
        </is>
      </c>
      <c r="E9" s="38" t="inlineStr">
        <is>
          <t>876</t>
        </is>
      </c>
      <c r="F9" s="38" t="inlineStr">
        <is>
          <t>0</t>
        </is>
      </c>
      <c r="G9" s="38" t="inlineStr">
        <is>
          <t>876</t>
        </is>
      </c>
      <c r="H9" s="38" t="inlineStr">
        <is>
          <t>0</t>
        </is>
      </c>
    </row>
    <row r="10" ht="15" customHeight="1" s="39">
      <c r="A10" s="42" t="inlineStr">
        <is>
          <t>170025</t>
        </is>
      </c>
      <c r="B10" s="38" t="inlineStr">
        <is>
          <t>Aiguaviva</t>
        </is>
      </c>
      <c r="C10" s="38" t="inlineStr">
        <is>
          <t>243</t>
        </is>
      </c>
      <c r="D10" s="38" t="inlineStr">
        <is>
          <t>55</t>
        </is>
      </c>
      <c r="E10" s="38" t="inlineStr">
        <is>
          <t>298</t>
        </is>
      </c>
      <c r="F10" s="38" t="inlineStr">
        <is>
          <t>0</t>
        </is>
      </c>
      <c r="G10" s="38" t="inlineStr">
        <is>
          <t>298</t>
        </is>
      </c>
      <c r="H10" s="38" t="inlineStr">
        <is>
          <t>0</t>
        </is>
      </c>
    </row>
    <row r="11" ht="15" customHeight="1" s="39">
      <c r="A11" s="42" t="inlineStr">
        <is>
          <t>250387</t>
        </is>
      </c>
      <c r="B11" s="38" t="inlineStr">
        <is>
          <t>Aitona</t>
        </is>
      </c>
      <c r="C11" s="38" t="inlineStr">
        <is>
          <t>834</t>
        </is>
      </c>
      <c r="D11" s="38" t="inlineStr">
        <is>
          <t>384</t>
        </is>
      </c>
      <c r="E11" s="38" t="inlineStr">
        <is>
          <t>1218</t>
        </is>
      </c>
      <c r="F11" s="38" t="inlineStr">
        <is>
          <t>0</t>
        </is>
      </c>
      <c r="G11" s="38" t="inlineStr">
        <is>
          <t>1218</t>
        </is>
      </c>
      <c r="H11" s="38" t="inlineStr">
        <is>
          <t>2</t>
        </is>
      </c>
    </row>
    <row r="12" ht="15" customHeight="1" s="39">
      <c r="A12" s="42" t="inlineStr">
        <is>
          <t>250045</t>
        </is>
      </c>
      <c r="B12" s="38" t="inlineStr">
        <is>
          <t>Alamús, els</t>
        </is>
      </c>
      <c r="C12" s="38" t="inlineStr">
        <is>
          <t>293</t>
        </is>
      </c>
      <c r="D12" s="38" t="inlineStr">
        <is>
          <t>179</t>
        </is>
      </c>
      <c r="E12" s="38" t="inlineStr">
        <is>
          <t>472</t>
        </is>
      </c>
      <c r="F12" s="38" t="inlineStr">
        <is>
          <t>0</t>
        </is>
      </c>
      <c r="G12" s="38" t="inlineStr">
        <is>
          <t>472</t>
        </is>
      </c>
      <c r="H12" s="38" t="inlineStr">
        <is>
          <t>1</t>
        </is>
      </c>
    </row>
    <row r="13" ht="15" customHeight="1" s="39">
      <c r="A13" s="42" t="inlineStr">
        <is>
          <t>250058</t>
        </is>
      </c>
      <c r="B13" s="38" t="inlineStr">
        <is>
          <t>Alàs i Cerc</t>
        </is>
      </c>
      <c r="C13" s="38" t="inlineStr">
        <is>
          <t>142</t>
        </is>
      </c>
      <c r="D13" s="38" t="inlineStr">
        <is>
          <t>163</t>
        </is>
      </c>
      <c r="E13" s="38" t="inlineStr">
        <is>
          <t>305</t>
        </is>
      </c>
      <c r="F13" s="38" t="inlineStr">
        <is>
          <t>0</t>
        </is>
      </c>
      <c r="G13" s="38" t="inlineStr">
        <is>
          <t>305</t>
        </is>
      </c>
      <c r="H13" s="38" t="inlineStr">
        <is>
          <t>0</t>
        </is>
      </c>
    </row>
    <row r="14" ht="15" customHeight="1" s="39">
      <c r="A14" s="42" t="inlineStr">
        <is>
          <t>250061</t>
        </is>
      </c>
      <c r="B14" s="38" t="inlineStr">
        <is>
          <t>Albagés, l'</t>
        </is>
      </c>
      <c r="C14" s="38" t="inlineStr">
        <is>
          <t>136</t>
        </is>
      </c>
      <c r="D14" s="38" t="inlineStr">
        <is>
          <t>115</t>
        </is>
      </c>
      <c r="E14" s="38" t="inlineStr">
        <is>
          <t>251</t>
        </is>
      </c>
      <c r="F14" s="38" t="inlineStr">
        <is>
          <t>0</t>
        </is>
      </c>
      <c r="G14" s="38" t="inlineStr">
        <is>
          <t>251</t>
        </is>
      </c>
      <c r="H14" s="38" t="inlineStr">
        <is>
          <t>0</t>
        </is>
      </c>
    </row>
    <row r="15" ht="15" customHeight="1" s="39">
      <c r="A15" s="42" t="inlineStr">
        <is>
          <t>170031</t>
        </is>
      </c>
      <c r="B15" s="38" t="inlineStr">
        <is>
          <t>Albanyà</t>
        </is>
      </c>
      <c r="C15" s="38" t="inlineStr">
        <is>
          <t>65</t>
        </is>
      </c>
      <c r="D15" s="38" t="inlineStr">
        <is>
          <t>77</t>
        </is>
      </c>
      <c r="E15" s="38" t="inlineStr">
        <is>
          <t>142</t>
        </is>
      </c>
      <c r="F15" s="38" t="inlineStr">
        <is>
          <t>0</t>
        </is>
      </c>
      <c r="G15" s="38" t="inlineStr">
        <is>
          <t>142</t>
        </is>
      </c>
      <c r="H15" s="38" t="inlineStr">
        <is>
          <t>0</t>
        </is>
      </c>
    </row>
    <row r="16" ht="15" customHeight="1" s="39">
      <c r="A16" s="42" t="inlineStr">
        <is>
          <t>250077</t>
        </is>
      </c>
      <c r="B16" s="38" t="inlineStr">
        <is>
          <t>Albatàrrec</t>
        </is>
      </c>
      <c r="C16" s="38" t="inlineStr">
        <is>
          <t>749</t>
        </is>
      </c>
      <c r="D16" s="38" t="inlineStr">
        <is>
          <t>160</t>
        </is>
      </c>
      <c r="E16" s="38" t="inlineStr">
        <is>
          <t>909</t>
        </is>
      </c>
      <c r="F16" s="38" t="inlineStr">
        <is>
          <t>0</t>
        </is>
      </c>
      <c r="G16" s="38" t="inlineStr">
        <is>
          <t>909</t>
        </is>
      </c>
      <c r="H16" s="38" t="inlineStr">
        <is>
          <t>1</t>
        </is>
      </c>
    </row>
    <row r="17" ht="15" customHeight="1" s="39">
      <c r="A17" s="42" t="inlineStr">
        <is>
          <t>250083</t>
        </is>
      </c>
      <c r="B17" s="38" t="inlineStr">
        <is>
          <t>Albesa</t>
        </is>
      </c>
      <c r="C17" s="38" t="inlineStr">
        <is>
          <t>559</t>
        </is>
      </c>
      <c r="D17" s="38" t="inlineStr">
        <is>
          <t>218</t>
        </is>
      </c>
      <c r="E17" s="38" t="inlineStr">
        <is>
          <t>777</t>
        </is>
      </c>
      <c r="F17" s="38" t="inlineStr">
        <is>
          <t>0</t>
        </is>
      </c>
      <c r="G17" s="38" t="inlineStr">
        <is>
          <t>777</t>
        </is>
      </c>
      <c r="H17" s="38" t="inlineStr">
        <is>
          <t>0</t>
        </is>
      </c>
    </row>
    <row r="18" ht="15" customHeight="1" s="39">
      <c r="A18" s="42" t="inlineStr">
        <is>
          <t>250096</t>
        </is>
      </c>
      <c r="B18" s="38" t="inlineStr">
        <is>
          <t>Albi, l'</t>
        </is>
      </c>
      <c r="C18" s="38" t="inlineStr">
        <is>
          <t>292</t>
        </is>
      </c>
      <c r="D18" s="38" t="inlineStr">
        <is>
          <t>225</t>
        </is>
      </c>
      <c r="E18" s="38" t="inlineStr">
        <is>
          <t>517</t>
        </is>
      </c>
      <c r="F18" s="38" t="inlineStr">
        <is>
          <t>0</t>
        </is>
      </c>
      <c r="G18" s="38" t="inlineStr">
        <is>
          <t>517</t>
        </is>
      </c>
      <c r="H18" s="38" t="inlineStr">
        <is>
          <t>0</t>
        </is>
      </c>
    </row>
    <row r="19" ht="15" customHeight="1" s="39">
      <c r="A19" s="42" t="inlineStr">
        <is>
          <t>430022</t>
        </is>
      </c>
      <c r="B19" s="38" t="inlineStr">
        <is>
          <t>Albinyana</t>
        </is>
      </c>
      <c r="C19" s="38" t="inlineStr">
        <is>
          <t>948</t>
        </is>
      </c>
      <c r="D19" s="38" t="inlineStr">
        <is>
          <t>638</t>
        </is>
      </c>
      <c r="E19" s="38" t="inlineStr">
        <is>
          <t>1586</t>
        </is>
      </c>
      <c r="F19" s="38" t="inlineStr">
        <is>
          <t>0</t>
        </is>
      </c>
      <c r="G19" s="38" t="inlineStr">
        <is>
          <t>1586</t>
        </is>
      </c>
      <c r="H19" s="38" t="inlineStr">
        <is>
          <t>0</t>
        </is>
      </c>
    </row>
    <row r="20" ht="15" customHeight="1" s="39">
      <c r="A20" s="42" t="inlineStr">
        <is>
          <t>430038</t>
        </is>
      </c>
      <c r="B20" s="38" t="inlineStr">
        <is>
          <t>Albiol, l'</t>
        </is>
      </c>
      <c r="C20" s="38" t="inlineStr">
        <is>
          <t>180</t>
        </is>
      </c>
      <c r="D20" s="38" t="inlineStr">
        <is>
          <t>92</t>
        </is>
      </c>
      <c r="E20" s="38" t="inlineStr">
        <is>
          <t>272</t>
        </is>
      </c>
      <c r="F20" s="38" t="inlineStr">
        <is>
          <t>0</t>
        </is>
      </c>
      <c r="G20" s="38" t="inlineStr">
        <is>
          <t>272</t>
        </is>
      </c>
      <c r="H20" s="38" t="inlineStr">
        <is>
          <t>0</t>
        </is>
      </c>
    </row>
    <row r="21" ht="15" customHeight="1" s="39">
      <c r="A21" s="42" t="inlineStr">
        <is>
          <t>170046</t>
        </is>
      </c>
      <c r="B21" s="38" t="inlineStr">
        <is>
          <t>Albons</t>
        </is>
      </c>
      <c r="C21" s="38" t="inlineStr">
        <is>
          <t>301</t>
        </is>
      </c>
      <c r="D21" s="38" t="inlineStr">
        <is>
          <t>250</t>
        </is>
      </c>
      <c r="E21" s="38" t="inlineStr">
        <is>
          <t>551</t>
        </is>
      </c>
      <c r="F21" s="38" t="inlineStr">
        <is>
          <t>0</t>
        </is>
      </c>
      <c r="G21" s="38" t="inlineStr">
        <is>
          <t>551</t>
        </is>
      </c>
      <c r="H21" s="38" t="inlineStr">
        <is>
          <t>0</t>
        </is>
      </c>
    </row>
    <row r="22" ht="15" customHeight="1" s="39">
      <c r="A22" s="42" t="inlineStr">
        <is>
          <t>430043</t>
        </is>
      </c>
      <c r="B22" s="38" t="inlineStr">
        <is>
          <t>Alcanar</t>
        </is>
      </c>
      <c r="C22" s="38" t="inlineStr">
        <is>
          <t>3808</t>
        </is>
      </c>
      <c r="D22" s="38" t="inlineStr">
        <is>
          <t>4781</t>
        </is>
      </c>
      <c r="E22" s="38" t="inlineStr">
        <is>
          <t>8589</t>
        </is>
      </c>
      <c r="F22" s="38" t="inlineStr">
        <is>
          <t>0</t>
        </is>
      </c>
      <c r="G22" s="38" t="inlineStr">
        <is>
          <t>8589</t>
        </is>
      </c>
      <c r="H22" s="38" t="inlineStr">
        <is>
          <t>2</t>
        </is>
      </c>
    </row>
    <row r="23" ht="15" customHeight="1" s="39">
      <c r="A23" s="42" t="inlineStr">
        <is>
          <t>250100</t>
        </is>
      </c>
      <c r="B23" s="38" t="inlineStr">
        <is>
          <t>Alcanó</t>
        </is>
      </c>
      <c r="C23" s="38" t="inlineStr">
        <is>
          <t>91</t>
        </is>
      </c>
      <c r="D23" s="38" t="inlineStr">
        <is>
          <t>51</t>
        </is>
      </c>
      <c r="E23" s="38" t="inlineStr">
        <is>
          <t>142</t>
        </is>
      </c>
      <c r="F23" s="38" t="inlineStr">
        <is>
          <t>0</t>
        </is>
      </c>
      <c r="G23" s="38" t="inlineStr">
        <is>
          <t>142</t>
        </is>
      </c>
      <c r="H23" s="38" t="inlineStr">
        <is>
          <t>0</t>
        </is>
      </c>
    </row>
    <row r="24" ht="15" customHeight="1" s="39">
      <c r="A24" s="42" t="inlineStr">
        <is>
          <t>250117</t>
        </is>
      </c>
      <c r="B24" s="38" t="inlineStr">
        <is>
          <t>Alcarràs</t>
        </is>
      </c>
      <c r="C24" s="38" t="inlineStr">
        <is>
          <t>3717</t>
        </is>
      </c>
      <c r="D24" s="38" t="inlineStr">
        <is>
          <t>1073</t>
        </is>
      </c>
      <c r="E24" s="38" t="inlineStr">
        <is>
          <t>4790</t>
        </is>
      </c>
      <c r="F24" s="38" t="inlineStr">
        <is>
          <t>0</t>
        </is>
      </c>
      <c r="G24" s="38" t="inlineStr">
        <is>
          <t>4790</t>
        </is>
      </c>
      <c r="H24" s="38" t="inlineStr">
        <is>
          <t>1</t>
        </is>
      </c>
    </row>
    <row r="25" ht="15" customHeight="1" s="39">
      <c r="A25" s="42" t="inlineStr">
        <is>
          <t>250122</t>
        </is>
      </c>
      <c r="B25" s="38" t="inlineStr">
        <is>
          <t>Alcoletge</t>
        </is>
      </c>
      <c r="C25" s="38" t="inlineStr">
        <is>
          <t>1260</t>
        </is>
      </c>
      <c r="D25" s="38" t="inlineStr">
        <is>
          <t>411</t>
        </is>
      </c>
      <c r="E25" s="38" t="inlineStr">
        <is>
          <t>1671</t>
        </is>
      </c>
      <c r="F25" s="38" t="inlineStr">
        <is>
          <t>0</t>
        </is>
      </c>
      <c r="G25" s="38" t="inlineStr">
        <is>
          <t>1671</t>
        </is>
      </c>
      <c r="H25" s="38" t="inlineStr">
        <is>
          <t>4</t>
        </is>
      </c>
    </row>
    <row r="26" ht="15" customHeight="1" s="39">
      <c r="A26" s="42" t="inlineStr">
        <is>
          <t>430056</t>
        </is>
      </c>
      <c r="B26" s="38" t="inlineStr">
        <is>
          <t>Alcover</t>
        </is>
      </c>
      <c r="C26" s="38" t="inlineStr">
        <is>
          <t>1925</t>
        </is>
      </c>
      <c r="D26" s="38" t="inlineStr">
        <is>
          <t>808</t>
        </is>
      </c>
      <c r="E26" s="38" t="inlineStr">
        <is>
          <t>2733</t>
        </is>
      </c>
      <c r="F26" s="38" t="inlineStr">
        <is>
          <t>0</t>
        </is>
      </c>
      <c r="G26" s="38" t="inlineStr">
        <is>
          <t>2733</t>
        </is>
      </c>
      <c r="H26" s="38" t="inlineStr">
        <is>
          <t>1</t>
        </is>
      </c>
    </row>
    <row r="27" ht="15" customHeight="1" s="39">
      <c r="A27" s="42" t="inlineStr">
        <is>
          <t>439044</t>
        </is>
      </c>
      <c r="B27" s="38" t="inlineStr">
        <is>
          <t>Aldea, l'</t>
        </is>
      </c>
      <c r="C27" s="38" t="inlineStr">
        <is>
          <t>1634</t>
        </is>
      </c>
      <c r="D27" s="38" t="inlineStr">
        <is>
          <t>926</t>
        </is>
      </c>
      <c r="E27" s="38" t="inlineStr">
        <is>
          <t>2560</t>
        </is>
      </c>
      <c r="F27" s="38" t="inlineStr">
        <is>
          <t>0</t>
        </is>
      </c>
      <c r="G27" s="38" t="inlineStr">
        <is>
          <t>2560</t>
        </is>
      </c>
      <c r="H27" s="38" t="inlineStr">
        <is>
          <t>1</t>
        </is>
      </c>
    </row>
    <row r="28" ht="15" customHeight="1" s="39">
      <c r="A28" s="42" t="inlineStr">
        <is>
          <t>430069</t>
        </is>
      </c>
      <c r="B28" s="38" t="inlineStr">
        <is>
          <t>Aldover</t>
        </is>
      </c>
      <c r="C28" s="38" t="inlineStr">
        <is>
          <t>350</t>
        </is>
      </c>
      <c r="D28" s="38" t="inlineStr">
        <is>
          <t>291</t>
        </is>
      </c>
      <c r="E28" s="38" t="inlineStr">
        <is>
          <t>641</t>
        </is>
      </c>
      <c r="F28" s="38" t="inlineStr">
        <is>
          <t>0</t>
        </is>
      </c>
      <c r="G28" s="38" t="inlineStr">
        <is>
          <t>641</t>
        </is>
      </c>
      <c r="H28" s="38" t="inlineStr">
        <is>
          <t>0</t>
        </is>
      </c>
    </row>
    <row r="29" ht="15" customHeight="1" s="39">
      <c r="A29" s="42" t="inlineStr">
        <is>
          <t>430075</t>
        </is>
      </c>
      <c r="B29" s="38" t="inlineStr">
        <is>
          <t>Aleixar, l'</t>
        </is>
      </c>
      <c r="C29" s="38" t="inlineStr">
        <is>
          <t>347</t>
        </is>
      </c>
      <c r="D29" s="38" t="inlineStr">
        <is>
          <t>313</t>
        </is>
      </c>
      <c r="E29" s="38" t="inlineStr">
        <is>
          <t>660</t>
        </is>
      </c>
      <c r="F29" s="38" t="inlineStr">
        <is>
          <t>0</t>
        </is>
      </c>
      <c r="G29" s="38" t="inlineStr">
        <is>
          <t>660</t>
        </is>
      </c>
      <c r="H29" s="38" t="inlineStr">
        <is>
          <t>0</t>
        </is>
      </c>
    </row>
    <row r="30" ht="15" customHeight="1" s="39">
      <c r="A30" s="42" t="inlineStr">
        <is>
          <t>080039</t>
        </is>
      </c>
      <c r="B30" s="38" t="inlineStr">
        <is>
          <t>Alella</t>
        </is>
      </c>
      <c r="C30" s="38" t="inlineStr">
        <is>
          <t>3419</t>
        </is>
      </c>
      <c r="D30" s="38" t="inlineStr">
        <is>
          <t>539</t>
        </is>
      </c>
      <c r="E30" s="38" t="inlineStr">
        <is>
          <t>3958</t>
        </is>
      </c>
      <c r="F30" s="38" t="inlineStr">
        <is>
          <t>0</t>
        </is>
      </c>
      <c r="G30" s="38" t="inlineStr">
        <is>
          <t>3958</t>
        </is>
      </c>
      <c r="H30" s="38" t="inlineStr">
        <is>
          <t>5</t>
        </is>
      </c>
    </row>
    <row r="31" ht="15" customHeight="1" s="39">
      <c r="A31" s="42" t="inlineStr">
        <is>
          <t>430081</t>
        </is>
      </c>
      <c r="B31" s="38" t="inlineStr">
        <is>
          <t>Alfara de Carles</t>
        </is>
      </c>
      <c r="C31" s="38" t="inlineStr">
        <is>
          <t>164</t>
        </is>
      </c>
      <c r="D31" s="38" t="inlineStr">
        <is>
          <t>308</t>
        </is>
      </c>
      <c r="E31" s="38" t="inlineStr">
        <is>
          <t>472</t>
        </is>
      </c>
      <c r="F31" s="38" t="inlineStr">
        <is>
          <t>0</t>
        </is>
      </c>
      <c r="G31" s="38" t="inlineStr">
        <is>
          <t>472</t>
        </is>
      </c>
      <c r="H31" s="38" t="inlineStr">
        <is>
          <t>0</t>
        </is>
      </c>
    </row>
    <row r="32" ht="15" customHeight="1" s="39">
      <c r="A32" s="42" t="inlineStr">
        <is>
          <t>250138</t>
        </is>
      </c>
      <c r="B32" s="38" t="inlineStr">
        <is>
          <t>Alfarràs</t>
        </is>
      </c>
      <c r="C32" s="38" t="inlineStr">
        <is>
          <t>1085</t>
        </is>
      </c>
      <c r="D32" s="38" t="inlineStr">
        <is>
          <t>517</t>
        </is>
      </c>
      <c r="E32" s="38" t="inlineStr">
        <is>
          <t>1602</t>
        </is>
      </c>
      <c r="F32" s="38" t="inlineStr">
        <is>
          <t>0</t>
        </is>
      </c>
      <c r="G32" s="38" t="inlineStr">
        <is>
          <t>1602</t>
        </is>
      </c>
      <c r="H32" s="38" t="inlineStr">
        <is>
          <t>1</t>
        </is>
      </c>
    </row>
    <row r="33" ht="15" customHeight="1" s="39">
      <c r="A33" s="42" t="inlineStr">
        <is>
          <t>250143</t>
        </is>
      </c>
      <c r="B33" s="38" t="inlineStr">
        <is>
          <t>Alfés</t>
        </is>
      </c>
      <c r="C33" s="38" t="inlineStr">
        <is>
          <t>125</t>
        </is>
      </c>
      <c r="D33" s="38" t="inlineStr">
        <is>
          <t>80</t>
        </is>
      </c>
      <c r="E33" s="38" t="inlineStr">
        <is>
          <t>205</t>
        </is>
      </c>
      <c r="F33" s="38" t="inlineStr">
        <is>
          <t>0</t>
        </is>
      </c>
      <c r="G33" s="38" t="inlineStr">
        <is>
          <t>205</t>
        </is>
      </c>
      <c r="H33" s="38" t="inlineStr">
        <is>
          <t>0</t>
        </is>
      </c>
    </row>
    <row r="34" ht="15" customHeight="1" s="39">
      <c r="A34" s="42" t="inlineStr">
        <is>
          <t>430094</t>
        </is>
      </c>
      <c r="B34" s="38" t="inlineStr">
        <is>
          <t>Alforja</t>
        </is>
      </c>
      <c r="C34" s="38" t="inlineStr">
        <is>
          <t>745</t>
        </is>
      </c>
      <c r="D34" s="38" t="inlineStr">
        <is>
          <t>497</t>
        </is>
      </c>
      <c r="E34" s="38" t="inlineStr">
        <is>
          <t>1242</t>
        </is>
      </c>
      <c r="F34" s="38" t="inlineStr">
        <is>
          <t>0</t>
        </is>
      </c>
      <c r="G34" s="38" t="inlineStr">
        <is>
          <t>1242</t>
        </is>
      </c>
      <c r="H34" s="38" t="inlineStr">
        <is>
          <t>1</t>
        </is>
      </c>
    </row>
    <row r="35" ht="15" customHeight="1" s="39">
      <c r="A35" s="42" t="inlineStr">
        <is>
          <t>250156</t>
        </is>
      </c>
      <c r="B35" s="38" t="inlineStr">
        <is>
          <t>Algerri</t>
        </is>
      </c>
      <c r="C35" s="38" t="inlineStr">
        <is>
          <t>177</t>
        </is>
      </c>
      <c r="D35" s="38" t="inlineStr">
        <is>
          <t>108</t>
        </is>
      </c>
      <c r="E35" s="38" t="inlineStr">
        <is>
          <t>285</t>
        </is>
      </c>
      <c r="F35" s="38" t="inlineStr">
        <is>
          <t>0</t>
        </is>
      </c>
      <c r="G35" s="38" t="inlineStr">
        <is>
          <t>285</t>
        </is>
      </c>
      <c r="H35" s="38" t="inlineStr">
        <is>
          <t>0</t>
        </is>
      </c>
    </row>
    <row r="36" ht="15" customHeight="1" s="39">
      <c r="A36" s="42" t="inlineStr">
        <is>
          <t>250169</t>
        </is>
      </c>
      <c r="B36" s="38" t="inlineStr">
        <is>
          <t>Alguaire</t>
        </is>
      </c>
      <c r="C36" s="38" t="inlineStr">
        <is>
          <t>1103</t>
        </is>
      </c>
      <c r="D36" s="38" t="inlineStr">
        <is>
          <t>509</t>
        </is>
      </c>
      <c r="E36" s="38" t="inlineStr">
        <is>
          <t>1612</t>
        </is>
      </c>
      <c r="F36" s="38" t="inlineStr">
        <is>
          <t>0</t>
        </is>
      </c>
      <c r="G36" s="38" t="inlineStr">
        <is>
          <t>1612</t>
        </is>
      </c>
      <c r="H36" s="38" t="inlineStr">
        <is>
          <t>0</t>
        </is>
      </c>
    </row>
    <row r="37" ht="15" customHeight="1" s="39">
      <c r="A37" s="42" t="inlineStr">
        <is>
          <t>250175</t>
        </is>
      </c>
      <c r="B37" s="38" t="inlineStr">
        <is>
          <t>Alins</t>
        </is>
      </c>
      <c r="C37" s="38" t="inlineStr">
        <is>
          <t>118</t>
        </is>
      </c>
      <c r="D37" s="38" t="inlineStr">
        <is>
          <t>174</t>
        </is>
      </c>
      <c r="E37" s="38" t="inlineStr">
        <is>
          <t>292</t>
        </is>
      </c>
      <c r="F37" s="38" t="inlineStr">
        <is>
          <t>0</t>
        </is>
      </c>
      <c r="G37" s="38" t="inlineStr">
        <is>
          <t>292</t>
        </is>
      </c>
      <c r="H37" s="38" t="inlineStr">
        <is>
          <t>0</t>
        </is>
      </c>
    </row>
    <row r="38" ht="15" customHeight="1" s="39">
      <c r="A38" s="42" t="inlineStr">
        <is>
          <t>430108</t>
        </is>
      </c>
      <c r="B38" s="38" t="inlineStr">
        <is>
          <t>Alió</t>
        </is>
      </c>
      <c r="C38" s="38" t="inlineStr">
        <is>
          <t>168</t>
        </is>
      </c>
      <c r="D38" s="38" t="inlineStr">
        <is>
          <t>94</t>
        </is>
      </c>
      <c r="E38" s="38" t="inlineStr">
        <is>
          <t>262</t>
        </is>
      </c>
      <c r="F38" s="38" t="inlineStr">
        <is>
          <t>0</t>
        </is>
      </c>
      <c r="G38" s="38" t="inlineStr">
        <is>
          <t>262</t>
        </is>
      </c>
      <c r="H38" s="38" t="inlineStr">
        <is>
          <t>0</t>
        </is>
      </c>
    </row>
    <row r="39" ht="15" customHeight="1" s="39">
      <c r="A39" s="42" t="inlineStr">
        <is>
          <t>250194</t>
        </is>
      </c>
      <c r="B39" s="38" t="inlineStr">
        <is>
          <t>Almacelles</t>
        </is>
      </c>
      <c r="C39" s="38" t="inlineStr">
        <is>
          <t>2553</t>
        </is>
      </c>
      <c r="D39" s="38" t="inlineStr">
        <is>
          <t>946</t>
        </is>
      </c>
      <c r="E39" s="38" t="inlineStr">
        <is>
          <t>3499</t>
        </is>
      </c>
      <c r="F39" s="38" t="inlineStr">
        <is>
          <t>0</t>
        </is>
      </c>
      <c r="G39" s="38" t="inlineStr">
        <is>
          <t>3499</t>
        </is>
      </c>
      <c r="H39" s="38" t="inlineStr">
        <is>
          <t>6</t>
        </is>
      </c>
    </row>
    <row r="40" ht="15" customHeight="1" s="39">
      <c r="A40" s="42" t="inlineStr">
        <is>
          <t>250208</t>
        </is>
      </c>
      <c r="B40" s="38" t="inlineStr">
        <is>
          <t>Almatret</t>
        </is>
      </c>
      <c r="C40" s="38" t="inlineStr">
        <is>
          <t>141</t>
        </is>
      </c>
      <c r="D40" s="38" t="inlineStr">
        <is>
          <t>196</t>
        </is>
      </c>
      <c r="E40" s="38" t="inlineStr">
        <is>
          <t>337</t>
        </is>
      </c>
      <c r="F40" s="38" t="inlineStr">
        <is>
          <t>0</t>
        </is>
      </c>
      <c r="G40" s="38" t="inlineStr">
        <is>
          <t>337</t>
        </is>
      </c>
      <c r="H40" s="38" t="inlineStr">
        <is>
          <t>0</t>
        </is>
      </c>
    </row>
    <row r="41" ht="15" customHeight="1" s="39">
      <c r="A41" s="42" t="inlineStr">
        <is>
          <t>250215</t>
        </is>
      </c>
      <c r="B41" s="38" t="inlineStr">
        <is>
          <t>Almenar</t>
        </is>
      </c>
      <c r="C41" s="38" t="inlineStr">
        <is>
          <t>1253</t>
        </is>
      </c>
      <c r="D41" s="38" t="inlineStr">
        <is>
          <t>634</t>
        </is>
      </c>
      <c r="E41" s="38" t="inlineStr">
        <is>
          <t>1887</t>
        </is>
      </c>
      <c r="F41" s="38" t="inlineStr">
        <is>
          <t>0</t>
        </is>
      </c>
      <c r="G41" s="38" t="inlineStr">
        <is>
          <t>1887</t>
        </is>
      </c>
      <c r="H41" s="38" t="inlineStr">
        <is>
          <t>1</t>
        </is>
      </c>
    </row>
    <row r="42" ht="15" customHeight="1" s="39">
      <c r="A42" s="42" t="inlineStr">
        <is>
          <t>430115</t>
        </is>
      </c>
      <c r="B42" s="38" t="inlineStr">
        <is>
          <t>Almoster</t>
        </is>
      </c>
      <c r="C42" s="38" t="inlineStr">
        <is>
          <t>472</t>
        </is>
      </c>
      <c r="D42" s="38" t="inlineStr">
        <is>
          <t>161</t>
        </is>
      </c>
      <c r="E42" s="38" t="inlineStr">
        <is>
          <t>633</t>
        </is>
      </c>
      <c r="F42" s="38" t="inlineStr">
        <is>
          <t>0</t>
        </is>
      </c>
      <c r="G42" s="38" t="inlineStr">
        <is>
          <t>633</t>
        </is>
      </c>
      <c r="H42" s="38" t="inlineStr">
        <is>
          <t>0</t>
        </is>
      </c>
    </row>
    <row r="43" ht="15" customHeight="1" s="39">
      <c r="A43" s="42" t="inlineStr">
        <is>
          <t>250220</t>
        </is>
      </c>
      <c r="B43" s="38" t="inlineStr">
        <is>
          <t>Alòs de Balaguer</t>
        </is>
      </c>
      <c r="C43" s="38" t="inlineStr">
        <is>
          <t>58</t>
        </is>
      </c>
      <c r="D43" s="38" t="inlineStr">
        <is>
          <t>98</t>
        </is>
      </c>
      <c r="E43" s="38" t="inlineStr">
        <is>
          <t>156</t>
        </is>
      </c>
      <c r="F43" s="38" t="inlineStr">
        <is>
          <t>0</t>
        </is>
      </c>
      <c r="G43" s="38" t="inlineStr">
        <is>
          <t>156</t>
        </is>
      </c>
      <c r="H43" s="38" t="inlineStr">
        <is>
          <t>0</t>
        </is>
      </c>
    </row>
    <row r="44" ht="15" customHeight="1" s="39">
      <c r="A44" s="42" t="inlineStr">
        <is>
          <t>170062</t>
        </is>
      </c>
      <c r="B44" s="38" t="inlineStr">
        <is>
          <t>Alp</t>
        </is>
      </c>
      <c r="C44" s="38" t="inlineStr">
        <is>
          <t>711</t>
        </is>
      </c>
      <c r="D44" s="38" t="inlineStr">
        <is>
          <t>2707</t>
        </is>
      </c>
      <c r="E44" s="38" t="inlineStr">
        <is>
          <t>3418</t>
        </is>
      </c>
      <c r="F44" s="38" t="inlineStr">
        <is>
          <t>0</t>
        </is>
      </c>
      <c r="G44" s="38" t="inlineStr">
        <is>
          <t>3418</t>
        </is>
      </c>
      <c r="H44" s="38" t="inlineStr">
        <is>
          <t>1</t>
        </is>
      </c>
    </row>
    <row r="45" ht="15" customHeight="1" s="39">
      <c r="A45" s="42" t="inlineStr">
        <is>
          <t>080044</t>
        </is>
      </c>
      <c r="B45" s="38" t="inlineStr">
        <is>
          <t>Alpens</t>
        </is>
      </c>
      <c r="C45" s="38" t="inlineStr">
        <is>
          <t>117</t>
        </is>
      </c>
      <c r="D45" s="38" t="inlineStr">
        <is>
          <t>124</t>
        </is>
      </c>
      <c r="E45" s="38" t="inlineStr">
        <is>
          <t>241</t>
        </is>
      </c>
      <c r="F45" s="38" t="inlineStr">
        <is>
          <t>0</t>
        </is>
      </c>
      <c r="G45" s="38" t="inlineStr">
        <is>
          <t>241</t>
        </is>
      </c>
      <c r="H45" s="38" t="inlineStr">
        <is>
          <t>0</t>
        </is>
      </c>
    </row>
    <row r="46" ht="15" customHeight="1" s="39">
      <c r="A46" s="42" t="inlineStr">
        <is>
          <t>250236</t>
        </is>
      </c>
      <c r="B46" s="38" t="inlineStr">
        <is>
          <t>Alpicat</t>
        </is>
      </c>
      <c r="C46" s="38" t="inlineStr">
        <is>
          <t>2179</t>
        </is>
      </c>
      <c r="D46" s="38" t="inlineStr">
        <is>
          <t>486</t>
        </is>
      </c>
      <c r="E46" s="38" t="inlineStr">
        <is>
          <t>2665</t>
        </is>
      </c>
      <c r="F46" s="38" t="inlineStr">
        <is>
          <t>0</t>
        </is>
      </c>
      <c r="G46" s="38" t="inlineStr">
        <is>
          <t>2665</t>
        </is>
      </c>
      <c r="H46" s="38" t="inlineStr">
        <is>
          <t>4</t>
        </is>
      </c>
    </row>
    <row r="47" ht="15" customHeight="1" s="39">
      <c r="A47" s="42" t="inlineStr">
        <is>
          <t>250241</t>
        </is>
      </c>
      <c r="B47" s="38" t="inlineStr">
        <is>
          <t>Alt Àneu</t>
        </is>
      </c>
      <c r="C47" s="38" t="inlineStr">
        <is>
          <t>183</t>
        </is>
      </c>
      <c r="D47" s="38" t="inlineStr">
        <is>
          <t>592</t>
        </is>
      </c>
      <c r="E47" s="38" t="inlineStr">
        <is>
          <t>775</t>
        </is>
      </c>
      <c r="F47" s="38" t="inlineStr">
        <is>
          <t>0</t>
        </is>
      </c>
      <c r="G47" s="38" t="inlineStr">
        <is>
          <t>775</t>
        </is>
      </c>
      <c r="H47" s="38" t="inlineStr">
        <is>
          <t>0</t>
        </is>
      </c>
    </row>
    <row r="48" ht="15" customHeight="1" s="39">
      <c r="A48" s="42" t="inlineStr">
        <is>
          <t>430120</t>
        </is>
      </c>
      <c r="B48" s="38" t="inlineStr">
        <is>
          <t>Altafulla</t>
        </is>
      </c>
      <c r="C48" s="38" t="inlineStr">
        <is>
          <t>2162</t>
        </is>
      </c>
      <c r="D48" s="38" t="inlineStr">
        <is>
          <t>2689</t>
        </is>
      </c>
      <c r="E48" s="38" t="inlineStr">
        <is>
          <t>4851</t>
        </is>
      </c>
      <c r="F48" s="38" t="inlineStr">
        <is>
          <t>0</t>
        </is>
      </c>
      <c r="G48" s="38" t="inlineStr">
        <is>
          <t>4851</t>
        </is>
      </c>
      <c r="H48" s="38" t="inlineStr">
        <is>
          <t>1</t>
        </is>
      </c>
    </row>
    <row r="49" ht="15" customHeight="1" s="39">
      <c r="A49" s="42" t="inlineStr">
        <is>
          <t>170078</t>
        </is>
      </c>
      <c r="B49" s="38" t="inlineStr">
        <is>
          <t>Amer</t>
        </is>
      </c>
      <c r="C49" s="38" t="inlineStr">
        <is>
          <t>912</t>
        </is>
      </c>
      <c r="D49" s="38" t="inlineStr">
        <is>
          <t>473</t>
        </is>
      </c>
      <c r="E49" s="38" t="inlineStr">
        <is>
          <t>1385</t>
        </is>
      </c>
      <c r="F49" s="38" t="inlineStr">
        <is>
          <t>0</t>
        </is>
      </c>
      <c r="G49" s="38" t="inlineStr">
        <is>
          <t>1385</t>
        </is>
      </c>
      <c r="H49" s="38" t="inlineStr">
        <is>
          <t>0</t>
        </is>
      </c>
    </row>
    <row r="50" ht="15" customHeight="1" s="39">
      <c r="A50" s="42" t="inlineStr">
        <is>
          <t>430136</t>
        </is>
      </c>
      <c r="B50" s="38" t="inlineStr">
        <is>
          <t>Ametlla de Mar, l'</t>
        </is>
      </c>
      <c r="C50" s="38" t="inlineStr">
        <is>
          <t>3048</t>
        </is>
      </c>
      <c r="D50" s="38" t="inlineStr">
        <is>
          <t>5238</t>
        </is>
      </c>
      <c r="E50" s="38" t="inlineStr">
        <is>
          <t>8286</t>
        </is>
      </c>
      <c r="F50" s="38" t="inlineStr">
        <is>
          <t>0</t>
        </is>
      </c>
      <c r="G50" s="38" t="inlineStr">
        <is>
          <t>8286</t>
        </is>
      </c>
      <c r="H50" s="38" t="inlineStr">
        <is>
          <t>2</t>
        </is>
      </c>
    </row>
    <row r="51" ht="15" customHeight="1" s="39">
      <c r="A51" s="42" t="inlineStr">
        <is>
          <t>080057</t>
        </is>
      </c>
      <c r="B51" s="38" t="inlineStr">
        <is>
          <t>Ametlla del Vallès, l'</t>
        </is>
      </c>
      <c r="C51" s="38" t="inlineStr">
        <is>
          <t>2975</t>
        </is>
      </c>
      <c r="D51" s="38" t="inlineStr">
        <is>
          <t>633</t>
        </is>
      </c>
      <c r="E51" s="38" t="inlineStr">
        <is>
          <t>3608</t>
        </is>
      </c>
      <c r="F51" s="38" t="inlineStr">
        <is>
          <t>0</t>
        </is>
      </c>
      <c r="G51" s="38" t="inlineStr">
        <is>
          <t>3608</t>
        </is>
      </c>
      <c r="H51" s="38" t="inlineStr">
        <is>
          <t>4</t>
        </is>
      </c>
    </row>
    <row r="52" ht="15" customHeight="1" s="39">
      <c r="A52" s="42" t="inlineStr">
        <is>
          <t>439060</t>
        </is>
      </c>
      <c r="B52" s="38" t="inlineStr">
        <is>
          <t>Ampolla, l'</t>
        </is>
      </c>
      <c r="C52" s="38" t="inlineStr">
        <is>
          <t>1579</t>
        </is>
      </c>
      <c r="D52" s="38" t="inlineStr">
        <is>
          <t>3456</t>
        </is>
      </c>
      <c r="E52" s="38" t="inlineStr">
        <is>
          <t>5035</t>
        </is>
      </c>
      <c r="F52" s="38" t="inlineStr">
        <is>
          <t>0</t>
        </is>
      </c>
      <c r="G52" s="38" t="inlineStr">
        <is>
          <t>5035</t>
        </is>
      </c>
      <c r="H52" s="38" t="inlineStr">
        <is>
          <t>0</t>
        </is>
      </c>
    </row>
    <row r="53" ht="15" customHeight="1" s="39">
      <c r="A53" s="42" t="inlineStr">
        <is>
          <t>430141</t>
        </is>
      </c>
      <c r="B53" s="38" t="inlineStr">
        <is>
          <t>Amposta</t>
        </is>
      </c>
      <c r="C53" s="38" t="inlineStr">
        <is>
          <t>8225</t>
        </is>
      </c>
      <c r="D53" s="38" t="inlineStr">
        <is>
          <t>3647</t>
        </is>
      </c>
      <c r="E53" s="38" t="inlineStr">
        <is>
          <t>11872</t>
        </is>
      </c>
      <c r="F53" s="38" t="inlineStr">
        <is>
          <t>0</t>
        </is>
      </c>
      <c r="G53" s="38" t="inlineStr">
        <is>
          <t>11872</t>
        </is>
      </c>
      <c r="H53" s="38" t="inlineStr">
        <is>
          <t>9</t>
        </is>
      </c>
    </row>
    <row r="54" ht="15" customHeight="1" s="39">
      <c r="A54" s="42" t="inlineStr">
        <is>
          <t>170084</t>
        </is>
      </c>
      <c r="B54" s="38" t="inlineStr">
        <is>
          <t>Anglès</t>
        </is>
      </c>
      <c r="C54" s="38" t="inlineStr">
        <is>
          <t>2101</t>
        </is>
      </c>
      <c r="D54" s="38" t="inlineStr">
        <is>
          <t>636</t>
        </is>
      </c>
      <c r="E54" s="38" t="inlineStr">
        <is>
          <t>2737</t>
        </is>
      </c>
      <c r="F54" s="38" t="inlineStr">
        <is>
          <t>0</t>
        </is>
      </c>
      <c r="G54" s="38" t="inlineStr">
        <is>
          <t>2737</t>
        </is>
      </c>
      <c r="H54" s="38" t="inlineStr">
        <is>
          <t>0</t>
        </is>
      </c>
    </row>
    <row r="55" ht="15" customHeight="1" s="39">
      <c r="A55" s="42" t="inlineStr">
        <is>
          <t>250273</t>
        </is>
      </c>
      <c r="B55" s="38" t="inlineStr">
        <is>
          <t>Anglesola</t>
        </is>
      </c>
      <c r="C55" s="38" t="inlineStr">
        <is>
          <t>524</t>
        </is>
      </c>
      <c r="D55" s="38" t="inlineStr">
        <is>
          <t>179</t>
        </is>
      </c>
      <c r="E55" s="38" t="inlineStr">
        <is>
          <t>703</t>
        </is>
      </c>
      <c r="F55" s="38" t="inlineStr">
        <is>
          <t>0</t>
        </is>
      </c>
      <c r="G55" s="38" t="inlineStr">
        <is>
          <t>703</t>
        </is>
      </c>
      <c r="H55" s="38" t="inlineStr">
        <is>
          <t>1</t>
        </is>
      </c>
    </row>
    <row r="56" ht="15" customHeight="1" s="39">
      <c r="A56" s="42" t="inlineStr">
        <is>
          <t>250292</t>
        </is>
      </c>
      <c r="B56" s="38" t="inlineStr">
        <is>
          <t>Arbeca</t>
        </is>
      </c>
      <c r="C56" s="38" t="inlineStr">
        <is>
          <t>856</t>
        </is>
      </c>
      <c r="D56" s="38" t="inlineStr">
        <is>
          <t>708</t>
        </is>
      </c>
      <c r="E56" s="38" t="inlineStr">
        <is>
          <t>1564</t>
        </is>
      </c>
      <c r="F56" s="38" t="inlineStr">
        <is>
          <t>0</t>
        </is>
      </c>
      <c r="G56" s="38" t="inlineStr">
        <is>
          <t>1564</t>
        </is>
      </c>
      <c r="H56" s="38" t="inlineStr">
        <is>
          <t>0</t>
        </is>
      </c>
    </row>
    <row r="57" ht="15" customHeight="1" s="39">
      <c r="A57" s="42" t="inlineStr">
        <is>
          <t>430167</t>
        </is>
      </c>
      <c r="B57" s="38" t="inlineStr">
        <is>
          <t>Arboç, l'</t>
        </is>
      </c>
      <c r="C57" s="38" t="inlineStr">
        <is>
          <t>2054</t>
        </is>
      </c>
      <c r="D57" s="38" t="inlineStr">
        <is>
          <t>377</t>
        </is>
      </c>
      <c r="E57" s="38" t="inlineStr">
        <is>
          <t>2431</t>
        </is>
      </c>
      <c r="F57" s="38" t="inlineStr">
        <is>
          <t>0</t>
        </is>
      </c>
      <c r="G57" s="38" t="inlineStr">
        <is>
          <t>2431</t>
        </is>
      </c>
      <c r="H57" s="38" t="inlineStr">
        <is>
          <t>1</t>
        </is>
      </c>
    </row>
    <row r="58" ht="15" customHeight="1" s="39">
      <c r="A58" s="42" t="inlineStr">
        <is>
          <t>430154</t>
        </is>
      </c>
      <c r="B58" s="38" t="inlineStr">
        <is>
          <t>Arbolí</t>
        </is>
      </c>
      <c r="C58" s="38" t="inlineStr">
        <is>
          <t>55</t>
        </is>
      </c>
      <c r="D58" s="38" t="inlineStr">
        <is>
          <t>61</t>
        </is>
      </c>
      <c r="E58" s="38" t="inlineStr">
        <is>
          <t>116</t>
        </is>
      </c>
      <c r="F58" s="38" t="inlineStr">
        <is>
          <t>0</t>
        </is>
      </c>
      <c r="G58" s="38" t="inlineStr">
        <is>
          <t>116</t>
        </is>
      </c>
      <c r="H58" s="38" t="inlineStr">
        <is>
          <t>0</t>
        </is>
      </c>
    </row>
    <row r="59" ht="15" customHeight="1" s="39">
      <c r="A59" s="42" t="inlineStr">
        <is>
          <t>170097</t>
        </is>
      </c>
      <c r="B59" s="38" t="inlineStr">
        <is>
          <t>Arbúcies</t>
        </is>
      </c>
      <c r="C59" s="38" t="inlineStr">
        <is>
          <t>2389</t>
        </is>
      </c>
      <c r="D59" s="38" t="inlineStr">
        <is>
          <t>943</t>
        </is>
      </c>
      <c r="E59" s="38" t="inlineStr">
        <is>
          <t>3332</t>
        </is>
      </c>
      <c r="F59" s="38" t="inlineStr">
        <is>
          <t>0</t>
        </is>
      </c>
      <c r="G59" s="38" t="inlineStr">
        <is>
          <t>3332</t>
        </is>
      </c>
      <c r="H59" s="38" t="inlineStr">
        <is>
          <t>2</t>
        </is>
      </c>
    </row>
    <row r="60" ht="15" customHeight="1" s="39">
      <c r="A60" s="42" t="inlineStr">
        <is>
          <t>080060</t>
        </is>
      </c>
      <c r="B60" s="38" t="inlineStr">
        <is>
          <t>Arenys de Mar</t>
        </is>
      </c>
      <c r="C60" s="38" t="inlineStr">
        <is>
          <t>6292</t>
        </is>
      </c>
      <c r="D60" s="38" t="inlineStr">
        <is>
          <t>2121</t>
        </is>
      </c>
      <c r="E60" s="38" t="inlineStr">
        <is>
          <t>8413</t>
        </is>
      </c>
      <c r="F60" s="38" t="inlineStr">
        <is>
          <t>0</t>
        </is>
      </c>
      <c r="G60" s="38" t="inlineStr">
        <is>
          <t>8413</t>
        </is>
      </c>
      <c r="H60" s="38" t="inlineStr">
        <is>
          <t>13</t>
        </is>
      </c>
    </row>
    <row r="61" ht="15" customHeight="1" s="39">
      <c r="A61" s="42" t="inlineStr">
        <is>
          <t>080076</t>
        </is>
      </c>
      <c r="B61" s="38" t="inlineStr">
        <is>
          <t>Arenys de Munt</t>
        </is>
      </c>
      <c r="C61" s="38" t="inlineStr">
        <is>
          <t>3497</t>
        </is>
      </c>
      <c r="D61" s="38" t="inlineStr">
        <is>
          <t>942</t>
        </is>
      </c>
      <c r="E61" s="38" t="inlineStr">
        <is>
          <t>4439</t>
        </is>
      </c>
      <c r="F61" s="38" t="inlineStr">
        <is>
          <t>0</t>
        </is>
      </c>
      <c r="G61" s="38" t="inlineStr">
        <is>
          <t>4439</t>
        </is>
      </c>
      <c r="H61" s="38" t="inlineStr">
        <is>
          <t>2</t>
        </is>
      </c>
    </row>
    <row r="62" ht="15" customHeight="1" s="39">
      <c r="A62" s="42" t="inlineStr">
        <is>
          <t>170101</t>
        </is>
      </c>
      <c r="B62" s="38" t="inlineStr">
        <is>
          <t>Argelaguer</t>
        </is>
      </c>
      <c r="C62" s="38" t="inlineStr">
        <is>
          <t>171</t>
        </is>
      </c>
      <c r="D62" s="38" t="inlineStr">
        <is>
          <t>80</t>
        </is>
      </c>
      <c r="E62" s="38" t="inlineStr">
        <is>
          <t>251</t>
        </is>
      </c>
      <c r="F62" s="38" t="inlineStr">
        <is>
          <t>0</t>
        </is>
      </c>
      <c r="G62" s="38" t="inlineStr">
        <is>
          <t>251</t>
        </is>
      </c>
      <c r="H62" s="38" t="inlineStr">
        <is>
          <t>0</t>
        </is>
      </c>
    </row>
    <row r="63" ht="15" customHeight="1" s="39">
      <c r="A63" s="42" t="inlineStr">
        <is>
          <t>080082</t>
        </is>
      </c>
      <c r="B63" s="38" t="inlineStr">
        <is>
          <t>Argençola</t>
        </is>
      </c>
      <c r="C63" s="38" t="inlineStr">
        <is>
          <t>93</t>
        </is>
      </c>
      <c r="D63" s="38" t="inlineStr">
        <is>
          <t>76</t>
        </is>
      </c>
      <c r="E63" s="38" t="inlineStr">
        <is>
          <t>169</t>
        </is>
      </c>
      <c r="F63" s="38" t="inlineStr">
        <is>
          <t>0</t>
        </is>
      </c>
      <c r="G63" s="38" t="inlineStr">
        <is>
          <t>169</t>
        </is>
      </c>
      <c r="H63" s="38" t="inlineStr">
        <is>
          <t>0</t>
        </is>
      </c>
    </row>
    <row r="64" ht="15" customHeight="1" s="39">
      <c r="A64" s="42" t="inlineStr">
        <is>
          <t>430173</t>
        </is>
      </c>
      <c r="B64" s="38" t="inlineStr">
        <is>
          <t>Argentera, l'</t>
        </is>
      </c>
      <c r="C64" s="38" t="inlineStr">
        <is>
          <t>61</t>
        </is>
      </c>
      <c r="D64" s="38" t="inlineStr">
        <is>
          <t>79</t>
        </is>
      </c>
      <c r="E64" s="38" t="inlineStr">
        <is>
          <t>140</t>
        </is>
      </c>
      <c r="F64" s="38" t="inlineStr">
        <is>
          <t>0</t>
        </is>
      </c>
      <c r="G64" s="38" t="inlineStr">
        <is>
          <t>140</t>
        </is>
      </c>
      <c r="H64" s="38" t="inlineStr">
        <is>
          <t>0</t>
        </is>
      </c>
    </row>
    <row r="65" ht="15" customHeight="1" s="39">
      <c r="A65" s="42" t="inlineStr">
        <is>
          <t>080095</t>
        </is>
      </c>
      <c r="B65" s="38" t="inlineStr">
        <is>
          <t>Argentona</t>
        </is>
      </c>
      <c r="C65" s="38" t="inlineStr">
        <is>
          <t>4514</t>
        </is>
      </c>
      <c r="D65" s="38" t="inlineStr">
        <is>
          <t>709</t>
        </is>
      </c>
      <c r="E65" s="38" t="inlineStr">
        <is>
          <t>5223</t>
        </is>
      </c>
      <c r="F65" s="38" t="inlineStr">
        <is>
          <t>0</t>
        </is>
      </c>
      <c r="G65" s="38" t="inlineStr">
        <is>
          <t>5223</t>
        </is>
      </c>
      <c r="H65" s="38" t="inlineStr">
        <is>
          <t>5</t>
        </is>
      </c>
    </row>
    <row r="66" ht="15" customHeight="1" s="39">
      <c r="A66" s="42" t="inlineStr">
        <is>
          <t>170118</t>
        </is>
      </c>
      <c r="B66" s="38" t="inlineStr">
        <is>
          <t>Armentera, l'</t>
        </is>
      </c>
      <c r="C66" s="38" t="inlineStr">
        <is>
          <t>395</t>
        </is>
      </c>
      <c r="D66" s="38" t="inlineStr">
        <is>
          <t>333</t>
        </is>
      </c>
      <c r="E66" s="38" t="inlineStr">
        <is>
          <t>728</t>
        </is>
      </c>
      <c r="F66" s="38" t="inlineStr">
        <is>
          <t>0</t>
        </is>
      </c>
      <c r="G66" s="38" t="inlineStr">
        <is>
          <t>728</t>
        </is>
      </c>
      <c r="H66" s="38" t="inlineStr">
        <is>
          <t>1</t>
        </is>
      </c>
    </row>
    <row r="67" ht="15" customHeight="1" s="39">
      <c r="A67" s="42" t="inlineStr">
        <is>
          <t>430189</t>
        </is>
      </c>
      <c r="B67" s="38" t="inlineStr">
        <is>
          <t>Arnes</t>
        </is>
      </c>
      <c r="C67" s="38" t="inlineStr">
        <is>
          <t>183</t>
        </is>
      </c>
      <c r="D67" s="38" t="inlineStr">
        <is>
          <t>321</t>
        </is>
      </c>
      <c r="E67" s="38" t="inlineStr">
        <is>
          <t>504</t>
        </is>
      </c>
      <c r="F67" s="38" t="inlineStr">
        <is>
          <t>0</t>
        </is>
      </c>
      <c r="G67" s="38" t="inlineStr">
        <is>
          <t>504</t>
        </is>
      </c>
      <c r="H67" s="38" t="inlineStr">
        <is>
          <t>0</t>
        </is>
      </c>
    </row>
    <row r="68" ht="15" customHeight="1" s="39">
      <c r="A68" s="42" t="inlineStr">
        <is>
          <t>250313</t>
        </is>
      </c>
      <c r="B68" s="38" t="inlineStr">
        <is>
          <t>Arres</t>
        </is>
      </c>
      <c r="C68" s="38" t="inlineStr">
        <is>
          <t>29</t>
        </is>
      </c>
      <c r="D68" s="38" t="inlineStr">
        <is>
          <t>58</t>
        </is>
      </c>
      <c r="E68" s="38" t="inlineStr">
        <is>
          <t>87</t>
        </is>
      </c>
      <c r="F68" s="38" t="inlineStr">
        <is>
          <t>0</t>
        </is>
      </c>
      <c r="G68" s="38" t="inlineStr">
        <is>
          <t>87</t>
        </is>
      </c>
      <c r="H68" s="38" t="inlineStr">
        <is>
          <t>0</t>
        </is>
      </c>
    </row>
    <row r="69" ht="15" customHeight="1" s="39">
      <c r="A69" s="42" t="inlineStr">
        <is>
          <t>250328</t>
        </is>
      </c>
      <c r="B69" s="38" t="inlineStr">
        <is>
          <t>Arsèguel</t>
        </is>
      </c>
      <c r="C69" s="38" t="inlineStr">
        <is>
          <t>37</t>
        </is>
      </c>
      <c r="D69" s="38" t="inlineStr">
        <is>
          <t>56</t>
        </is>
      </c>
      <c r="E69" s="38" t="inlineStr">
        <is>
          <t>93</t>
        </is>
      </c>
      <c r="F69" s="38" t="inlineStr">
        <is>
          <t>0</t>
        </is>
      </c>
      <c r="G69" s="38" t="inlineStr">
        <is>
          <t>93</t>
        </is>
      </c>
      <c r="H69" s="38" t="inlineStr">
        <is>
          <t>0</t>
        </is>
      </c>
    </row>
    <row r="70" ht="15" customHeight="1" s="39">
      <c r="A70" s="42" t="inlineStr">
        <is>
          <t>080109</t>
        </is>
      </c>
      <c r="B70" s="38" t="inlineStr">
        <is>
          <t>Artés</t>
        </is>
      </c>
      <c r="C70" s="38" t="inlineStr">
        <is>
          <t>2207</t>
        </is>
      </c>
      <c r="D70" s="38" t="inlineStr">
        <is>
          <t>448</t>
        </is>
      </c>
      <c r="E70" s="38" t="inlineStr">
        <is>
          <t>2655</t>
        </is>
      </c>
      <c r="F70" s="38" t="inlineStr">
        <is>
          <t>0</t>
        </is>
      </c>
      <c r="G70" s="38" t="inlineStr">
        <is>
          <t>2655</t>
        </is>
      </c>
      <c r="H70" s="38" t="inlineStr">
        <is>
          <t>2</t>
        </is>
      </c>
    </row>
    <row r="71" ht="15" customHeight="1" s="39">
      <c r="A71" s="42" t="inlineStr">
        <is>
          <t>250334</t>
        </is>
      </c>
      <c r="B71" s="38" t="inlineStr">
        <is>
          <t>Artesa de Lleida</t>
        </is>
      </c>
      <c r="C71" s="38" t="inlineStr">
        <is>
          <t>551</t>
        </is>
      </c>
      <c r="D71" s="38" t="inlineStr">
        <is>
          <t>121</t>
        </is>
      </c>
      <c r="E71" s="38" t="inlineStr">
        <is>
          <t>672</t>
        </is>
      </c>
      <c r="F71" s="38" t="inlineStr">
        <is>
          <t>0</t>
        </is>
      </c>
      <c r="G71" s="38" t="inlineStr">
        <is>
          <t>672</t>
        </is>
      </c>
      <c r="H71" s="38" t="inlineStr">
        <is>
          <t>0</t>
        </is>
      </c>
    </row>
    <row r="72" ht="15" customHeight="1" s="39">
      <c r="A72" s="42" t="inlineStr">
        <is>
          <t>250349</t>
        </is>
      </c>
      <c r="B72" s="38" t="inlineStr">
        <is>
          <t>Artesa de Segre</t>
        </is>
      </c>
      <c r="C72" s="38" t="inlineStr">
        <is>
          <t>1388</t>
        </is>
      </c>
      <c r="D72" s="38" t="inlineStr">
        <is>
          <t>896</t>
        </is>
      </c>
      <c r="E72" s="38" t="inlineStr">
        <is>
          <t>2284</t>
        </is>
      </c>
      <c r="F72" s="38" t="inlineStr">
        <is>
          <t>0</t>
        </is>
      </c>
      <c r="G72" s="38" t="inlineStr">
        <is>
          <t>2284</t>
        </is>
      </c>
      <c r="H72" s="38" t="inlineStr">
        <is>
          <t>2</t>
        </is>
      </c>
    </row>
    <row r="73" ht="15" customHeight="1" s="39">
      <c r="A73" s="42" t="inlineStr">
        <is>
          <t>430192</t>
        </is>
      </c>
      <c r="B73" s="38" t="inlineStr">
        <is>
          <t>Ascó</t>
        </is>
      </c>
      <c r="C73" s="38" t="inlineStr">
        <is>
          <t>659</t>
        </is>
      </c>
      <c r="D73" s="38" t="inlineStr">
        <is>
          <t>270</t>
        </is>
      </c>
      <c r="E73" s="38" t="inlineStr">
        <is>
          <t>929</t>
        </is>
      </c>
      <c r="F73" s="38" t="inlineStr">
        <is>
          <t>0</t>
        </is>
      </c>
      <c r="G73" s="38" t="inlineStr">
        <is>
          <t>929</t>
        </is>
      </c>
      <c r="H73" s="38" t="inlineStr">
        <is>
          <t>1</t>
        </is>
      </c>
    </row>
    <row r="74" ht="15" customHeight="1" s="39">
      <c r="A74" s="42" t="inlineStr">
        <is>
          <t>250365</t>
        </is>
      </c>
      <c r="B74" s="38" t="inlineStr">
        <is>
          <t>Aspa</t>
        </is>
      </c>
      <c r="C74" s="38" t="inlineStr">
        <is>
          <t>96</t>
        </is>
      </c>
      <c r="D74" s="38" t="inlineStr">
        <is>
          <t>71</t>
        </is>
      </c>
      <c r="E74" s="38" t="inlineStr">
        <is>
          <t>167</t>
        </is>
      </c>
      <c r="F74" s="38" t="inlineStr">
        <is>
          <t>0</t>
        </is>
      </c>
      <c r="G74" s="38" t="inlineStr">
        <is>
          <t>167</t>
        </is>
      </c>
      <c r="H74" s="38" t="inlineStr">
        <is>
          <t>0</t>
        </is>
      </c>
    </row>
    <row r="75" ht="15" customHeight="1" s="39">
      <c r="A75" s="42" t="inlineStr">
        <is>
          <t>250371</t>
        </is>
      </c>
      <c r="B75" s="38" t="inlineStr">
        <is>
          <t>Avellanes i Santa Linya, les</t>
        </is>
      </c>
      <c r="C75" s="38" t="inlineStr">
        <is>
          <t>179</t>
        </is>
      </c>
      <c r="D75" s="38" t="inlineStr">
        <is>
          <t>213</t>
        </is>
      </c>
      <c r="E75" s="38" t="inlineStr">
        <is>
          <t>392</t>
        </is>
      </c>
      <c r="F75" s="38" t="inlineStr">
        <is>
          <t>0</t>
        </is>
      </c>
      <c r="G75" s="38" t="inlineStr">
        <is>
          <t>392</t>
        </is>
      </c>
      <c r="H75" s="38" t="inlineStr">
        <is>
          <t>0</t>
        </is>
      </c>
    </row>
    <row r="76" ht="15" customHeight="1" s="39">
      <c r="A76" s="42" t="inlineStr">
        <is>
          <t>080116</t>
        </is>
      </c>
      <c r="B76" s="38" t="inlineStr">
        <is>
          <t>Avià</t>
        </is>
      </c>
      <c r="C76" s="38" t="inlineStr">
        <is>
          <t>824</t>
        </is>
      </c>
      <c r="D76" s="38" t="inlineStr">
        <is>
          <t>283</t>
        </is>
      </c>
      <c r="E76" s="38" t="inlineStr">
        <is>
          <t>1107</t>
        </is>
      </c>
      <c r="F76" s="38" t="inlineStr">
        <is>
          <t>0</t>
        </is>
      </c>
      <c r="G76" s="38" t="inlineStr">
        <is>
          <t>1107</t>
        </is>
      </c>
      <c r="H76" s="38" t="inlineStr">
        <is>
          <t>0</t>
        </is>
      </c>
    </row>
    <row r="77" ht="15" customHeight="1" s="39">
      <c r="A77" s="42" t="inlineStr">
        <is>
          <t>080121</t>
        </is>
      </c>
      <c r="B77" s="38" t="inlineStr">
        <is>
          <t>Avinyó</t>
        </is>
      </c>
      <c r="C77" s="38" t="inlineStr">
        <is>
          <t>869</t>
        </is>
      </c>
      <c r="D77" s="38" t="inlineStr">
        <is>
          <t>244</t>
        </is>
      </c>
      <c r="E77" s="38" t="inlineStr">
        <is>
          <t>1113</t>
        </is>
      </c>
      <c r="F77" s="38" t="inlineStr">
        <is>
          <t>0</t>
        </is>
      </c>
      <c r="G77" s="38" t="inlineStr">
        <is>
          <t>1113</t>
        </is>
      </c>
      <c r="H77" s="38" t="inlineStr">
        <is>
          <t>1</t>
        </is>
      </c>
    </row>
    <row r="78" ht="15" customHeight="1" s="39">
      <c r="A78" s="42" t="inlineStr">
        <is>
          <t>170123</t>
        </is>
      </c>
      <c r="B78" s="38" t="inlineStr">
        <is>
          <t>Avinyonet de Puigventós</t>
        </is>
      </c>
      <c r="C78" s="38" t="inlineStr">
        <is>
          <t>535</t>
        </is>
      </c>
      <c r="D78" s="38" t="inlineStr">
        <is>
          <t>90</t>
        </is>
      </c>
      <c r="E78" s="38" t="inlineStr">
        <is>
          <t>625</t>
        </is>
      </c>
      <c r="F78" s="38" t="inlineStr">
        <is>
          <t>0</t>
        </is>
      </c>
      <c r="G78" s="38" t="inlineStr">
        <is>
          <t>625</t>
        </is>
      </c>
      <c r="H78" s="38" t="inlineStr">
        <is>
          <t>0</t>
        </is>
      </c>
    </row>
    <row r="79" ht="15" customHeight="1" s="39">
      <c r="A79" s="42" t="inlineStr">
        <is>
          <t>080137</t>
        </is>
      </c>
      <c r="B79" s="38" t="inlineStr">
        <is>
          <t>Avinyonet del Penedès</t>
        </is>
      </c>
      <c r="C79" s="38" t="inlineStr">
        <is>
          <t>655</t>
        </is>
      </c>
      <c r="D79" s="38" t="inlineStr">
        <is>
          <t>243</t>
        </is>
      </c>
      <c r="E79" s="38" t="inlineStr">
        <is>
          <t>898</t>
        </is>
      </c>
      <c r="F79" s="38" t="inlineStr">
        <is>
          <t>0</t>
        </is>
      </c>
      <c r="G79" s="38" t="inlineStr">
        <is>
          <t>898</t>
        </is>
      </c>
      <c r="H79" s="38" t="inlineStr">
        <is>
          <t>1</t>
        </is>
      </c>
    </row>
    <row r="80" ht="15" customHeight="1" s="39">
      <c r="A80" s="42" t="inlineStr">
        <is>
          <t>080155</t>
        </is>
      </c>
      <c r="B80" s="38" t="inlineStr">
        <is>
          <t>Badalona</t>
        </is>
      </c>
      <c r="C80" s="38" t="inlineStr">
        <is>
          <t>83337</t>
        </is>
      </c>
      <c r="D80" s="38" t="inlineStr">
        <is>
          <t>8578</t>
        </is>
      </c>
      <c r="E80" s="38" t="inlineStr">
        <is>
          <t>91915</t>
        </is>
      </c>
      <c r="F80" s="38" t="inlineStr">
        <is>
          <t>0</t>
        </is>
      </c>
      <c r="G80" s="38" t="inlineStr">
        <is>
          <t>91915</t>
        </is>
      </c>
      <c r="H80" s="38" t="inlineStr">
        <is>
          <t>39</t>
        </is>
      </c>
    </row>
    <row r="81" ht="15" customHeight="1" s="39">
      <c r="A81" s="42" t="inlineStr">
        <is>
          <t>089045</t>
        </is>
      </c>
      <c r="B81" s="38" t="inlineStr">
        <is>
          <t>Badia del Vallès</t>
        </is>
      </c>
      <c r="C81" s="38" t="inlineStr">
        <is>
          <t>5178</t>
        </is>
      </c>
      <c r="D81" s="38" t="inlineStr">
        <is>
          <t>269</t>
        </is>
      </c>
      <c r="E81" s="38" t="inlineStr">
        <is>
          <t>5447</t>
        </is>
      </c>
      <c r="F81" s="38" t="inlineStr">
        <is>
          <t>0</t>
        </is>
      </c>
      <c r="G81" s="38" t="inlineStr">
        <is>
          <t>5447</t>
        </is>
      </c>
      <c r="H81" s="38" t="inlineStr">
        <is>
          <t>0</t>
        </is>
      </c>
    </row>
    <row r="82" ht="15" customHeight="1" s="39">
      <c r="A82" s="42" t="inlineStr">
        <is>
          <t>080168</t>
        </is>
      </c>
      <c r="B82" s="38" t="inlineStr">
        <is>
          <t>Bagà</t>
        </is>
      </c>
      <c r="C82" s="38" t="inlineStr">
        <is>
          <t>909</t>
        </is>
      </c>
      <c r="D82" s="38" t="inlineStr">
        <is>
          <t>787</t>
        </is>
      </c>
      <c r="E82" s="38" t="inlineStr">
        <is>
          <t>1696</t>
        </is>
      </c>
      <c r="F82" s="38" t="inlineStr">
        <is>
          <t>0</t>
        </is>
      </c>
      <c r="G82" s="38" t="inlineStr">
        <is>
          <t>1696</t>
        </is>
      </c>
      <c r="H82" s="38" t="inlineStr">
        <is>
          <t>1</t>
        </is>
      </c>
    </row>
    <row r="83" ht="15" customHeight="1" s="39">
      <c r="A83" s="42" t="inlineStr">
        <is>
          <t>250390</t>
        </is>
      </c>
      <c r="B83" s="38" t="inlineStr">
        <is>
          <t>Baix Pallars</t>
        </is>
      </c>
      <c r="C83" s="38" t="inlineStr">
        <is>
          <t>156</t>
        </is>
      </c>
      <c r="D83" s="38" t="inlineStr">
        <is>
          <t>264</t>
        </is>
      </c>
      <c r="E83" s="38" t="inlineStr">
        <is>
          <t>420</t>
        </is>
      </c>
      <c r="F83" s="38" t="inlineStr">
        <is>
          <t>0</t>
        </is>
      </c>
      <c r="G83" s="38" t="inlineStr">
        <is>
          <t>420</t>
        </is>
      </c>
      <c r="H83" s="38" t="inlineStr">
        <is>
          <t>0</t>
        </is>
      </c>
    </row>
    <row r="84" ht="15" customHeight="1" s="39">
      <c r="A84" s="42" t="inlineStr">
        <is>
          <t>250404</t>
        </is>
      </c>
      <c r="B84" s="38" t="inlineStr">
        <is>
          <t>Balaguer</t>
        </is>
      </c>
      <c r="C84" s="38" t="inlineStr">
        <is>
          <t>6484</t>
        </is>
      </c>
      <c r="D84" s="38" t="inlineStr">
        <is>
          <t>2371</t>
        </is>
      </c>
      <c r="E84" s="38" t="inlineStr">
        <is>
          <t>8855</t>
        </is>
      </c>
      <c r="F84" s="38" t="inlineStr">
        <is>
          <t>0</t>
        </is>
      </c>
      <c r="G84" s="38" t="inlineStr">
        <is>
          <t>8855</t>
        </is>
      </c>
      <c r="H84" s="38" t="inlineStr">
        <is>
          <t>6</t>
        </is>
      </c>
    </row>
    <row r="85" ht="15" customHeight="1" s="39">
      <c r="A85" s="42" t="inlineStr">
        <is>
          <t>080174</t>
        </is>
      </c>
      <c r="B85" s="38" t="inlineStr">
        <is>
          <t>Balenyà</t>
        </is>
      </c>
      <c r="C85" s="38" t="inlineStr">
        <is>
          <t>1446</t>
        </is>
      </c>
      <c r="D85" s="38" t="inlineStr">
        <is>
          <t>284</t>
        </is>
      </c>
      <c r="E85" s="38" t="inlineStr">
        <is>
          <t>1730</t>
        </is>
      </c>
      <c r="F85" s="38" t="inlineStr">
        <is>
          <t>0</t>
        </is>
      </c>
      <c r="G85" s="38" t="inlineStr">
        <is>
          <t>1730</t>
        </is>
      </c>
      <c r="H85" s="38" t="inlineStr">
        <is>
          <t>2</t>
        </is>
      </c>
    </row>
    <row r="86" ht="15" customHeight="1" s="39">
      <c r="A86" s="42" t="inlineStr">
        <is>
          <t>080180</t>
        </is>
      </c>
      <c r="B86" s="38" t="inlineStr">
        <is>
          <t>Balsareny</t>
        </is>
      </c>
      <c r="C86" s="38" t="inlineStr">
        <is>
          <t>1301</t>
        </is>
      </c>
      <c r="D86" s="38" t="inlineStr">
        <is>
          <t>409</t>
        </is>
      </c>
      <c r="E86" s="38" t="inlineStr">
        <is>
          <t>1710</t>
        </is>
      </c>
      <c r="F86" s="38" t="inlineStr">
        <is>
          <t>0</t>
        </is>
      </c>
      <c r="G86" s="38" t="inlineStr">
        <is>
          <t>1710</t>
        </is>
      </c>
      <c r="H86" s="38" t="inlineStr">
        <is>
          <t>2</t>
        </is>
      </c>
    </row>
    <row r="87" ht="15" customHeight="1" s="39">
      <c r="A87" s="42" t="inlineStr">
        <is>
          <t>430206</t>
        </is>
      </c>
      <c r="B87" s="38" t="inlineStr">
        <is>
          <t>Banyeres del Penedès</t>
        </is>
      </c>
      <c r="C87" s="38" t="inlineStr">
        <is>
          <t>1223</t>
        </is>
      </c>
      <c r="D87" s="38" t="inlineStr">
        <is>
          <t>400</t>
        </is>
      </c>
      <c r="E87" s="38" t="inlineStr">
        <is>
          <t>1623</t>
        </is>
      </c>
      <c r="F87" s="38" t="inlineStr">
        <is>
          <t>0</t>
        </is>
      </c>
      <c r="G87" s="38" t="inlineStr">
        <is>
          <t>1623</t>
        </is>
      </c>
      <c r="H87" s="38" t="inlineStr">
        <is>
          <t>0</t>
        </is>
      </c>
    </row>
    <row r="88" ht="15" customHeight="1" s="39">
      <c r="A88" s="42" t="inlineStr">
        <is>
          <t>170157</t>
        </is>
      </c>
      <c r="B88" s="38" t="inlineStr">
        <is>
          <t>Banyoles</t>
        </is>
      </c>
      <c r="C88" s="38" t="inlineStr">
        <is>
          <t>7325</t>
        </is>
      </c>
      <c r="D88" s="38" t="inlineStr">
        <is>
          <t>1739</t>
        </is>
      </c>
      <c r="E88" s="38" t="inlineStr">
        <is>
          <t>9064</t>
        </is>
      </c>
      <c r="F88" s="38" t="inlineStr">
        <is>
          <t>0</t>
        </is>
      </c>
      <c r="G88" s="38" t="inlineStr">
        <is>
          <t>9064</t>
        </is>
      </c>
      <c r="H88" s="38" t="inlineStr">
        <is>
          <t>20</t>
        </is>
      </c>
    </row>
    <row r="89" ht="15" customHeight="1" s="39">
      <c r="A89" s="42" t="inlineStr">
        <is>
          <t>250411</t>
        </is>
      </c>
      <c r="B89" s="38" t="inlineStr">
        <is>
          <t>Barbens</t>
        </is>
      </c>
      <c r="C89" s="38" t="inlineStr">
        <is>
          <t>333</t>
        </is>
      </c>
      <c r="D89" s="38" t="inlineStr">
        <is>
          <t>58</t>
        </is>
      </c>
      <c r="E89" s="38" t="inlineStr">
        <is>
          <t>391</t>
        </is>
      </c>
      <c r="F89" s="38" t="inlineStr">
        <is>
          <t>0</t>
        </is>
      </c>
      <c r="G89" s="38" t="inlineStr">
        <is>
          <t>391</t>
        </is>
      </c>
      <c r="H89" s="38" t="inlineStr">
        <is>
          <t>2</t>
        </is>
      </c>
    </row>
    <row r="90" ht="15" customHeight="1" s="39">
      <c r="A90" s="42" t="inlineStr">
        <is>
          <t>430213</t>
        </is>
      </c>
      <c r="B90" s="38" t="inlineStr">
        <is>
          <t>Barberà de la Conca</t>
        </is>
      </c>
      <c r="C90" s="38" t="inlineStr">
        <is>
          <t>204</t>
        </is>
      </c>
      <c r="D90" s="38" t="inlineStr">
        <is>
          <t>238</t>
        </is>
      </c>
      <c r="E90" s="38" t="inlineStr">
        <is>
          <t>442</t>
        </is>
      </c>
      <c r="F90" s="38" t="inlineStr">
        <is>
          <t>0</t>
        </is>
      </c>
      <c r="G90" s="38" t="inlineStr">
        <is>
          <t>442</t>
        </is>
      </c>
      <c r="H90" s="38" t="inlineStr">
        <is>
          <t>1</t>
        </is>
      </c>
    </row>
    <row r="91" ht="15" customHeight="1" s="39">
      <c r="A91" s="42" t="inlineStr">
        <is>
          <t>082520</t>
        </is>
      </c>
      <c r="B91" s="38" t="inlineStr">
        <is>
          <t>Barberà del Vallès</t>
        </is>
      </c>
      <c r="C91" s="38" t="inlineStr">
        <is>
          <t>12153</t>
        </is>
      </c>
      <c r="D91" s="38" t="inlineStr">
        <is>
          <t>1615</t>
        </is>
      </c>
      <c r="E91" s="38" t="inlineStr">
        <is>
          <t>13768</t>
        </is>
      </c>
      <c r="F91" s="38" t="inlineStr">
        <is>
          <t>0</t>
        </is>
      </c>
      <c r="G91" s="38" t="inlineStr">
        <is>
          <t>13768</t>
        </is>
      </c>
      <c r="H91" s="38" t="inlineStr">
        <is>
          <t>7</t>
        </is>
      </c>
    </row>
    <row r="92" ht="15" customHeight="1" s="39">
      <c r="A92" s="42" t="inlineStr">
        <is>
          <t>080193</t>
        </is>
      </c>
      <c r="B92" s="38" t="inlineStr">
        <is>
          <t>Barcelona</t>
        </is>
      </c>
      <c r="C92" s="38" t="inlineStr">
        <is>
          <t>671177</t>
        </is>
      </c>
      <c r="D92" s="38" t="inlineStr">
        <is>
          <t>137574</t>
        </is>
      </c>
      <c r="E92" s="38" t="inlineStr">
        <is>
          <t>808751</t>
        </is>
      </c>
      <c r="F92" s="38" t="inlineStr">
        <is>
          <t>0</t>
        </is>
      </c>
      <c r="G92" s="38" t="inlineStr">
        <is>
          <t>808751</t>
        </is>
      </c>
      <c r="H92" s="38" t="inlineStr">
        <is>
          <t>1643</t>
        </is>
      </c>
    </row>
    <row r="93" ht="15" customHeight="1" s="39">
      <c r="A93" s="42" t="inlineStr">
        <is>
          <t>250426</t>
        </is>
      </c>
      <c r="B93" s="38" t="inlineStr">
        <is>
          <t>Baronia de Rialb, la</t>
        </is>
      </c>
      <c r="C93" s="38" t="inlineStr">
        <is>
          <t>88</t>
        </is>
      </c>
      <c r="D93" s="38" t="inlineStr">
        <is>
          <t>56</t>
        </is>
      </c>
      <c r="E93" s="38" t="inlineStr">
        <is>
          <t>144</t>
        </is>
      </c>
      <c r="F93" s="38" t="inlineStr">
        <is>
          <t>0</t>
        </is>
      </c>
      <c r="G93" s="38" t="inlineStr">
        <is>
          <t>144</t>
        </is>
      </c>
      <c r="H93" s="38" t="inlineStr">
        <is>
          <t>0</t>
        </is>
      </c>
    </row>
    <row r="94" ht="15" customHeight="1" s="39">
      <c r="A94" s="42" t="inlineStr">
        <is>
          <t>170160</t>
        </is>
      </c>
      <c r="B94" s="38" t="inlineStr">
        <is>
          <t>Bàscara</t>
        </is>
      </c>
      <c r="C94" s="38" t="inlineStr">
        <is>
          <t>382</t>
        </is>
      </c>
      <c r="D94" s="38" t="inlineStr">
        <is>
          <t>167</t>
        </is>
      </c>
      <c r="E94" s="38" t="inlineStr">
        <is>
          <t>549</t>
        </is>
      </c>
      <c r="F94" s="38" t="inlineStr">
        <is>
          <t>0</t>
        </is>
      </c>
      <c r="G94" s="38" t="inlineStr">
        <is>
          <t>549</t>
        </is>
      </c>
      <c r="H94" s="38" t="inlineStr">
        <is>
          <t>0</t>
        </is>
      </c>
    </row>
    <row r="95" ht="15" customHeight="1" s="39">
      <c r="A95" s="42" t="inlineStr">
        <is>
          <t>250447</t>
        </is>
      </c>
      <c r="B95" s="38" t="inlineStr">
        <is>
          <t>Bassella</t>
        </is>
      </c>
      <c r="C95" s="38" t="inlineStr">
        <is>
          <t>82</t>
        </is>
      </c>
      <c r="D95" s="38" t="inlineStr">
        <is>
          <t>35</t>
        </is>
      </c>
      <c r="E95" s="38" t="inlineStr">
        <is>
          <t>117</t>
        </is>
      </c>
      <c r="F95" s="38" t="inlineStr">
        <is>
          <t>0</t>
        </is>
      </c>
      <c r="G95" s="38" t="inlineStr">
        <is>
          <t>117</t>
        </is>
      </c>
      <c r="H95" s="38" t="inlineStr">
        <is>
          <t>0</t>
        </is>
      </c>
    </row>
    <row r="96" ht="15" customHeight="1" s="39">
      <c r="A96" s="42" t="inlineStr">
        <is>
          <t>430228</t>
        </is>
      </c>
      <c r="B96" s="38" t="inlineStr">
        <is>
          <t>Batea</t>
        </is>
      </c>
      <c r="C96" s="38" t="inlineStr">
        <is>
          <t>691</t>
        </is>
      </c>
      <c r="D96" s="38" t="inlineStr">
        <is>
          <t>415</t>
        </is>
      </c>
      <c r="E96" s="38" t="inlineStr">
        <is>
          <t>1106</t>
        </is>
      </c>
      <c r="F96" s="38" t="inlineStr">
        <is>
          <t>0</t>
        </is>
      </c>
      <c r="G96" s="38" t="inlineStr">
        <is>
          <t>1106</t>
        </is>
      </c>
      <c r="H96" s="38" t="inlineStr">
        <is>
          <t>1</t>
        </is>
      </c>
    </row>
    <row r="97" ht="15" customHeight="1" s="39">
      <c r="A97" s="42" t="inlineStr">
        <is>
          <t>250450</t>
        </is>
      </c>
      <c r="B97" s="38" t="inlineStr">
        <is>
          <t>Bausen</t>
        </is>
      </c>
      <c r="C97" s="38" t="inlineStr">
        <is>
          <t>35</t>
        </is>
      </c>
      <c r="D97" s="38" t="inlineStr">
        <is>
          <t>53</t>
        </is>
      </c>
      <c r="E97" s="38" t="inlineStr">
        <is>
          <t>88</t>
        </is>
      </c>
      <c r="F97" s="38" t="inlineStr">
        <is>
          <t>0</t>
        </is>
      </c>
      <c r="G97" s="38" t="inlineStr">
        <is>
          <t>88</t>
        </is>
      </c>
      <c r="H97" s="38" t="inlineStr">
        <is>
          <t>0</t>
        </is>
      </c>
    </row>
    <row r="98" ht="15" customHeight="1" s="39">
      <c r="A98" s="42" t="inlineStr">
        <is>
          <t>080207</t>
        </is>
      </c>
      <c r="B98" s="38" t="inlineStr">
        <is>
          <t>Begues</t>
        </is>
      </c>
      <c r="C98" s="38" t="inlineStr">
        <is>
          <t>2486</t>
        </is>
      </c>
      <c r="D98" s="38" t="inlineStr">
        <is>
          <t>449</t>
        </is>
      </c>
      <c r="E98" s="38" t="inlineStr">
        <is>
          <t>2935</t>
        </is>
      </c>
      <c r="F98" s="38" t="inlineStr">
        <is>
          <t>0</t>
        </is>
      </c>
      <c r="G98" s="38" t="inlineStr">
        <is>
          <t>2935</t>
        </is>
      </c>
      <c r="H98" s="38" t="inlineStr">
        <is>
          <t>2</t>
        </is>
      </c>
    </row>
    <row r="99" ht="15" customHeight="1" s="39">
      <c r="A99" s="42" t="inlineStr">
        <is>
          <t>170139</t>
        </is>
      </c>
      <c r="B99" s="38" t="inlineStr">
        <is>
          <t>Begur</t>
        </is>
      </c>
      <c r="C99" s="38" t="inlineStr">
        <is>
          <t>1650</t>
        </is>
      </c>
      <c r="D99" s="38" t="inlineStr">
        <is>
          <t>3970</t>
        </is>
      </c>
      <c r="E99" s="38" t="inlineStr">
        <is>
          <t>5620</t>
        </is>
      </c>
      <c r="F99" s="38" t="inlineStr">
        <is>
          <t>0</t>
        </is>
      </c>
      <c r="G99" s="38" t="inlineStr">
        <is>
          <t>5620</t>
        </is>
      </c>
      <c r="H99" s="38" t="inlineStr">
        <is>
          <t>0</t>
        </is>
      </c>
    </row>
    <row r="100" ht="15" customHeight="1" s="39">
      <c r="A100" s="42" t="inlineStr">
        <is>
          <t>250463</t>
        </is>
      </c>
      <c r="B100" s="38" t="inlineStr">
        <is>
          <t>Belianes</t>
        </is>
      </c>
      <c r="C100" s="38" t="inlineStr">
        <is>
          <t>219</t>
        </is>
      </c>
      <c r="D100" s="38" t="inlineStr">
        <is>
          <t>212</t>
        </is>
      </c>
      <c r="E100" s="38" t="inlineStr">
        <is>
          <t>431</t>
        </is>
      </c>
      <c r="F100" s="38" t="inlineStr">
        <is>
          <t>0</t>
        </is>
      </c>
      <c r="G100" s="38" t="inlineStr">
        <is>
          <t>431</t>
        </is>
      </c>
      <c r="H100" s="38" t="inlineStr">
        <is>
          <t>0</t>
        </is>
      </c>
    </row>
    <row r="101" ht="15" customHeight="1" s="39">
      <c r="A101" s="42" t="inlineStr">
        <is>
          <t>251706</t>
        </is>
      </c>
      <c r="B101" s="38" t="inlineStr">
        <is>
          <t>Bellaguarda</t>
        </is>
      </c>
      <c r="C101" s="38" t="inlineStr">
        <is>
          <t>112</t>
        </is>
      </c>
      <c r="D101" s="38" t="inlineStr">
        <is>
          <t>95</t>
        </is>
      </c>
      <c r="E101" s="38" t="inlineStr">
        <is>
          <t>207</t>
        </is>
      </c>
      <c r="F101" s="38" t="inlineStr">
        <is>
          <t>0</t>
        </is>
      </c>
      <c r="G101" s="38" t="inlineStr">
        <is>
          <t>207</t>
        </is>
      </c>
      <c r="H101" s="38" t="inlineStr">
        <is>
          <t>0</t>
        </is>
      </c>
    </row>
    <row r="102" ht="15" customHeight="1" s="39">
      <c r="A102" s="42" t="inlineStr">
        <is>
          <t>170182</t>
        </is>
      </c>
      <c r="B102" s="38" t="inlineStr">
        <is>
          <t>Bellcaire d'Empordà</t>
        </is>
      </c>
      <c r="C102" s="38" t="inlineStr">
        <is>
          <t>280</t>
        </is>
      </c>
      <c r="D102" s="38" t="inlineStr">
        <is>
          <t>231</t>
        </is>
      </c>
      <c r="E102" s="38" t="inlineStr">
        <is>
          <t>511</t>
        </is>
      </c>
      <c r="F102" s="38" t="inlineStr">
        <is>
          <t>0</t>
        </is>
      </c>
      <c r="G102" s="38" t="inlineStr">
        <is>
          <t>511</t>
        </is>
      </c>
      <c r="H102" s="38" t="inlineStr">
        <is>
          <t>0</t>
        </is>
      </c>
    </row>
    <row r="103" ht="15" customHeight="1" s="39">
      <c r="A103" s="42" t="inlineStr">
        <is>
          <t>250479</t>
        </is>
      </c>
      <c r="B103" s="38" t="inlineStr">
        <is>
          <t>Bellcaire d'Urgell</t>
        </is>
      </c>
      <c r="C103" s="38" t="inlineStr">
        <is>
          <t>487</t>
        </is>
      </c>
      <c r="D103" s="38" t="inlineStr">
        <is>
          <t>220</t>
        </is>
      </c>
      <c r="E103" s="38" t="inlineStr">
        <is>
          <t>707</t>
        </is>
      </c>
      <c r="F103" s="38" t="inlineStr">
        <is>
          <t>0</t>
        </is>
      </c>
      <c r="G103" s="38" t="inlineStr">
        <is>
          <t>707</t>
        </is>
      </c>
      <c r="H103" s="38" t="inlineStr">
        <is>
          <t>0</t>
        </is>
      </c>
    </row>
    <row r="104" ht="15" customHeight="1" s="39">
      <c r="A104" s="42" t="inlineStr">
        <is>
          <t>250485</t>
        </is>
      </c>
      <c r="B104" s="38" t="inlineStr">
        <is>
          <t>Bell-lloc d'Urgell</t>
        </is>
      </c>
      <c r="C104" s="38" t="inlineStr">
        <is>
          <t>837</t>
        </is>
      </c>
      <c r="D104" s="38" t="inlineStr">
        <is>
          <t>249</t>
        </is>
      </c>
      <c r="E104" s="38" t="inlineStr">
        <is>
          <t>1086</t>
        </is>
      </c>
      <c r="F104" s="38" t="inlineStr">
        <is>
          <t>0</t>
        </is>
      </c>
      <c r="G104" s="38" t="inlineStr">
        <is>
          <t>1086</t>
        </is>
      </c>
      <c r="H104" s="38" t="inlineStr">
        <is>
          <t>1</t>
        </is>
      </c>
    </row>
    <row r="105" ht="15" customHeight="1" s="39">
      <c r="A105" s="42" t="inlineStr">
        <is>
          <t>250498</t>
        </is>
      </c>
      <c r="B105" s="38" t="inlineStr">
        <is>
          <t>Bellmunt d'Urgell</t>
        </is>
      </c>
      <c r="C105" s="38" t="inlineStr">
        <is>
          <t>67</t>
        </is>
      </c>
      <c r="D105" s="38" t="inlineStr">
        <is>
          <t>61</t>
        </is>
      </c>
      <c r="E105" s="38" t="inlineStr">
        <is>
          <t>128</t>
        </is>
      </c>
      <c r="F105" s="38" t="inlineStr">
        <is>
          <t>0</t>
        </is>
      </c>
      <c r="G105" s="38" t="inlineStr">
        <is>
          <t>128</t>
        </is>
      </c>
      <c r="H105" s="38" t="inlineStr">
        <is>
          <t>0</t>
        </is>
      </c>
    </row>
    <row r="106" ht="15" customHeight="1" s="39">
      <c r="A106" s="42" t="inlineStr">
        <is>
          <t>430234</t>
        </is>
      </c>
      <c r="B106" s="38" t="inlineStr">
        <is>
          <t>Bellmunt del Priorat</t>
        </is>
      </c>
      <c r="C106" s="38" t="inlineStr">
        <is>
          <t>131</t>
        </is>
      </c>
      <c r="D106" s="38" t="inlineStr">
        <is>
          <t>194</t>
        </is>
      </c>
      <c r="E106" s="38" t="inlineStr">
        <is>
          <t>325</t>
        </is>
      </c>
      <c r="F106" s="38" t="inlineStr">
        <is>
          <t>0</t>
        </is>
      </c>
      <c r="G106" s="38" t="inlineStr">
        <is>
          <t>325</t>
        </is>
      </c>
      <c r="H106" s="38" t="inlineStr">
        <is>
          <t>0</t>
        </is>
      </c>
    </row>
    <row r="107" ht="15" customHeight="1" s="39">
      <c r="A107" s="42" t="inlineStr">
        <is>
          <t>080214</t>
        </is>
      </c>
      <c r="B107" s="38" t="inlineStr">
        <is>
          <t>Bellprat</t>
        </is>
      </c>
      <c r="C107" s="38" t="inlineStr">
        <is>
          <t>37</t>
        </is>
      </c>
      <c r="D107" s="38" t="inlineStr">
        <is>
          <t>35</t>
        </is>
      </c>
      <c r="E107" s="38" t="inlineStr">
        <is>
          <t>72</t>
        </is>
      </c>
      <c r="F107" s="38" t="inlineStr">
        <is>
          <t>0</t>
        </is>
      </c>
      <c r="G107" s="38" t="inlineStr">
        <is>
          <t>72</t>
        </is>
      </c>
      <c r="H107" s="38" t="inlineStr">
        <is>
          <t>0</t>
        </is>
      </c>
    </row>
    <row r="108" ht="15" customHeight="1" s="39">
      <c r="A108" s="42" t="inlineStr">
        <is>
          <t>250501</t>
        </is>
      </c>
      <c r="B108" s="38" t="inlineStr">
        <is>
          <t>Bellpuig</t>
        </is>
      </c>
      <c r="C108" s="38" t="inlineStr">
        <is>
          <t>1877</t>
        </is>
      </c>
      <c r="D108" s="38" t="inlineStr">
        <is>
          <t>764</t>
        </is>
      </c>
      <c r="E108" s="38" t="inlineStr">
        <is>
          <t>2641</t>
        </is>
      </c>
      <c r="F108" s="38" t="inlineStr">
        <is>
          <t>0</t>
        </is>
      </c>
      <c r="G108" s="38" t="inlineStr">
        <is>
          <t>2641</t>
        </is>
      </c>
      <c r="H108" s="38" t="inlineStr">
        <is>
          <t>3</t>
        </is>
      </c>
    </row>
    <row r="109" ht="15" customHeight="1" s="39">
      <c r="A109" s="42" t="inlineStr">
        <is>
          <t>430249</t>
        </is>
      </c>
      <c r="B109" s="38" t="inlineStr">
        <is>
          <t>Bellvei</t>
        </is>
      </c>
      <c r="C109" s="38" t="inlineStr">
        <is>
          <t>861</t>
        </is>
      </c>
      <c r="D109" s="38" t="inlineStr">
        <is>
          <t>482</t>
        </is>
      </c>
      <c r="E109" s="38" t="inlineStr">
        <is>
          <t>1343</t>
        </is>
      </c>
      <c r="F109" s="38" t="inlineStr">
        <is>
          <t>0</t>
        </is>
      </c>
      <c r="G109" s="38" t="inlineStr">
        <is>
          <t>1343</t>
        </is>
      </c>
      <c r="H109" s="38" t="inlineStr">
        <is>
          <t>0</t>
        </is>
      </c>
    </row>
    <row r="110" ht="15" customHeight="1" s="39">
      <c r="A110" s="42" t="inlineStr">
        <is>
          <t>250518</t>
        </is>
      </c>
      <c r="B110" s="38" t="inlineStr">
        <is>
          <t>Bellver de Cerdanya</t>
        </is>
      </c>
      <c r="C110" s="38" t="inlineStr">
        <is>
          <t>979</t>
        </is>
      </c>
      <c r="D110" s="38" t="inlineStr">
        <is>
          <t>1525</t>
        </is>
      </c>
      <c r="E110" s="38" t="inlineStr">
        <is>
          <t>2504</t>
        </is>
      </c>
      <c r="F110" s="38" t="inlineStr">
        <is>
          <t>0</t>
        </is>
      </c>
      <c r="G110" s="38" t="inlineStr">
        <is>
          <t>2504</t>
        </is>
      </c>
      <c r="H110" s="38" t="inlineStr">
        <is>
          <t>0</t>
        </is>
      </c>
    </row>
    <row r="111" ht="15" customHeight="1" s="39">
      <c r="A111" s="42" t="inlineStr">
        <is>
          <t>250523</t>
        </is>
      </c>
      <c r="B111" s="38" t="inlineStr">
        <is>
          <t>Bellvís</t>
        </is>
      </c>
      <c r="C111" s="38" t="inlineStr">
        <is>
          <t>860</t>
        </is>
      </c>
      <c r="D111" s="38" t="inlineStr">
        <is>
          <t>384</t>
        </is>
      </c>
      <c r="E111" s="38" t="inlineStr">
        <is>
          <t>1244</t>
        </is>
      </c>
      <c r="F111" s="38" t="inlineStr">
        <is>
          <t>0</t>
        </is>
      </c>
      <c r="G111" s="38" t="inlineStr">
        <is>
          <t>1244</t>
        </is>
      </c>
      <c r="H111" s="38" t="inlineStr">
        <is>
          <t>1</t>
        </is>
      </c>
    </row>
    <row r="112" ht="15" customHeight="1" s="39">
      <c r="A112" s="42" t="inlineStr">
        <is>
          <t>250539</t>
        </is>
      </c>
      <c r="B112" s="38" t="inlineStr">
        <is>
          <t>Benavent de Segrià</t>
        </is>
      </c>
      <c r="C112" s="38" t="inlineStr">
        <is>
          <t>539</t>
        </is>
      </c>
      <c r="D112" s="38" t="inlineStr">
        <is>
          <t>94</t>
        </is>
      </c>
      <c r="E112" s="38" t="inlineStr">
        <is>
          <t>633</t>
        </is>
      </c>
      <c r="F112" s="38" t="inlineStr">
        <is>
          <t>0</t>
        </is>
      </c>
      <c r="G112" s="38" t="inlineStr">
        <is>
          <t>633</t>
        </is>
      </c>
      <c r="H112" s="38" t="inlineStr">
        <is>
          <t>1</t>
        </is>
      </c>
    </row>
    <row r="113" ht="15" customHeight="1" s="39">
      <c r="A113" s="42" t="inlineStr">
        <is>
          <t>430252</t>
        </is>
      </c>
      <c r="B113" s="38" t="inlineStr">
        <is>
          <t>Benifallet</t>
        </is>
      </c>
      <c r="C113" s="38" t="inlineStr">
        <is>
          <t>297</t>
        </is>
      </c>
      <c r="D113" s="38" t="inlineStr">
        <is>
          <t>208</t>
        </is>
      </c>
      <c r="E113" s="38" t="inlineStr">
        <is>
          <t>505</t>
        </is>
      </c>
      <c r="F113" s="38" t="inlineStr">
        <is>
          <t>0</t>
        </is>
      </c>
      <c r="G113" s="38" t="inlineStr">
        <is>
          <t>505</t>
        </is>
      </c>
      <c r="H113" s="38" t="inlineStr">
        <is>
          <t>0</t>
        </is>
      </c>
    </row>
    <row r="114" ht="15" customHeight="1" s="39">
      <c r="A114" s="42" t="inlineStr">
        <is>
          <t>430265</t>
        </is>
      </c>
      <c r="B114" s="38" t="inlineStr">
        <is>
          <t>Benissanet</t>
        </is>
      </c>
      <c r="C114" s="38" t="inlineStr">
        <is>
          <t>438</t>
        </is>
      </c>
      <c r="D114" s="38" t="inlineStr">
        <is>
          <t>215</t>
        </is>
      </c>
      <c r="E114" s="38" t="inlineStr">
        <is>
          <t>653</t>
        </is>
      </c>
      <c r="F114" s="38" t="inlineStr">
        <is>
          <t>0</t>
        </is>
      </c>
      <c r="G114" s="38" t="inlineStr">
        <is>
          <t>653</t>
        </is>
      </c>
      <c r="H114" s="38" t="inlineStr">
        <is>
          <t>0</t>
        </is>
      </c>
    </row>
    <row r="115" ht="15" customHeight="1" s="39">
      <c r="A115" s="42" t="inlineStr">
        <is>
          <t>080229</t>
        </is>
      </c>
      <c r="B115" s="38" t="inlineStr">
        <is>
          <t>Berga</t>
        </is>
      </c>
      <c r="C115" s="38" t="inlineStr">
        <is>
          <t>6831</t>
        </is>
      </c>
      <c r="D115" s="38" t="inlineStr">
        <is>
          <t>2179</t>
        </is>
      </c>
      <c r="E115" s="38" t="inlineStr">
        <is>
          <t>9010</t>
        </is>
      </c>
      <c r="F115" s="38" t="inlineStr">
        <is>
          <t>0</t>
        </is>
      </c>
      <c r="G115" s="38" t="inlineStr">
        <is>
          <t>9010</t>
        </is>
      </c>
      <c r="H115" s="38" t="inlineStr">
        <is>
          <t>8</t>
        </is>
      </c>
    </row>
    <row r="116" ht="15" customHeight="1" s="39">
      <c r="A116" s="42" t="inlineStr">
        <is>
          <t>170195</t>
        </is>
      </c>
      <c r="B116" s="38" t="inlineStr">
        <is>
          <t>Besalú</t>
        </is>
      </c>
      <c r="C116" s="38" t="inlineStr">
        <is>
          <t>971</t>
        </is>
      </c>
      <c r="D116" s="38" t="inlineStr">
        <is>
          <t>250</t>
        </is>
      </c>
      <c r="E116" s="38" t="inlineStr">
        <is>
          <t>1221</t>
        </is>
      </c>
      <c r="F116" s="38" t="inlineStr">
        <is>
          <t>0</t>
        </is>
      </c>
      <c r="G116" s="38" t="inlineStr">
        <is>
          <t>1221</t>
        </is>
      </c>
      <c r="H116" s="38" t="inlineStr">
        <is>
          <t>1</t>
        </is>
      </c>
    </row>
    <row r="117" ht="15" customHeight="1" s="39">
      <c r="A117" s="42" t="inlineStr">
        <is>
          <t>170209</t>
        </is>
      </c>
      <c r="B117" s="38" t="inlineStr">
        <is>
          <t>Bescanó</t>
        </is>
      </c>
      <c r="C117" s="38" t="inlineStr">
        <is>
          <t>1769</t>
        </is>
      </c>
      <c r="D117" s="38" t="inlineStr">
        <is>
          <t>381</t>
        </is>
      </c>
      <c r="E117" s="38" t="inlineStr">
        <is>
          <t>2150</t>
        </is>
      </c>
      <c r="F117" s="38" t="inlineStr">
        <is>
          <t>0</t>
        </is>
      </c>
      <c r="G117" s="38" t="inlineStr">
        <is>
          <t>2150</t>
        </is>
      </c>
      <c r="H117" s="38" t="inlineStr">
        <is>
          <t>1</t>
        </is>
      </c>
    </row>
    <row r="118" ht="15" customHeight="1" s="39">
      <c r="A118" s="42" t="inlineStr">
        <is>
          <t>170216</t>
        </is>
      </c>
      <c r="B118" s="38" t="inlineStr">
        <is>
          <t>Beuda</t>
        </is>
      </c>
      <c r="C118" s="38" t="inlineStr">
        <is>
          <t>69</t>
        </is>
      </c>
      <c r="D118" s="38" t="inlineStr">
        <is>
          <t>53</t>
        </is>
      </c>
      <c r="E118" s="38" t="inlineStr">
        <is>
          <t>122</t>
        </is>
      </c>
      <c r="F118" s="38" t="inlineStr">
        <is>
          <t>0</t>
        </is>
      </c>
      <c r="G118" s="38" t="inlineStr">
        <is>
          <t>122</t>
        </is>
      </c>
      <c r="H118" s="38" t="inlineStr">
        <is>
          <t>0</t>
        </is>
      </c>
    </row>
    <row r="119" ht="15" customHeight="1" s="39">
      <c r="A119" s="42" t="inlineStr">
        <is>
          <t>080235</t>
        </is>
      </c>
      <c r="B119" s="38" t="inlineStr">
        <is>
          <t>Bigues i Riells del Fai</t>
        </is>
      </c>
      <c r="C119" s="38" t="inlineStr">
        <is>
          <t>3452</t>
        </is>
      </c>
      <c r="D119" s="38" t="inlineStr">
        <is>
          <t>965</t>
        </is>
      </c>
      <c r="E119" s="38" t="inlineStr">
        <is>
          <t>4417</t>
        </is>
      </c>
      <c r="F119" s="38" t="inlineStr">
        <is>
          <t>0</t>
        </is>
      </c>
      <c r="G119" s="38" t="inlineStr">
        <is>
          <t>4417</t>
        </is>
      </c>
      <c r="H119" s="38" t="inlineStr">
        <is>
          <t>1</t>
        </is>
      </c>
    </row>
    <row r="120" ht="15" customHeight="1" s="39">
      <c r="A120" s="42" t="inlineStr">
        <is>
          <t>250557</t>
        </is>
      </c>
      <c r="B120" s="38" t="inlineStr">
        <is>
          <t>Biosca</t>
        </is>
      </c>
      <c r="C120" s="38" t="inlineStr">
        <is>
          <t>78</t>
        </is>
      </c>
      <c r="D120" s="38" t="inlineStr">
        <is>
          <t>78</t>
        </is>
      </c>
      <c r="E120" s="38" t="inlineStr">
        <is>
          <t>156</t>
        </is>
      </c>
      <c r="F120" s="38" t="inlineStr">
        <is>
          <t>0</t>
        </is>
      </c>
      <c r="G120" s="38" t="inlineStr">
        <is>
          <t>156</t>
        </is>
      </c>
      <c r="H120" s="38" t="inlineStr">
        <is>
          <t>0</t>
        </is>
      </c>
    </row>
    <row r="121" ht="15" customHeight="1" s="39">
      <c r="A121" s="42" t="inlineStr">
        <is>
          <t>170221</t>
        </is>
      </c>
      <c r="B121" s="38" t="inlineStr">
        <is>
          <t>Bisbal d'Empordà, la</t>
        </is>
      </c>
      <c r="C121" s="38" t="inlineStr">
        <is>
          <t>4180</t>
        </is>
      </c>
      <c r="D121" s="38" t="inlineStr">
        <is>
          <t>922</t>
        </is>
      </c>
      <c r="E121" s="38" t="inlineStr">
        <is>
          <t>5102</t>
        </is>
      </c>
      <c r="F121" s="38" t="inlineStr">
        <is>
          <t>0</t>
        </is>
      </c>
      <c r="G121" s="38" t="inlineStr">
        <is>
          <t>5102</t>
        </is>
      </c>
      <c r="H121" s="38" t="inlineStr">
        <is>
          <t>2</t>
        </is>
      </c>
    </row>
    <row r="122" ht="15" customHeight="1" s="39">
      <c r="A122" s="42" t="inlineStr">
        <is>
          <t>430271</t>
        </is>
      </c>
      <c r="B122" s="38" t="inlineStr">
        <is>
          <t>Bisbal de Montsant, la</t>
        </is>
      </c>
      <c r="C122" s="38" t="inlineStr">
        <is>
          <t>95</t>
        </is>
      </c>
      <c r="D122" s="38" t="inlineStr">
        <is>
          <t>101</t>
        </is>
      </c>
      <c r="E122" s="38" t="inlineStr">
        <is>
          <t>196</t>
        </is>
      </c>
      <c r="F122" s="38" t="inlineStr">
        <is>
          <t>0</t>
        </is>
      </c>
      <c r="G122" s="38" t="inlineStr">
        <is>
          <t>196</t>
        </is>
      </c>
      <c r="H122" s="38" t="inlineStr">
        <is>
          <t>0</t>
        </is>
      </c>
    </row>
    <row r="123" ht="15" customHeight="1" s="39">
      <c r="A123" s="42" t="inlineStr">
        <is>
          <t>430287</t>
        </is>
      </c>
      <c r="B123" s="38" t="inlineStr">
        <is>
          <t>Bisbal del Penedès, la</t>
        </is>
      </c>
      <c r="C123" s="38" t="inlineStr">
        <is>
          <t>1561</t>
        </is>
      </c>
      <c r="D123" s="38" t="inlineStr">
        <is>
          <t>1392</t>
        </is>
      </c>
      <c r="E123" s="38" t="inlineStr">
        <is>
          <t>2953</t>
        </is>
      </c>
      <c r="F123" s="38" t="inlineStr">
        <is>
          <t>0</t>
        </is>
      </c>
      <c r="G123" s="38" t="inlineStr">
        <is>
          <t>2953</t>
        </is>
      </c>
      <c r="H123" s="38" t="inlineStr">
        <is>
          <t>0</t>
        </is>
      </c>
    </row>
    <row r="124" ht="15" customHeight="1" s="39">
      <c r="A124" s="42" t="inlineStr">
        <is>
          <t>172348</t>
        </is>
      </c>
      <c r="B124" s="38" t="inlineStr">
        <is>
          <t>Biure</t>
        </is>
      </c>
      <c r="C124" s="38" t="inlineStr">
        <is>
          <t>96</t>
        </is>
      </c>
      <c r="D124" s="38" t="inlineStr">
        <is>
          <t>66</t>
        </is>
      </c>
      <c r="E124" s="38" t="inlineStr">
        <is>
          <t>162</t>
        </is>
      </c>
      <c r="F124" s="38" t="inlineStr">
        <is>
          <t>0</t>
        </is>
      </c>
      <c r="G124" s="38" t="inlineStr">
        <is>
          <t>162</t>
        </is>
      </c>
      <c r="H124" s="38" t="inlineStr">
        <is>
          <t>0</t>
        </is>
      </c>
    </row>
    <row r="125" ht="15" customHeight="1" s="39">
      <c r="A125" s="42" t="inlineStr">
        <is>
          <t>430290</t>
        </is>
      </c>
      <c r="B125" s="38" t="inlineStr">
        <is>
          <t>Blancafort</t>
        </is>
      </c>
      <c r="C125" s="38" t="inlineStr">
        <is>
          <t>171</t>
        </is>
      </c>
      <c r="D125" s="38" t="inlineStr">
        <is>
          <t>165</t>
        </is>
      </c>
      <c r="E125" s="38" t="inlineStr">
        <is>
          <t>336</t>
        </is>
      </c>
      <c r="F125" s="38" t="inlineStr">
        <is>
          <t>0</t>
        </is>
      </c>
      <c r="G125" s="38" t="inlineStr">
        <is>
          <t>336</t>
        </is>
      </c>
      <c r="H125" s="38" t="inlineStr">
        <is>
          <t>0</t>
        </is>
      </c>
    </row>
    <row r="126" ht="15" customHeight="1" s="39">
      <c r="A126" s="42" t="inlineStr">
        <is>
          <t>170237</t>
        </is>
      </c>
      <c r="B126" s="38" t="inlineStr">
        <is>
          <t>Blanes</t>
        </is>
      </c>
      <c r="C126" s="38" t="inlineStr">
        <is>
          <t>16290</t>
        </is>
      </c>
      <c r="D126" s="38" t="inlineStr">
        <is>
          <t>9299</t>
        </is>
      </c>
      <c r="E126" s="38" t="inlineStr">
        <is>
          <t>25589</t>
        </is>
      </c>
      <c r="F126" s="38" t="inlineStr">
        <is>
          <t>0</t>
        </is>
      </c>
      <c r="G126" s="38" t="inlineStr">
        <is>
          <t>25589</t>
        </is>
      </c>
      <c r="H126" s="38" t="inlineStr">
        <is>
          <t>10</t>
        </is>
      </c>
    </row>
    <row r="127" ht="15" customHeight="1" s="39">
      <c r="A127" s="42" t="inlineStr">
        <is>
          <t>170293</t>
        </is>
      </c>
      <c r="B127" s="38" t="inlineStr">
        <is>
          <t>Boadella i les Escaules</t>
        </is>
      </c>
      <c r="C127" s="38" t="inlineStr">
        <is>
          <t>104</t>
        </is>
      </c>
      <c r="D127" s="38" t="inlineStr">
        <is>
          <t>109</t>
        </is>
      </c>
      <c r="E127" s="38" t="inlineStr">
        <is>
          <t>213</t>
        </is>
      </c>
      <c r="F127" s="38" t="inlineStr">
        <is>
          <t>0</t>
        </is>
      </c>
      <c r="G127" s="38" t="inlineStr">
        <is>
          <t>213</t>
        </is>
      </c>
      <c r="H127" s="38" t="inlineStr">
        <is>
          <t>0</t>
        </is>
      </c>
    </row>
    <row r="128" ht="15" customHeight="1" s="39">
      <c r="A128" s="42" t="inlineStr">
        <is>
          <t>170242</t>
        </is>
      </c>
      <c r="B128" s="38" t="inlineStr">
        <is>
          <t>Bolvir</t>
        </is>
      </c>
      <c r="C128" s="38" t="inlineStr">
        <is>
          <t>197</t>
        </is>
      </c>
      <c r="D128" s="38" t="inlineStr">
        <is>
          <t>690</t>
        </is>
      </c>
      <c r="E128" s="38" t="inlineStr">
        <is>
          <t>887</t>
        </is>
      </c>
      <c r="F128" s="38" t="inlineStr">
        <is>
          <t>0</t>
        </is>
      </c>
      <c r="G128" s="38" t="inlineStr">
        <is>
          <t>887</t>
        </is>
      </c>
      <c r="H128" s="38" t="inlineStr">
        <is>
          <t>0</t>
        </is>
      </c>
    </row>
    <row r="129" ht="15" customHeight="1" s="39">
      <c r="A129" s="42" t="inlineStr">
        <is>
          <t>430304</t>
        </is>
      </c>
      <c r="B129" s="38" t="inlineStr">
        <is>
          <t>Bonastre</t>
        </is>
      </c>
      <c r="C129" s="38" t="inlineStr">
        <is>
          <t>312</t>
        </is>
      </c>
      <c r="D129" s="38" t="inlineStr">
        <is>
          <t>267</t>
        </is>
      </c>
      <c r="E129" s="38" t="inlineStr">
        <is>
          <t>579</t>
        </is>
      </c>
      <c r="F129" s="38" t="inlineStr">
        <is>
          <t>0</t>
        </is>
      </c>
      <c r="G129" s="38" t="inlineStr">
        <is>
          <t>579</t>
        </is>
      </c>
      <c r="H129" s="38" t="inlineStr">
        <is>
          <t>0</t>
        </is>
      </c>
    </row>
    <row r="130" ht="15" customHeight="1" s="39">
      <c r="A130" s="42" t="inlineStr">
        <is>
          <t>250576</t>
        </is>
      </c>
      <c r="B130" s="38" t="inlineStr">
        <is>
          <t>Bòrdes, Es</t>
        </is>
      </c>
      <c r="C130" s="38" t="inlineStr">
        <is>
          <t>121</t>
        </is>
      </c>
      <c r="D130" s="38" t="inlineStr">
        <is>
          <t>181</t>
        </is>
      </c>
      <c r="E130" s="38" t="inlineStr">
        <is>
          <t>302</t>
        </is>
      </c>
      <c r="F130" s="38" t="inlineStr">
        <is>
          <t>0</t>
        </is>
      </c>
      <c r="G130" s="38" t="inlineStr">
        <is>
          <t>302</t>
        </is>
      </c>
      <c r="H130" s="38" t="inlineStr">
        <is>
          <t>0</t>
        </is>
      </c>
    </row>
    <row r="131" ht="15" customHeight="1" s="39">
      <c r="A131" s="42" t="inlineStr">
        <is>
          <t>170255</t>
        </is>
      </c>
      <c r="B131" s="38" t="inlineStr">
        <is>
          <t>Bordils</t>
        </is>
      </c>
      <c r="C131" s="38" t="inlineStr">
        <is>
          <t>630</t>
        </is>
      </c>
      <c r="D131" s="38" t="inlineStr">
        <is>
          <t>112</t>
        </is>
      </c>
      <c r="E131" s="38" t="inlineStr">
        <is>
          <t>742</t>
        </is>
      </c>
      <c r="F131" s="38" t="inlineStr">
        <is>
          <t>0</t>
        </is>
      </c>
      <c r="G131" s="38" t="inlineStr">
        <is>
          <t>742</t>
        </is>
      </c>
      <c r="H131" s="38" t="inlineStr">
        <is>
          <t>0</t>
        </is>
      </c>
    </row>
    <row r="132" ht="15" customHeight="1" s="39">
      <c r="A132" s="42" t="inlineStr">
        <is>
          <t>250582</t>
        </is>
      </c>
      <c r="B132" s="38" t="inlineStr">
        <is>
          <t>Borges Blanques, les</t>
        </is>
      </c>
      <c r="C132" s="38" t="inlineStr">
        <is>
          <t>2438</t>
        </is>
      </c>
      <c r="D132" s="38" t="inlineStr">
        <is>
          <t>849</t>
        </is>
      </c>
      <c r="E132" s="38" t="inlineStr">
        <is>
          <t>3287</t>
        </is>
      </c>
      <c r="F132" s="38" t="inlineStr">
        <is>
          <t>0</t>
        </is>
      </c>
      <c r="G132" s="38" t="inlineStr">
        <is>
          <t>3287</t>
        </is>
      </c>
      <c r="H132" s="38" t="inlineStr">
        <is>
          <t>1</t>
        </is>
      </c>
    </row>
    <row r="133" ht="15" customHeight="1" s="39">
      <c r="A133" s="42" t="inlineStr">
        <is>
          <t>430311</t>
        </is>
      </c>
      <c r="B133" s="38" t="inlineStr">
        <is>
          <t>Borges del Camp, les</t>
        </is>
      </c>
      <c r="C133" s="38" t="inlineStr">
        <is>
          <t>778</t>
        </is>
      </c>
      <c r="D133" s="38" t="inlineStr">
        <is>
          <t>340</t>
        </is>
      </c>
      <c r="E133" s="38" t="inlineStr">
        <is>
          <t>1118</t>
        </is>
      </c>
      <c r="F133" s="38" t="inlineStr">
        <is>
          <t>0</t>
        </is>
      </c>
      <c r="G133" s="38" t="inlineStr">
        <is>
          <t>1118</t>
        </is>
      </c>
      <c r="H133" s="38" t="inlineStr">
        <is>
          <t>1</t>
        </is>
      </c>
    </row>
    <row r="134" ht="15" customHeight="1" s="39">
      <c r="A134" s="42" t="inlineStr">
        <is>
          <t>170268</t>
        </is>
      </c>
      <c r="B134" s="38" t="inlineStr">
        <is>
          <t>Borrassà</t>
        </is>
      </c>
      <c r="C134" s="38" t="inlineStr">
        <is>
          <t>263</t>
        </is>
      </c>
      <c r="D134" s="38" t="inlineStr">
        <is>
          <t>68</t>
        </is>
      </c>
      <c r="E134" s="38" t="inlineStr">
        <is>
          <t>331</t>
        </is>
      </c>
      <c r="F134" s="38" t="inlineStr">
        <is>
          <t>0</t>
        </is>
      </c>
      <c r="G134" s="38" t="inlineStr">
        <is>
          <t>331</t>
        </is>
      </c>
      <c r="H134" s="38" t="inlineStr">
        <is>
          <t>0</t>
        </is>
      </c>
    </row>
    <row r="135" ht="15" customHeight="1" s="39">
      <c r="A135" s="42" t="inlineStr">
        <is>
          <t>080240</t>
        </is>
      </c>
      <c r="B135" s="38" t="inlineStr">
        <is>
          <t>Borredà</t>
        </is>
      </c>
      <c r="C135" s="38" t="inlineStr">
        <is>
          <t>178</t>
        </is>
      </c>
      <c r="D135" s="38" t="inlineStr">
        <is>
          <t>214</t>
        </is>
      </c>
      <c r="E135" s="38" t="inlineStr">
        <is>
          <t>392</t>
        </is>
      </c>
      <c r="F135" s="38" t="inlineStr">
        <is>
          <t>0</t>
        </is>
      </c>
      <c r="G135" s="38" t="inlineStr">
        <is>
          <t>392</t>
        </is>
      </c>
      <c r="H135" s="38" t="inlineStr">
        <is>
          <t>1</t>
        </is>
      </c>
    </row>
    <row r="136" ht="15" customHeight="1" s="39">
      <c r="A136" s="42" t="inlineStr">
        <is>
          <t>250595</t>
        </is>
      </c>
      <c r="B136" s="38" t="inlineStr">
        <is>
          <t>Bossòst</t>
        </is>
      </c>
      <c r="C136" s="38" t="inlineStr">
        <is>
          <t>443</t>
        </is>
      </c>
      <c r="D136" s="38" t="inlineStr">
        <is>
          <t>323</t>
        </is>
      </c>
      <c r="E136" s="38" t="inlineStr">
        <is>
          <t>766</t>
        </is>
      </c>
      <c r="F136" s="38" t="inlineStr">
        <is>
          <t>0</t>
        </is>
      </c>
      <c r="G136" s="38" t="inlineStr">
        <is>
          <t>766</t>
        </is>
      </c>
      <c r="H136" s="38" t="inlineStr">
        <is>
          <t>1</t>
        </is>
      </c>
    </row>
    <row r="137" ht="15" customHeight="1" s="39">
      <c r="A137" s="42" t="inlineStr">
        <is>
          <t>430326</t>
        </is>
      </c>
      <c r="B137" s="38" t="inlineStr">
        <is>
          <t>Bot</t>
        </is>
      </c>
      <c r="C137" s="38" t="inlineStr">
        <is>
          <t>239</t>
        </is>
      </c>
      <c r="D137" s="38" t="inlineStr">
        <is>
          <t>237</t>
        </is>
      </c>
      <c r="E137" s="38" t="inlineStr">
        <is>
          <t>476</t>
        </is>
      </c>
      <c r="F137" s="38" t="inlineStr">
        <is>
          <t>0</t>
        </is>
      </c>
      <c r="G137" s="38" t="inlineStr">
        <is>
          <t>476</t>
        </is>
      </c>
      <c r="H137" s="38" t="inlineStr">
        <is>
          <t>0</t>
        </is>
      </c>
    </row>
    <row r="138" ht="15" customHeight="1" s="39">
      <c r="A138" s="42" t="inlineStr">
        <is>
          <t>430332</t>
        </is>
      </c>
      <c r="B138" s="38" t="inlineStr">
        <is>
          <t>Botarell</t>
        </is>
      </c>
      <c r="C138" s="38" t="inlineStr">
        <is>
          <t>405</t>
        </is>
      </c>
      <c r="D138" s="38" t="inlineStr">
        <is>
          <t>185</t>
        </is>
      </c>
      <c r="E138" s="38" t="inlineStr">
        <is>
          <t>590</t>
        </is>
      </c>
      <c r="F138" s="38" t="inlineStr">
        <is>
          <t>0</t>
        </is>
      </c>
      <c r="G138" s="38" t="inlineStr">
        <is>
          <t>590</t>
        </is>
      </c>
      <c r="H138" s="38" t="inlineStr">
        <is>
          <t>0</t>
        </is>
      </c>
    </row>
    <row r="139" ht="15" customHeight="1" s="39">
      <c r="A139" s="42" t="inlineStr">
        <is>
          <t>250560</t>
        </is>
      </c>
      <c r="B139" s="38" t="inlineStr">
        <is>
          <t>Bovera</t>
        </is>
      </c>
      <c r="C139" s="38" t="inlineStr">
        <is>
          <t>111</t>
        </is>
      </c>
      <c r="D139" s="38" t="inlineStr">
        <is>
          <t>114</t>
        </is>
      </c>
      <c r="E139" s="38" t="inlineStr">
        <is>
          <t>225</t>
        </is>
      </c>
      <c r="F139" s="38" t="inlineStr">
        <is>
          <t>0</t>
        </is>
      </c>
      <c r="G139" s="38" t="inlineStr">
        <is>
          <t>225</t>
        </is>
      </c>
      <c r="H139" s="38" t="inlineStr">
        <is>
          <t>0</t>
        </is>
      </c>
    </row>
    <row r="140" ht="15" customHeight="1" s="39">
      <c r="A140" s="42" t="inlineStr">
        <is>
          <t>430347</t>
        </is>
      </c>
      <c r="B140" s="38" t="inlineStr">
        <is>
          <t>Bràfim</t>
        </is>
      </c>
      <c r="C140" s="38" t="inlineStr">
        <is>
          <t>259</t>
        </is>
      </c>
      <c r="D140" s="38" t="inlineStr">
        <is>
          <t>132</t>
        </is>
      </c>
      <c r="E140" s="38" t="inlineStr">
        <is>
          <t>391</t>
        </is>
      </c>
      <c r="F140" s="38" t="inlineStr">
        <is>
          <t>0</t>
        </is>
      </c>
      <c r="G140" s="38" t="inlineStr">
        <is>
          <t>391</t>
        </is>
      </c>
      <c r="H140" s="38" t="inlineStr">
        <is>
          <t>0</t>
        </is>
      </c>
    </row>
    <row r="141" ht="15" customHeight="1" s="39">
      <c r="A141" s="42" t="inlineStr">
        <is>
          <t>170274</t>
        </is>
      </c>
      <c r="B141" s="38" t="inlineStr">
        <is>
          <t>Breda</t>
        </is>
      </c>
      <c r="C141" s="38" t="inlineStr">
        <is>
          <t>1491</t>
        </is>
      </c>
      <c r="D141" s="38" t="inlineStr">
        <is>
          <t>336</t>
        </is>
      </c>
      <c r="E141" s="38" t="inlineStr">
        <is>
          <t>1827</t>
        </is>
      </c>
      <c r="F141" s="38" t="inlineStr">
        <is>
          <t>0</t>
        </is>
      </c>
      <c r="G141" s="38" t="inlineStr">
        <is>
          <t>1827</t>
        </is>
      </c>
      <c r="H141" s="38" t="inlineStr">
        <is>
          <t>0</t>
        </is>
      </c>
    </row>
    <row r="142" ht="15" customHeight="1" s="39">
      <c r="A142" s="42" t="inlineStr">
        <is>
          <t>080253</t>
        </is>
      </c>
      <c r="B142" s="38" t="inlineStr">
        <is>
          <t>Bruc, el</t>
        </is>
      </c>
      <c r="C142" s="38" t="inlineStr">
        <is>
          <t>856</t>
        </is>
      </c>
      <c r="D142" s="38" t="inlineStr">
        <is>
          <t>350</t>
        </is>
      </c>
      <c r="E142" s="38" t="inlineStr">
        <is>
          <t>1206</t>
        </is>
      </c>
      <c r="F142" s="38" t="inlineStr">
        <is>
          <t>0</t>
        </is>
      </c>
      <c r="G142" s="38" t="inlineStr">
        <is>
          <t>1206</t>
        </is>
      </c>
      <c r="H142" s="38" t="inlineStr">
        <is>
          <t>0</t>
        </is>
      </c>
    </row>
    <row r="143" ht="15" customHeight="1" s="39">
      <c r="A143" s="42" t="inlineStr">
        <is>
          <t>080266</t>
        </is>
      </c>
      <c r="B143" s="38" t="inlineStr">
        <is>
          <t>Brull, el</t>
        </is>
      </c>
      <c r="C143" s="38" t="inlineStr">
        <is>
          <t>87</t>
        </is>
      </c>
      <c r="D143" s="38" t="inlineStr">
        <is>
          <t>38</t>
        </is>
      </c>
      <c r="E143" s="38" t="inlineStr">
        <is>
          <t>125</t>
        </is>
      </c>
      <c r="F143" s="38" t="inlineStr">
        <is>
          <t>0</t>
        </is>
      </c>
      <c r="G143" s="38" t="inlineStr">
        <is>
          <t>125</t>
        </is>
      </c>
      <c r="H143" s="38" t="inlineStr">
        <is>
          <t>0</t>
        </is>
      </c>
    </row>
    <row r="144" ht="15" customHeight="1" s="39">
      <c r="A144" s="42" t="inlineStr">
        <is>
          <t>170280</t>
        </is>
      </c>
      <c r="B144" s="38" t="inlineStr">
        <is>
          <t>Brunyola i Sant Martí Sapresa</t>
        </is>
      </c>
      <c r="C144" s="38" t="inlineStr">
        <is>
          <t>142</t>
        </is>
      </c>
      <c r="D144" s="38" t="inlineStr">
        <is>
          <t>82</t>
        </is>
      </c>
      <c r="E144" s="38" t="inlineStr">
        <is>
          <t>224</t>
        </is>
      </c>
      <c r="F144" s="38" t="inlineStr">
        <is>
          <t>0</t>
        </is>
      </c>
      <c r="G144" s="38" t="inlineStr">
        <is>
          <t>224</t>
        </is>
      </c>
      <c r="H144" s="38" t="inlineStr">
        <is>
          <t>0</t>
        </is>
      </c>
    </row>
    <row r="145" ht="15" customHeight="1" s="39">
      <c r="A145" s="42" t="inlineStr">
        <is>
          <t>430350</t>
        </is>
      </c>
      <c r="B145" s="38" t="inlineStr">
        <is>
          <t>Cabacés</t>
        </is>
      </c>
      <c r="C145" s="38" t="inlineStr">
        <is>
          <t>124</t>
        </is>
      </c>
      <c r="D145" s="38" t="inlineStr">
        <is>
          <t>109</t>
        </is>
      </c>
      <c r="E145" s="38" t="inlineStr">
        <is>
          <t>233</t>
        </is>
      </c>
      <c r="F145" s="38" t="inlineStr">
        <is>
          <t>0</t>
        </is>
      </c>
      <c r="G145" s="38" t="inlineStr">
        <is>
          <t>233</t>
        </is>
      </c>
      <c r="H145" s="38" t="inlineStr">
        <is>
          <t>0</t>
        </is>
      </c>
    </row>
    <row r="146" ht="15" customHeight="1" s="39">
      <c r="A146" s="42" t="inlineStr">
        <is>
          <t>250609</t>
        </is>
      </c>
      <c r="B146" s="38" t="inlineStr">
        <is>
          <t>Cabanabona</t>
        </is>
      </c>
      <c r="C146" s="38" t="inlineStr">
        <is>
          <t>23</t>
        </is>
      </c>
      <c r="D146" s="38" t="inlineStr">
        <is>
          <t>46</t>
        </is>
      </c>
      <c r="E146" s="38" t="inlineStr">
        <is>
          <t>69</t>
        </is>
      </c>
      <c r="F146" s="38" t="inlineStr">
        <is>
          <t>0</t>
        </is>
      </c>
      <c r="G146" s="38" t="inlineStr">
        <is>
          <t>69</t>
        </is>
      </c>
      <c r="H146" s="38" t="inlineStr">
        <is>
          <t>1</t>
        </is>
      </c>
    </row>
    <row r="147" ht="15" customHeight="1" s="39">
      <c r="A147" s="42" t="inlineStr">
        <is>
          <t>170314</t>
        </is>
      </c>
      <c r="B147" s="38" t="inlineStr">
        <is>
          <t>Cabanelles</t>
        </is>
      </c>
      <c r="C147" s="38" t="inlineStr">
        <is>
          <t>98</t>
        </is>
      </c>
      <c r="D147" s="38" t="inlineStr">
        <is>
          <t>74</t>
        </is>
      </c>
      <c r="E147" s="38" t="inlineStr">
        <is>
          <t>172</t>
        </is>
      </c>
      <c r="F147" s="38" t="inlineStr">
        <is>
          <t>0</t>
        </is>
      </c>
      <c r="G147" s="38" t="inlineStr">
        <is>
          <t>172</t>
        </is>
      </c>
      <c r="H147" s="38" t="inlineStr">
        <is>
          <t>0</t>
        </is>
      </c>
    </row>
    <row r="148" ht="15" customHeight="1" s="39">
      <c r="A148" s="42" t="inlineStr">
        <is>
          <t>170307</t>
        </is>
      </c>
      <c r="B148" s="38" t="inlineStr">
        <is>
          <t>Cabanes</t>
        </is>
      </c>
      <c r="C148" s="38" t="inlineStr">
        <is>
          <t>351</t>
        </is>
      </c>
      <c r="D148" s="38" t="inlineStr">
        <is>
          <t>96</t>
        </is>
      </c>
      <c r="E148" s="38" t="inlineStr">
        <is>
          <t>447</t>
        </is>
      </c>
      <c r="F148" s="38" t="inlineStr">
        <is>
          <t>0</t>
        </is>
      </c>
      <c r="G148" s="38" t="inlineStr">
        <is>
          <t>447</t>
        </is>
      </c>
      <c r="H148" s="38" t="inlineStr">
        <is>
          <t>1</t>
        </is>
      </c>
    </row>
    <row r="149" ht="15" customHeight="1" s="39">
      <c r="A149" s="42" t="inlineStr">
        <is>
          <t>080272</t>
        </is>
      </c>
      <c r="B149" s="38" t="inlineStr">
        <is>
          <t>Cabanyes, les</t>
        </is>
      </c>
      <c r="C149" s="38" t="inlineStr">
        <is>
          <t>316</t>
        </is>
      </c>
      <c r="D149" s="38" t="inlineStr">
        <is>
          <t>59</t>
        </is>
      </c>
      <c r="E149" s="38" t="inlineStr">
        <is>
          <t>375</t>
        </is>
      </c>
      <c r="F149" s="38" t="inlineStr">
        <is>
          <t>0</t>
        </is>
      </c>
      <c r="G149" s="38" t="inlineStr">
        <is>
          <t>375</t>
        </is>
      </c>
      <c r="H149" s="38" t="inlineStr">
        <is>
          <t>1</t>
        </is>
      </c>
    </row>
    <row r="150" ht="15" customHeight="1" s="39">
      <c r="A150" s="42" t="inlineStr">
        <is>
          <t>250616</t>
        </is>
      </c>
      <c r="B150" s="38" t="inlineStr">
        <is>
          <t>Cabó</t>
        </is>
      </c>
      <c r="C150" s="38" t="inlineStr">
        <is>
          <t>36</t>
        </is>
      </c>
      <c r="D150" s="38" t="inlineStr">
        <is>
          <t>75</t>
        </is>
      </c>
      <c r="E150" s="38" t="inlineStr">
        <is>
          <t>111</t>
        </is>
      </c>
      <c r="F150" s="38" t="inlineStr">
        <is>
          <t>0</t>
        </is>
      </c>
      <c r="G150" s="38" t="inlineStr">
        <is>
          <t>111</t>
        </is>
      </c>
      <c r="H150" s="38" t="inlineStr">
        <is>
          <t>0</t>
        </is>
      </c>
    </row>
    <row r="151" ht="15" customHeight="1" s="39">
      <c r="A151" s="42" t="inlineStr">
        <is>
          <t>430363</t>
        </is>
      </c>
      <c r="B151" s="38" t="inlineStr">
        <is>
          <t>Cabra del Camp</t>
        </is>
      </c>
      <c r="C151" s="38" t="inlineStr">
        <is>
          <t>487</t>
        </is>
      </c>
      <c r="D151" s="38" t="inlineStr">
        <is>
          <t>479</t>
        </is>
      </c>
      <c r="E151" s="38" t="inlineStr">
        <is>
          <t>966</t>
        </is>
      </c>
      <c r="F151" s="38" t="inlineStr">
        <is>
          <t>0</t>
        </is>
      </c>
      <c r="G151" s="38" t="inlineStr">
        <is>
          <t>966</t>
        </is>
      </c>
      <c r="H151" s="38" t="inlineStr">
        <is>
          <t>0</t>
        </is>
      </c>
    </row>
    <row r="152" ht="15" customHeight="1" s="39">
      <c r="A152" s="42" t="inlineStr">
        <is>
          <t>080288</t>
        </is>
      </c>
      <c r="B152" s="38" t="inlineStr">
        <is>
          <t>Cabrera d'Anoia</t>
        </is>
      </c>
      <c r="C152" s="38" t="inlineStr">
        <is>
          <t>632</t>
        </is>
      </c>
      <c r="D152" s="38" t="inlineStr">
        <is>
          <t>528</t>
        </is>
      </c>
      <c r="E152" s="38" t="inlineStr">
        <is>
          <t>1160</t>
        </is>
      </c>
      <c r="F152" s="38" t="inlineStr">
        <is>
          <t>0</t>
        </is>
      </c>
      <c r="G152" s="38" t="inlineStr">
        <is>
          <t>1160</t>
        </is>
      </c>
      <c r="H152" s="38" t="inlineStr">
        <is>
          <t>0</t>
        </is>
      </c>
    </row>
    <row r="153" ht="15" customHeight="1" s="39">
      <c r="A153" s="42" t="inlineStr">
        <is>
          <t>080291</t>
        </is>
      </c>
      <c r="B153" s="38" t="inlineStr">
        <is>
          <t>Cabrera de Mar</t>
        </is>
      </c>
      <c r="C153" s="38" t="inlineStr">
        <is>
          <t>1710</t>
        </is>
      </c>
      <c r="D153" s="38" t="inlineStr">
        <is>
          <t>566</t>
        </is>
      </c>
      <c r="E153" s="38" t="inlineStr">
        <is>
          <t>2276</t>
        </is>
      </c>
      <c r="F153" s="38" t="inlineStr">
        <is>
          <t>0</t>
        </is>
      </c>
      <c r="G153" s="38" t="inlineStr">
        <is>
          <t>2276</t>
        </is>
      </c>
      <c r="H153" s="38" t="inlineStr">
        <is>
          <t>0</t>
        </is>
      </c>
    </row>
    <row r="154" ht="15" customHeight="1" s="39">
      <c r="A154" s="42" t="inlineStr">
        <is>
          <t>080305</t>
        </is>
      </c>
      <c r="B154" s="38" t="inlineStr">
        <is>
          <t>Cabrils</t>
        </is>
      </c>
      <c r="C154" s="38" t="inlineStr">
        <is>
          <t>2541</t>
        </is>
      </c>
      <c r="D154" s="38" t="inlineStr">
        <is>
          <t>929</t>
        </is>
      </c>
      <c r="E154" s="38" t="inlineStr">
        <is>
          <t>3470</t>
        </is>
      </c>
      <c r="F154" s="38" t="inlineStr">
        <is>
          <t>0</t>
        </is>
      </c>
      <c r="G154" s="38" t="inlineStr">
        <is>
          <t>3470</t>
        </is>
      </c>
      <c r="H154" s="38" t="inlineStr">
        <is>
          <t>1</t>
        </is>
      </c>
    </row>
    <row r="155" ht="15" customHeight="1" s="39">
      <c r="A155" s="42" t="inlineStr">
        <is>
          <t>170329</t>
        </is>
      </c>
      <c r="B155" s="38" t="inlineStr">
        <is>
          <t>Cadaqués</t>
        </is>
      </c>
      <c r="C155" s="38" t="inlineStr">
        <is>
          <t>1155</t>
        </is>
      </c>
      <c r="D155" s="38" t="inlineStr">
        <is>
          <t>2443</t>
        </is>
      </c>
      <c r="E155" s="38" t="inlineStr">
        <is>
          <t>3598</t>
        </is>
      </c>
      <c r="F155" s="38" t="inlineStr">
        <is>
          <t>0</t>
        </is>
      </c>
      <c r="G155" s="38" t="inlineStr">
        <is>
          <t>3598</t>
        </is>
      </c>
      <c r="H155" s="38" t="inlineStr">
        <is>
          <t>2</t>
        </is>
      </c>
    </row>
    <row r="156" ht="15" customHeight="1" s="39">
      <c r="A156" s="42" t="inlineStr">
        <is>
          <t>080312</t>
        </is>
      </c>
      <c r="B156" s="38" t="inlineStr">
        <is>
          <t>Calaf</t>
        </is>
      </c>
      <c r="C156" s="38" t="inlineStr">
        <is>
          <t>1376</t>
        </is>
      </c>
      <c r="D156" s="38" t="inlineStr">
        <is>
          <t>531</t>
        </is>
      </c>
      <c r="E156" s="38" t="inlineStr">
        <is>
          <t>1907</t>
        </is>
      </c>
      <c r="F156" s="38" t="inlineStr">
        <is>
          <t>0</t>
        </is>
      </c>
      <c r="G156" s="38" t="inlineStr">
        <is>
          <t>1907</t>
        </is>
      </c>
      <c r="H156" s="38" t="inlineStr">
        <is>
          <t>0</t>
        </is>
      </c>
    </row>
    <row r="157" ht="15" customHeight="1" s="39">
      <c r="A157" s="42" t="inlineStr">
        <is>
          <t>430379</t>
        </is>
      </c>
      <c r="B157" s="38" t="inlineStr">
        <is>
          <t>Calafell</t>
        </is>
      </c>
      <c r="C157" s="38" t="inlineStr">
        <is>
          <t>11820</t>
        </is>
      </c>
      <c r="D157" s="38" t="inlineStr">
        <is>
          <t>15292</t>
        </is>
      </c>
      <c r="E157" s="38" t="inlineStr">
        <is>
          <t>27112</t>
        </is>
      </c>
      <c r="F157" s="38" t="inlineStr">
        <is>
          <t>0</t>
        </is>
      </c>
      <c r="G157" s="38" t="inlineStr">
        <is>
          <t>27112</t>
        </is>
      </c>
      <c r="H157" s="38" t="inlineStr">
        <is>
          <t>4</t>
        </is>
      </c>
    </row>
    <row r="158" ht="15" customHeight="1" s="39">
      <c r="A158" s="42" t="inlineStr">
        <is>
          <t>080348</t>
        </is>
      </c>
      <c r="B158" s="38" t="inlineStr">
        <is>
          <t>Calders</t>
        </is>
      </c>
      <c r="C158" s="38" t="inlineStr">
        <is>
          <t>392</t>
        </is>
      </c>
      <c r="D158" s="38" t="inlineStr">
        <is>
          <t>191</t>
        </is>
      </c>
      <c r="E158" s="38" t="inlineStr">
        <is>
          <t>583</t>
        </is>
      </c>
      <c r="F158" s="38" t="inlineStr">
        <is>
          <t>0</t>
        </is>
      </c>
      <c r="G158" s="38" t="inlineStr">
        <is>
          <t>583</t>
        </is>
      </c>
      <c r="H158" s="38" t="inlineStr">
        <is>
          <t>0</t>
        </is>
      </c>
    </row>
    <row r="159" ht="15" customHeight="1" s="39">
      <c r="A159" s="42" t="inlineStr">
        <is>
          <t>080327</t>
        </is>
      </c>
      <c r="B159" s="38" t="inlineStr">
        <is>
          <t>Caldes d'Estrac</t>
        </is>
      </c>
      <c r="C159" s="38" t="inlineStr">
        <is>
          <t>1231</t>
        </is>
      </c>
      <c r="D159" s="38" t="inlineStr">
        <is>
          <t>648</t>
        </is>
      </c>
      <c r="E159" s="38" t="inlineStr">
        <is>
          <t>1879</t>
        </is>
      </c>
      <c r="F159" s="38" t="inlineStr">
        <is>
          <t>0</t>
        </is>
      </c>
      <c r="G159" s="38" t="inlineStr">
        <is>
          <t>1879</t>
        </is>
      </c>
      <c r="H159" s="38" t="inlineStr">
        <is>
          <t>3</t>
        </is>
      </c>
    </row>
    <row r="160" ht="15" customHeight="1" s="39">
      <c r="A160" s="42" t="inlineStr">
        <is>
          <t>170335</t>
        </is>
      </c>
      <c r="B160" s="38" t="inlineStr">
        <is>
          <t>Caldes de Malavella</t>
        </is>
      </c>
      <c r="C160" s="38" t="inlineStr">
        <is>
          <t>2877</t>
        </is>
      </c>
      <c r="D160" s="38" t="inlineStr">
        <is>
          <t>1298</t>
        </is>
      </c>
      <c r="E160" s="38" t="inlineStr">
        <is>
          <t>4175</t>
        </is>
      </c>
      <c r="F160" s="38" t="inlineStr">
        <is>
          <t>0</t>
        </is>
      </c>
      <c r="G160" s="38" t="inlineStr">
        <is>
          <t>4175</t>
        </is>
      </c>
      <c r="H160" s="38" t="inlineStr">
        <is>
          <t>5</t>
        </is>
      </c>
    </row>
    <row r="161" ht="15" customHeight="1" s="39">
      <c r="A161" s="42" t="inlineStr">
        <is>
          <t>080333</t>
        </is>
      </c>
      <c r="B161" s="38" t="inlineStr">
        <is>
          <t>Caldes de Montbui</t>
        </is>
      </c>
      <c r="C161" s="38" t="inlineStr">
        <is>
          <t>6603</t>
        </is>
      </c>
      <c r="D161" s="38" t="inlineStr">
        <is>
          <t>1105</t>
        </is>
      </c>
      <c r="E161" s="38" t="inlineStr">
        <is>
          <t>7708</t>
        </is>
      </c>
      <c r="F161" s="38" t="inlineStr">
        <is>
          <t>0</t>
        </is>
      </c>
      <c r="G161" s="38" t="inlineStr">
        <is>
          <t>7708</t>
        </is>
      </c>
      <c r="H161" s="38" t="inlineStr">
        <is>
          <t>5</t>
        </is>
      </c>
    </row>
    <row r="162" ht="15" customHeight="1" s="39">
      <c r="A162" s="42" t="inlineStr">
        <is>
          <t>080351</t>
        </is>
      </c>
      <c r="B162" s="38" t="inlineStr">
        <is>
          <t>Calella</t>
        </is>
      </c>
      <c r="C162" s="38" t="inlineStr">
        <is>
          <t>7673</t>
        </is>
      </c>
      <c r="D162" s="38" t="inlineStr">
        <is>
          <t>2984</t>
        </is>
      </c>
      <c r="E162" s="38" t="inlineStr">
        <is>
          <t>10657</t>
        </is>
      </c>
      <c r="F162" s="38" t="inlineStr">
        <is>
          <t>0</t>
        </is>
      </c>
      <c r="G162" s="38" t="inlineStr">
        <is>
          <t>10657</t>
        </is>
      </c>
      <c r="H162" s="38" t="inlineStr">
        <is>
          <t>7</t>
        </is>
      </c>
    </row>
    <row r="163" ht="15" customHeight="1" s="39">
      <c r="A163" s="42" t="inlineStr">
        <is>
          <t>080370</t>
        </is>
      </c>
      <c r="B163" s="38" t="inlineStr">
        <is>
          <t>Calldetenes</t>
        </is>
      </c>
      <c r="C163" s="38" t="inlineStr">
        <is>
          <t>899</t>
        </is>
      </c>
      <c r="D163" s="38" t="inlineStr">
        <is>
          <t>126</t>
        </is>
      </c>
      <c r="E163" s="38" t="inlineStr">
        <is>
          <t>1025</t>
        </is>
      </c>
      <c r="F163" s="38" t="inlineStr">
        <is>
          <t>0</t>
        </is>
      </c>
      <c r="G163" s="38" t="inlineStr">
        <is>
          <t>1025</t>
        </is>
      </c>
      <c r="H163" s="38" t="inlineStr">
        <is>
          <t>1</t>
        </is>
      </c>
    </row>
    <row r="164" ht="15" customHeight="1" s="39">
      <c r="A164" s="42" t="inlineStr">
        <is>
          <t>080386</t>
        </is>
      </c>
      <c r="B164" s="38" t="inlineStr">
        <is>
          <t>Callús</t>
        </is>
      </c>
      <c r="C164" s="38" t="inlineStr">
        <is>
          <t>835</t>
        </is>
      </c>
      <c r="D164" s="38" t="inlineStr">
        <is>
          <t>176</t>
        </is>
      </c>
      <c r="E164" s="38" t="inlineStr">
        <is>
          <t>1011</t>
        </is>
      </c>
      <c r="F164" s="38" t="inlineStr">
        <is>
          <t>0</t>
        </is>
      </c>
      <c r="G164" s="38" t="inlineStr">
        <is>
          <t>1011</t>
        </is>
      </c>
      <c r="H164" s="38" t="inlineStr">
        <is>
          <t>1</t>
        </is>
      </c>
    </row>
    <row r="165" ht="15" customHeight="1" s="39">
      <c r="A165" s="42" t="inlineStr">
        <is>
          <t>080364</t>
        </is>
      </c>
      <c r="B165" s="38" t="inlineStr">
        <is>
          <t>Calonge de Segarra</t>
        </is>
      </c>
      <c r="C165" s="38" t="inlineStr">
        <is>
          <t>62</t>
        </is>
      </c>
      <c r="D165" s="38" t="inlineStr">
        <is>
          <t>60</t>
        </is>
      </c>
      <c r="E165" s="38" t="inlineStr">
        <is>
          <t>122</t>
        </is>
      </c>
      <c r="F165" s="38" t="inlineStr">
        <is>
          <t>0</t>
        </is>
      </c>
      <c r="G165" s="38" t="inlineStr">
        <is>
          <t>122</t>
        </is>
      </c>
      <c r="H165" s="38" t="inlineStr">
        <is>
          <t>0</t>
        </is>
      </c>
    </row>
    <row r="166" ht="15" customHeight="1" s="39">
      <c r="A166" s="42" t="inlineStr">
        <is>
          <t>170340</t>
        </is>
      </c>
      <c r="B166" s="38" t="inlineStr">
        <is>
          <t>Calonge i Sant Antoni</t>
        </is>
      </c>
      <c r="C166" s="38" t="inlineStr">
        <is>
          <t>4770</t>
        </is>
      </c>
      <c r="D166" s="38" t="inlineStr">
        <is>
          <t>9342</t>
        </is>
      </c>
      <c r="E166" s="38" t="inlineStr">
        <is>
          <t>14112</t>
        </is>
      </c>
      <c r="F166" s="38" t="inlineStr">
        <is>
          <t>0</t>
        </is>
      </c>
      <c r="G166" s="38" t="inlineStr">
        <is>
          <t>14112</t>
        </is>
      </c>
      <c r="H166" s="38" t="inlineStr">
        <is>
          <t>3</t>
        </is>
      </c>
    </row>
    <row r="167" ht="15" customHeight="1" s="39">
      <c r="A167" s="42" t="inlineStr">
        <is>
          <t>250621</t>
        </is>
      </c>
      <c r="B167" s="38" t="inlineStr">
        <is>
          <t>Camarasa</t>
        </is>
      </c>
      <c r="C167" s="38" t="inlineStr">
        <is>
          <t>348</t>
        </is>
      </c>
      <c r="D167" s="38" t="inlineStr">
        <is>
          <t>458</t>
        </is>
      </c>
      <c r="E167" s="38" t="inlineStr">
        <is>
          <t>806</t>
        </is>
      </c>
      <c r="F167" s="38" t="inlineStr">
        <is>
          <t>0</t>
        </is>
      </c>
      <c r="G167" s="38" t="inlineStr">
        <is>
          <t>806</t>
        </is>
      </c>
      <c r="H167" s="38" t="inlineStr">
        <is>
          <t>0</t>
        </is>
      </c>
    </row>
    <row r="168" ht="15" customHeight="1" s="39">
      <c r="A168" s="42" t="inlineStr">
        <is>
          <t>439039</t>
        </is>
      </c>
      <c r="B168" s="38" t="inlineStr">
        <is>
          <t>Camarles</t>
        </is>
      </c>
      <c r="C168" s="38" t="inlineStr">
        <is>
          <t>1281</t>
        </is>
      </c>
      <c r="D168" s="38" t="inlineStr">
        <is>
          <t>746</t>
        </is>
      </c>
      <c r="E168" s="38" t="inlineStr">
        <is>
          <t>2027</t>
        </is>
      </c>
      <c r="F168" s="38" t="inlineStr">
        <is>
          <t>0</t>
        </is>
      </c>
      <c r="G168" s="38" t="inlineStr">
        <is>
          <t>2027</t>
        </is>
      </c>
      <c r="H168" s="38" t="inlineStr">
        <is>
          <t>0</t>
        </is>
      </c>
    </row>
    <row r="169" ht="15" customHeight="1" s="39">
      <c r="A169" s="42" t="inlineStr">
        <is>
          <t>430385</t>
        </is>
      </c>
      <c r="B169" s="38" t="inlineStr">
        <is>
          <t>Cambrils</t>
        </is>
      </c>
      <c r="C169" s="38" t="inlineStr">
        <is>
          <t>14146</t>
        </is>
      </c>
      <c r="D169" s="38" t="inlineStr">
        <is>
          <t>17587</t>
        </is>
      </c>
      <c r="E169" s="38" t="inlineStr">
        <is>
          <t>31733</t>
        </is>
      </c>
      <c r="F169" s="38" t="inlineStr">
        <is>
          <t>0</t>
        </is>
      </c>
      <c r="G169" s="38" t="inlineStr">
        <is>
          <t>31733</t>
        </is>
      </c>
      <c r="H169" s="38" t="inlineStr">
        <is>
          <t>5</t>
        </is>
      </c>
    </row>
    <row r="170" ht="15" customHeight="1" s="39">
      <c r="A170" s="42" t="inlineStr">
        <is>
          <t>170353</t>
        </is>
      </c>
      <c r="B170" s="38" t="inlineStr">
        <is>
          <t>Camós</t>
        </is>
      </c>
      <c r="C170" s="38" t="inlineStr">
        <is>
          <t>240</t>
        </is>
      </c>
      <c r="D170" s="38" t="inlineStr">
        <is>
          <t>89</t>
        </is>
      </c>
      <c r="E170" s="38" t="inlineStr">
        <is>
          <t>329</t>
        </is>
      </c>
      <c r="F170" s="38" t="inlineStr">
        <is>
          <t>0</t>
        </is>
      </c>
      <c r="G170" s="38" t="inlineStr">
        <is>
          <t>329</t>
        </is>
      </c>
      <c r="H170" s="38" t="inlineStr">
        <is>
          <t>0</t>
        </is>
      </c>
    </row>
    <row r="171" ht="15" customHeight="1" s="39">
      <c r="A171" s="42" t="inlineStr">
        <is>
          <t>170366</t>
        </is>
      </c>
      <c r="B171" s="38" t="inlineStr">
        <is>
          <t>Campdevànol</t>
        </is>
      </c>
      <c r="C171" s="38" t="inlineStr">
        <is>
          <t>1311</t>
        </is>
      </c>
      <c r="D171" s="38" t="inlineStr">
        <is>
          <t>321</t>
        </is>
      </c>
      <c r="E171" s="38" t="inlineStr">
        <is>
          <t>1632</t>
        </is>
      </c>
      <c r="F171" s="38" t="inlineStr">
        <is>
          <t>0</t>
        </is>
      </c>
      <c r="G171" s="38" t="inlineStr">
        <is>
          <t>1632</t>
        </is>
      </c>
      <c r="H171" s="38" t="inlineStr">
        <is>
          <t>1</t>
        </is>
      </c>
    </row>
    <row r="172" ht="15" customHeight="1" s="39">
      <c r="A172" s="42" t="inlineStr">
        <is>
          <t>170372</t>
        </is>
      </c>
      <c r="B172" s="38" t="inlineStr">
        <is>
          <t>Campelles</t>
        </is>
      </c>
      <c r="C172" s="38" t="inlineStr">
        <is>
          <t>71</t>
        </is>
      </c>
      <c r="D172" s="38" t="inlineStr">
        <is>
          <t>111</t>
        </is>
      </c>
      <c r="E172" s="38" t="inlineStr">
        <is>
          <t>182</t>
        </is>
      </c>
      <c r="F172" s="38" t="inlineStr">
        <is>
          <t>0</t>
        </is>
      </c>
      <c r="G172" s="38" t="inlineStr">
        <is>
          <t>182</t>
        </is>
      </c>
      <c r="H172" s="38" t="inlineStr">
        <is>
          <t>0</t>
        </is>
      </c>
    </row>
    <row r="173" ht="15" customHeight="1" s="39">
      <c r="A173" s="42" t="inlineStr">
        <is>
          <t>080399</t>
        </is>
      </c>
      <c r="B173" s="38" t="inlineStr">
        <is>
          <t>Campins</t>
        </is>
      </c>
      <c r="C173" s="38" t="inlineStr">
        <is>
          <t>218</t>
        </is>
      </c>
      <c r="D173" s="38" t="inlineStr">
        <is>
          <t>87</t>
        </is>
      </c>
      <c r="E173" s="38" t="inlineStr">
        <is>
          <t>305</t>
        </is>
      </c>
      <c r="F173" s="38" t="inlineStr">
        <is>
          <t>0</t>
        </is>
      </c>
      <c r="G173" s="38" t="inlineStr">
        <is>
          <t>305</t>
        </is>
      </c>
      <c r="H173" s="38" t="inlineStr">
        <is>
          <t>0</t>
        </is>
      </c>
    </row>
    <row r="174" ht="15" customHeight="1" s="39">
      <c r="A174" s="42" t="inlineStr">
        <is>
          <t>170388</t>
        </is>
      </c>
      <c r="B174" s="38" t="inlineStr">
        <is>
          <t>Campllong</t>
        </is>
      </c>
      <c r="C174" s="38" t="inlineStr">
        <is>
          <t>167</t>
        </is>
      </c>
      <c r="D174" s="38" t="inlineStr">
        <is>
          <t>29</t>
        </is>
      </c>
      <c r="E174" s="38" t="inlineStr">
        <is>
          <t>196</t>
        </is>
      </c>
      <c r="F174" s="38" t="inlineStr">
        <is>
          <t>0</t>
        </is>
      </c>
      <c r="G174" s="38" t="inlineStr">
        <is>
          <t>196</t>
        </is>
      </c>
      <c r="H174" s="38" t="inlineStr">
        <is>
          <t>0</t>
        </is>
      </c>
    </row>
    <row r="175" ht="15" customHeight="1" s="39">
      <c r="A175" s="42" t="inlineStr">
        <is>
          <t>170391</t>
        </is>
      </c>
      <c r="B175" s="38" t="inlineStr">
        <is>
          <t>Camprodon</t>
        </is>
      </c>
      <c r="C175" s="38" t="inlineStr">
        <is>
          <t>1034</t>
        </is>
      </c>
      <c r="D175" s="38" t="inlineStr">
        <is>
          <t>1679</t>
        </is>
      </c>
      <c r="E175" s="38" t="inlineStr">
        <is>
          <t>2713</t>
        </is>
      </c>
      <c r="F175" s="38" t="inlineStr">
        <is>
          <t>0</t>
        </is>
      </c>
      <c r="G175" s="38" t="inlineStr">
        <is>
          <t>2713</t>
        </is>
      </c>
      <c r="H175" s="38" t="inlineStr">
        <is>
          <t>1</t>
        </is>
      </c>
    </row>
    <row r="176" ht="15" customHeight="1" s="39">
      <c r="A176" s="42" t="inlineStr">
        <is>
          <t>250637</t>
        </is>
      </c>
      <c r="B176" s="38" t="inlineStr">
        <is>
          <t>Canejan</t>
        </is>
      </c>
      <c r="C176" s="38" t="inlineStr">
        <is>
          <t>45</t>
        </is>
      </c>
      <c r="D176" s="38" t="inlineStr">
        <is>
          <t>57</t>
        </is>
      </c>
      <c r="E176" s="38" t="inlineStr">
        <is>
          <t>102</t>
        </is>
      </c>
      <c r="F176" s="38" t="inlineStr">
        <is>
          <t>0</t>
        </is>
      </c>
      <c r="G176" s="38" t="inlineStr">
        <is>
          <t>102</t>
        </is>
      </c>
      <c r="H176" s="38" t="inlineStr">
        <is>
          <t>0</t>
        </is>
      </c>
    </row>
    <row r="177" ht="15" customHeight="1" s="39">
      <c r="A177" s="42" t="inlineStr">
        <is>
          <t>170405</t>
        </is>
      </c>
      <c r="B177" s="38" t="inlineStr">
        <is>
          <t>Canet d'Adri</t>
        </is>
      </c>
      <c r="C177" s="38" t="inlineStr">
        <is>
          <t>264</t>
        </is>
      </c>
      <c r="D177" s="38" t="inlineStr">
        <is>
          <t>107</t>
        </is>
      </c>
      <c r="E177" s="38" t="inlineStr">
        <is>
          <t>371</t>
        </is>
      </c>
      <c r="F177" s="38" t="inlineStr">
        <is>
          <t>0</t>
        </is>
      </c>
      <c r="G177" s="38" t="inlineStr">
        <is>
          <t>371</t>
        </is>
      </c>
      <c r="H177" s="38" t="inlineStr">
        <is>
          <t>0</t>
        </is>
      </c>
    </row>
    <row r="178" ht="15" customHeight="1" s="39">
      <c r="A178" s="42" t="inlineStr">
        <is>
          <t>080403</t>
        </is>
      </c>
      <c r="B178" s="38" t="inlineStr">
        <is>
          <t>Canet de Mar</t>
        </is>
      </c>
      <c r="C178" s="38" t="inlineStr">
        <is>
          <t>5742</t>
        </is>
      </c>
      <c r="D178" s="38" t="inlineStr">
        <is>
          <t>1826</t>
        </is>
      </c>
      <c r="E178" s="38" t="inlineStr">
        <is>
          <t>7568</t>
        </is>
      </c>
      <c r="F178" s="38" t="inlineStr">
        <is>
          <t>0</t>
        </is>
      </c>
      <c r="G178" s="38" t="inlineStr">
        <is>
          <t>7568</t>
        </is>
      </c>
      <c r="H178" s="38" t="inlineStr">
        <is>
          <t>9</t>
        </is>
      </c>
    </row>
    <row r="179" ht="15" customHeight="1" s="39">
      <c r="A179" s="42" t="inlineStr">
        <is>
          <t>439076</t>
        </is>
      </c>
      <c r="B179" s="38" t="inlineStr">
        <is>
          <t>Canonja, la</t>
        </is>
      </c>
      <c r="C179" s="38" t="inlineStr">
        <is>
          <t>2167</t>
        </is>
      </c>
      <c r="D179" s="38" t="inlineStr">
        <is>
          <t>506</t>
        </is>
      </c>
      <c r="E179" s="38" t="inlineStr">
        <is>
          <t>2673</t>
        </is>
      </c>
      <c r="F179" s="38" t="inlineStr">
        <is>
          <t>0</t>
        </is>
      </c>
      <c r="G179" s="38" t="inlineStr">
        <is>
          <t>2673</t>
        </is>
      </c>
      <c r="H179" s="38" t="inlineStr">
        <is>
          <t>0</t>
        </is>
      </c>
    </row>
    <row r="180" ht="15" customHeight="1" s="39">
      <c r="A180" s="42" t="inlineStr">
        <is>
          <t>080410</t>
        </is>
      </c>
      <c r="B180" s="38" t="inlineStr">
        <is>
          <t>Canovelles</t>
        </is>
      </c>
      <c r="C180" s="38" t="inlineStr">
        <is>
          <t>5734</t>
        </is>
      </c>
      <c r="D180" s="38" t="inlineStr">
        <is>
          <t>449</t>
        </is>
      </c>
      <c r="E180" s="38" t="inlineStr">
        <is>
          <t>6183</t>
        </is>
      </c>
      <c r="F180" s="38" t="inlineStr">
        <is>
          <t>0</t>
        </is>
      </c>
      <c r="G180" s="38" t="inlineStr">
        <is>
          <t>6183</t>
        </is>
      </c>
      <c r="H180" s="38" t="inlineStr">
        <is>
          <t>3</t>
        </is>
      </c>
    </row>
    <row r="181" ht="15" customHeight="1" s="39">
      <c r="A181" s="42" t="inlineStr">
        <is>
          <t>080425</t>
        </is>
      </c>
      <c r="B181" s="38" t="inlineStr">
        <is>
          <t>Cànoves i Samalús</t>
        </is>
      </c>
      <c r="C181" s="38" t="inlineStr">
        <is>
          <t>1139</t>
        </is>
      </c>
      <c r="D181" s="38" t="inlineStr">
        <is>
          <t>323</t>
        </is>
      </c>
      <c r="E181" s="38" t="inlineStr">
        <is>
          <t>1462</t>
        </is>
      </c>
      <c r="F181" s="38" t="inlineStr">
        <is>
          <t>0</t>
        </is>
      </c>
      <c r="G181" s="38" t="inlineStr">
        <is>
          <t>1462</t>
        </is>
      </c>
      <c r="H181" s="38" t="inlineStr">
        <is>
          <t>0</t>
        </is>
      </c>
    </row>
    <row r="182" ht="15" customHeight="1" s="39">
      <c r="A182" s="42" t="inlineStr">
        <is>
          <t>170412</t>
        </is>
      </c>
      <c r="B182" s="38" t="inlineStr">
        <is>
          <t>Cantallops</t>
        </is>
      </c>
      <c r="C182" s="38" t="inlineStr">
        <is>
          <t>123</t>
        </is>
      </c>
      <c r="D182" s="38" t="inlineStr">
        <is>
          <t>107</t>
        </is>
      </c>
      <c r="E182" s="38" t="inlineStr">
        <is>
          <t>230</t>
        </is>
      </c>
      <c r="F182" s="38" t="inlineStr">
        <is>
          <t>0</t>
        </is>
      </c>
      <c r="G182" s="38" t="inlineStr">
        <is>
          <t>230</t>
        </is>
      </c>
      <c r="H182" s="38" t="inlineStr">
        <is>
          <t>0</t>
        </is>
      </c>
    </row>
    <row r="183" ht="15" customHeight="1" s="39">
      <c r="A183" s="42" t="inlineStr">
        <is>
          <t>080431</t>
        </is>
      </c>
      <c r="B183" s="38" t="inlineStr">
        <is>
          <t>Canyelles</t>
        </is>
      </c>
      <c r="C183" s="38" t="inlineStr">
        <is>
          <t>1829</t>
        </is>
      </c>
      <c r="D183" s="38" t="inlineStr">
        <is>
          <t>990</t>
        </is>
      </c>
      <c r="E183" s="38" t="inlineStr">
        <is>
          <t>2819</t>
        </is>
      </c>
      <c r="F183" s="38" t="inlineStr">
        <is>
          <t>0</t>
        </is>
      </c>
      <c r="G183" s="38" t="inlineStr">
        <is>
          <t>2819</t>
        </is>
      </c>
      <c r="H183" s="38" t="inlineStr">
        <is>
          <t>0</t>
        </is>
      </c>
    </row>
    <row r="184" ht="15" customHeight="1" s="39">
      <c r="A184" s="42" t="inlineStr">
        <is>
          <t>430398</t>
        </is>
      </c>
      <c r="B184" s="38" t="inlineStr">
        <is>
          <t>Capafonts</t>
        </is>
      </c>
      <c r="C184" s="38" t="inlineStr">
        <is>
          <t>65</t>
        </is>
      </c>
      <c r="D184" s="38" t="inlineStr">
        <is>
          <t>115</t>
        </is>
      </c>
      <c r="E184" s="38" t="inlineStr">
        <is>
          <t>180</t>
        </is>
      </c>
      <c r="F184" s="38" t="inlineStr">
        <is>
          <t>0</t>
        </is>
      </c>
      <c r="G184" s="38" t="inlineStr">
        <is>
          <t>180</t>
        </is>
      </c>
      <c r="H184" s="38" t="inlineStr">
        <is>
          <t>0</t>
        </is>
      </c>
    </row>
    <row r="185" ht="15" customHeight="1" s="39">
      <c r="A185" s="42" t="inlineStr">
        <is>
          <t>430402</t>
        </is>
      </c>
      <c r="B185" s="38" t="inlineStr">
        <is>
          <t>Capçanes</t>
        </is>
      </c>
      <c r="C185" s="38" t="inlineStr">
        <is>
          <t>154</t>
        </is>
      </c>
      <c r="D185" s="38" t="inlineStr">
        <is>
          <t>142</t>
        </is>
      </c>
      <c r="E185" s="38" t="inlineStr">
        <is>
          <t>296</t>
        </is>
      </c>
      <c r="F185" s="38" t="inlineStr">
        <is>
          <t>0</t>
        </is>
      </c>
      <c r="G185" s="38" t="inlineStr">
        <is>
          <t>296</t>
        </is>
      </c>
      <c r="H185" s="38" t="inlineStr">
        <is>
          <t>0</t>
        </is>
      </c>
    </row>
    <row r="186" ht="15" customHeight="1" s="39">
      <c r="A186" s="42" t="inlineStr">
        <is>
          <t>080446</t>
        </is>
      </c>
      <c r="B186" s="38" t="inlineStr">
        <is>
          <t>Capellades</t>
        </is>
      </c>
      <c r="C186" s="38" t="inlineStr">
        <is>
          <t>2083</t>
        </is>
      </c>
      <c r="D186" s="38" t="inlineStr">
        <is>
          <t>690</t>
        </is>
      </c>
      <c r="E186" s="38" t="inlineStr">
        <is>
          <t>2773</t>
        </is>
      </c>
      <c r="F186" s="38" t="inlineStr">
        <is>
          <t>0</t>
        </is>
      </c>
      <c r="G186" s="38" t="inlineStr">
        <is>
          <t>2773</t>
        </is>
      </c>
      <c r="H186" s="38" t="inlineStr">
        <is>
          <t>1</t>
        </is>
      </c>
    </row>
    <row r="187" ht="15" customHeight="1" s="39">
      <c r="A187" s="42" t="inlineStr">
        <is>
          <t>170427</t>
        </is>
      </c>
      <c r="B187" s="38" t="inlineStr">
        <is>
          <t>Capmany</t>
        </is>
      </c>
      <c r="C187" s="38" t="inlineStr">
        <is>
          <t>237</t>
        </is>
      </c>
      <c r="D187" s="38" t="inlineStr">
        <is>
          <t>140</t>
        </is>
      </c>
      <c r="E187" s="38" t="inlineStr">
        <is>
          <t>377</t>
        </is>
      </c>
      <c r="F187" s="38" t="inlineStr">
        <is>
          <t>0</t>
        </is>
      </c>
      <c r="G187" s="38" t="inlineStr">
        <is>
          <t>377</t>
        </is>
      </c>
      <c r="H187" s="38" t="inlineStr">
        <is>
          <t>0</t>
        </is>
      </c>
    </row>
    <row r="188" ht="15" customHeight="1" s="39">
      <c r="A188" s="42" t="inlineStr">
        <is>
          <t>080459</t>
        </is>
      </c>
      <c r="B188" s="38" t="inlineStr">
        <is>
          <t>Capolat</t>
        </is>
      </c>
      <c r="C188" s="38" t="inlineStr">
        <is>
          <t>34</t>
        </is>
      </c>
      <c r="D188" s="38" t="inlineStr">
        <is>
          <t>26</t>
        </is>
      </c>
      <c r="E188" s="38" t="inlineStr">
        <is>
          <t>60</t>
        </is>
      </c>
      <c r="F188" s="38" t="inlineStr">
        <is>
          <t>0</t>
        </is>
      </c>
      <c r="G188" s="38" t="inlineStr">
        <is>
          <t>60</t>
        </is>
      </c>
      <c r="H188" s="38" t="inlineStr">
        <is>
          <t>0</t>
        </is>
      </c>
    </row>
    <row r="189" ht="15" customHeight="1" s="39">
      <c r="A189" s="42" t="inlineStr">
        <is>
          <t>080462</t>
        </is>
      </c>
      <c r="B189" s="38" t="inlineStr">
        <is>
          <t>Cardedeu</t>
        </is>
      </c>
      <c r="C189" s="38" t="inlineStr">
        <is>
          <t>6819</t>
        </is>
      </c>
      <c r="D189" s="38" t="inlineStr">
        <is>
          <t>835</t>
        </is>
      </c>
      <c r="E189" s="38" t="inlineStr">
        <is>
          <t>7654</t>
        </is>
      </c>
      <c r="F189" s="38" t="inlineStr">
        <is>
          <t>0</t>
        </is>
      </c>
      <c r="G189" s="38" t="inlineStr">
        <is>
          <t>7654</t>
        </is>
      </c>
      <c r="H189" s="38" t="inlineStr">
        <is>
          <t>4</t>
        </is>
      </c>
    </row>
    <row r="190" ht="15" customHeight="1" s="39">
      <c r="A190" s="42" t="inlineStr">
        <is>
          <t>080478</t>
        </is>
      </c>
      <c r="B190" s="38" t="inlineStr">
        <is>
          <t>Cardona</t>
        </is>
      </c>
      <c r="C190" s="38" t="inlineStr">
        <is>
          <t>1826</t>
        </is>
      </c>
      <c r="D190" s="38" t="inlineStr">
        <is>
          <t>1082</t>
        </is>
      </c>
      <c r="E190" s="38" t="inlineStr">
        <is>
          <t>2908</t>
        </is>
      </c>
      <c r="F190" s="38" t="inlineStr">
        <is>
          <t>0</t>
        </is>
      </c>
      <c r="G190" s="38" t="inlineStr">
        <is>
          <t>2908</t>
        </is>
      </c>
      <c r="H190" s="38" t="inlineStr">
        <is>
          <t>2</t>
        </is>
      </c>
    </row>
    <row r="191" ht="15" customHeight="1" s="39">
      <c r="A191" s="42" t="inlineStr">
        <is>
          <t>080484</t>
        </is>
      </c>
      <c r="B191" s="38" t="inlineStr">
        <is>
          <t>Carme</t>
        </is>
      </c>
      <c r="C191" s="38" t="inlineStr">
        <is>
          <t>300</t>
        </is>
      </c>
      <c r="D191" s="38" t="inlineStr">
        <is>
          <t>202</t>
        </is>
      </c>
      <c r="E191" s="38" t="inlineStr">
        <is>
          <t>502</t>
        </is>
      </c>
      <c r="F191" s="38" t="inlineStr">
        <is>
          <t>0</t>
        </is>
      </c>
      <c r="G191" s="38" t="inlineStr">
        <is>
          <t>502</t>
        </is>
      </c>
      <c r="H191" s="38" t="inlineStr">
        <is>
          <t>0</t>
        </is>
      </c>
    </row>
    <row r="192" ht="15" customHeight="1" s="39">
      <c r="A192" s="42" t="inlineStr">
        <is>
          <t>430419</t>
        </is>
      </c>
      <c r="B192" s="38" t="inlineStr">
        <is>
          <t>Caseres</t>
        </is>
      </c>
      <c r="C192" s="38" t="inlineStr">
        <is>
          <t>92</t>
        </is>
      </c>
      <c r="D192" s="38" t="inlineStr">
        <is>
          <t>123</t>
        </is>
      </c>
      <c r="E192" s="38" t="inlineStr">
        <is>
          <t>215</t>
        </is>
      </c>
      <c r="F192" s="38" t="inlineStr">
        <is>
          <t>0</t>
        </is>
      </c>
      <c r="G192" s="38" t="inlineStr">
        <is>
          <t>215</t>
        </is>
      </c>
      <c r="H192" s="38" t="inlineStr">
        <is>
          <t>0</t>
        </is>
      </c>
    </row>
    <row r="193" ht="15" customHeight="1" s="39">
      <c r="A193" s="42" t="inlineStr">
        <is>
          <t>170448</t>
        </is>
      </c>
      <c r="B193" s="38" t="inlineStr">
        <is>
          <t>Cassà de la Selva</t>
        </is>
      </c>
      <c r="C193" s="38" t="inlineStr">
        <is>
          <t>3802</t>
        </is>
      </c>
      <c r="D193" s="38" t="inlineStr">
        <is>
          <t>907</t>
        </is>
      </c>
      <c r="E193" s="38" t="inlineStr">
        <is>
          <t>4709</t>
        </is>
      </c>
      <c r="F193" s="38" t="inlineStr">
        <is>
          <t>0</t>
        </is>
      </c>
      <c r="G193" s="38" t="inlineStr">
        <is>
          <t>4709</t>
        </is>
      </c>
      <c r="H193" s="38" t="inlineStr">
        <is>
          <t>2</t>
        </is>
      </c>
    </row>
    <row r="194" ht="15" customHeight="1" s="39">
      <c r="A194" s="42" t="inlineStr">
        <is>
          <t>080497</t>
        </is>
      </c>
      <c r="B194" s="38" t="inlineStr">
        <is>
          <t>Casserres</t>
        </is>
      </c>
      <c r="C194" s="38" t="inlineStr">
        <is>
          <t>646</t>
        </is>
      </c>
      <c r="D194" s="38" t="inlineStr">
        <is>
          <t>350</t>
        </is>
      </c>
      <c r="E194" s="38" t="inlineStr">
        <is>
          <t>996</t>
        </is>
      </c>
      <c r="F194" s="38" t="inlineStr">
        <is>
          <t>0</t>
        </is>
      </c>
      <c r="G194" s="38" t="inlineStr">
        <is>
          <t>996</t>
        </is>
      </c>
      <c r="H194" s="38" t="inlineStr">
        <is>
          <t>1</t>
        </is>
      </c>
    </row>
    <row r="195" ht="15" customHeight="1" s="39">
      <c r="A195" s="42" t="inlineStr">
        <is>
          <t>170486</t>
        </is>
      </c>
      <c r="B195" s="38" t="inlineStr">
        <is>
          <t>Castell d'Aro, Platja d'Aro i s'Agaró</t>
        </is>
      </c>
      <c r="C195" s="38" t="inlineStr">
        <is>
          <t>4905</t>
        </is>
      </c>
      <c r="D195" s="38" t="inlineStr">
        <is>
          <t>10807</t>
        </is>
      </c>
      <c r="E195" s="38" t="inlineStr">
        <is>
          <t>15712</t>
        </is>
      </c>
      <c r="F195" s="38" t="inlineStr">
        <is>
          <t>0</t>
        </is>
      </c>
      <c r="G195" s="38" t="inlineStr">
        <is>
          <t>15712</t>
        </is>
      </c>
      <c r="H195" s="38" t="inlineStr">
        <is>
          <t>5</t>
        </is>
      </c>
    </row>
    <row r="196" ht="15" customHeight="1" s="39">
      <c r="A196" s="42" t="inlineStr">
        <is>
          <t>080575</t>
        </is>
      </c>
      <c r="B196" s="38" t="inlineStr">
        <is>
          <t>Castell de l'Areny</t>
        </is>
      </c>
      <c r="C196" s="38" t="inlineStr">
        <is>
          <t>31</t>
        </is>
      </c>
      <c r="D196" s="38" t="inlineStr">
        <is>
          <t>35</t>
        </is>
      </c>
      <c r="E196" s="38" t="inlineStr">
        <is>
          <t>66</t>
        </is>
      </c>
      <c r="F196" s="38" t="inlineStr">
        <is>
          <t>0</t>
        </is>
      </c>
      <c r="G196" s="38" t="inlineStr">
        <is>
          <t>66</t>
        </is>
      </c>
      <c r="H196" s="38" t="inlineStr">
        <is>
          <t>0</t>
        </is>
      </c>
    </row>
    <row r="197" ht="15" customHeight="1" s="39">
      <c r="A197" s="42" t="inlineStr">
        <is>
          <t>259046</t>
        </is>
      </c>
      <c r="B197" s="38" t="inlineStr">
        <is>
          <t>Castell de Mur</t>
        </is>
      </c>
      <c r="C197" s="38" t="inlineStr">
        <is>
          <t>84</t>
        </is>
      </c>
      <c r="D197" s="38" t="inlineStr">
        <is>
          <t>88</t>
        </is>
      </c>
      <c r="E197" s="38" t="inlineStr">
        <is>
          <t>172</t>
        </is>
      </c>
      <c r="F197" s="38" t="inlineStr">
        <is>
          <t>0</t>
        </is>
      </c>
      <c r="G197" s="38" t="inlineStr">
        <is>
          <t>172</t>
        </is>
      </c>
      <c r="H197" s="38" t="inlineStr">
        <is>
          <t>0</t>
        </is>
      </c>
    </row>
    <row r="198" ht="15" customHeight="1" s="39">
      <c r="A198" s="42" t="inlineStr">
        <is>
          <t>250642</t>
        </is>
      </c>
      <c r="B198" s="38" t="inlineStr">
        <is>
          <t>Castellar de la Ribera</t>
        </is>
      </c>
      <c r="C198" s="38" t="inlineStr">
        <is>
          <t>40</t>
        </is>
      </c>
      <c r="D198" s="38" t="inlineStr">
        <is>
          <t>33</t>
        </is>
      </c>
      <c r="E198" s="38" t="inlineStr">
        <is>
          <t>73</t>
        </is>
      </c>
      <c r="F198" s="38" t="inlineStr">
        <is>
          <t>0</t>
        </is>
      </c>
      <c r="G198" s="38" t="inlineStr">
        <is>
          <t>73</t>
        </is>
      </c>
      <c r="H198" s="38" t="inlineStr">
        <is>
          <t>0</t>
        </is>
      </c>
    </row>
    <row r="199" ht="15" customHeight="1" s="39">
      <c r="A199" s="42" t="inlineStr">
        <is>
          <t>080522</t>
        </is>
      </c>
      <c r="B199" s="38" t="inlineStr">
        <is>
          <t>Castellar de n'Hug</t>
        </is>
      </c>
      <c r="C199" s="38" t="inlineStr">
        <is>
          <t>71</t>
        </is>
      </c>
      <c r="D199" s="38" t="inlineStr">
        <is>
          <t>205</t>
        </is>
      </c>
      <c r="E199" s="38" t="inlineStr">
        <is>
          <t>276</t>
        </is>
      </c>
      <c r="F199" s="38" t="inlineStr">
        <is>
          <t>0</t>
        </is>
      </c>
      <c r="G199" s="38" t="inlineStr">
        <is>
          <t>276</t>
        </is>
      </c>
      <c r="H199" s="38" t="inlineStr">
        <is>
          <t>0</t>
        </is>
      </c>
    </row>
    <row r="200" ht="15" customHeight="1" s="39">
      <c r="A200" s="42" t="inlineStr">
        <is>
          <t>080500</t>
        </is>
      </c>
      <c r="B200" s="38" t="inlineStr">
        <is>
          <t>Castellar del Riu</t>
        </is>
      </c>
      <c r="C200" s="38" t="inlineStr">
        <is>
          <t>63</t>
        </is>
      </c>
      <c r="D200" s="38" t="inlineStr">
        <is>
          <t>52</t>
        </is>
      </c>
      <c r="E200" s="38" t="inlineStr">
        <is>
          <t>115</t>
        </is>
      </c>
      <c r="F200" s="38" t="inlineStr">
        <is>
          <t>0</t>
        </is>
      </c>
      <c r="G200" s="38" t="inlineStr">
        <is>
          <t>115</t>
        </is>
      </c>
      <c r="H200" s="38" t="inlineStr">
        <is>
          <t>0</t>
        </is>
      </c>
    </row>
    <row r="201" ht="15" customHeight="1" s="39">
      <c r="A201" s="42" t="inlineStr">
        <is>
          <t>080517</t>
        </is>
      </c>
      <c r="B201" s="38" t="inlineStr">
        <is>
          <t>Castellar del Vallès</t>
        </is>
      </c>
      <c r="C201" s="38" t="inlineStr">
        <is>
          <t>8948</t>
        </is>
      </c>
      <c r="D201" s="38" t="inlineStr">
        <is>
          <t>1104</t>
        </is>
      </c>
      <c r="E201" s="38" t="inlineStr">
        <is>
          <t>10052</t>
        </is>
      </c>
      <c r="F201" s="38" t="inlineStr">
        <is>
          <t>0</t>
        </is>
      </c>
      <c r="G201" s="38" t="inlineStr">
        <is>
          <t>10052</t>
        </is>
      </c>
      <c r="H201" s="38" t="inlineStr">
        <is>
          <t>6</t>
        </is>
      </c>
    </row>
    <row r="202" ht="15" customHeight="1" s="39">
      <c r="A202" s="42" t="inlineStr">
        <is>
          <t>080538</t>
        </is>
      </c>
      <c r="B202" s="38" t="inlineStr">
        <is>
          <t>Castellbell i el Vilar</t>
        </is>
      </c>
      <c r="C202" s="38" t="inlineStr">
        <is>
          <t>1523</t>
        </is>
      </c>
      <c r="D202" s="38" t="inlineStr">
        <is>
          <t>598</t>
        </is>
      </c>
      <c r="E202" s="38" t="inlineStr">
        <is>
          <t>2121</t>
        </is>
      </c>
      <c r="F202" s="38" t="inlineStr">
        <is>
          <t>0</t>
        </is>
      </c>
      <c r="G202" s="38" t="inlineStr">
        <is>
          <t>2121</t>
        </is>
      </c>
      <c r="H202" s="38" t="inlineStr">
        <is>
          <t>3</t>
        </is>
      </c>
    </row>
    <row r="203" ht="15" customHeight="1" s="39">
      <c r="A203" s="42" t="inlineStr">
        <is>
          <t>080543</t>
        </is>
      </c>
      <c r="B203" s="38" t="inlineStr">
        <is>
          <t>Castellbisbal</t>
        </is>
      </c>
      <c r="C203" s="38" t="inlineStr">
        <is>
          <t>4411</t>
        </is>
      </c>
      <c r="D203" s="38" t="inlineStr">
        <is>
          <t>710</t>
        </is>
      </c>
      <c r="E203" s="38" t="inlineStr">
        <is>
          <t>5121</t>
        </is>
      </c>
      <c r="F203" s="38" t="inlineStr">
        <is>
          <t>0</t>
        </is>
      </c>
      <c r="G203" s="38" t="inlineStr">
        <is>
          <t>5121</t>
        </is>
      </c>
      <c r="H203" s="38" t="inlineStr">
        <is>
          <t>0</t>
        </is>
      </c>
    </row>
    <row r="204" ht="15" customHeight="1" s="39">
      <c r="A204" s="42" t="inlineStr">
        <is>
          <t>080556</t>
        </is>
      </c>
      <c r="B204" s="38" t="inlineStr">
        <is>
          <t>Castellcir</t>
        </is>
      </c>
      <c r="C204" s="38" t="inlineStr">
        <is>
          <t>283</t>
        </is>
      </c>
      <c r="D204" s="38" t="inlineStr">
        <is>
          <t>193</t>
        </is>
      </c>
      <c r="E204" s="38" t="inlineStr">
        <is>
          <t>476</t>
        </is>
      </c>
      <c r="F204" s="38" t="inlineStr">
        <is>
          <t>0</t>
        </is>
      </c>
      <c r="G204" s="38" t="inlineStr">
        <is>
          <t>476</t>
        </is>
      </c>
      <c r="H204" s="38" t="inlineStr">
        <is>
          <t>1</t>
        </is>
      </c>
    </row>
    <row r="205" ht="15" customHeight="1" s="39">
      <c r="A205" s="42" t="inlineStr">
        <is>
          <t>250674</t>
        </is>
      </c>
      <c r="B205" s="38" t="inlineStr">
        <is>
          <t>Castelldans</t>
        </is>
      </c>
      <c r="C205" s="38" t="inlineStr">
        <is>
          <t>378</t>
        </is>
      </c>
      <c r="D205" s="38" t="inlineStr">
        <is>
          <t>186</t>
        </is>
      </c>
      <c r="E205" s="38" t="inlineStr">
        <is>
          <t>564</t>
        </is>
      </c>
      <c r="F205" s="38" t="inlineStr">
        <is>
          <t>0</t>
        </is>
      </c>
      <c r="G205" s="38" t="inlineStr">
        <is>
          <t>564</t>
        </is>
      </c>
      <c r="H205" s="38" t="inlineStr">
        <is>
          <t>0</t>
        </is>
      </c>
    </row>
    <row r="206" ht="15" customHeight="1" s="39">
      <c r="A206" s="42" t="inlineStr">
        <is>
          <t>080569</t>
        </is>
      </c>
      <c r="B206" s="38" t="inlineStr">
        <is>
          <t>Castelldefels</t>
        </is>
      </c>
      <c r="C206" s="38" t="inlineStr">
        <is>
          <t>24792</t>
        </is>
      </c>
      <c r="D206" s="38" t="inlineStr">
        <is>
          <t>3916</t>
        </is>
      </c>
      <c r="E206" s="38" t="inlineStr">
        <is>
          <t>28708</t>
        </is>
      </c>
      <c r="F206" s="38" t="inlineStr">
        <is>
          <t>0</t>
        </is>
      </c>
      <c r="G206" s="38" t="inlineStr">
        <is>
          <t>28708</t>
        </is>
      </c>
      <c r="H206" s="38" t="inlineStr">
        <is>
          <t>28</t>
        </is>
      </c>
    </row>
    <row r="207" ht="15" customHeight="1" s="39">
      <c r="A207" s="42" t="inlineStr">
        <is>
          <t>080581</t>
        </is>
      </c>
      <c r="B207" s="38" t="inlineStr">
        <is>
          <t>Castellet i la Gornal</t>
        </is>
      </c>
      <c r="C207" s="38" t="inlineStr">
        <is>
          <t>973</t>
        </is>
      </c>
      <c r="D207" s="38" t="inlineStr">
        <is>
          <t>720</t>
        </is>
      </c>
      <c r="E207" s="38" t="inlineStr">
        <is>
          <t>1693</t>
        </is>
      </c>
      <c r="F207" s="38" t="inlineStr">
        <is>
          <t>0</t>
        </is>
      </c>
      <c r="G207" s="38" t="inlineStr">
        <is>
          <t>1693</t>
        </is>
      </c>
      <c r="H207" s="38" t="inlineStr">
        <is>
          <t>0</t>
        </is>
      </c>
    </row>
    <row r="208" ht="15" customHeight="1" s="39">
      <c r="A208" s="42" t="inlineStr">
        <is>
          <t>170464</t>
        </is>
      </c>
      <c r="B208" s="38" t="inlineStr">
        <is>
          <t>Castellfollit de la Roca</t>
        </is>
      </c>
      <c r="C208" s="38" t="inlineStr">
        <is>
          <t>387</t>
        </is>
      </c>
      <c r="D208" s="38" t="inlineStr">
        <is>
          <t>133</t>
        </is>
      </c>
      <c r="E208" s="38" t="inlineStr">
        <is>
          <t>520</t>
        </is>
      </c>
      <c r="F208" s="38" t="inlineStr">
        <is>
          <t>0</t>
        </is>
      </c>
      <c r="G208" s="38" t="inlineStr">
        <is>
          <t>520</t>
        </is>
      </c>
      <c r="H208" s="38" t="inlineStr">
        <is>
          <t>0</t>
        </is>
      </c>
    </row>
    <row r="209" ht="15" customHeight="1" s="39">
      <c r="A209" s="42" t="inlineStr">
        <is>
          <t>080608</t>
        </is>
      </c>
      <c r="B209" s="38" t="inlineStr">
        <is>
          <t>Castellfollit de Riubregós</t>
        </is>
      </c>
      <c r="C209" s="38" t="inlineStr">
        <is>
          <t>69</t>
        </is>
      </c>
      <c r="D209" s="38" t="inlineStr">
        <is>
          <t>91</t>
        </is>
      </c>
      <c r="E209" s="38" t="inlineStr">
        <is>
          <t>160</t>
        </is>
      </c>
      <c r="F209" s="38" t="inlineStr">
        <is>
          <t>0</t>
        </is>
      </c>
      <c r="G209" s="38" t="inlineStr">
        <is>
          <t>160</t>
        </is>
      </c>
      <c r="H209" s="38" t="inlineStr">
        <is>
          <t>0</t>
        </is>
      </c>
    </row>
    <row r="210" ht="15" customHeight="1" s="39">
      <c r="A210" s="42" t="inlineStr">
        <is>
          <t>080594</t>
        </is>
      </c>
      <c r="B210" s="38" t="inlineStr">
        <is>
          <t>Castellfollit del Boix</t>
        </is>
      </c>
      <c r="C210" s="38" t="inlineStr">
        <is>
          <t>166</t>
        </is>
      </c>
      <c r="D210" s="38" t="inlineStr">
        <is>
          <t>205</t>
        </is>
      </c>
      <c r="E210" s="38" t="inlineStr">
        <is>
          <t>371</t>
        </is>
      </c>
      <c r="F210" s="38" t="inlineStr">
        <is>
          <t>0</t>
        </is>
      </c>
      <c r="G210" s="38" t="inlineStr">
        <is>
          <t>371</t>
        </is>
      </c>
      <c r="H210" s="38" t="inlineStr">
        <is>
          <t>0</t>
        </is>
      </c>
    </row>
    <row r="211" ht="15" customHeight="1" s="39">
      <c r="A211" s="42" t="inlineStr">
        <is>
          <t>080615</t>
        </is>
      </c>
      <c r="B211" s="38" t="inlineStr">
        <is>
          <t>Castellgalí</t>
        </is>
      </c>
      <c r="C211" s="38" t="inlineStr">
        <is>
          <t>801</t>
        </is>
      </c>
      <c r="D211" s="38" t="inlineStr">
        <is>
          <t>338</t>
        </is>
      </c>
      <c r="E211" s="38" t="inlineStr">
        <is>
          <t>1139</t>
        </is>
      </c>
      <c r="F211" s="38" t="inlineStr">
        <is>
          <t>0</t>
        </is>
      </c>
      <c r="G211" s="38" t="inlineStr">
        <is>
          <t>1139</t>
        </is>
      </c>
      <c r="H211" s="38" t="inlineStr">
        <is>
          <t>4</t>
        </is>
      </c>
    </row>
    <row r="212" ht="15" customHeight="1" s="39">
      <c r="A212" s="42" t="inlineStr">
        <is>
          <t>080620</t>
        </is>
      </c>
      <c r="B212" s="38" t="inlineStr">
        <is>
          <t>Castellnou de Bages</t>
        </is>
      </c>
      <c r="C212" s="38" t="inlineStr">
        <is>
          <t>479</t>
        </is>
      </c>
      <c r="D212" s="38" t="inlineStr">
        <is>
          <t>203</t>
        </is>
      </c>
      <c r="E212" s="38" t="inlineStr">
        <is>
          <t>682</t>
        </is>
      </c>
      <c r="F212" s="38" t="inlineStr">
        <is>
          <t>0</t>
        </is>
      </c>
      <c r="G212" s="38" t="inlineStr">
        <is>
          <t>682</t>
        </is>
      </c>
      <c r="H212" s="38" t="inlineStr">
        <is>
          <t>1</t>
        </is>
      </c>
    </row>
    <row r="213" ht="15" customHeight="1" s="39">
      <c r="A213" s="42" t="inlineStr">
        <is>
          <t>250680</t>
        </is>
      </c>
      <c r="B213" s="38" t="inlineStr">
        <is>
          <t>Castellnou de Seana</t>
        </is>
      </c>
      <c r="C213" s="38" t="inlineStr">
        <is>
          <t>279</t>
        </is>
      </c>
      <c r="D213" s="38" t="inlineStr">
        <is>
          <t>126</t>
        </is>
      </c>
      <c r="E213" s="38" t="inlineStr">
        <is>
          <t>405</t>
        </is>
      </c>
      <c r="F213" s="38" t="inlineStr">
        <is>
          <t>0</t>
        </is>
      </c>
      <c r="G213" s="38" t="inlineStr">
        <is>
          <t>405</t>
        </is>
      </c>
      <c r="H213" s="38" t="inlineStr">
        <is>
          <t>0</t>
        </is>
      </c>
    </row>
    <row r="214" ht="15" customHeight="1" s="39">
      <c r="A214" s="42" t="inlineStr">
        <is>
          <t>170470</t>
        </is>
      </c>
      <c r="B214" s="38" t="inlineStr">
        <is>
          <t>Castelló d'Empúries</t>
        </is>
      </c>
      <c r="C214" s="38" t="inlineStr">
        <is>
          <t>4660</t>
        </is>
      </c>
      <c r="D214" s="38" t="inlineStr">
        <is>
          <t>11703</t>
        </is>
      </c>
      <c r="E214" s="38" t="inlineStr">
        <is>
          <t>16363</t>
        </is>
      </c>
      <c r="F214" s="38" t="inlineStr">
        <is>
          <t>2</t>
        </is>
      </c>
      <c r="G214" s="38" t="inlineStr">
        <is>
          <t>16365</t>
        </is>
      </c>
      <c r="H214" s="38" t="inlineStr">
        <is>
          <t>19</t>
        </is>
      </c>
    </row>
    <row r="215" ht="15" customHeight="1" s="39">
      <c r="A215" s="42" t="inlineStr">
        <is>
          <t>250693</t>
        </is>
      </c>
      <c r="B215" s="38" t="inlineStr">
        <is>
          <t>Castelló de Farfanya</t>
        </is>
      </c>
      <c r="C215" s="38" t="inlineStr">
        <is>
          <t>212</t>
        </is>
      </c>
      <c r="D215" s="38" t="inlineStr">
        <is>
          <t>198</t>
        </is>
      </c>
      <c r="E215" s="38" t="inlineStr">
        <is>
          <t>410</t>
        </is>
      </c>
      <c r="F215" s="38" t="inlineStr">
        <is>
          <t>0</t>
        </is>
      </c>
      <c r="G215" s="38" t="inlineStr">
        <is>
          <t>410</t>
        </is>
      </c>
      <c r="H215" s="38" t="inlineStr">
        <is>
          <t>0</t>
        </is>
      </c>
    </row>
    <row r="216" ht="15" customHeight="1" s="39">
      <c r="A216" s="42" t="inlineStr">
        <is>
          <t>080636</t>
        </is>
      </c>
      <c r="B216" s="38" t="inlineStr">
        <is>
          <t>Castellolí</t>
        </is>
      </c>
      <c r="C216" s="38" t="inlineStr">
        <is>
          <t>232</t>
        </is>
      </c>
      <c r="D216" s="38" t="inlineStr">
        <is>
          <t>73</t>
        </is>
      </c>
      <c r="E216" s="38" t="inlineStr">
        <is>
          <t>305</t>
        </is>
      </c>
      <c r="F216" s="38" t="inlineStr">
        <is>
          <t>0</t>
        </is>
      </c>
      <c r="G216" s="38" t="inlineStr">
        <is>
          <t>305</t>
        </is>
      </c>
      <c r="H216" s="38" t="inlineStr">
        <is>
          <t>0</t>
        </is>
      </c>
    </row>
    <row r="217" ht="15" customHeight="1" s="39">
      <c r="A217" s="42" t="inlineStr">
        <is>
          <t>250707</t>
        </is>
      </c>
      <c r="B217" s="38" t="inlineStr">
        <is>
          <t>Castellserà</t>
        </is>
      </c>
      <c r="C217" s="38" t="inlineStr">
        <is>
          <t>387</t>
        </is>
      </c>
      <c r="D217" s="38" t="inlineStr">
        <is>
          <t>196</t>
        </is>
      </c>
      <c r="E217" s="38" t="inlineStr">
        <is>
          <t>583</t>
        </is>
      </c>
      <c r="F217" s="38" t="inlineStr">
        <is>
          <t>0</t>
        </is>
      </c>
      <c r="G217" s="38" t="inlineStr">
        <is>
          <t>583</t>
        </is>
      </c>
      <c r="H217" s="38" t="inlineStr">
        <is>
          <t>0</t>
        </is>
      </c>
    </row>
    <row r="218" ht="15" customHeight="1" s="39">
      <c r="A218" s="42" t="inlineStr">
        <is>
          <t>080641</t>
        </is>
      </c>
      <c r="B218" s="38" t="inlineStr">
        <is>
          <t>Castellterçol</t>
        </is>
      </c>
      <c r="C218" s="38" t="inlineStr">
        <is>
          <t>1038</t>
        </is>
      </c>
      <c r="D218" s="38" t="inlineStr">
        <is>
          <t>569</t>
        </is>
      </c>
      <c r="E218" s="38" t="inlineStr">
        <is>
          <t>1607</t>
        </is>
      </c>
      <c r="F218" s="38" t="inlineStr">
        <is>
          <t>0</t>
        </is>
      </c>
      <c r="G218" s="38" t="inlineStr">
        <is>
          <t>1607</t>
        </is>
      </c>
      <c r="H218" s="38" t="inlineStr">
        <is>
          <t>2</t>
        </is>
      </c>
    </row>
    <row r="219" ht="15" customHeight="1" s="39">
      <c r="A219" s="42" t="inlineStr">
        <is>
          <t>430424</t>
        </is>
      </c>
      <c r="B219" s="38" t="inlineStr">
        <is>
          <t>Castellvell del Camp</t>
        </is>
      </c>
      <c r="C219" s="38" t="inlineStr">
        <is>
          <t>960</t>
        </is>
      </c>
      <c r="D219" s="38" t="inlineStr">
        <is>
          <t>243</t>
        </is>
      </c>
      <c r="E219" s="38" t="inlineStr">
        <is>
          <t>1203</t>
        </is>
      </c>
      <c r="F219" s="38" t="inlineStr">
        <is>
          <t>0</t>
        </is>
      </c>
      <c r="G219" s="38" t="inlineStr">
        <is>
          <t>1203</t>
        </is>
      </c>
      <c r="H219" s="38" t="inlineStr">
        <is>
          <t>0</t>
        </is>
      </c>
    </row>
    <row r="220" ht="15" customHeight="1" s="39">
      <c r="A220" s="42" t="inlineStr">
        <is>
          <t>080654</t>
        </is>
      </c>
      <c r="B220" s="38" t="inlineStr">
        <is>
          <t>Castellví de la Marca</t>
        </is>
      </c>
      <c r="C220" s="38" t="inlineStr">
        <is>
          <t>587</t>
        </is>
      </c>
      <c r="D220" s="38" t="inlineStr">
        <is>
          <t>239</t>
        </is>
      </c>
      <c r="E220" s="38" t="inlineStr">
        <is>
          <t>826</t>
        </is>
      </c>
      <c r="F220" s="38" t="inlineStr">
        <is>
          <t>0</t>
        </is>
      </c>
      <c r="G220" s="38" t="inlineStr">
        <is>
          <t>826</t>
        </is>
      </c>
      <c r="H220" s="38" t="inlineStr">
        <is>
          <t>0</t>
        </is>
      </c>
    </row>
    <row r="221" ht="15" customHeight="1" s="39">
      <c r="A221" s="42" t="inlineStr">
        <is>
          <t>080667</t>
        </is>
      </c>
      <c r="B221" s="38" t="inlineStr">
        <is>
          <t>Castellví de Rosanes</t>
        </is>
      </c>
      <c r="C221" s="38" t="inlineStr">
        <is>
          <t>664</t>
        </is>
      </c>
      <c r="D221" s="38" t="inlineStr">
        <is>
          <t>213</t>
        </is>
      </c>
      <c r="E221" s="38" t="inlineStr">
        <is>
          <t>877</t>
        </is>
      </c>
      <c r="F221" s="38" t="inlineStr">
        <is>
          <t>0</t>
        </is>
      </c>
      <c r="G221" s="38" t="inlineStr">
        <is>
          <t>877</t>
        </is>
      </c>
      <c r="H221" s="38" t="inlineStr">
        <is>
          <t>3</t>
        </is>
      </c>
    </row>
    <row r="222" ht="15" customHeight="1" s="39">
      <c r="A222" s="42" t="inlineStr">
        <is>
          <t>430430</t>
        </is>
      </c>
      <c r="B222" s="38" t="inlineStr">
        <is>
          <t>Catllar, el</t>
        </is>
      </c>
      <c r="C222" s="38" t="inlineStr">
        <is>
          <t>1744</t>
        </is>
      </c>
      <c r="D222" s="38" t="inlineStr">
        <is>
          <t>981</t>
        </is>
      </c>
      <c r="E222" s="38" t="inlineStr">
        <is>
          <t>2725</t>
        </is>
      </c>
      <c r="F222" s="38" t="inlineStr">
        <is>
          <t>0</t>
        </is>
      </c>
      <c r="G222" s="38" t="inlineStr">
        <is>
          <t>2725</t>
        </is>
      </c>
      <c r="H222" s="38" t="inlineStr">
        <is>
          <t>0</t>
        </is>
      </c>
    </row>
    <row r="223" ht="15" customHeight="1" s="39">
      <c r="A223" s="42" t="inlineStr">
        <is>
          <t>250714</t>
        </is>
      </c>
      <c r="B223" s="38" t="inlineStr">
        <is>
          <t>Cava</t>
        </is>
      </c>
      <c r="C223" s="38" t="inlineStr">
        <is>
          <t>26</t>
        </is>
      </c>
      <c r="D223" s="38" t="inlineStr">
        <is>
          <t>74</t>
        </is>
      </c>
      <c r="E223" s="38" t="inlineStr">
        <is>
          <t>100</t>
        </is>
      </c>
      <c r="F223" s="38" t="inlineStr">
        <is>
          <t>0</t>
        </is>
      </c>
      <c r="G223" s="38" t="inlineStr">
        <is>
          <t>100</t>
        </is>
      </c>
      <c r="H223" s="38" t="inlineStr">
        <is>
          <t>0</t>
        </is>
      </c>
    </row>
    <row r="224" ht="15" customHeight="1" s="39">
      <c r="A224" s="42" t="inlineStr">
        <is>
          <t>171899</t>
        </is>
      </c>
      <c r="B224" s="38" t="inlineStr">
        <is>
          <t>Cellera de Ter, la</t>
        </is>
      </c>
      <c r="C224" s="38" t="inlineStr">
        <is>
          <t>741</t>
        </is>
      </c>
      <c r="D224" s="38" t="inlineStr">
        <is>
          <t>199</t>
        </is>
      </c>
      <c r="E224" s="38" t="inlineStr">
        <is>
          <t>940</t>
        </is>
      </c>
      <c r="F224" s="38" t="inlineStr">
        <is>
          <t>0</t>
        </is>
      </c>
      <c r="G224" s="38" t="inlineStr">
        <is>
          <t>940</t>
        </is>
      </c>
      <c r="H224" s="38" t="inlineStr">
        <is>
          <t>0</t>
        </is>
      </c>
    </row>
    <row r="225" ht="15" customHeight="1" s="39">
      <c r="A225" s="42" t="inlineStr">
        <is>
          <t>170499</t>
        </is>
      </c>
      <c r="B225" s="38" t="inlineStr">
        <is>
          <t>Celrà</t>
        </is>
      </c>
      <c r="C225" s="38" t="inlineStr">
        <is>
          <t>1846</t>
        </is>
      </c>
      <c r="D225" s="38" t="inlineStr">
        <is>
          <t>315</t>
        </is>
      </c>
      <c r="E225" s="38" t="inlineStr">
        <is>
          <t>2161</t>
        </is>
      </c>
      <c r="F225" s="38" t="inlineStr">
        <is>
          <t>0</t>
        </is>
      </c>
      <c r="G225" s="38" t="inlineStr">
        <is>
          <t>2161</t>
        </is>
      </c>
      <c r="H225" s="38" t="inlineStr">
        <is>
          <t>1</t>
        </is>
      </c>
    </row>
    <row r="226" ht="15" customHeight="1" s="39">
      <c r="A226" s="42" t="inlineStr">
        <is>
          <t>080673</t>
        </is>
      </c>
      <c r="B226" s="38" t="inlineStr">
        <is>
          <t>Centelles</t>
        </is>
      </c>
      <c r="C226" s="38" t="inlineStr">
        <is>
          <t>2952</t>
        </is>
      </c>
      <c r="D226" s="38" t="inlineStr">
        <is>
          <t>749</t>
        </is>
      </c>
      <c r="E226" s="38" t="inlineStr">
        <is>
          <t>3701</t>
        </is>
      </c>
      <c r="F226" s="38" t="inlineStr">
        <is>
          <t>0</t>
        </is>
      </c>
      <c r="G226" s="38" t="inlineStr">
        <is>
          <t>3701</t>
        </is>
      </c>
      <c r="H226" s="38" t="inlineStr">
        <is>
          <t>1</t>
        </is>
      </c>
    </row>
    <row r="227" ht="15" customHeight="1" s="39">
      <c r="A227" s="42" t="inlineStr">
        <is>
          <t>082687</t>
        </is>
      </c>
      <c r="B227" s="38" t="inlineStr">
        <is>
          <t>Cercs</t>
        </is>
      </c>
      <c r="C227" s="38" t="inlineStr">
        <is>
          <t>517</t>
        </is>
      </c>
      <c r="D227" s="38" t="inlineStr">
        <is>
          <t>578</t>
        </is>
      </c>
      <c r="E227" s="38" t="inlineStr">
        <is>
          <t>1095</t>
        </is>
      </c>
      <c r="F227" s="38" t="inlineStr">
        <is>
          <t>0</t>
        </is>
      </c>
      <c r="G227" s="38" t="inlineStr">
        <is>
          <t>1095</t>
        </is>
      </c>
      <c r="H227" s="38" t="inlineStr">
        <is>
          <t>0</t>
        </is>
      </c>
    </row>
    <row r="228" ht="15" customHeight="1" s="39">
      <c r="A228" s="42" t="inlineStr">
        <is>
          <t>082665</t>
        </is>
      </c>
      <c r="B228" s="38" t="inlineStr">
        <is>
          <t>Cerdanyola del Vallès</t>
        </is>
      </c>
      <c r="C228" s="38" t="inlineStr">
        <is>
          <t>21726</t>
        </is>
      </c>
      <c r="D228" s="38" t="inlineStr">
        <is>
          <t>2132</t>
        </is>
      </c>
      <c r="E228" s="38" t="inlineStr">
        <is>
          <t>23858</t>
        </is>
      </c>
      <c r="F228" s="38" t="inlineStr">
        <is>
          <t>0</t>
        </is>
      </c>
      <c r="G228" s="38" t="inlineStr">
        <is>
          <t>23858</t>
        </is>
      </c>
      <c r="H228" s="38" t="inlineStr">
        <is>
          <t>45</t>
        </is>
      </c>
    </row>
    <row r="229" ht="15" customHeight="1" s="39">
      <c r="A229" s="42" t="inlineStr">
        <is>
          <t>080689</t>
        </is>
      </c>
      <c r="B229" s="38" t="inlineStr">
        <is>
          <t>Cervelló</t>
        </is>
      </c>
      <c r="C229" s="38" t="inlineStr">
        <is>
          <t>3289</t>
        </is>
      </c>
      <c r="D229" s="38" t="inlineStr">
        <is>
          <t>759</t>
        </is>
      </c>
      <c r="E229" s="38" t="inlineStr">
        <is>
          <t>4048</t>
        </is>
      </c>
      <c r="F229" s="38" t="inlineStr">
        <is>
          <t>0</t>
        </is>
      </c>
      <c r="G229" s="38" t="inlineStr">
        <is>
          <t>4048</t>
        </is>
      </c>
      <c r="H229" s="38" t="inlineStr">
        <is>
          <t>3</t>
        </is>
      </c>
    </row>
    <row r="230" ht="15" customHeight="1" s="39">
      <c r="A230" s="42" t="inlineStr">
        <is>
          <t>250729</t>
        </is>
      </c>
      <c r="B230" s="38" t="inlineStr">
        <is>
          <t>Cervera</t>
        </is>
      </c>
      <c r="C230" s="38" t="inlineStr">
        <is>
          <t>3468</t>
        </is>
      </c>
      <c r="D230" s="38" t="inlineStr">
        <is>
          <t>1201</t>
        </is>
      </c>
      <c r="E230" s="38" t="inlineStr">
        <is>
          <t>4669</t>
        </is>
      </c>
      <c r="F230" s="38" t="inlineStr">
        <is>
          <t>0</t>
        </is>
      </c>
      <c r="G230" s="38" t="inlineStr">
        <is>
          <t>4669</t>
        </is>
      </c>
      <c r="H230" s="38" t="inlineStr">
        <is>
          <t>3</t>
        </is>
      </c>
    </row>
    <row r="231" ht="15" customHeight="1" s="39">
      <c r="A231" s="42" t="inlineStr">
        <is>
          <t>250735</t>
        </is>
      </c>
      <c r="B231" s="38" t="inlineStr">
        <is>
          <t>Cervià de les Garrigues</t>
        </is>
      </c>
      <c r="C231" s="38" t="inlineStr">
        <is>
          <t>291</t>
        </is>
      </c>
      <c r="D231" s="38" t="inlineStr">
        <is>
          <t>336</t>
        </is>
      </c>
      <c r="E231" s="38" t="inlineStr">
        <is>
          <t>627</t>
        </is>
      </c>
      <c r="F231" s="38" t="inlineStr">
        <is>
          <t>0</t>
        </is>
      </c>
      <c r="G231" s="38" t="inlineStr">
        <is>
          <t>627</t>
        </is>
      </c>
      <c r="H231" s="38" t="inlineStr">
        <is>
          <t>0</t>
        </is>
      </c>
    </row>
    <row r="232" ht="15" customHeight="1" s="39">
      <c r="A232" s="42" t="inlineStr">
        <is>
          <t>170502</t>
        </is>
      </c>
      <c r="B232" s="38" t="inlineStr">
        <is>
          <t>Cervià de Ter</t>
        </is>
      </c>
      <c r="C232" s="38" t="inlineStr">
        <is>
          <t>329</t>
        </is>
      </c>
      <c r="D232" s="38" t="inlineStr">
        <is>
          <t>111</t>
        </is>
      </c>
      <c r="E232" s="38" t="inlineStr">
        <is>
          <t>440</t>
        </is>
      </c>
      <c r="F232" s="38" t="inlineStr">
        <is>
          <t>0</t>
        </is>
      </c>
      <c r="G232" s="38" t="inlineStr">
        <is>
          <t>440</t>
        </is>
      </c>
      <c r="H232" s="38" t="inlineStr">
        <is>
          <t>0</t>
        </is>
      </c>
    </row>
    <row r="233" ht="15" customHeight="1" s="39">
      <c r="A233" s="42" t="inlineStr">
        <is>
          <t>170519</t>
        </is>
      </c>
      <c r="B233" s="38" t="inlineStr">
        <is>
          <t>Cistella</t>
        </is>
      </c>
      <c r="C233" s="38" t="inlineStr">
        <is>
          <t>114</t>
        </is>
      </c>
      <c r="D233" s="38" t="inlineStr">
        <is>
          <t>73</t>
        </is>
      </c>
      <c r="E233" s="38" t="inlineStr">
        <is>
          <t>187</t>
        </is>
      </c>
      <c r="F233" s="38" t="inlineStr">
        <is>
          <t>0</t>
        </is>
      </c>
      <c r="G233" s="38" t="inlineStr">
        <is>
          <t>187</t>
        </is>
      </c>
      <c r="H233" s="38" t="inlineStr">
        <is>
          <t>0</t>
        </is>
      </c>
    </row>
    <row r="234" ht="15" customHeight="1" s="39">
      <c r="A234" s="42" t="inlineStr">
        <is>
          <t>250740</t>
        </is>
      </c>
      <c r="B234" s="38" t="inlineStr">
        <is>
          <t>Ciutadilla</t>
        </is>
      </c>
      <c r="C234" s="38" t="inlineStr">
        <is>
          <t>73</t>
        </is>
      </c>
      <c r="D234" s="38" t="inlineStr">
        <is>
          <t>166</t>
        </is>
      </c>
      <c r="E234" s="38" t="inlineStr">
        <is>
          <t>239</t>
        </is>
      </c>
      <c r="F234" s="38" t="inlineStr">
        <is>
          <t>0</t>
        </is>
      </c>
      <c r="G234" s="38" t="inlineStr">
        <is>
          <t>239</t>
        </is>
      </c>
      <c r="H234" s="38" t="inlineStr">
        <is>
          <t>0</t>
        </is>
      </c>
    </row>
    <row r="235" ht="15" customHeight="1" s="39">
      <c r="A235" s="42" t="inlineStr">
        <is>
          <t>250753</t>
        </is>
      </c>
      <c r="B235" s="38" t="inlineStr">
        <is>
          <t>Clariana de Cardener</t>
        </is>
      </c>
      <c r="C235" s="38" t="inlineStr">
        <is>
          <t>48</t>
        </is>
      </c>
      <c r="D235" s="38" t="inlineStr">
        <is>
          <t>35</t>
        </is>
      </c>
      <c r="E235" s="38" t="inlineStr">
        <is>
          <t>83</t>
        </is>
      </c>
      <c r="F235" s="38" t="inlineStr">
        <is>
          <t>0</t>
        </is>
      </c>
      <c r="G235" s="38" t="inlineStr">
        <is>
          <t>83</t>
        </is>
      </c>
      <c r="H235" s="38" t="inlineStr">
        <is>
          <t>0</t>
        </is>
      </c>
    </row>
    <row r="236" ht="15" customHeight="1" s="39">
      <c r="A236" s="42" t="inlineStr">
        <is>
          <t>250766</t>
        </is>
      </c>
      <c r="B236" s="38" t="inlineStr">
        <is>
          <t>Cogul, el</t>
        </is>
      </c>
      <c r="C236" s="38" t="inlineStr">
        <is>
          <t>66</t>
        </is>
      </c>
      <c r="D236" s="38" t="inlineStr">
        <is>
          <t>64</t>
        </is>
      </c>
      <c r="E236" s="38" t="inlineStr">
        <is>
          <t>130</t>
        </is>
      </c>
      <c r="F236" s="38" t="inlineStr">
        <is>
          <t>0</t>
        </is>
      </c>
      <c r="G236" s="38" t="inlineStr">
        <is>
          <t>130</t>
        </is>
      </c>
      <c r="H236" s="38" t="inlineStr">
        <is>
          <t>0</t>
        </is>
      </c>
    </row>
    <row r="237" ht="15" customHeight="1" s="39">
      <c r="A237" s="42" t="inlineStr">
        <is>
          <t>170545</t>
        </is>
      </c>
      <c r="B237" s="38" t="inlineStr">
        <is>
          <t>Colera</t>
        </is>
      </c>
      <c r="C237" s="38" t="inlineStr">
        <is>
          <t>230</t>
        </is>
      </c>
      <c r="D237" s="38" t="inlineStr">
        <is>
          <t>758</t>
        </is>
      </c>
      <c r="E237" s="38" t="inlineStr">
        <is>
          <t>988</t>
        </is>
      </c>
      <c r="F237" s="38" t="inlineStr">
        <is>
          <t>0</t>
        </is>
      </c>
      <c r="G237" s="38" t="inlineStr">
        <is>
          <t>988</t>
        </is>
      </c>
      <c r="H237" s="38" t="inlineStr">
        <is>
          <t>0</t>
        </is>
      </c>
    </row>
    <row r="238" ht="15" customHeight="1" s="39">
      <c r="A238" s="42" t="inlineStr">
        <is>
          <t>250772</t>
        </is>
      </c>
      <c r="B238" s="38" t="inlineStr">
        <is>
          <t>Coll de Nargó</t>
        </is>
      </c>
      <c r="C238" s="38" t="inlineStr">
        <is>
          <t>229</t>
        </is>
      </c>
      <c r="D238" s="38" t="inlineStr">
        <is>
          <t>330</t>
        </is>
      </c>
      <c r="E238" s="38" t="inlineStr">
        <is>
          <t>559</t>
        </is>
      </c>
      <c r="F238" s="38" t="inlineStr">
        <is>
          <t>0</t>
        </is>
      </c>
      <c r="G238" s="38" t="inlineStr">
        <is>
          <t>559</t>
        </is>
      </c>
      <c r="H238" s="38" t="inlineStr">
        <is>
          <t>0</t>
        </is>
      </c>
    </row>
    <row r="239" ht="15" customHeight="1" s="39">
      <c r="A239" s="42" t="inlineStr">
        <is>
          <t>080692</t>
        </is>
      </c>
      <c r="B239" s="38" t="inlineStr">
        <is>
          <t>Collbató</t>
        </is>
      </c>
      <c r="C239" s="38" t="inlineStr">
        <is>
          <t>1607</t>
        </is>
      </c>
      <c r="D239" s="38" t="inlineStr">
        <is>
          <t>364</t>
        </is>
      </c>
      <c r="E239" s="38" t="inlineStr">
        <is>
          <t>1971</t>
        </is>
      </c>
      <c r="F239" s="38" t="inlineStr">
        <is>
          <t>0</t>
        </is>
      </c>
      <c r="G239" s="38" t="inlineStr">
        <is>
          <t>1971</t>
        </is>
      </c>
      <c r="H239" s="38" t="inlineStr">
        <is>
          <t>4</t>
        </is>
      </c>
    </row>
    <row r="240" ht="15" customHeight="1" s="39">
      <c r="A240" s="42" t="inlineStr">
        <is>
          <t>430458</t>
        </is>
      </c>
      <c r="B240" s="38" t="inlineStr">
        <is>
          <t>Colldejou</t>
        </is>
      </c>
      <c r="C240" s="38" t="inlineStr">
        <is>
          <t>64</t>
        </is>
      </c>
      <c r="D240" s="38" t="inlineStr">
        <is>
          <t>54</t>
        </is>
      </c>
      <c r="E240" s="38" t="inlineStr">
        <is>
          <t>118</t>
        </is>
      </c>
      <c r="F240" s="38" t="inlineStr">
        <is>
          <t>0</t>
        </is>
      </c>
      <c r="G240" s="38" t="inlineStr">
        <is>
          <t>118</t>
        </is>
      </c>
      <c r="H240" s="38" t="inlineStr">
        <is>
          <t>0</t>
        </is>
      </c>
    </row>
    <row r="241" ht="15" customHeight="1" s="39">
      <c r="A241" s="42" t="inlineStr">
        <is>
          <t>080706</t>
        </is>
      </c>
      <c r="B241" s="38" t="inlineStr">
        <is>
          <t>Collsuspina</t>
        </is>
      </c>
      <c r="C241" s="38" t="inlineStr">
        <is>
          <t>139</t>
        </is>
      </c>
      <c r="D241" s="38" t="inlineStr">
        <is>
          <t>67</t>
        </is>
      </c>
      <c r="E241" s="38" t="inlineStr">
        <is>
          <t>206</t>
        </is>
      </c>
      <c r="F241" s="38" t="inlineStr">
        <is>
          <t>0</t>
        </is>
      </c>
      <c r="G241" s="38" t="inlineStr">
        <is>
          <t>206</t>
        </is>
      </c>
      <c r="H241" s="38" t="inlineStr">
        <is>
          <t>0</t>
        </is>
      </c>
    </row>
    <row r="242" ht="15" customHeight="1" s="39">
      <c r="A242" s="42" t="inlineStr">
        <is>
          <t>170558</t>
        </is>
      </c>
      <c r="B242" s="38" t="inlineStr">
        <is>
          <t>Colomers</t>
        </is>
      </c>
      <c r="C242" s="38" t="inlineStr">
        <is>
          <t>84</t>
        </is>
      </c>
      <c r="D242" s="38" t="inlineStr">
        <is>
          <t>68</t>
        </is>
      </c>
      <c r="E242" s="38" t="inlineStr">
        <is>
          <t>152</t>
        </is>
      </c>
      <c r="F242" s="38" t="inlineStr">
        <is>
          <t>0</t>
        </is>
      </c>
      <c r="G242" s="38" t="inlineStr">
        <is>
          <t>152</t>
        </is>
      </c>
      <c r="H242" s="38" t="inlineStr">
        <is>
          <t>0</t>
        </is>
      </c>
    </row>
    <row r="243" ht="15" customHeight="1" s="39">
      <c r="A243" s="42" t="inlineStr">
        <is>
          <t>251636</t>
        </is>
      </c>
      <c r="B243" s="38" t="inlineStr">
        <is>
          <t>Coma i la Pedra, la</t>
        </is>
      </c>
      <c r="C243" s="38" t="inlineStr">
        <is>
          <t>133</t>
        </is>
      </c>
      <c r="D243" s="38" t="inlineStr">
        <is>
          <t>750</t>
        </is>
      </c>
      <c r="E243" s="38" t="inlineStr">
        <is>
          <t>883</t>
        </is>
      </c>
      <c r="F243" s="38" t="inlineStr">
        <is>
          <t>0</t>
        </is>
      </c>
      <c r="G243" s="38" t="inlineStr">
        <is>
          <t>883</t>
        </is>
      </c>
      <c r="H243" s="38" t="inlineStr">
        <is>
          <t>0</t>
        </is>
      </c>
    </row>
    <row r="244" ht="15" customHeight="1" s="39">
      <c r="A244" s="42" t="inlineStr">
        <is>
          <t>251615</t>
        </is>
      </c>
      <c r="B244" s="38" t="inlineStr">
        <is>
          <t>Conca de Dalt</t>
        </is>
      </c>
      <c r="C244" s="38" t="inlineStr">
        <is>
          <t>188</t>
        </is>
      </c>
      <c r="D244" s="38" t="inlineStr">
        <is>
          <t>342</t>
        </is>
      </c>
      <c r="E244" s="38" t="inlineStr">
        <is>
          <t>530</t>
        </is>
      </c>
      <c r="F244" s="38" t="inlineStr">
        <is>
          <t>0</t>
        </is>
      </c>
      <c r="G244" s="38" t="inlineStr">
        <is>
          <t>530</t>
        </is>
      </c>
      <c r="H244" s="38" t="inlineStr">
        <is>
          <t>0</t>
        </is>
      </c>
    </row>
    <row r="245" ht="15" customHeight="1" s="39">
      <c r="A245" s="42" t="inlineStr">
        <is>
          <t>430461</t>
        </is>
      </c>
      <c r="B245" s="38" t="inlineStr">
        <is>
          <t>Conesa</t>
        </is>
      </c>
      <c r="C245" s="38" t="inlineStr">
        <is>
          <t>49</t>
        </is>
      </c>
      <c r="D245" s="38" t="inlineStr">
        <is>
          <t>119</t>
        </is>
      </c>
      <c r="E245" s="38" t="inlineStr">
        <is>
          <t>168</t>
        </is>
      </c>
      <c r="F245" s="38" t="inlineStr">
        <is>
          <t>0</t>
        </is>
      </c>
      <c r="G245" s="38" t="inlineStr">
        <is>
          <t>168</t>
        </is>
      </c>
      <c r="H245" s="38" t="inlineStr">
        <is>
          <t>0</t>
        </is>
      </c>
    </row>
    <row r="246" ht="15" customHeight="1" s="39">
      <c r="A246" s="42" t="inlineStr">
        <is>
          <t>430477</t>
        </is>
      </c>
      <c r="B246" s="38" t="inlineStr">
        <is>
          <t>Constantí</t>
        </is>
      </c>
      <c r="C246" s="38" t="inlineStr">
        <is>
          <t>2436</t>
        </is>
      </c>
      <c r="D246" s="38" t="inlineStr">
        <is>
          <t>796</t>
        </is>
      </c>
      <c r="E246" s="38" t="inlineStr">
        <is>
          <t>3232</t>
        </is>
      </c>
      <c r="F246" s="38" t="inlineStr">
        <is>
          <t>0</t>
        </is>
      </c>
      <c r="G246" s="38" t="inlineStr">
        <is>
          <t>3232</t>
        </is>
      </c>
      <c r="H246" s="38" t="inlineStr">
        <is>
          <t>0</t>
        </is>
      </c>
    </row>
    <row r="247" ht="15" customHeight="1" s="39">
      <c r="A247" s="42" t="inlineStr">
        <is>
          <t>080713</t>
        </is>
      </c>
      <c r="B247" s="38" t="inlineStr">
        <is>
          <t>Copons</t>
        </is>
      </c>
      <c r="C247" s="38" t="inlineStr">
        <is>
          <t>118</t>
        </is>
      </c>
      <c r="D247" s="38" t="inlineStr">
        <is>
          <t>87</t>
        </is>
      </c>
      <c r="E247" s="38" t="inlineStr">
        <is>
          <t>205</t>
        </is>
      </c>
      <c r="F247" s="38" t="inlineStr">
        <is>
          <t>0</t>
        </is>
      </c>
      <c r="G247" s="38" t="inlineStr">
        <is>
          <t>205</t>
        </is>
      </c>
      <c r="H247" s="38" t="inlineStr">
        <is>
          <t>0</t>
        </is>
      </c>
    </row>
    <row r="248" ht="15" customHeight="1" s="39">
      <c r="A248" s="42" t="inlineStr">
        <is>
          <t>430483</t>
        </is>
      </c>
      <c r="B248" s="38" t="inlineStr">
        <is>
          <t>Corbera d'Ebre</t>
        </is>
      </c>
      <c r="C248" s="38" t="inlineStr">
        <is>
          <t>368</t>
        </is>
      </c>
      <c r="D248" s="38" t="inlineStr">
        <is>
          <t>126</t>
        </is>
      </c>
      <c r="E248" s="38" t="inlineStr">
        <is>
          <t>494</t>
        </is>
      </c>
      <c r="F248" s="38" t="inlineStr">
        <is>
          <t>0</t>
        </is>
      </c>
      <c r="G248" s="38" t="inlineStr">
        <is>
          <t>494</t>
        </is>
      </c>
      <c r="H248" s="38" t="inlineStr">
        <is>
          <t>0</t>
        </is>
      </c>
    </row>
    <row r="249" ht="15" customHeight="1" s="39">
      <c r="A249" s="42" t="inlineStr">
        <is>
          <t>080728</t>
        </is>
      </c>
      <c r="B249" s="38" t="inlineStr">
        <is>
          <t>Corbera de Llobregat</t>
        </is>
      </c>
      <c r="C249" s="38" t="inlineStr">
        <is>
          <t>5362</t>
        </is>
      </c>
      <c r="D249" s="38" t="inlineStr">
        <is>
          <t>1422</t>
        </is>
      </c>
      <c r="E249" s="38" t="inlineStr">
        <is>
          <t>6784</t>
        </is>
      </c>
      <c r="F249" s="38" t="inlineStr">
        <is>
          <t>0</t>
        </is>
      </c>
      <c r="G249" s="38" t="inlineStr">
        <is>
          <t>6784</t>
        </is>
      </c>
      <c r="H249" s="38" t="inlineStr">
        <is>
          <t>12</t>
        </is>
      </c>
    </row>
    <row r="250" ht="15" customHeight="1" s="39">
      <c r="A250" s="42" t="inlineStr">
        <is>
          <t>250788</t>
        </is>
      </c>
      <c r="B250" s="38" t="inlineStr">
        <is>
          <t>Corbins</t>
        </is>
      </c>
      <c r="C250" s="38" t="inlineStr">
        <is>
          <t>534</t>
        </is>
      </c>
      <c r="D250" s="38" t="inlineStr">
        <is>
          <t>121</t>
        </is>
      </c>
      <c r="E250" s="38" t="inlineStr">
        <is>
          <t>655</t>
        </is>
      </c>
      <c r="F250" s="38" t="inlineStr">
        <is>
          <t>0</t>
        </is>
      </c>
      <c r="G250" s="38" t="inlineStr">
        <is>
          <t>655</t>
        </is>
      </c>
      <c r="H250" s="38" t="inlineStr">
        <is>
          <t>0</t>
        </is>
      </c>
    </row>
    <row r="251" ht="15" customHeight="1" s="39">
      <c r="A251" s="42" t="inlineStr">
        <is>
          <t>170577</t>
        </is>
      </c>
      <c r="B251" s="38" t="inlineStr">
        <is>
          <t>Corçà</t>
        </is>
      </c>
      <c r="C251" s="38" t="inlineStr">
        <is>
          <t>469</t>
        </is>
      </c>
      <c r="D251" s="38" t="inlineStr">
        <is>
          <t>240</t>
        </is>
      </c>
      <c r="E251" s="38" t="inlineStr">
        <is>
          <t>709</t>
        </is>
      </c>
      <c r="F251" s="38" t="inlineStr">
        <is>
          <t>0</t>
        </is>
      </c>
      <c r="G251" s="38" t="inlineStr">
        <is>
          <t>709</t>
        </is>
      </c>
      <c r="H251" s="38" t="inlineStr">
        <is>
          <t>0</t>
        </is>
      </c>
    </row>
    <row r="252" ht="15" customHeight="1" s="39">
      <c r="A252" s="42" t="inlineStr">
        <is>
          <t>080734</t>
        </is>
      </c>
      <c r="B252" s="38" t="inlineStr">
        <is>
          <t>Cornellà de Llobregat</t>
        </is>
      </c>
      <c r="C252" s="38" t="inlineStr">
        <is>
          <t>34517</t>
        </is>
      </c>
      <c r="D252" s="38" t="inlineStr">
        <is>
          <t>2517</t>
        </is>
      </c>
      <c r="E252" s="38" t="inlineStr">
        <is>
          <t>37034</t>
        </is>
      </c>
      <c r="F252" s="38" t="inlineStr">
        <is>
          <t>0</t>
        </is>
      </c>
      <c r="G252" s="38" t="inlineStr">
        <is>
          <t>37034</t>
        </is>
      </c>
      <c r="H252" s="38" t="inlineStr">
        <is>
          <t>30</t>
        </is>
      </c>
    </row>
    <row r="253" ht="15" customHeight="1" s="39">
      <c r="A253" s="42" t="inlineStr">
        <is>
          <t>170561</t>
        </is>
      </c>
      <c r="B253" s="38" t="inlineStr">
        <is>
          <t>Cornellà del Terri</t>
        </is>
      </c>
      <c r="C253" s="38" t="inlineStr">
        <is>
          <t>825</t>
        </is>
      </c>
      <c r="D253" s="38" t="inlineStr">
        <is>
          <t>222</t>
        </is>
      </c>
      <c r="E253" s="38" t="inlineStr">
        <is>
          <t>1047</t>
        </is>
      </c>
      <c r="F253" s="38" t="inlineStr">
        <is>
          <t>0</t>
        </is>
      </c>
      <c r="G253" s="38" t="inlineStr">
        <is>
          <t>1047</t>
        </is>
      </c>
      <c r="H253" s="38" t="inlineStr">
        <is>
          <t>1</t>
        </is>
      </c>
    </row>
    <row r="254" ht="15" customHeight="1" s="39">
      <c r="A254" s="42" t="inlineStr">
        <is>
          <t>430496</t>
        </is>
      </c>
      <c r="B254" s="38" t="inlineStr">
        <is>
          <t>Cornudella de Montsant</t>
        </is>
      </c>
      <c r="C254" s="38" t="inlineStr">
        <is>
          <t>439</t>
        </is>
      </c>
      <c r="D254" s="38" t="inlineStr">
        <is>
          <t>391</t>
        </is>
      </c>
      <c r="E254" s="38" t="inlineStr">
        <is>
          <t>830</t>
        </is>
      </c>
      <c r="F254" s="38" t="inlineStr">
        <is>
          <t>0</t>
        </is>
      </c>
      <c r="G254" s="38" t="inlineStr">
        <is>
          <t>830</t>
        </is>
      </c>
      <c r="H254" s="38" t="inlineStr">
        <is>
          <t>0</t>
        </is>
      </c>
    </row>
    <row r="255" ht="15" customHeight="1" s="39">
      <c r="A255" s="42" t="inlineStr">
        <is>
          <t>430509</t>
        </is>
      </c>
      <c r="B255" s="38" t="inlineStr">
        <is>
          <t>Creixell</t>
        </is>
      </c>
      <c r="C255" s="38" t="inlineStr">
        <is>
          <t>1627</t>
        </is>
      </c>
      <c r="D255" s="38" t="inlineStr">
        <is>
          <t>2422</t>
        </is>
      </c>
      <c r="E255" s="38" t="inlineStr">
        <is>
          <t>4049</t>
        </is>
      </c>
      <c r="F255" s="38" t="inlineStr">
        <is>
          <t>0</t>
        </is>
      </c>
      <c r="G255" s="38" t="inlineStr">
        <is>
          <t>4049</t>
        </is>
      </c>
      <c r="H255" s="38" t="inlineStr">
        <is>
          <t>2</t>
        </is>
      </c>
    </row>
    <row r="256" ht="15" customHeight="1" s="39">
      <c r="A256" s="42" t="inlineStr">
        <is>
          <t>170583</t>
        </is>
      </c>
      <c r="B256" s="38" t="inlineStr">
        <is>
          <t>Crespià</t>
        </is>
      </c>
      <c r="C256" s="38" t="inlineStr">
        <is>
          <t>98</t>
        </is>
      </c>
      <c r="D256" s="38" t="inlineStr">
        <is>
          <t>51</t>
        </is>
      </c>
      <c r="E256" s="38" t="inlineStr">
        <is>
          <t>149</t>
        </is>
      </c>
      <c r="F256" s="38" t="inlineStr">
        <is>
          <t>0</t>
        </is>
      </c>
      <c r="G256" s="38" t="inlineStr">
        <is>
          <t>149</t>
        </is>
      </c>
      <c r="H256" s="38" t="inlineStr">
        <is>
          <t>0</t>
        </is>
      </c>
    </row>
    <row r="257" ht="15" customHeight="1" s="39">
      <c r="A257" s="42" t="inlineStr">
        <is>
          <t>179011</t>
        </is>
      </c>
      <c r="B257" s="38" t="inlineStr">
        <is>
          <t>Cruïlles, Monells i Sant Sadurní de l'Heura</t>
        </is>
      </c>
      <c r="C257" s="38" t="inlineStr">
        <is>
          <t>487</t>
        </is>
      </c>
      <c r="D257" s="38" t="inlineStr">
        <is>
          <t>295</t>
        </is>
      </c>
      <c r="E257" s="38" t="inlineStr">
        <is>
          <t>782</t>
        </is>
      </c>
      <c r="F257" s="38" t="inlineStr">
        <is>
          <t>0</t>
        </is>
      </c>
      <c r="G257" s="38" t="inlineStr">
        <is>
          <t>782</t>
        </is>
      </c>
      <c r="H257" s="38" t="inlineStr">
        <is>
          <t>1</t>
        </is>
      </c>
    </row>
    <row r="258" ht="15" customHeight="1" s="39">
      <c r="A258" s="42" t="inlineStr">
        <is>
          <t>080749</t>
        </is>
      </c>
      <c r="B258" s="38" t="inlineStr">
        <is>
          <t>Cubelles</t>
        </is>
      </c>
      <c r="C258" s="38" t="inlineStr">
        <is>
          <t>6607</t>
        </is>
      </c>
      <c r="D258" s="38" t="inlineStr">
        <is>
          <t>4252</t>
        </is>
      </c>
      <c r="E258" s="38" t="inlineStr">
        <is>
          <t>10859</t>
        </is>
      </c>
      <c r="F258" s="38" t="inlineStr">
        <is>
          <t>0</t>
        </is>
      </c>
      <c r="G258" s="38" t="inlineStr">
        <is>
          <t>10859</t>
        </is>
      </c>
      <c r="H258" s="38" t="inlineStr">
        <is>
          <t>2</t>
        </is>
      </c>
    </row>
    <row r="259" ht="15" customHeight="1" s="39">
      <c r="A259" s="42" t="inlineStr">
        <is>
          <t>250791</t>
        </is>
      </c>
      <c r="B259" s="38" t="inlineStr">
        <is>
          <t>Cubells</t>
        </is>
      </c>
      <c r="C259" s="38" t="inlineStr">
        <is>
          <t>145</t>
        </is>
      </c>
      <c r="D259" s="38" t="inlineStr">
        <is>
          <t>197</t>
        </is>
      </c>
      <c r="E259" s="38" t="inlineStr">
        <is>
          <t>342</t>
        </is>
      </c>
      <c r="F259" s="38" t="inlineStr">
        <is>
          <t>0</t>
        </is>
      </c>
      <c r="G259" s="38" t="inlineStr">
        <is>
          <t>342</t>
        </is>
      </c>
      <c r="H259" s="38" t="inlineStr">
        <is>
          <t>1</t>
        </is>
      </c>
    </row>
    <row r="260" ht="15" customHeight="1" s="39">
      <c r="A260" s="42" t="inlineStr">
        <is>
          <t>430516</t>
        </is>
      </c>
      <c r="B260" s="38" t="inlineStr">
        <is>
          <t>Cunit</t>
        </is>
      </c>
      <c r="C260" s="38" t="inlineStr">
        <is>
          <t>5797</t>
        </is>
      </c>
      <c r="D260" s="38" t="inlineStr">
        <is>
          <t>7230</t>
        </is>
      </c>
      <c r="E260" s="38" t="inlineStr">
        <is>
          <t>13027</t>
        </is>
      </c>
      <c r="F260" s="38" t="inlineStr">
        <is>
          <t>0</t>
        </is>
      </c>
      <c r="G260" s="38" t="inlineStr">
        <is>
          <t>13027</t>
        </is>
      </c>
      <c r="H260" s="38" t="inlineStr">
        <is>
          <t>3</t>
        </is>
      </c>
    </row>
    <row r="261" ht="15" customHeight="1" s="39">
      <c r="A261" s="42" t="inlineStr">
        <is>
          <t>170600</t>
        </is>
      </c>
      <c r="B261" s="38" t="inlineStr">
        <is>
          <t>Darnius</t>
        </is>
      </c>
      <c r="C261" s="38" t="inlineStr">
        <is>
          <t>227</t>
        </is>
      </c>
      <c r="D261" s="38" t="inlineStr">
        <is>
          <t>218</t>
        </is>
      </c>
      <c r="E261" s="38" t="inlineStr">
        <is>
          <t>445</t>
        </is>
      </c>
      <c r="F261" s="38" t="inlineStr">
        <is>
          <t>0</t>
        </is>
      </c>
      <c r="G261" s="38" t="inlineStr">
        <is>
          <t>445</t>
        </is>
      </c>
      <c r="H261" s="38" t="inlineStr">
        <is>
          <t>0</t>
        </is>
      </c>
    </row>
    <row r="262" ht="15" customHeight="1" s="39">
      <c r="A262" s="42" t="inlineStr">
        <is>
          <t>170617</t>
        </is>
      </c>
      <c r="B262" s="38" t="inlineStr">
        <is>
          <t>Das</t>
        </is>
      </c>
      <c r="C262" s="38" t="inlineStr">
        <is>
          <t>88</t>
        </is>
      </c>
      <c r="D262" s="38" t="inlineStr">
        <is>
          <t>339</t>
        </is>
      </c>
      <c r="E262" s="38" t="inlineStr">
        <is>
          <t>427</t>
        </is>
      </c>
      <c r="F262" s="38" t="inlineStr">
        <is>
          <t>0</t>
        </is>
      </c>
      <c r="G262" s="38" t="inlineStr">
        <is>
          <t>427</t>
        </is>
      </c>
      <c r="H262" s="38" t="inlineStr">
        <is>
          <t>0</t>
        </is>
      </c>
    </row>
    <row r="263" ht="15" customHeight="1" s="39">
      <c r="A263" s="42" t="inlineStr">
        <is>
          <t>439018</t>
        </is>
      </c>
      <c r="B263" s="38" t="inlineStr">
        <is>
          <t>Deltebre</t>
        </is>
      </c>
      <c r="C263" s="38" t="inlineStr">
        <is>
          <t>4326</t>
        </is>
      </c>
      <c r="D263" s="38" t="inlineStr">
        <is>
          <t>2927</t>
        </is>
      </c>
      <c r="E263" s="38" t="inlineStr">
        <is>
          <t>7253</t>
        </is>
      </c>
      <c r="F263" s="38" t="inlineStr">
        <is>
          <t>0</t>
        </is>
      </c>
      <c r="G263" s="38" t="inlineStr">
        <is>
          <t>7253</t>
        </is>
      </c>
      <c r="H263" s="38" t="inlineStr">
        <is>
          <t>2</t>
        </is>
      </c>
    </row>
    <row r="264" ht="15" customHeight="1" s="39">
      <c r="A264" s="42" t="inlineStr">
        <is>
          <t>080752</t>
        </is>
      </c>
      <c r="B264" s="38" t="inlineStr">
        <is>
          <t>Dosrius</t>
        </is>
      </c>
      <c r="C264" s="38" t="inlineStr">
        <is>
          <t>2008</t>
        </is>
      </c>
      <c r="D264" s="38" t="inlineStr">
        <is>
          <t>714</t>
        </is>
      </c>
      <c r="E264" s="38" t="inlineStr">
        <is>
          <t>2722</t>
        </is>
      </c>
      <c r="F264" s="38" t="inlineStr">
        <is>
          <t>0</t>
        </is>
      </c>
      <c r="G264" s="38" t="inlineStr">
        <is>
          <t>2722</t>
        </is>
      </c>
      <c r="H264" s="38" t="inlineStr">
        <is>
          <t>5</t>
        </is>
      </c>
    </row>
    <row r="265" ht="15" customHeight="1" s="39">
      <c r="A265" s="42" t="inlineStr">
        <is>
          <t>430537</t>
        </is>
      </c>
      <c r="B265" s="38" t="inlineStr">
        <is>
          <t>Duesaigües</t>
        </is>
      </c>
      <c r="C265" s="38" t="inlineStr">
        <is>
          <t>103</t>
        </is>
      </c>
      <c r="D265" s="38" t="inlineStr">
        <is>
          <t>105</t>
        </is>
      </c>
      <c r="E265" s="38" t="inlineStr">
        <is>
          <t>208</t>
        </is>
      </c>
      <c r="F265" s="38" t="inlineStr">
        <is>
          <t>0</t>
        </is>
      </c>
      <c r="G265" s="38" t="inlineStr">
        <is>
          <t>208</t>
        </is>
      </c>
      <c r="H265" s="38" t="inlineStr">
        <is>
          <t>0</t>
        </is>
      </c>
    </row>
    <row r="266" ht="15" customHeight="1" s="39">
      <c r="A266" s="42" t="inlineStr">
        <is>
          <t>170622</t>
        </is>
      </c>
      <c r="B266" s="38" t="inlineStr">
        <is>
          <t>Escala, l'</t>
        </is>
      </c>
      <c r="C266" s="38" t="inlineStr">
        <is>
          <t>4369</t>
        </is>
      </c>
      <c r="D266" s="38" t="inlineStr">
        <is>
          <t>10777</t>
        </is>
      </c>
      <c r="E266" s="38" t="inlineStr">
        <is>
          <t>15146</t>
        </is>
      </c>
      <c r="F266" s="38" t="inlineStr">
        <is>
          <t>0</t>
        </is>
      </c>
      <c r="G266" s="38" t="inlineStr">
        <is>
          <t>15146</t>
        </is>
      </c>
      <c r="H266" s="38" t="inlineStr">
        <is>
          <t>1</t>
        </is>
      </c>
    </row>
    <row r="267" ht="15" customHeight="1" s="39">
      <c r="A267" s="42" t="inlineStr">
        <is>
          <t>080765</t>
        </is>
      </c>
      <c r="B267" s="38" t="inlineStr">
        <is>
          <t>Esparreguera</t>
        </is>
      </c>
      <c r="C267" s="38" t="inlineStr">
        <is>
          <t>8469</t>
        </is>
      </c>
      <c r="D267" s="38" t="inlineStr">
        <is>
          <t>1355</t>
        </is>
      </c>
      <c r="E267" s="38" t="inlineStr">
        <is>
          <t>9824</t>
        </is>
      </c>
      <c r="F267" s="38" t="inlineStr">
        <is>
          <t>0</t>
        </is>
      </c>
      <c r="G267" s="38" t="inlineStr">
        <is>
          <t>9824</t>
        </is>
      </c>
      <c r="H267" s="38" t="inlineStr">
        <is>
          <t>2</t>
        </is>
      </c>
    </row>
    <row r="268" ht="15" customHeight="1" s="39">
      <c r="A268" s="42" t="inlineStr">
        <is>
          <t>170638</t>
        </is>
      </c>
      <c r="B268" s="38" t="inlineStr">
        <is>
          <t>Espinelves</t>
        </is>
      </c>
      <c r="C268" s="38" t="inlineStr">
        <is>
          <t>102</t>
        </is>
      </c>
      <c r="D268" s="38" t="inlineStr">
        <is>
          <t>95</t>
        </is>
      </c>
      <c r="E268" s="38" t="inlineStr">
        <is>
          <t>197</t>
        </is>
      </c>
      <c r="F268" s="38" t="inlineStr">
        <is>
          <t>0</t>
        </is>
      </c>
      <c r="G268" s="38" t="inlineStr">
        <is>
          <t>197</t>
        </is>
      </c>
      <c r="H268" s="38" t="inlineStr">
        <is>
          <t>0</t>
        </is>
      </c>
    </row>
    <row r="269" ht="15" customHeight="1" s="39">
      <c r="A269" s="42" t="inlineStr">
        <is>
          <t>250812</t>
        </is>
      </c>
      <c r="B269" s="38" t="inlineStr">
        <is>
          <t>Espluga Calba, l'</t>
        </is>
      </c>
      <c r="C269" s="38" t="inlineStr">
        <is>
          <t>144</t>
        </is>
      </c>
      <c r="D269" s="38" t="inlineStr">
        <is>
          <t>202</t>
        </is>
      </c>
      <c r="E269" s="38" t="inlineStr">
        <is>
          <t>346</t>
        </is>
      </c>
      <c r="F269" s="38" t="inlineStr">
        <is>
          <t>0</t>
        </is>
      </c>
      <c r="G269" s="38" t="inlineStr">
        <is>
          <t>346</t>
        </is>
      </c>
      <c r="H269" s="38" t="inlineStr">
        <is>
          <t>0</t>
        </is>
      </c>
    </row>
    <row r="270" ht="15" customHeight="1" s="39">
      <c r="A270" s="42" t="inlineStr">
        <is>
          <t>430542</t>
        </is>
      </c>
      <c r="B270" s="38" t="inlineStr">
        <is>
          <t>Espluga de Francolí, l'</t>
        </is>
      </c>
      <c r="C270" s="38" t="inlineStr">
        <is>
          <t>1433</t>
        </is>
      </c>
      <c r="D270" s="38" t="inlineStr">
        <is>
          <t>931</t>
        </is>
      </c>
      <c r="E270" s="38" t="inlineStr">
        <is>
          <t>2364</t>
        </is>
      </c>
      <c r="F270" s="38" t="inlineStr">
        <is>
          <t>0</t>
        </is>
      </c>
      <c r="G270" s="38" t="inlineStr">
        <is>
          <t>2364</t>
        </is>
      </c>
      <c r="H270" s="38" t="inlineStr">
        <is>
          <t>2</t>
        </is>
      </c>
    </row>
    <row r="271" ht="15" customHeight="1" s="39">
      <c r="A271" s="42" t="inlineStr">
        <is>
          <t>080771</t>
        </is>
      </c>
      <c r="B271" s="38" t="inlineStr">
        <is>
          <t>Esplugues de Llobregat</t>
        </is>
      </c>
      <c r="C271" s="38" t="inlineStr">
        <is>
          <t>17780</t>
        </is>
      </c>
      <c r="D271" s="38" t="inlineStr">
        <is>
          <t>1640</t>
        </is>
      </c>
      <c r="E271" s="38" t="inlineStr">
        <is>
          <t>19420</t>
        </is>
      </c>
      <c r="F271" s="38" t="inlineStr">
        <is>
          <t>0</t>
        </is>
      </c>
      <c r="G271" s="38" t="inlineStr">
        <is>
          <t>19420</t>
        </is>
      </c>
      <c r="H271" s="38" t="inlineStr">
        <is>
          <t>16</t>
        </is>
      </c>
    </row>
    <row r="272" ht="15" customHeight="1" s="39">
      <c r="A272" s="42" t="inlineStr">
        <is>
          <t>170643</t>
        </is>
      </c>
      <c r="B272" s="38" t="inlineStr">
        <is>
          <t>Espolla</t>
        </is>
      </c>
      <c r="C272" s="38" t="inlineStr">
        <is>
          <t>170</t>
        </is>
      </c>
      <c r="D272" s="38" t="inlineStr">
        <is>
          <t>126</t>
        </is>
      </c>
      <c r="E272" s="38" t="inlineStr">
        <is>
          <t>296</t>
        </is>
      </c>
      <c r="F272" s="38" t="inlineStr">
        <is>
          <t>0</t>
        </is>
      </c>
      <c r="G272" s="38" t="inlineStr">
        <is>
          <t>296</t>
        </is>
      </c>
      <c r="H272" s="38" t="inlineStr">
        <is>
          <t>0</t>
        </is>
      </c>
    </row>
    <row r="273" ht="15" customHeight="1" s="39">
      <c r="A273" s="42" t="inlineStr">
        <is>
          <t>170656</t>
        </is>
      </c>
      <c r="B273" s="38" t="inlineStr">
        <is>
          <t>Esponellà</t>
        </is>
      </c>
      <c r="C273" s="38" t="inlineStr">
        <is>
          <t>153</t>
        </is>
      </c>
      <c r="D273" s="38" t="inlineStr">
        <is>
          <t>74</t>
        </is>
      </c>
      <c r="E273" s="38" t="inlineStr">
        <is>
          <t>227</t>
        </is>
      </c>
      <c r="F273" s="38" t="inlineStr">
        <is>
          <t>0</t>
        </is>
      </c>
      <c r="G273" s="38" t="inlineStr">
        <is>
          <t>227</t>
        </is>
      </c>
      <c r="H273" s="38" t="inlineStr">
        <is>
          <t>1</t>
        </is>
      </c>
    </row>
    <row r="274" ht="15" customHeight="1" s="39">
      <c r="A274" s="42" t="inlineStr">
        <is>
          <t>250827</t>
        </is>
      </c>
      <c r="B274" s="38" t="inlineStr">
        <is>
          <t>Espot</t>
        </is>
      </c>
      <c r="C274" s="38" t="inlineStr">
        <is>
          <t>145</t>
        </is>
      </c>
      <c r="D274" s="38" t="inlineStr">
        <is>
          <t>271</t>
        </is>
      </c>
      <c r="E274" s="38" t="inlineStr">
        <is>
          <t>416</t>
        </is>
      </c>
      <c r="F274" s="38" t="inlineStr">
        <is>
          <t>0</t>
        </is>
      </c>
      <c r="G274" s="38" t="inlineStr">
        <is>
          <t>416</t>
        </is>
      </c>
      <c r="H274" s="38" t="inlineStr">
        <is>
          <t>0</t>
        </is>
      </c>
    </row>
    <row r="275" ht="15" customHeight="1" s="39">
      <c r="A275" s="42" t="inlineStr">
        <is>
          <t>080787</t>
        </is>
      </c>
      <c r="B275" s="38" t="inlineStr">
        <is>
          <t>Espunyola, l'</t>
        </is>
      </c>
      <c r="C275" s="38" t="inlineStr">
        <is>
          <t>89</t>
        </is>
      </c>
      <c r="D275" s="38" t="inlineStr">
        <is>
          <t>39</t>
        </is>
      </c>
      <c r="E275" s="38" t="inlineStr">
        <is>
          <t>128</t>
        </is>
      </c>
      <c r="F275" s="38" t="inlineStr">
        <is>
          <t>0</t>
        </is>
      </c>
      <c r="G275" s="38" t="inlineStr">
        <is>
          <t>128</t>
        </is>
      </c>
      <c r="H275" s="38" t="inlineStr">
        <is>
          <t>0</t>
        </is>
      </c>
    </row>
    <row r="276" ht="15" customHeight="1" s="39">
      <c r="A276" s="42" t="inlineStr">
        <is>
          <t>082541</t>
        </is>
      </c>
      <c r="B276" s="38" t="inlineStr">
        <is>
          <t>Esquirol, l'</t>
        </is>
      </c>
      <c r="C276" s="38" t="inlineStr">
        <is>
          <t>857</t>
        </is>
      </c>
      <c r="D276" s="38" t="inlineStr">
        <is>
          <t>363</t>
        </is>
      </c>
      <c r="E276" s="38" t="inlineStr">
        <is>
          <t>1220</t>
        </is>
      </c>
      <c r="F276" s="38" t="inlineStr">
        <is>
          <t>0</t>
        </is>
      </c>
      <c r="G276" s="38" t="inlineStr">
        <is>
          <t>1220</t>
        </is>
      </c>
      <c r="H276" s="38" t="inlineStr">
        <is>
          <t>1</t>
        </is>
      </c>
    </row>
    <row r="277" ht="15" customHeight="1" s="39">
      <c r="A277" s="42" t="inlineStr">
        <is>
          <t>250886</t>
        </is>
      </c>
      <c r="B277" s="38" t="inlineStr">
        <is>
          <t>Estamariu</t>
        </is>
      </c>
      <c r="C277" s="38" t="inlineStr">
        <is>
          <t>45</t>
        </is>
      </c>
      <c r="D277" s="38" t="inlineStr">
        <is>
          <t>42</t>
        </is>
      </c>
      <c r="E277" s="38" t="inlineStr">
        <is>
          <t>87</t>
        </is>
      </c>
      <c r="F277" s="38" t="inlineStr">
        <is>
          <t>0</t>
        </is>
      </c>
      <c r="G277" s="38" t="inlineStr">
        <is>
          <t>87</t>
        </is>
      </c>
      <c r="H277" s="38" t="inlineStr">
        <is>
          <t>0</t>
        </is>
      </c>
    </row>
    <row r="278" ht="15" customHeight="1" s="39">
      <c r="A278" s="42" t="inlineStr">
        <is>
          <t>080790</t>
        </is>
      </c>
      <c r="B278" s="38" t="inlineStr">
        <is>
          <t>Estany, l'</t>
        </is>
      </c>
      <c r="C278" s="38" t="inlineStr">
        <is>
          <t>174</t>
        </is>
      </c>
      <c r="D278" s="38" t="inlineStr">
        <is>
          <t>163</t>
        </is>
      </c>
      <c r="E278" s="38" t="inlineStr">
        <is>
          <t>337</t>
        </is>
      </c>
      <c r="F278" s="38" t="inlineStr">
        <is>
          <t>0</t>
        </is>
      </c>
      <c r="G278" s="38" t="inlineStr">
        <is>
          <t>337</t>
        </is>
      </c>
      <c r="H278" s="38" t="inlineStr">
        <is>
          <t>1</t>
        </is>
      </c>
    </row>
    <row r="279" ht="15" customHeight="1" s="39">
      <c r="A279" s="42" t="inlineStr">
        <is>
          <t>250851</t>
        </is>
      </c>
      <c r="B279" s="38" t="inlineStr">
        <is>
          <t>Estaràs</t>
        </is>
      </c>
      <c r="C279" s="38" t="inlineStr">
        <is>
          <t>70</t>
        </is>
      </c>
      <c r="D279" s="38" t="inlineStr">
        <is>
          <t>55</t>
        </is>
      </c>
      <c r="E279" s="38" t="inlineStr">
        <is>
          <t>125</t>
        </is>
      </c>
      <c r="F279" s="38" t="inlineStr">
        <is>
          <t>0</t>
        </is>
      </c>
      <c r="G279" s="38" t="inlineStr">
        <is>
          <t>125</t>
        </is>
      </c>
      <c r="H279" s="38" t="inlineStr">
        <is>
          <t>0</t>
        </is>
      </c>
    </row>
    <row r="280" ht="15" customHeight="1" s="39">
      <c r="A280" s="42" t="inlineStr">
        <is>
          <t>250864</t>
        </is>
      </c>
      <c r="B280" s="38" t="inlineStr">
        <is>
          <t>Esterri d'Àneu</t>
        </is>
      </c>
      <c r="C280" s="38" t="inlineStr">
        <is>
          <t>376</t>
        </is>
      </c>
      <c r="D280" s="38" t="inlineStr">
        <is>
          <t>929</t>
        </is>
      </c>
      <c r="E280" s="38" t="inlineStr">
        <is>
          <t>1305</t>
        </is>
      </c>
      <c r="F280" s="38" t="inlineStr">
        <is>
          <t>0</t>
        </is>
      </c>
      <c r="G280" s="38" t="inlineStr">
        <is>
          <t>1305</t>
        </is>
      </c>
      <c r="H280" s="38" t="inlineStr">
        <is>
          <t>1</t>
        </is>
      </c>
    </row>
    <row r="281" ht="15" customHeight="1" s="39">
      <c r="A281" s="42" t="inlineStr">
        <is>
          <t>250870</t>
        </is>
      </c>
      <c r="B281" s="38" t="inlineStr">
        <is>
          <t>Esterri de Cardós</t>
        </is>
      </c>
      <c r="C281" s="38" t="inlineStr">
        <is>
          <t>24</t>
        </is>
      </c>
      <c r="D281" s="38" t="inlineStr">
        <is>
          <t>37</t>
        </is>
      </c>
      <c r="E281" s="38" t="inlineStr">
        <is>
          <t>61</t>
        </is>
      </c>
      <c r="F281" s="38" t="inlineStr">
        <is>
          <t>0</t>
        </is>
      </c>
      <c r="G281" s="38" t="inlineStr">
        <is>
          <t>61</t>
        </is>
      </c>
      <c r="H281" s="38" t="inlineStr">
        <is>
          <t>0</t>
        </is>
      </c>
    </row>
    <row r="282" ht="15" customHeight="1" s="39">
      <c r="A282" s="42" t="inlineStr">
        <is>
          <t>430555</t>
        </is>
      </c>
      <c r="B282" s="38" t="inlineStr">
        <is>
          <t>Falset</t>
        </is>
      </c>
      <c r="C282" s="38" t="inlineStr">
        <is>
          <t>1058</t>
        </is>
      </c>
      <c r="D282" s="38" t="inlineStr">
        <is>
          <t>654</t>
        </is>
      </c>
      <c r="E282" s="38" t="inlineStr">
        <is>
          <t>1712</t>
        </is>
      </c>
      <c r="F282" s="38" t="inlineStr">
        <is>
          <t>0</t>
        </is>
      </c>
      <c r="G282" s="38" t="inlineStr">
        <is>
          <t>1712</t>
        </is>
      </c>
      <c r="H282" s="38" t="inlineStr">
        <is>
          <t>1</t>
        </is>
      </c>
    </row>
    <row r="283" ht="15" customHeight="1" s="39">
      <c r="A283" s="42" t="inlineStr">
        <is>
          <t>170059</t>
        </is>
      </c>
      <c r="B283" s="38" t="inlineStr">
        <is>
          <t>Far d'Empordà, el</t>
        </is>
      </c>
      <c r="C283" s="38" t="inlineStr">
        <is>
          <t>190</t>
        </is>
      </c>
      <c r="D283" s="38" t="inlineStr">
        <is>
          <t>34</t>
        </is>
      </c>
      <c r="E283" s="38" t="inlineStr">
        <is>
          <t>224</t>
        </is>
      </c>
      <c r="F283" s="38" t="inlineStr">
        <is>
          <t>0</t>
        </is>
      </c>
      <c r="G283" s="38" t="inlineStr">
        <is>
          <t>224</t>
        </is>
      </c>
      <c r="H283" s="38" t="inlineStr">
        <is>
          <t>1</t>
        </is>
      </c>
    </row>
    <row r="284" ht="15" customHeight="1" s="39">
      <c r="A284" s="42" t="inlineStr">
        <is>
          <t>250899</t>
        </is>
      </c>
      <c r="B284" s="38" t="inlineStr">
        <is>
          <t>Farrera</t>
        </is>
      </c>
      <c r="C284" s="38" t="inlineStr">
        <is>
          <t>58</t>
        </is>
      </c>
      <c r="D284" s="38" t="inlineStr">
        <is>
          <t>40</t>
        </is>
      </c>
      <c r="E284" s="38" t="inlineStr">
        <is>
          <t>98</t>
        </is>
      </c>
      <c r="F284" s="38" t="inlineStr">
        <is>
          <t>0</t>
        </is>
      </c>
      <c r="G284" s="38" t="inlineStr">
        <is>
          <t>98</t>
        </is>
      </c>
      <c r="H284" s="38" t="inlineStr">
        <is>
          <t>0</t>
        </is>
      </c>
    </row>
    <row r="285" ht="15" customHeight="1" s="39">
      <c r="A285" s="42" t="inlineStr">
        <is>
          <t>430568</t>
        </is>
      </c>
      <c r="B285" s="38" t="inlineStr">
        <is>
          <t>Fatarella, la</t>
        </is>
      </c>
      <c r="C285" s="38" t="inlineStr">
        <is>
          <t>375</t>
        </is>
      </c>
      <c r="D285" s="38" t="inlineStr">
        <is>
          <t>260</t>
        </is>
      </c>
      <c r="E285" s="38" t="inlineStr">
        <is>
          <t>635</t>
        </is>
      </c>
      <c r="F285" s="38" t="inlineStr">
        <is>
          <t>0</t>
        </is>
      </c>
      <c r="G285" s="38" t="inlineStr">
        <is>
          <t>635</t>
        </is>
      </c>
      <c r="H285" s="38" t="inlineStr">
        <is>
          <t>0</t>
        </is>
      </c>
    </row>
    <row r="286" ht="15" customHeight="1" s="39">
      <c r="A286" s="42" t="inlineStr">
        <is>
          <t>430574</t>
        </is>
      </c>
      <c r="B286" s="38" t="inlineStr">
        <is>
          <t>Febró, la</t>
        </is>
      </c>
      <c r="C286" s="38" t="inlineStr">
        <is>
          <t>21</t>
        </is>
      </c>
      <c r="D286" s="38" t="inlineStr">
        <is>
          <t>36</t>
        </is>
      </c>
      <c r="E286" s="38" t="inlineStr">
        <is>
          <t>57</t>
        </is>
      </c>
      <c r="F286" s="38" t="inlineStr">
        <is>
          <t>0</t>
        </is>
      </c>
      <c r="G286" s="38" t="inlineStr">
        <is>
          <t>57</t>
        </is>
      </c>
      <c r="H286" s="38" t="inlineStr">
        <is>
          <t>0</t>
        </is>
      </c>
    </row>
    <row r="287" ht="15" customHeight="1" s="39">
      <c r="A287" s="42" t="inlineStr">
        <is>
          <t>081347</t>
        </is>
      </c>
      <c r="B287" s="38" t="inlineStr">
        <is>
          <t>Figaró-Montmany</t>
        </is>
      </c>
      <c r="C287" s="38" t="inlineStr">
        <is>
          <t>442</t>
        </is>
      </c>
      <c r="D287" s="38" t="inlineStr">
        <is>
          <t>154</t>
        </is>
      </c>
      <c r="E287" s="38" t="inlineStr">
        <is>
          <t>596</t>
        </is>
      </c>
      <c r="F287" s="38" t="inlineStr">
        <is>
          <t>0</t>
        </is>
      </c>
      <c r="G287" s="38" t="inlineStr">
        <is>
          <t>596</t>
        </is>
      </c>
      <c r="H287" s="38" t="inlineStr">
        <is>
          <t>2</t>
        </is>
      </c>
    </row>
    <row r="288" ht="15" customHeight="1" s="39">
      <c r="A288" s="42" t="inlineStr">
        <is>
          <t>080804</t>
        </is>
      </c>
      <c r="B288" s="38" t="inlineStr">
        <is>
          <t>Fígols</t>
        </is>
      </c>
      <c r="C288" s="38" t="inlineStr">
        <is>
          <t>22</t>
        </is>
      </c>
      <c r="D288" s="38" t="inlineStr">
        <is>
          <t>12</t>
        </is>
      </c>
      <c r="E288" s="38" t="inlineStr">
        <is>
          <t>34</t>
        </is>
      </c>
      <c r="F288" s="38" t="inlineStr">
        <is>
          <t>0</t>
        </is>
      </c>
      <c r="G288" s="38" t="inlineStr">
        <is>
          <t>34</t>
        </is>
      </c>
      <c r="H288" s="38" t="inlineStr">
        <is>
          <t>0</t>
        </is>
      </c>
    </row>
    <row r="289" ht="15" customHeight="1" s="39">
      <c r="A289" s="42" t="inlineStr">
        <is>
          <t>259084</t>
        </is>
      </c>
      <c r="B289" s="38" t="inlineStr">
        <is>
          <t>Fígols i Alinyà</t>
        </is>
      </c>
      <c r="C289" s="38" t="inlineStr">
        <is>
          <t>93</t>
        </is>
      </c>
      <c r="D289" s="38" t="inlineStr">
        <is>
          <t>199</t>
        </is>
      </c>
      <c r="E289" s="38" t="inlineStr">
        <is>
          <t>292</t>
        </is>
      </c>
      <c r="F289" s="38" t="inlineStr">
        <is>
          <t>0</t>
        </is>
      </c>
      <c r="G289" s="38" t="inlineStr">
        <is>
          <t>292</t>
        </is>
      </c>
      <c r="H289" s="38" t="inlineStr">
        <is>
          <t>0</t>
        </is>
      </c>
    </row>
    <row r="290" ht="15" customHeight="1" s="39">
      <c r="A290" s="42" t="inlineStr">
        <is>
          <t>430580</t>
        </is>
      </c>
      <c r="B290" s="38" t="inlineStr">
        <is>
          <t>Figuera, la</t>
        </is>
      </c>
      <c r="C290" s="38" t="inlineStr">
        <is>
          <t>55</t>
        </is>
      </c>
      <c r="D290" s="38" t="inlineStr">
        <is>
          <t>130</t>
        </is>
      </c>
      <c r="E290" s="38" t="inlineStr">
        <is>
          <t>185</t>
        </is>
      </c>
      <c r="F290" s="38" t="inlineStr">
        <is>
          <t>0</t>
        </is>
      </c>
      <c r="G290" s="38" t="inlineStr">
        <is>
          <t>185</t>
        </is>
      </c>
      <c r="H290" s="38" t="inlineStr">
        <is>
          <t>0</t>
        </is>
      </c>
    </row>
    <row r="291" ht="15" customHeight="1" s="39">
      <c r="A291" s="42" t="inlineStr">
        <is>
          <t>170669</t>
        </is>
      </c>
      <c r="B291" s="38" t="inlineStr">
        <is>
          <t>Figueres</t>
        </is>
      </c>
      <c r="C291" s="38" t="inlineStr">
        <is>
          <t>17499</t>
        </is>
      </c>
      <c r="D291" s="38" t="inlineStr">
        <is>
          <t>3563</t>
        </is>
      </c>
      <c r="E291" s="38" t="inlineStr">
        <is>
          <t>21062</t>
        </is>
      </c>
      <c r="F291" s="38" t="inlineStr">
        <is>
          <t>0</t>
        </is>
      </c>
      <c r="G291" s="38" t="inlineStr">
        <is>
          <t>21062</t>
        </is>
      </c>
      <c r="H291" s="38" t="inlineStr">
        <is>
          <t>12</t>
        </is>
      </c>
    </row>
    <row r="292" ht="15" customHeight="1" s="39">
      <c r="A292" s="42" t="inlineStr">
        <is>
          <t>430593</t>
        </is>
      </c>
      <c r="B292" s="38" t="inlineStr">
        <is>
          <t>Figuerola del Camp</t>
        </is>
      </c>
      <c r="C292" s="38" t="inlineStr">
        <is>
          <t>135</t>
        </is>
      </c>
      <c r="D292" s="38" t="inlineStr">
        <is>
          <t>124</t>
        </is>
      </c>
      <c r="E292" s="38" t="inlineStr">
        <is>
          <t>259</t>
        </is>
      </c>
      <c r="F292" s="38" t="inlineStr">
        <is>
          <t>0</t>
        </is>
      </c>
      <c r="G292" s="38" t="inlineStr">
        <is>
          <t>259</t>
        </is>
      </c>
      <c r="H292" s="38" t="inlineStr">
        <is>
          <t>0</t>
        </is>
      </c>
    </row>
    <row r="293" ht="15" customHeight="1" s="39">
      <c r="A293" s="42" t="inlineStr">
        <is>
          <t>170675</t>
        </is>
      </c>
      <c r="B293" s="38" t="inlineStr">
        <is>
          <t>Flaçà</t>
        </is>
      </c>
      <c r="C293" s="38" t="inlineStr">
        <is>
          <t>428</t>
        </is>
      </c>
      <c r="D293" s="38" t="inlineStr">
        <is>
          <t>104</t>
        </is>
      </c>
      <c r="E293" s="38" t="inlineStr">
        <is>
          <t>532</t>
        </is>
      </c>
      <c r="F293" s="38" t="inlineStr">
        <is>
          <t>0</t>
        </is>
      </c>
      <c r="G293" s="38" t="inlineStr">
        <is>
          <t>532</t>
        </is>
      </c>
      <c r="H293" s="38" t="inlineStr">
        <is>
          <t>0</t>
        </is>
      </c>
    </row>
    <row r="294" ht="15" customHeight="1" s="39">
      <c r="A294" s="42" t="inlineStr">
        <is>
          <t>430607</t>
        </is>
      </c>
      <c r="B294" s="38" t="inlineStr">
        <is>
          <t>Flix</t>
        </is>
      </c>
      <c r="C294" s="38" t="inlineStr">
        <is>
          <t>1429</t>
        </is>
      </c>
      <c r="D294" s="38" t="inlineStr">
        <is>
          <t>1060</t>
        </is>
      </c>
      <c r="E294" s="38" t="inlineStr">
        <is>
          <t>2489</t>
        </is>
      </c>
      <c r="F294" s="38" t="inlineStr">
        <is>
          <t>0</t>
        </is>
      </c>
      <c r="G294" s="38" t="inlineStr">
        <is>
          <t>2489</t>
        </is>
      </c>
      <c r="H294" s="38" t="inlineStr">
        <is>
          <t>2</t>
        </is>
      </c>
    </row>
    <row r="295" ht="15" customHeight="1" s="39">
      <c r="A295" s="42" t="inlineStr">
        <is>
          <t>250925</t>
        </is>
      </c>
      <c r="B295" s="38" t="inlineStr">
        <is>
          <t>Floresta, la</t>
        </is>
      </c>
      <c r="C295" s="38" t="inlineStr">
        <is>
          <t>61</t>
        </is>
      </c>
      <c r="D295" s="38" t="inlineStr">
        <is>
          <t>91</t>
        </is>
      </c>
      <c r="E295" s="38" t="inlineStr">
        <is>
          <t>152</t>
        </is>
      </c>
      <c r="F295" s="38" t="inlineStr">
        <is>
          <t>0</t>
        </is>
      </c>
      <c r="G295" s="38" t="inlineStr">
        <is>
          <t>152</t>
        </is>
      </c>
      <c r="H295" s="38" t="inlineStr">
        <is>
          <t>0</t>
        </is>
      </c>
    </row>
    <row r="296" ht="15" customHeight="1" s="39">
      <c r="A296" s="42" t="inlineStr">
        <is>
          <t>080826</t>
        </is>
      </c>
      <c r="B296" s="38" t="inlineStr">
        <is>
          <t>Fogars de la Selva</t>
        </is>
      </c>
      <c r="C296" s="38" t="inlineStr">
        <is>
          <t>581</t>
        </is>
      </c>
      <c r="D296" s="38" t="inlineStr">
        <is>
          <t>363</t>
        </is>
      </c>
      <c r="E296" s="38" t="inlineStr">
        <is>
          <t>944</t>
        </is>
      </c>
      <c r="F296" s="38" t="inlineStr">
        <is>
          <t>0</t>
        </is>
      </c>
      <c r="G296" s="38" t="inlineStr">
        <is>
          <t>944</t>
        </is>
      </c>
      <c r="H296" s="38" t="inlineStr">
        <is>
          <t>0</t>
        </is>
      </c>
    </row>
    <row r="297" ht="15" customHeight="1" s="39">
      <c r="A297" s="42" t="inlineStr">
        <is>
          <t>080811</t>
        </is>
      </c>
      <c r="B297" s="38" t="inlineStr">
        <is>
          <t>Fogars de Montclús</t>
        </is>
      </c>
      <c r="C297" s="38" t="inlineStr">
        <is>
          <t>173</t>
        </is>
      </c>
      <c r="D297" s="38" t="inlineStr">
        <is>
          <t>91</t>
        </is>
      </c>
      <c r="E297" s="38" t="inlineStr">
        <is>
          <t>264</t>
        </is>
      </c>
      <c r="F297" s="38" t="inlineStr">
        <is>
          <t>0</t>
        </is>
      </c>
      <c r="G297" s="38" t="inlineStr">
        <is>
          <t>264</t>
        </is>
      </c>
      <c r="H297" s="38" t="inlineStr">
        <is>
          <t>0</t>
        </is>
      </c>
    </row>
    <row r="298" ht="15" customHeight="1" s="39">
      <c r="A298" s="42" t="inlineStr">
        <is>
          <t>170681</t>
        </is>
      </c>
      <c r="B298" s="38" t="inlineStr">
        <is>
          <t>Foixà</t>
        </is>
      </c>
      <c r="C298" s="38" t="inlineStr">
        <is>
          <t>116</t>
        </is>
      </c>
      <c r="D298" s="38" t="inlineStr">
        <is>
          <t>130</t>
        </is>
      </c>
      <c r="E298" s="38" t="inlineStr">
        <is>
          <t>246</t>
        </is>
      </c>
      <c r="F298" s="38" t="inlineStr">
        <is>
          <t>0</t>
        </is>
      </c>
      <c r="G298" s="38" t="inlineStr">
        <is>
          <t>246</t>
        </is>
      </c>
      <c r="H298" s="38" t="inlineStr">
        <is>
          <t>0</t>
        </is>
      </c>
    </row>
    <row r="299" ht="15" customHeight="1" s="39">
      <c r="A299" s="42" t="inlineStr">
        <is>
          <t>080832</t>
        </is>
      </c>
      <c r="B299" s="38" t="inlineStr">
        <is>
          <t>Folgueroles</t>
        </is>
      </c>
      <c r="C299" s="38" t="inlineStr">
        <is>
          <t>803</t>
        </is>
      </c>
      <c r="D299" s="38" t="inlineStr">
        <is>
          <t>138</t>
        </is>
      </c>
      <c r="E299" s="38" t="inlineStr">
        <is>
          <t>941</t>
        </is>
      </c>
      <c r="F299" s="38" t="inlineStr">
        <is>
          <t>0</t>
        </is>
      </c>
      <c r="G299" s="38" t="inlineStr">
        <is>
          <t>941</t>
        </is>
      </c>
      <c r="H299" s="38" t="inlineStr">
        <is>
          <t>0</t>
        </is>
      </c>
    </row>
    <row r="300" ht="15" customHeight="1" s="39">
      <c r="A300" s="42" t="inlineStr">
        <is>
          <t>250931</t>
        </is>
      </c>
      <c r="B300" s="38" t="inlineStr">
        <is>
          <t>Fondarella</t>
        </is>
      </c>
      <c r="C300" s="38" t="inlineStr">
        <is>
          <t>282</t>
        </is>
      </c>
      <c r="D300" s="38" t="inlineStr">
        <is>
          <t>40</t>
        </is>
      </c>
      <c r="E300" s="38" t="inlineStr">
        <is>
          <t>322</t>
        </is>
      </c>
      <c r="F300" s="38" t="inlineStr">
        <is>
          <t>0</t>
        </is>
      </c>
      <c r="G300" s="38" t="inlineStr">
        <is>
          <t>322</t>
        </is>
      </c>
      <c r="H300" s="38" t="inlineStr">
        <is>
          <t>0</t>
        </is>
      </c>
    </row>
    <row r="301" ht="15" customHeight="1" s="39">
      <c r="A301" s="42" t="inlineStr">
        <is>
          <t>080847</t>
        </is>
      </c>
      <c r="B301" s="38" t="inlineStr">
        <is>
          <t>Fonollosa</t>
        </is>
      </c>
      <c r="C301" s="38" t="inlineStr">
        <is>
          <t>551</t>
        </is>
      </c>
      <c r="D301" s="38" t="inlineStr">
        <is>
          <t>251</t>
        </is>
      </c>
      <c r="E301" s="38" t="inlineStr">
        <is>
          <t>802</t>
        </is>
      </c>
      <c r="F301" s="38" t="inlineStr">
        <is>
          <t>0</t>
        </is>
      </c>
      <c r="G301" s="38" t="inlineStr">
        <is>
          <t>802</t>
        </is>
      </c>
      <c r="H301" s="38" t="inlineStr">
        <is>
          <t>0</t>
        </is>
      </c>
    </row>
    <row r="302" ht="15" customHeight="1" s="39">
      <c r="A302" s="42" t="inlineStr">
        <is>
          <t>170694</t>
        </is>
      </c>
      <c r="B302" s="38" t="inlineStr">
        <is>
          <t>Fontanals de Cerdanya</t>
        </is>
      </c>
      <c r="C302" s="38" t="inlineStr">
        <is>
          <t>227</t>
        </is>
      </c>
      <c r="D302" s="38" t="inlineStr">
        <is>
          <t>989</t>
        </is>
      </c>
      <c r="E302" s="38" t="inlineStr">
        <is>
          <t>1216</t>
        </is>
      </c>
      <c r="F302" s="38" t="inlineStr">
        <is>
          <t>0</t>
        </is>
      </c>
      <c r="G302" s="38" t="inlineStr">
        <is>
          <t>1216</t>
        </is>
      </c>
      <c r="H302" s="38" t="inlineStr">
        <is>
          <t>0</t>
        </is>
      </c>
    </row>
    <row r="303" ht="15" customHeight="1" s="39">
      <c r="A303" s="42" t="inlineStr">
        <is>
          <t>170708</t>
        </is>
      </c>
      <c r="B303" s="38" t="inlineStr">
        <is>
          <t>Fontanilles</t>
        </is>
      </c>
      <c r="C303" s="38" t="inlineStr">
        <is>
          <t>55</t>
        </is>
      </c>
      <c r="D303" s="38" t="inlineStr">
        <is>
          <t>59</t>
        </is>
      </c>
      <c r="E303" s="38" t="inlineStr">
        <is>
          <t>114</t>
        </is>
      </c>
      <c r="F303" s="38" t="inlineStr">
        <is>
          <t>0</t>
        </is>
      </c>
      <c r="G303" s="38" t="inlineStr">
        <is>
          <t>114</t>
        </is>
      </c>
      <c r="H303" s="38" t="inlineStr">
        <is>
          <t>0</t>
        </is>
      </c>
    </row>
    <row r="304" ht="15" customHeight="1" s="39">
      <c r="A304" s="42" t="inlineStr">
        <is>
          <t>170715</t>
        </is>
      </c>
      <c r="B304" s="38" t="inlineStr">
        <is>
          <t>Fontcoberta</t>
        </is>
      </c>
      <c r="C304" s="38" t="inlineStr">
        <is>
          <t>484</t>
        </is>
      </c>
      <c r="D304" s="38" t="inlineStr">
        <is>
          <t>81</t>
        </is>
      </c>
      <c r="E304" s="38" t="inlineStr">
        <is>
          <t>565</t>
        </is>
      </c>
      <c r="F304" s="38" t="inlineStr">
        <is>
          <t>0</t>
        </is>
      </c>
      <c r="G304" s="38" t="inlineStr">
        <is>
          <t>565</t>
        </is>
      </c>
      <c r="H304" s="38" t="inlineStr">
        <is>
          <t>1</t>
        </is>
      </c>
    </row>
    <row r="305" ht="15" customHeight="1" s="39">
      <c r="A305" s="42" t="inlineStr">
        <is>
          <t>080850</t>
        </is>
      </c>
      <c r="B305" s="38" t="inlineStr">
        <is>
          <t>Font-rubí</t>
        </is>
      </c>
      <c r="C305" s="38" t="inlineStr">
        <is>
          <t>521</t>
        </is>
      </c>
      <c r="D305" s="38" t="inlineStr">
        <is>
          <t>267</t>
        </is>
      </c>
      <c r="E305" s="38" t="inlineStr">
        <is>
          <t>788</t>
        </is>
      </c>
      <c r="F305" s="38" t="inlineStr">
        <is>
          <t>0</t>
        </is>
      </c>
      <c r="G305" s="38" t="inlineStr">
        <is>
          <t>788</t>
        </is>
      </c>
      <c r="H305" s="38" t="inlineStr">
        <is>
          <t>0</t>
        </is>
      </c>
    </row>
    <row r="306" ht="15" customHeight="1" s="39">
      <c r="A306" s="42" t="inlineStr">
        <is>
          <t>250946</t>
        </is>
      </c>
      <c r="B306" s="38" t="inlineStr">
        <is>
          <t>Foradada</t>
        </is>
      </c>
      <c r="C306" s="38" t="inlineStr">
        <is>
          <t>82</t>
        </is>
      </c>
      <c r="D306" s="38" t="inlineStr">
        <is>
          <t>92</t>
        </is>
      </c>
      <c r="E306" s="38" t="inlineStr">
        <is>
          <t>174</t>
        </is>
      </c>
      <c r="F306" s="38" t="inlineStr">
        <is>
          <t>0</t>
        </is>
      </c>
      <c r="G306" s="38" t="inlineStr">
        <is>
          <t>174</t>
        </is>
      </c>
      <c r="H306" s="38" t="inlineStr">
        <is>
          <t>0</t>
        </is>
      </c>
    </row>
    <row r="307" ht="15" customHeight="1" s="39">
      <c r="A307" s="42" t="inlineStr">
        <is>
          <t>179026</t>
        </is>
      </c>
      <c r="B307" s="38" t="inlineStr">
        <is>
          <t>Forallac</t>
        </is>
      </c>
      <c r="C307" s="38" t="inlineStr">
        <is>
          <t>632</t>
        </is>
      </c>
      <c r="D307" s="38" t="inlineStr">
        <is>
          <t>420</t>
        </is>
      </c>
      <c r="E307" s="38" t="inlineStr">
        <is>
          <t>1052</t>
        </is>
      </c>
      <c r="F307" s="38" t="inlineStr">
        <is>
          <t>0</t>
        </is>
      </c>
      <c r="G307" s="38" t="inlineStr">
        <is>
          <t>1052</t>
        </is>
      </c>
      <c r="H307" s="38" t="inlineStr">
        <is>
          <t>0</t>
        </is>
      </c>
    </row>
    <row r="308" ht="15" customHeight="1" s="39">
      <c r="A308" s="42" t="inlineStr">
        <is>
          <t>430614</t>
        </is>
      </c>
      <c r="B308" s="38" t="inlineStr">
        <is>
          <t>Forès</t>
        </is>
      </c>
      <c r="C308" s="38" t="inlineStr">
        <is>
          <t>25</t>
        </is>
      </c>
      <c r="D308" s="38" t="inlineStr">
        <is>
          <t>64</t>
        </is>
      </c>
      <c r="E308" s="38" t="inlineStr">
        <is>
          <t>89</t>
        </is>
      </c>
      <c r="F308" s="38" t="inlineStr">
        <is>
          <t>0</t>
        </is>
      </c>
      <c r="G308" s="38" t="inlineStr">
        <is>
          <t>89</t>
        </is>
      </c>
      <c r="H308" s="38" t="inlineStr">
        <is>
          <t>0</t>
        </is>
      </c>
    </row>
    <row r="309" ht="15" customHeight="1" s="39">
      <c r="A309" s="42" t="inlineStr">
        <is>
          <t>170736</t>
        </is>
      </c>
      <c r="B309" s="38" t="inlineStr">
        <is>
          <t>Fornells de la Selva</t>
        </is>
      </c>
      <c r="C309" s="38" t="inlineStr">
        <is>
          <t>869</t>
        </is>
      </c>
      <c r="D309" s="38" t="inlineStr">
        <is>
          <t>113</t>
        </is>
      </c>
      <c r="E309" s="38" t="inlineStr">
        <is>
          <t>982</t>
        </is>
      </c>
      <c r="F309" s="38" t="inlineStr">
        <is>
          <t>0</t>
        </is>
      </c>
      <c r="G309" s="38" t="inlineStr">
        <is>
          <t>982</t>
        </is>
      </c>
      <c r="H309" s="38" t="inlineStr">
        <is>
          <t>0</t>
        </is>
      </c>
    </row>
    <row r="310" ht="15" customHeight="1" s="39">
      <c r="A310" s="42" t="inlineStr">
        <is>
          <t>170741</t>
        </is>
      </c>
      <c r="B310" s="38" t="inlineStr">
        <is>
          <t>Fortià</t>
        </is>
      </c>
      <c r="C310" s="38" t="inlineStr">
        <is>
          <t>281</t>
        </is>
      </c>
      <c r="D310" s="38" t="inlineStr">
        <is>
          <t>103</t>
        </is>
      </c>
      <c r="E310" s="38" t="inlineStr">
        <is>
          <t>384</t>
        </is>
      </c>
      <c r="F310" s="38" t="inlineStr">
        <is>
          <t>0</t>
        </is>
      </c>
      <c r="G310" s="38" t="inlineStr">
        <is>
          <t>384</t>
        </is>
      </c>
      <c r="H310" s="38" t="inlineStr">
        <is>
          <t>1</t>
        </is>
      </c>
    </row>
    <row r="311" ht="15" customHeight="1" s="39">
      <c r="A311" s="42" t="inlineStr">
        <is>
          <t>080863</t>
        </is>
      </c>
      <c r="B311" s="38" t="inlineStr">
        <is>
          <t>Franqueses del Vallès, les</t>
        </is>
      </c>
      <c r="C311" s="38" t="inlineStr">
        <is>
          <t>7357</t>
        </is>
      </c>
      <c r="D311" s="38" t="inlineStr">
        <is>
          <t>628</t>
        </is>
      </c>
      <c r="E311" s="38" t="inlineStr">
        <is>
          <t>7985</t>
        </is>
      </c>
      <c r="F311" s="38" t="inlineStr">
        <is>
          <t>0</t>
        </is>
      </c>
      <c r="G311" s="38" t="inlineStr">
        <is>
          <t>7985</t>
        </is>
      </c>
      <c r="H311" s="38" t="inlineStr">
        <is>
          <t>4</t>
        </is>
      </c>
    </row>
    <row r="312" ht="15" customHeight="1" s="39">
      <c r="A312" s="42" t="inlineStr">
        <is>
          <t>430629</t>
        </is>
      </c>
      <c r="B312" s="38" t="inlineStr">
        <is>
          <t>Freginals</t>
        </is>
      </c>
      <c r="C312" s="38" t="inlineStr">
        <is>
          <t>163</t>
        </is>
      </c>
      <c r="D312" s="38" t="inlineStr">
        <is>
          <t>189</t>
        </is>
      </c>
      <c r="E312" s="38" t="inlineStr">
        <is>
          <t>352</t>
        </is>
      </c>
      <c r="F312" s="38" t="inlineStr">
        <is>
          <t>0</t>
        </is>
      </c>
      <c r="G312" s="38" t="inlineStr">
        <is>
          <t>352</t>
        </is>
      </c>
      <c r="H312" s="38" t="inlineStr">
        <is>
          <t>0</t>
        </is>
      </c>
    </row>
    <row r="313" ht="15" customHeight="1" s="39">
      <c r="A313" s="42" t="inlineStr">
        <is>
          <t>250962</t>
        </is>
      </c>
      <c r="B313" s="38" t="inlineStr">
        <is>
          <t>Fuliola, la</t>
        </is>
      </c>
      <c r="C313" s="38" t="inlineStr">
        <is>
          <t>429</t>
        </is>
      </c>
      <c r="D313" s="38" t="inlineStr">
        <is>
          <t>173</t>
        </is>
      </c>
      <c r="E313" s="38" t="inlineStr">
        <is>
          <t>602</t>
        </is>
      </c>
      <c r="F313" s="38" t="inlineStr">
        <is>
          <t>0</t>
        </is>
      </c>
      <c r="G313" s="38" t="inlineStr">
        <is>
          <t>602</t>
        </is>
      </c>
      <c r="H313" s="38" t="inlineStr">
        <is>
          <t>1</t>
        </is>
      </c>
    </row>
    <row r="314" ht="15" customHeight="1" s="39">
      <c r="A314" s="42" t="inlineStr">
        <is>
          <t>250978</t>
        </is>
      </c>
      <c r="B314" s="38" t="inlineStr">
        <is>
          <t>Fulleda</t>
        </is>
      </c>
      <c r="C314" s="38" t="inlineStr">
        <is>
          <t>43</t>
        </is>
      </c>
      <c r="D314" s="38" t="inlineStr">
        <is>
          <t>70</t>
        </is>
      </c>
      <c r="E314" s="38" t="inlineStr">
        <is>
          <t>113</t>
        </is>
      </c>
      <c r="F314" s="38" t="inlineStr">
        <is>
          <t>0</t>
        </is>
      </c>
      <c r="G314" s="38" t="inlineStr">
        <is>
          <t>113</t>
        </is>
      </c>
      <c r="H314" s="38" t="inlineStr">
        <is>
          <t>0</t>
        </is>
      </c>
    </row>
    <row r="315" ht="15" customHeight="1" s="39">
      <c r="A315" s="42" t="inlineStr">
        <is>
          <t>080902</t>
        </is>
      </c>
      <c r="B315" s="38" t="inlineStr">
        <is>
          <t>Gaià</t>
        </is>
      </c>
      <c r="C315" s="38" t="inlineStr">
        <is>
          <t>65</t>
        </is>
      </c>
      <c r="D315" s="38" t="inlineStr">
        <is>
          <t>49</t>
        </is>
      </c>
      <c r="E315" s="38" t="inlineStr">
        <is>
          <t>114</t>
        </is>
      </c>
      <c r="F315" s="38" t="inlineStr">
        <is>
          <t>0</t>
        </is>
      </c>
      <c r="G315" s="38" t="inlineStr">
        <is>
          <t>114</t>
        </is>
      </c>
      <c r="H315" s="38" t="inlineStr">
        <is>
          <t>0</t>
        </is>
      </c>
    </row>
    <row r="316" ht="15" customHeight="1" s="39">
      <c r="A316" s="42" t="inlineStr">
        <is>
          <t>430635</t>
        </is>
      </c>
      <c r="B316" s="38" t="inlineStr">
        <is>
          <t>Galera, la</t>
        </is>
      </c>
      <c r="C316" s="38" t="inlineStr">
        <is>
          <t>291</t>
        </is>
      </c>
      <c r="D316" s="38" t="inlineStr">
        <is>
          <t>200</t>
        </is>
      </c>
      <c r="E316" s="38" t="inlineStr">
        <is>
          <t>491</t>
        </is>
      </c>
      <c r="F316" s="38" t="inlineStr">
        <is>
          <t>0</t>
        </is>
      </c>
      <c r="G316" s="38" t="inlineStr">
        <is>
          <t>491</t>
        </is>
      </c>
      <c r="H316" s="38" t="inlineStr">
        <is>
          <t>0</t>
        </is>
      </c>
    </row>
    <row r="317" ht="15" customHeight="1" s="39">
      <c r="A317" s="42" t="inlineStr">
        <is>
          <t>080879</t>
        </is>
      </c>
      <c r="B317" s="38" t="inlineStr">
        <is>
          <t>Gallifa</t>
        </is>
      </c>
      <c r="C317" s="38" t="inlineStr">
        <is>
          <t>75</t>
        </is>
      </c>
      <c r="D317" s="38" t="inlineStr">
        <is>
          <t>55</t>
        </is>
      </c>
      <c r="E317" s="38" t="inlineStr">
        <is>
          <t>130</t>
        </is>
      </c>
      <c r="F317" s="38" t="inlineStr">
        <is>
          <t>0</t>
        </is>
      </c>
      <c r="G317" s="38" t="inlineStr">
        <is>
          <t>130</t>
        </is>
      </c>
      <c r="H317" s="38" t="inlineStr">
        <is>
          <t>0</t>
        </is>
      </c>
    </row>
    <row r="318" ht="15" customHeight="1" s="39">
      <c r="A318" s="42" t="inlineStr">
        <is>
          <t>430640</t>
        </is>
      </c>
      <c r="B318" s="38" t="inlineStr">
        <is>
          <t>Gandesa</t>
        </is>
      </c>
      <c r="C318" s="38" t="inlineStr">
        <is>
          <t>1097</t>
        </is>
      </c>
      <c r="D318" s="38" t="inlineStr">
        <is>
          <t>389</t>
        </is>
      </c>
      <c r="E318" s="38" t="inlineStr">
        <is>
          <t>1486</t>
        </is>
      </c>
      <c r="F318" s="38" t="inlineStr">
        <is>
          <t>0</t>
        </is>
      </c>
      <c r="G318" s="38" t="inlineStr">
        <is>
          <t>1486</t>
        </is>
      </c>
      <c r="H318" s="38" t="inlineStr">
        <is>
          <t>1</t>
        </is>
      </c>
    </row>
    <row r="319" ht="15" customHeight="1" s="39">
      <c r="A319" s="42" t="inlineStr">
        <is>
          <t>430653</t>
        </is>
      </c>
      <c r="B319" s="38" t="inlineStr">
        <is>
          <t>Garcia</t>
        </is>
      </c>
      <c r="C319" s="38" t="inlineStr">
        <is>
          <t>225</t>
        </is>
      </c>
      <c r="D319" s="38" t="inlineStr">
        <is>
          <t>186</t>
        </is>
      </c>
      <c r="E319" s="38" t="inlineStr">
        <is>
          <t>411</t>
        </is>
      </c>
      <c r="F319" s="38" t="inlineStr">
        <is>
          <t>0</t>
        </is>
      </c>
      <c r="G319" s="38" t="inlineStr">
        <is>
          <t>411</t>
        </is>
      </c>
      <c r="H319" s="38" t="inlineStr">
        <is>
          <t>0</t>
        </is>
      </c>
    </row>
    <row r="320" ht="15" customHeight="1" s="39">
      <c r="A320" s="42" t="inlineStr">
        <is>
          <t>430666</t>
        </is>
      </c>
      <c r="B320" s="38" t="inlineStr">
        <is>
          <t>Garidells, els</t>
        </is>
      </c>
      <c r="C320" s="38" t="inlineStr">
        <is>
          <t>80</t>
        </is>
      </c>
      <c r="D320" s="38" t="inlineStr">
        <is>
          <t>43</t>
        </is>
      </c>
      <c r="E320" s="38" t="inlineStr">
        <is>
          <t>123</t>
        </is>
      </c>
      <c r="F320" s="38" t="inlineStr">
        <is>
          <t>0</t>
        </is>
      </c>
      <c r="G320" s="38" t="inlineStr">
        <is>
          <t>123</t>
        </is>
      </c>
      <c r="H320" s="38" t="inlineStr">
        <is>
          <t>0</t>
        </is>
      </c>
    </row>
    <row r="321" ht="15" customHeight="1" s="39">
      <c r="A321" s="42" t="inlineStr">
        <is>
          <t>080885</t>
        </is>
      </c>
      <c r="B321" s="38" t="inlineStr">
        <is>
          <t>Garriga, la</t>
        </is>
      </c>
      <c r="C321" s="38" t="inlineStr">
        <is>
          <t>6242</t>
        </is>
      </c>
      <c r="D321" s="38" t="inlineStr">
        <is>
          <t>896</t>
        </is>
      </c>
      <c r="E321" s="38" t="inlineStr">
        <is>
          <t>7138</t>
        </is>
      </c>
      <c r="F321" s="38" t="inlineStr">
        <is>
          <t>0</t>
        </is>
      </c>
      <c r="G321" s="38" t="inlineStr">
        <is>
          <t>7138</t>
        </is>
      </c>
      <c r="H321" s="38" t="inlineStr">
        <is>
          <t>9</t>
        </is>
      </c>
    </row>
    <row r="322" ht="15" customHeight="1" s="39">
      <c r="A322" s="42" t="inlineStr">
        <is>
          <t>170754</t>
        </is>
      </c>
      <c r="B322" s="38" t="inlineStr">
        <is>
          <t>Garrigàs</t>
        </is>
      </c>
      <c r="C322" s="38" t="inlineStr">
        <is>
          <t>175</t>
        </is>
      </c>
      <c r="D322" s="38" t="inlineStr">
        <is>
          <t>92</t>
        </is>
      </c>
      <c r="E322" s="38" t="inlineStr">
        <is>
          <t>267</t>
        </is>
      </c>
      <c r="F322" s="38" t="inlineStr">
        <is>
          <t>0</t>
        </is>
      </c>
      <c r="G322" s="38" t="inlineStr">
        <is>
          <t>267</t>
        </is>
      </c>
      <c r="H322" s="38" t="inlineStr">
        <is>
          <t>0</t>
        </is>
      </c>
    </row>
    <row r="323" ht="15" customHeight="1" s="39">
      <c r="A323" s="42" t="inlineStr">
        <is>
          <t>170767</t>
        </is>
      </c>
      <c r="B323" s="38" t="inlineStr">
        <is>
          <t>Garrigoles</t>
        </is>
      </c>
      <c r="C323" s="38" t="inlineStr">
        <is>
          <t>72</t>
        </is>
      </c>
      <c r="D323" s="38" t="inlineStr">
        <is>
          <t>68</t>
        </is>
      </c>
      <c r="E323" s="38" t="inlineStr">
        <is>
          <t>140</t>
        </is>
      </c>
      <c r="F323" s="38" t="inlineStr">
        <is>
          <t>0</t>
        </is>
      </c>
      <c r="G323" s="38" t="inlineStr">
        <is>
          <t>140</t>
        </is>
      </c>
      <c r="H323" s="38" t="inlineStr">
        <is>
          <t>0</t>
        </is>
      </c>
    </row>
    <row r="324" ht="15" customHeight="1" s="39">
      <c r="A324" s="42" t="inlineStr">
        <is>
          <t>170773</t>
        </is>
      </c>
      <c r="B324" s="38" t="inlineStr">
        <is>
          <t>Garriguella</t>
        </is>
      </c>
      <c r="C324" s="38" t="inlineStr">
        <is>
          <t>341</t>
        </is>
      </c>
      <c r="D324" s="38" t="inlineStr">
        <is>
          <t>186</t>
        </is>
      </c>
      <c r="E324" s="38" t="inlineStr">
        <is>
          <t>527</t>
        </is>
      </c>
      <c r="F324" s="38" t="inlineStr">
        <is>
          <t>0</t>
        </is>
      </c>
      <c r="G324" s="38" t="inlineStr">
        <is>
          <t>527</t>
        </is>
      </c>
      <c r="H324" s="38" t="inlineStr">
        <is>
          <t>0</t>
        </is>
      </c>
    </row>
    <row r="325" ht="15" customHeight="1" s="39">
      <c r="A325" s="42" t="inlineStr">
        <is>
          <t>080898</t>
        </is>
      </c>
      <c r="B325" s="38" t="inlineStr">
        <is>
          <t>Gavà</t>
        </is>
      </c>
      <c r="C325" s="38" t="inlineStr">
        <is>
          <t>17619</t>
        </is>
      </c>
      <c r="D325" s="38" t="inlineStr">
        <is>
          <t>2740</t>
        </is>
      </c>
      <c r="E325" s="38" t="inlineStr">
        <is>
          <t>20359</t>
        </is>
      </c>
      <c r="F325" s="38" t="inlineStr">
        <is>
          <t>0</t>
        </is>
      </c>
      <c r="G325" s="38" t="inlineStr">
        <is>
          <t>20359</t>
        </is>
      </c>
      <c r="H325" s="38" t="inlineStr">
        <is>
          <t>11</t>
        </is>
      </c>
    </row>
    <row r="326" ht="15" customHeight="1" s="39">
      <c r="A326" s="42" t="inlineStr">
        <is>
          <t>250984</t>
        </is>
      </c>
      <c r="B326" s="38" t="inlineStr">
        <is>
          <t>Gavet de la Conca</t>
        </is>
      </c>
      <c r="C326" s="38" t="inlineStr">
        <is>
          <t>114</t>
        </is>
      </c>
      <c r="D326" s="38" t="inlineStr">
        <is>
          <t>193</t>
        </is>
      </c>
      <c r="E326" s="38" t="inlineStr">
        <is>
          <t>307</t>
        </is>
      </c>
      <c r="F326" s="38" t="inlineStr">
        <is>
          <t>0</t>
        </is>
      </c>
      <c r="G326" s="38" t="inlineStr">
        <is>
          <t>307</t>
        </is>
      </c>
      <c r="H326" s="38" t="inlineStr">
        <is>
          <t>0</t>
        </is>
      </c>
    </row>
    <row r="327" ht="15" customHeight="1" s="39">
      <c r="A327" s="42" t="inlineStr">
        <is>
          <t>080919</t>
        </is>
      </c>
      <c r="B327" s="38" t="inlineStr">
        <is>
          <t>Gelida</t>
        </is>
      </c>
      <c r="C327" s="38" t="inlineStr">
        <is>
          <t>2937</t>
        </is>
      </c>
      <c r="D327" s="38" t="inlineStr">
        <is>
          <t>926</t>
        </is>
      </c>
      <c r="E327" s="38" t="inlineStr">
        <is>
          <t>3863</t>
        </is>
      </c>
      <c r="F327" s="38" t="inlineStr">
        <is>
          <t>0</t>
        </is>
      </c>
      <c r="G327" s="38" t="inlineStr">
        <is>
          <t>3863</t>
        </is>
      </c>
      <c r="H327" s="38" t="inlineStr">
        <is>
          <t>1</t>
        </is>
      </c>
    </row>
    <row r="328" ht="15" customHeight="1" s="39">
      <c r="A328" s="42" t="inlineStr">
        <is>
          <t>170789</t>
        </is>
      </c>
      <c r="B328" s="38" t="inlineStr">
        <is>
          <t>Ger</t>
        </is>
      </c>
      <c r="C328" s="38" t="inlineStr">
        <is>
          <t>206</t>
        </is>
      </c>
      <c r="D328" s="38" t="inlineStr">
        <is>
          <t>552</t>
        </is>
      </c>
      <c r="E328" s="38" t="inlineStr">
        <is>
          <t>758</t>
        </is>
      </c>
      <c r="F328" s="38" t="inlineStr">
        <is>
          <t>0</t>
        </is>
      </c>
      <c r="G328" s="38" t="inlineStr">
        <is>
          <t>758</t>
        </is>
      </c>
      <c r="H328" s="38" t="inlineStr">
        <is>
          <t>0</t>
        </is>
      </c>
    </row>
    <row r="329" ht="15" customHeight="1" s="39">
      <c r="A329" s="42" t="inlineStr">
        <is>
          <t>259123</t>
        </is>
      </c>
      <c r="B329" s="38" t="inlineStr">
        <is>
          <t>Gimenells i el Pla de la Font</t>
        </is>
      </c>
      <c r="C329" s="38" t="inlineStr">
        <is>
          <t>405</t>
        </is>
      </c>
      <c r="D329" s="38" t="inlineStr">
        <is>
          <t>109</t>
        </is>
      </c>
      <c r="E329" s="38" t="inlineStr">
        <is>
          <t>514</t>
        </is>
      </c>
      <c r="F329" s="38" t="inlineStr">
        <is>
          <t>0</t>
        </is>
      </c>
      <c r="G329" s="38" t="inlineStr">
        <is>
          <t>514</t>
        </is>
      </c>
      <c r="H329" s="38" t="inlineStr">
        <is>
          <t>1</t>
        </is>
      </c>
    </row>
    <row r="330" ht="15" customHeight="1" s="39">
      <c r="A330" s="42" t="inlineStr">
        <is>
          <t>430672</t>
        </is>
      </c>
      <c r="B330" s="38" t="inlineStr">
        <is>
          <t>Ginestar</t>
        </is>
      </c>
      <c r="C330" s="38" t="inlineStr">
        <is>
          <t>327</t>
        </is>
      </c>
      <c r="D330" s="38" t="inlineStr">
        <is>
          <t>262</t>
        </is>
      </c>
      <c r="E330" s="38" t="inlineStr">
        <is>
          <t>589</t>
        </is>
      </c>
      <c r="F330" s="38" t="inlineStr">
        <is>
          <t>0</t>
        </is>
      </c>
      <c r="G330" s="38" t="inlineStr">
        <is>
          <t>589</t>
        </is>
      </c>
      <c r="H330" s="38" t="inlineStr">
        <is>
          <t>0</t>
        </is>
      </c>
    </row>
    <row r="331" ht="15" customHeight="1" s="39">
      <c r="A331" s="42" t="inlineStr">
        <is>
          <t>170792</t>
        </is>
      </c>
      <c r="B331" s="38" t="inlineStr">
        <is>
          <t>Girona</t>
        </is>
      </c>
      <c r="C331" s="38" t="inlineStr">
        <is>
          <t>38711</t>
        </is>
      </c>
      <c r="D331" s="38" t="inlineStr">
        <is>
          <t>11622</t>
        </is>
      </c>
      <c r="E331" s="38" t="inlineStr">
        <is>
          <t>50333</t>
        </is>
      </c>
      <c r="F331" s="38" t="inlineStr">
        <is>
          <t>0</t>
        </is>
      </c>
      <c r="G331" s="38" t="inlineStr">
        <is>
          <t>50333</t>
        </is>
      </c>
      <c r="H331" s="38" t="inlineStr">
        <is>
          <t>34</t>
        </is>
      </c>
    </row>
    <row r="332" ht="15" customHeight="1" s="39">
      <c r="A332" s="42" t="inlineStr">
        <is>
          <t>080924</t>
        </is>
      </c>
      <c r="B332" s="38" t="inlineStr">
        <is>
          <t>Gironella</t>
        </is>
      </c>
      <c r="C332" s="38" t="inlineStr">
        <is>
          <t>1935</t>
        </is>
      </c>
      <c r="D332" s="38" t="inlineStr">
        <is>
          <t>693</t>
        </is>
      </c>
      <c r="E332" s="38" t="inlineStr">
        <is>
          <t>2628</t>
        </is>
      </c>
      <c r="F332" s="38" t="inlineStr">
        <is>
          <t>0</t>
        </is>
      </c>
      <c r="G332" s="38" t="inlineStr">
        <is>
          <t>2628</t>
        </is>
      </c>
      <c r="H332" s="38" t="inlineStr">
        <is>
          <t>2</t>
        </is>
      </c>
    </row>
    <row r="333" ht="15" customHeight="1" s="39">
      <c r="A333" s="42" t="inlineStr">
        <is>
          <t>080930</t>
        </is>
      </c>
      <c r="B333" s="38" t="inlineStr">
        <is>
          <t>Gisclareny</t>
        </is>
      </c>
      <c r="C333" s="38" t="inlineStr">
        <is>
          <t>15</t>
        </is>
      </c>
      <c r="D333" s="38" t="inlineStr">
        <is>
          <t>28</t>
        </is>
      </c>
      <c r="E333" s="38" t="inlineStr">
        <is>
          <t>43</t>
        </is>
      </c>
      <c r="F333" s="38" t="inlineStr">
        <is>
          <t>0</t>
        </is>
      </c>
      <c r="G333" s="38" t="inlineStr">
        <is>
          <t>43</t>
        </is>
      </c>
      <c r="H333" s="38" t="inlineStr">
        <is>
          <t>0</t>
        </is>
      </c>
    </row>
    <row r="334" ht="15" customHeight="1" s="39">
      <c r="A334" s="42" t="inlineStr">
        <is>
          <t>430688</t>
        </is>
      </c>
      <c r="B334" s="38" t="inlineStr">
        <is>
          <t>Godall</t>
        </is>
      </c>
      <c r="C334" s="38" t="inlineStr">
        <is>
          <t>258</t>
        </is>
      </c>
      <c r="D334" s="38" t="inlineStr">
        <is>
          <t>287</t>
        </is>
      </c>
      <c r="E334" s="38" t="inlineStr">
        <is>
          <t>545</t>
        </is>
      </c>
      <c r="F334" s="38" t="inlineStr">
        <is>
          <t>0</t>
        </is>
      </c>
      <c r="G334" s="38" t="inlineStr">
        <is>
          <t>545</t>
        </is>
      </c>
      <c r="H334" s="38" t="inlineStr">
        <is>
          <t>0</t>
        </is>
      </c>
    </row>
    <row r="335" ht="15" customHeight="1" s="39">
      <c r="A335" s="42" t="inlineStr">
        <is>
          <t>250997</t>
        </is>
      </c>
      <c r="B335" s="38" t="inlineStr">
        <is>
          <t>Golmés</t>
        </is>
      </c>
      <c r="C335" s="38" t="inlineStr">
        <is>
          <t>668</t>
        </is>
      </c>
      <c r="D335" s="38" t="inlineStr">
        <is>
          <t>239</t>
        </is>
      </c>
      <c r="E335" s="38" t="inlineStr">
        <is>
          <t>907</t>
        </is>
      </c>
      <c r="F335" s="38" t="inlineStr">
        <is>
          <t>0</t>
        </is>
      </c>
      <c r="G335" s="38" t="inlineStr">
        <is>
          <t>907</t>
        </is>
      </c>
      <c r="H335" s="38" t="inlineStr">
        <is>
          <t>0</t>
        </is>
      </c>
    </row>
    <row r="336" ht="15" customHeight="1" s="39">
      <c r="A336" s="42" t="inlineStr">
        <is>
          <t>170806</t>
        </is>
      </c>
      <c r="B336" s="38" t="inlineStr">
        <is>
          <t>Gombrèn</t>
        </is>
      </c>
      <c r="C336" s="38" t="inlineStr">
        <is>
          <t>77</t>
        </is>
      </c>
      <c r="D336" s="38" t="inlineStr">
        <is>
          <t>109</t>
        </is>
      </c>
      <c r="E336" s="38" t="inlineStr">
        <is>
          <t>186</t>
        </is>
      </c>
      <c r="F336" s="38" t="inlineStr">
        <is>
          <t>0</t>
        </is>
      </c>
      <c r="G336" s="38" t="inlineStr">
        <is>
          <t>186</t>
        </is>
      </c>
      <c r="H336" s="38" t="inlineStr">
        <is>
          <t>1</t>
        </is>
      </c>
    </row>
    <row r="337" ht="15" customHeight="1" s="39">
      <c r="A337" s="42" t="inlineStr">
        <is>
          <t>251001</t>
        </is>
      </c>
      <c r="B337" s="38" t="inlineStr">
        <is>
          <t>Gósol</t>
        </is>
      </c>
      <c r="C337" s="38" t="inlineStr">
        <is>
          <t>107</t>
        </is>
      </c>
      <c r="D337" s="38" t="inlineStr">
        <is>
          <t>226</t>
        </is>
      </c>
      <c r="E337" s="38" t="inlineStr">
        <is>
          <t>333</t>
        </is>
      </c>
      <c r="F337" s="38" t="inlineStr">
        <is>
          <t>0</t>
        </is>
      </c>
      <c r="G337" s="38" t="inlineStr">
        <is>
          <t>333</t>
        </is>
      </c>
      <c r="H337" s="38" t="inlineStr">
        <is>
          <t>0</t>
        </is>
      </c>
    </row>
    <row r="338" ht="15" customHeight="1" s="39">
      <c r="A338" s="42" t="inlineStr">
        <is>
          <t>080945</t>
        </is>
      </c>
      <c r="B338" s="38" t="inlineStr">
        <is>
          <t>Granada, la</t>
        </is>
      </c>
      <c r="C338" s="38" t="inlineStr">
        <is>
          <t>810</t>
        </is>
      </c>
      <c r="D338" s="38" t="inlineStr">
        <is>
          <t>203</t>
        </is>
      </c>
      <c r="E338" s="38" t="inlineStr">
        <is>
          <t>1013</t>
        </is>
      </c>
      <c r="F338" s="38" t="inlineStr">
        <is>
          <t>0</t>
        </is>
      </c>
      <c r="G338" s="38" t="inlineStr">
        <is>
          <t>1013</t>
        </is>
      </c>
      <c r="H338" s="38" t="inlineStr">
        <is>
          <t>0</t>
        </is>
      </c>
    </row>
    <row r="339" ht="15" customHeight="1" s="39">
      <c r="A339" s="42" t="inlineStr">
        <is>
          <t>251018</t>
        </is>
      </c>
      <c r="B339" s="38" t="inlineStr">
        <is>
          <t>Granadella, la</t>
        </is>
      </c>
      <c r="C339" s="38" t="inlineStr">
        <is>
          <t>282</t>
        </is>
      </c>
      <c r="D339" s="38" t="inlineStr">
        <is>
          <t>232</t>
        </is>
      </c>
      <c r="E339" s="38" t="inlineStr">
        <is>
          <t>514</t>
        </is>
      </c>
      <c r="F339" s="38" t="inlineStr">
        <is>
          <t>0</t>
        </is>
      </c>
      <c r="G339" s="38" t="inlineStr">
        <is>
          <t>514</t>
        </is>
      </c>
      <c r="H339" s="38" t="inlineStr">
        <is>
          <t>1</t>
        </is>
      </c>
    </row>
    <row r="340" ht="15" customHeight="1" s="39">
      <c r="A340" s="42" t="inlineStr">
        <is>
          <t>080958</t>
        </is>
      </c>
      <c r="B340" s="38" t="inlineStr">
        <is>
          <t>Granera</t>
        </is>
      </c>
      <c r="C340" s="38" t="inlineStr">
        <is>
          <t>45</t>
        </is>
      </c>
      <c r="D340" s="38" t="inlineStr">
        <is>
          <t>69</t>
        </is>
      </c>
      <c r="E340" s="38" t="inlineStr">
        <is>
          <t>114</t>
        </is>
      </c>
      <c r="F340" s="38" t="inlineStr">
        <is>
          <t>0</t>
        </is>
      </c>
      <c r="G340" s="38" t="inlineStr">
        <is>
          <t>114</t>
        </is>
      </c>
      <c r="H340" s="38" t="inlineStr">
        <is>
          <t>0</t>
        </is>
      </c>
    </row>
    <row r="341" ht="15" customHeight="1" s="39">
      <c r="A341" s="42" t="inlineStr">
        <is>
          <t>251023</t>
        </is>
      </c>
      <c r="B341" s="38" t="inlineStr">
        <is>
          <t>Granja d'Escarp, la</t>
        </is>
      </c>
      <c r="C341" s="38" t="inlineStr">
        <is>
          <t>359</t>
        </is>
      </c>
      <c r="D341" s="38" t="inlineStr">
        <is>
          <t>188</t>
        </is>
      </c>
      <c r="E341" s="38" t="inlineStr">
        <is>
          <t>547</t>
        </is>
      </c>
      <c r="F341" s="38" t="inlineStr">
        <is>
          <t>0</t>
        </is>
      </c>
      <c r="G341" s="38" t="inlineStr">
        <is>
          <t>547</t>
        </is>
      </c>
      <c r="H341" s="38" t="inlineStr">
        <is>
          <t>0</t>
        </is>
      </c>
    </row>
    <row r="342" ht="15" customHeight="1" s="39">
      <c r="A342" s="42" t="inlineStr">
        <is>
          <t>080961</t>
        </is>
      </c>
      <c r="B342" s="38" t="inlineStr">
        <is>
          <t>Granollers</t>
        </is>
      </c>
      <c r="C342" s="38" t="inlineStr">
        <is>
          <t>23463</t>
        </is>
      </c>
      <c r="D342" s="38" t="inlineStr">
        <is>
          <t>2835</t>
        </is>
      </c>
      <c r="E342" s="38" t="inlineStr">
        <is>
          <t>26298</t>
        </is>
      </c>
      <c r="F342" s="38" t="inlineStr">
        <is>
          <t>0</t>
        </is>
      </c>
      <c r="G342" s="38" t="inlineStr">
        <is>
          <t>26298</t>
        </is>
      </c>
      <c r="H342" s="38" t="inlineStr">
        <is>
          <t>22</t>
        </is>
      </c>
    </row>
    <row r="343" ht="15" customHeight="1" s="39">
      <c r="A343" s="42" t="inlineStr">
        <is>
          <t>251039</t>
        </is>
      </c>
      <c r="B343" s="38" t="inlineStr">
        <is>
          <t>Granyanella</t>
        </is>
      </c>
      <c r="C343" s="38" t="inlineStr">
        <is>
          <t>57</t>
        </is>
      </c>
      <c r="D343" s="38" t="inlineStr">
        <is>
          <t>72</t>
        </is>
      </c>
      <c r="E343" s="38" t="inlineStr">
        <is>
          <t>129</t>
        </is>
      </c>
      <c r="F343" s="38" t="inlineStr">
        <is>
          <t>0</t>
        </is>
      </c>
      <c r="G343" s="38" t="inlineStr">
        <is>
          <t>129</t>
        </is>
      </c>
      <c r="H343" s="38" t="inlineStr">
        <is>
          <t>1</t>
        </is>
      </c>
    </row>
    <row r="344" ht="15" customHeight="1" s="39">
      <c r="A344" s="42" t="inlineStr">
        <is>
          <t>251057</t>
        </is>
      </c>
      <c r="B344" s="38" t="inlineStr">
        <is>
          <t>Granyena de les Garrigues</t>
        </is>
      </c>
      <c r="C344" s="38" t="inlineStr">
        <is>
          <t>69</t>
        </is>
      </c>
      <c r="D344" s="38" t="inlineStr">
        <is>
          <t>76</t>
        </is>
      </c>
      <c r="E344" s="38" t="inlineStr">
        <is>
          <t>145</t>
        </is>
      </c>
      <c r="F344" s="38" t="inlineStr">
        <is>
          <t>0</t>
        </is>
      </c>
      <c r="G344" s="38" t="inlineStr">
        <is>
          <t>145</t>
        </is>
      </c>
      <c r="H344" s="38" t="inlineStr">
        <is>
          <t>0</t>
        </is>
      </c>
    </row>
    <row r="345" ht="15" customHeight="1" s="39">
      <c r="A345" s="42" t="inlineStr">
        <is>
          <t>251044</t>
        </is>
      </c>
      <c r="B345" s="38" t="inlineStr">
        <is>
          <t>Granyena de Segarra</t>
        </is>
      </c>
      <c r="C345" s="38" t="inlineStr">
        <is>
          <t>59</t>
        </is>
      </c>
      <c r="D345" s="38" t="inlineStr">
        <is>
          <t>68</t>
        </is>
      </c>
      <c r="E345" s="38" t="inlineStr">
        <is>
          <t>127</t>
        </is>
      </c>
      <c r="F345" s="38" t="inlineStr">
        <is>
          <t>0</t>
        </is>
      </c>
      <c r="G345" s="38" t="inlineStr">
        <is>
          <t>127</t>
        </is>
      </c>
      <c r="H345" s="38" t="inlineStr">
        <is>
          <t>0</t>
        </is>
      </c>
    </row>
    <row r="346" ht="15" customHeight="1" s="39">
      <c r="A346" s="42" t="inlineStr">
        <is>
          <t>430691</t>
        </is>
      </c>
      <c r="B346" s="38" t="inlineStr">
        <is>
          <t>Gratallops</t>
        </is>
      </c>
      <c r="C346" s="38" t="inlineStr">
        <is>
          <t>105</t>
        </is>
      </c>
      <c r="D346" s="38" t="inlineStr">
        <is>
          <t>113</t>
        </is>
      </c>
      <c r="E346" s="38" t="inlineStr">
        <is>
          <t>218</t>
        </is>
      </c>
      <c r="F346" s="38" t="inlineStr">
        <is>
          <t>0</t>
        </is>
      </c>
      <c r="G346" s="38" t="inlineStr">
        <is>
          <t>218</t>
        </is>
      </c>
      <c r="H346" s="38" t="inlineStr">
        <is>
          <t>0</t>
        </is>
      </c>
    </row>
    <row r="347" ht="15" customHeight="1" s="39">
      <c r="A347" s="42" t="inlineStr">
        <is>
          <t>080977</t>
        </is>
      </c>
      <c r="B347" s="38" t="inlineStr">
        <is>
          <t>Gualba</t>
        </is>
      </c>
      <c r="C347" s="38" t="inlineStr">
        <is>
          <t>568</t>
        </is>
      </c>
      <c r="D347" s="38" t="inlineStr">
        <is>
          <t>243</t>
        </is>
      </c>
      <c r="E347" s="38" t="inlineStr">
        <is>
          <t>811</t>
        </is>
      </c>
      <c r="F347" s="38" t="inlineStr">
        <is>
          <t>0</t>
        </is>
      </c>
      <c r="G347" s="38" t="inlineStr">
        <is>
          <t>811</t>
        </is>
      </c>
      <c r="H347" s="38" t="inlineStr">
        <is>
          <t>2</t>
        </is>
      </c>
    </row>
    <row r="348" ht="15" customHeight="1" s="39">
      <c r="A348" s="42" t="inlineStr">
        <is>
          <t>170813</t>
        </is>
      </c>
      <c r="B348" s="38" t="inlineStr">
        <is>
          <t>Gualta</t>
        </is>
      </c>
      <c r="C348" s="38" t="inlineStr">
        <is>
          <t>133</t>
        </is>
      </c>
      <c r="D348" s="38" t="inlineStr">
        <is>
          <t>171</t>
        </is>
      </c>
      <c r="E348" s="38" t="inlineStr">
        <is>
          <t>304</t>
        </is>
      </c>
      <c r="F348" s="38" t="inlineStr">
        <is>
          <t>0</t>
        </is>
      </c>
      <c r="G348" s="38" t="inlineStr">
        <is>
          <t>304</t>
        </is>
      </c>
      <c r="H348" s="38" t="inlineStr">
        <is>
          <t>1</t>
        </is>
      </c>
    </row>
    <row r="349" ht="15" customHeight="1" s="39">
      <c r="A349" s="42" t="inlineStr">
        <is>
          <t>080996</t>
        </is>
      </c>
      <c r="B349" s="38" t="inlineStr">
        <is>
          <t>Guardiola de Berguedà</t>
        </is>
      </c>
      <c r="C349" s="38" t="inlineStr">
        <is>
          <t>423</t>
        </is>
      </c>
      <c r="D349" s="38" t="inlineStr">
        <is>
          <t>297</t>
        </is>
      </c>
      <c r="E349" s="38" t="inlineStr">
        <is>
          <t>720</t>
        </is>
      </c>
      <c r="F349" s="38" t="inlineStr">
        <is>
          <t>0</t>
        </is>
      </c>
      <c r="G349" s="38" t="inlineStr">
        <is>
          <t>720</t>
        </is>
      </c>
      <c r="H349" s="38" t="inlineStr">
        <is>
          <t>0</t>
        </is>
      </c>
    </row>
    <row r="350" ht="15" customHeight="1" s="39">
      <c r="A350" s="42" t="inlineStr">
        <is>
          <t>430705</t>
        </is>
      </c>
      <c r="B350" s="38" t="inlineStr">
        <is>
          <t>Guiamets, els</t>
        </is>
      </c>
      <c r="C350" s="38" t="inlineStr">
        <is>
          <t>107</t>
        </is>
      </c>
      <c r="D350" s="38" t="inlineStr">
        <is>
          <t>62</t>
        </is>
      </c>
      <c r="E350" s="38" t="inlineStr">
        <is>
          <t>169</t>
        </is>
      </c>
      <c r="F350" s="38" t="inlineStr">
        <is>
          <t>0</t>
        </is>
      </c>
      <c r="G350" s="38" t="inlineStr">
        <is>
          <t>169</t>
        </is>
      </c>
      <c r="H350" s="38" t="inlineStr">
        <is>
          <t>1</t>
        </is>
      </c>
    </row>
    <row r="351" ht="15" customHeight="1" s="39">
      <c r="A351" s="42" t="inlineStr">
        <is>
          <t>170828</t>
        </is>
      </c>
      <c r="B351" s="38" t="inlineStr">
        <is>
          <t>Guils de Cerdanya</t>
        </is>
      </c>
      <c r="C351" s="38" t="inlineStr">
        <is>
          <t>237</t>
        </is>
      </c>
      <c r="D351" s="38" t="inlineStr">
        <is>
          <t>678</t>
        </is>
      </c>
      <c r="E351" s="38" t="inlineStr">
        <is>
          <t>915</t>
        </is>
      </c>
      <c r="F351" s="38" t="inlineStr">
        <is>
          <t>0</t>
        </is>
      </c>
      <c r="G351" s="38" t="inlineStr">
        <is>
          <t>915</t>
        </is>
      </c>
      <c r="H351" s="38" t="inlineStr">
        <is>
          <t>0</t>
        </is>
      </c>
    </row>
    <row r="352" ht="15" customHeight="1" s="39">
      <c r="A352" s="42" t="inlineStr">
        <is>
          <t>251095</t>
        </is>
      </c>
      <c r="B352" s="38" t="inlineStr">
        <is>
          <t>Guimerà</t>
        </is>
      </c>
      <c r="C352" s="38" t="inlineStr">
        <is>
          <t>116</t>
        </is>
      </c>
      <c r="D352" s="38" t="inlineStr">
        <is>
          <t>341</t>
        </is>
      </c>
      <c r="E352" s="38" t="inlineStr">
        <is>
          <t>457</t>
        </is>
      </c>
      <c r="F352" s="38" t="inlineStr">
        <is>
          <t>0</t>
        </is>
      </c>
      <c r="G352" s="38" t="inlineStr">
        <is>
          <t>457</t>
        </is>
      </c>
      <c r="H352" s="38" t="inlineStr">
        <is>
          <t>0</t>
        </is>
      </c>
    </row>
    <row r="353" ht="15" customHeight="1" s="39">
      <c r="A353" s="42" t="inlineStr">
        <is>
          <t>259031</t>
        </is>
      </c>
      <c r="B353" s="38" t="inlineStr">
        <is>
          <t>Guingueta d'Àneu, la</t>
        </is>
      </c>
      <c r="C353" s="38" t="inlineStr">
        <is>
          <t>137</t>
        </is>
      </c>
      <c r="D353" s="38" t="inlineStr">
        <is>
          <t>296</t>
        </is>
      </c>
      <c r="E353" s="38" t="inlineStr">
        <is>
          <t>433</t>
        </is>
      </c>
      <c r="F353" s="38" t="inlineStr">
        <is>
          <t>0</t>
        </is>
      </c>
      <c r="G353" s="38" t="inlineStr">
        <is>
          <t>433</t>
        </is>
      </c>
      <c r="H353" s="38" t="inlineStr">
        <is>
          <t>0</t>
        </is>
      </c>
    </row>
    <row r="354" ht="15" customHeight="1" s="39">
      <c r="A354" s="42" t="inlineStr">
        <is>
          <t>251109</t>
        </is>
      </c>
      <c r="B354" s="38" t="inlineStr">
        <is>
          <t>Guissona</t>
        </is>
      </c>
      <c r="C354" s="38" t="inlineStr">
        <is>
          <t>2311</t>
        </is>
      </c>
      <c r="D354" s="38" t="inlineStr">
        <is>
          <t>581</t>
        </is>
      </c>
      <c r="E354" s="38" t="inlineStr">
        <is>
          <t>2892</t>
        </is>
      </c>
      <c r="F354" s="38" t="inlineStr">
        <is>
          <t>0</t>
        </is>
      </c>
      <c r="G354" s="38" t="inlineStr">
        <is>
          <t>2892</t>
        </is>
      </c>
      <c r="H354" s="38" t="inlineStr">
        <is>
          <t>1</t>
        </is>
      </c>
    </row>
    <row r="355" ht="15" customHeight="1" s="39">
      <c r="A355" s="42" t="inlineStr">
        <is>
          <t>251116</t>
        </is>
      </c>
      <c r="B355" s="38" t="inlineStr">
        <is>
          <t>Guixers</t>
        </is>
      </c>
      <c r="C355" s="38" t="inlineStr">
        <is>
          <t>52</t>
        </is>
      </c>
      <c r="D355" s="38" t="inlineStr">
        <is>
          <t>80</t>
        </is>
      </c>
      <c r="E355" s="38" t="inlineStr">
        <is>
          <t>132</t>
        </is>
      </c>
      <c r="F355" s="38" t="inlineStr">
        <is>
          <t>0</t>
        </is>
      </c>
      <c r="G355" s="38" t="inlineStr">
        <is>
          <t>132</t>
        </is>
      </c>
      <c r="H355" s="38" t="inlineStr">
        <is>
          <t>0</t>
        </is>
      </c>
    </row>
    <row r="356" ht="15" customHeight="1" s="39">
      <c r="A356" s="42" t="inlineStr">
        <is>
          <t>081000</t>
        </is>
      </c>
      <c r="B356" s="38" t="inlineStr">
        <is>
          <t>Gurb</t>
        </is>
      </c>
      <c r="C356" s="38" t="inlineStr">
        <is>
          <t>786</t>
        </is>
      </c>
      <c r="D356" s="38" t="inlineStr">
        <is>
          <t>121</t>
        </is>
      </c>
      <c r="E356" s="38" t="inlineStr">
        <is>
          <t>907</t>
        </is>
      </c>
      <c r="F356" s="38" t="inlineStr">
        <is>
          <t>0</t>
        </is>
      </c>
      <c r="G356" s="38" t="inlineStr">
        <is>
          <t>907</t>
        </is>
      </c>
      <c r="H356" s="38" t="inlineStr">
        <is>
          <t>2</t>
        </is>
      </c>
    </row>
    <row r="357" ht="15" customHeight="1" s="39">
      <c r="A357" s="42" t="inlineStr">
        <is>
          <t>430712</t>
        </is>
      </c>
      <c r="B357" s="38" t="inlineStr">
        <is>
          <t>Horta de Sant Joan</t>
        </is>
      </c>
      <c r="C357" s="38" t="inlineStr">
        <is>
          <t>446</t>
        </is>
      </c>
      <c r="D357" s="38" t="inlineStr">
        <is>
          <t>538</t>
        </is>
      </c>
      <c r="E357" s="38" t="inlineStr">
        <is>
          <t>984</t>
        </is>
      </c>
      <c r="F357" s="38" t="inlineStr">
        <is>
          <t>0</t>
        </is>
      </c>
      <c r="G357" s="38" t="inlineStr">
        <is>
          <t>984</t>
        </is>
      </c>
      <c r="H357" s="38" t="inlineStr">
        <is>
          <t>0</t>
        </is>
      </c>
    </row>
    <row r="358" ht="15" customHeight="1" s="39">
      <c r="A358" s="42" t="inlineStr">
        <is>
          <t>081017</t>
        </is>
      </c>
      <c r="B358" s="38" t="inlineStr">
        <is>
          <t>Hospitalet de Llobregat, l'</t>
        </is>
      </c>
      <c r="C358" s="38" t="inlineStr">
        <is>
          <t>101809</t>
        </is>
      </c>
      <c r="D358" s="38" t="inlineStr">
        <is>
          <t>8679</t>
        </is>
      </c>
      <c r="E358" s="38" t="inlineStr">
        <is>
          <t>110488</t>
        </is>
      </c>
      <c r="F358" s="38" t="inlineStr">
        <is>
          <t>0</t>
        </is>
      </c>
      <c r="G358" s="38" t="inlineStr">
        <is>
          <t>110488</t>
        </is>
      </c>
      <c r="H358" s="38" t="inlineStr">
        <is>
          <t>43</t>
        </is>
      </c>
    </row>
    <row r="359" ht="15" customHeight="1" s="39">
      <c r="A359" s="42" t="inlineStr">
        <is>
          <t>081629</t>
        </is>
      </c>
      <c r="B359" s="38" t="inlineStr">
        <is>
          <t>Hostalets de Pierola, els</t>
        </is>
      </c>
      <c r="C359" s="38" t="inlineStr">
        <is>
          <t>1180</t>
        </is>
      </c>
      <c r="D359" s="38" t="inlineStr">
        <is>
          <t>489</t>
        </is>
      </c>
      <c r="E359" s="38" t="inlineStr">
        <is>
          <t>1669</t>
        </is>
      </c>
      <c r="F359" s="38" t="inlineStr">
        <is>
          <t>0</t>
        </is>
      </c>
      <c r="G359" s="38" t="inlineStr">
        <is>
          <t>1669</t>
        </is>
      </c>
      <c r="H359" s="38" t="inlineStr">
        <is>
          <t>0</t>
        </is>
      </c>
    </row>
    <row r="360" ht="15" customHeight="1" s="39">
      <c r="A360" s="42" t="inlineStr">
        <is>
          <t>170834</t>
        </is>
      </c>
      <c r="B360" s="38" t="inlineStr">
        <is>
          <t>Hostalric</t>
        </is>
      </c>
      <c r="C360" s="38" t="inlineStr">
        <is>
          <t>1637</t>
        </is>
      </c>
      <c r="D360" s="38" t="inlineStr">
        <is>
          <t>350</t>
        </is>
      </c>
      <c r="E360" s="38" t="inlineStr">
        <is>
          <t>1987</t>
        </is>
      </c>
      <c r="F360" s="38" t="inlineStr">
        <is>
          <t>0</t>
        </is>
      </c>
      <c r="G360" s="38" t="inlineStr">
        <is>
          <t>1987</t>
        </is>
      </c>
      <c r="H360" s="38" t="inlineStr">
        <is>
          <t>0</t>
        </is>
      </c>
    </row>
    <row r="361" ht="15" customHeight="1" s="39">
      <c r="A361" s="42" t="inlineStr">
        <is>
          <t>081022</t>
        </is>
      </c>
      <c r="B361" s="38" t="inlineStr">
        <is>
          <t>Igualada</t>
        </is>
      </c>
      <c r="C361" s="38" t="inlineStr">
        <is>
          <t>15681</t>
        </is>
      </c>
      <c r="D361" s="38" t="inlineStr">
        <is>
          <t>2576</t>
        </is>
      </c>
      <c r="E361" s="38" t="inlineStr">
        <is>
          <t>18257</t>
        </is>
      </c>
      <c r="F361" s="38" t="inlineStr">
        <is>
          <t>0</t>
        </is>
      </c>
      <c r="G361" s="38" t="inlineStr">
        <is>
          <t>18257</t>
        </is>
      </c>
      <c r="H361" s="38" t="inlineStr">
        <is>
          <t>17</t>
        </is>
      </c>
    </row>
    <row r="362" ht="15" customHeight="1" s="39">
      <c r="A362" s="42" t="inlineStr">
        <is>
          <t>251155</t>
        </is>
      </c>
      <c r="B362" s="38" t="inlineStr">
        <is>
          <t>Isona i Conca Dellà</t>
        </is>
      </c>
      <c r="C362" s="38" t="inlineStr">
        <is>
          <t>433</t>
        </is>
      </c>
      <c r="D362" s="38" t="inlineStr">
        <is>
          <t>739</t>
        </is>
      </c>
      <c r="E362" s="38" t="inlineStr">
        <is>
          <t>1172</t>
        </is>
      </c>
      <c r="F362" s="38" t="inlineStr">
        <is>
          <t>0</t>
        </is>
      </c>
      <c r="G362" s="38" t="inlineStr">
        <is>
          <t>1172</t>
        </is>
      </c>
      <c r="H362" s="38" t="inlineStr">
        <is>
          <t>0</t>
        </is>
      </c>
    </row>
    <row r="363" ht="15" customHeight="1" s="39">
      <c r="A363" s="42" t="inlineStr">
        <is>
          <t>170849</t>
        </is>
      </c>
      <c r="B363" s="38" t="inlineStr">
        <is>
          <t>Isòvol</t>
        </is>
      </c>
      <c r="C363" s="38" t="inlineStr">
        <is>
          <t>135</t>
        </is>
      </c>
      <c r="D363" s="38" t="inlineStr">
        <is>
          <t>307</t>
        </is>
      </c>
      <c r="E363" s="38" t="inlineStr">
        <is>
          <t>442</t>
        </is>
      </c>
      <c r="F363" s="38" t="inlineStr">
        <is>
          <t>0</t>
        </is>
      </c>
      <c r="G363" s="38" t="inlineStr">
        <is>
          <t>442</t>
        </is>
      </c>
      <c r="H363" s="38" t="inlineStr">
        <is>
          <t>0</t>
        </is>
      </c>
    </row>
    <row r="364" ht="15" customHeight="1" s="39">
      <c r="A364" s="42" t="inlineStr">
        <is>
          <t>251137</t>
        </is>
      </c>
      <c r="B364" s="38" t="inlineStr">
        <is>
          <t>Ivars d'Urgell</t>
        </is>
      </c>
      <c r="C364" s="38" t="inlineStr">
        <is>
          <t>589</t>
        </is>
      </c>
      <c r="D364" s="38" t="inlineStr">
        <is>
          <t>215</t>
        </is>
      </c>
      <c r="E364" s="38" t="inlineStr">
        <is>
          <t>804</t>
        </is>
      </c>
      <c r="F364" s="38" t="inlineStr">
        <is>
          <t>0</t>
        </is>
      </c>
      <c r="G364" s="38" t="inlineStr">
        <is>
          <t>804</t>
        </is>
      </c>
      <c r="H364" s="38" t="inlineStr">
        <is>
          <t>0</t>
        </is>
      </c>
    </row>
    <row r="365" ht="15" customHeight="1" s="39">
      <c r="A365" s="42" t="inlineStr">
        <is>
          <t>251121</t>
        </is>
      </c>
      <c r="B365" s="38" t="inlineStr">
        <is>
          <t>Ivars de Noguera</t>
        </is>
      </c>
      <c r="C365" s="38" t="inlineStr">
        <is>
          <t>121</t>
        </is>
      </c>
      <c r="D365" s="38" t="inlineStr">
        <is>
          <t>62</t>
        </is>
      </c>
      <c r="E365" s="38" t="inlineStr">
        <is>
          <t>183</t>
        </is>
      </c>
      <c r="F365" s="38" t="inlineStr">
        <is>
          <t>0</t>
        </is>
      </c>
      <c r="G365" s="38" t="inlineStr">
        <is>
          <t>183</t>
        </is>
      </c>
      <c r="H365" s="38" t="inlineStr">
        <is>
          <t>0</t>
        </is>
      </c>
    </row>
    <row r="366" ht="15" customHeight="1" s="39">
      <c r="A366" s="42" t="inlineStr">
        <is>
          <t>251142</t>
        </is>
      </c>
      <c r="B366" s="38" t="inlineStr">
        <is>
          <t>Ivorra</t>
        </is>
      </c>
      <c r="C366" s="38" t="inlineStr">
        <is>
          <t>41</t>
        </is>
      </c>
      <c r="D366" s="38" t="inlineStr">
        <is>
          <t>36</t>
        </is>
      </c>
      <c r="E366" s="38" t="inlineStr">
        <is>
          <t>77</t>
        </is>
      </c>
      <c r="F366" s="38" t="inlineStr">
        <is>
          <t>0</t>
        </is>
      </c>
      <c r="G366" s="38" t="inlineStr">
        <is>
          <t>77</t>
        </is>
      </c>
      <c r="H366" s="38" t="inlineStr">
        <is>
          <t>0</t>
        </is>
      </c>
    </row>
    <row r="367" ht="15" customHeight="1" s="39">
      <c r="A367" s="42" t="inlineStr">
        <is>
          <t>170852</t>
        </is>
      </c>
      <c r="B367" s="38" t="inlineStr">
        <is>
          <t>Jafre</t>
        </is>
      </c>
      <c r="C367" s="38" t="inlineStr">
        <is>
          <t>143</t>
        </is>
      </c>
      <c r="D367" s="38" t="inlineStr">
        <is>
          <t>86</t>
        </is>
      </c>
      <c r="E367" s="38" t="inlineStr">
        <is>
          <t>229</t>
        </is>
      </c>
      <c r="F367" s="38" t="inlineStr">
        <is>
          <t>0</t>
        </is>
      </c>
      <c r="G367" s="38" t="inlineStr">
        <is>
          <t>229</t>
        </is>
      </c>
      <c r="H367" s="38" t="inlineStr">
        <is>
          <t>0</t>
        </is>
      </c>
    </row>
    <row r="368" ht="15" customHeight="1" s="39">
      <c r="A368" s="42" t="inlineStr">
        <is>
          <t>170865</t>
        </is>
      </c>
      <c r="B368" s="38" t="inlineStr">
        <is>
          <t>Jonquera, la</t>
        </is>
      </c>
      <c r="C368" s="38" t="inlineStr">
        <is>
          <t>1160</t>
        </is>
      </c>
      <c r="D368" s="38" t="inlineStr">
        <is>
          <t>309</t>
        </is>
      </c>
      <c r="E368" s="38" t="inlineStr">
        <is>
          <t>1469</t>
        </is>
      </c>
      <c r="F368" s="38" t="inlineStr">
        <is>
          <t>0</t>
        </is>
      </c>
      <c r="G368" s="38" t="inlineStr">
        <is>
          <t>1469</t>
        </is>
      </c>
      <c r="H368" s="38" t="inlineStr">
        <is>
          <t>0</t>
        </is>
      </c>
    </row>
    <row r="369" ht="15" customHeight="1" s="39">
      <c r="A369" s="42" t="inlineStr">
        <is>
          <t>081038</t>
        </is>
      </c>
      <c r="B369" s="38" t="inlineStr">
        <is>
          <t>Jorba</t>
        </is>
      </c>
      <c r="C369" s="38" t="inlineStr">
        <is>
          <t>319</t>
        </is>
      </c>
      <c r="D369" s="38" t="inlineStr">
        <is>
          <t>133</t>
        </is>
      </c>
      <c r="E369" s="38" t="inlineStr">
        <is>
          <t>452</t>
        </is>
      </c>
      <c r="F369" s="38" t="inlineStr">
        <is>
          <t>0</t>
        </is>
      </c>
      <c r="G369" s="38" t="inlineStr">
        <is>
          <t>452</t>
        </is>
      </c>
      <c r="H369" s="38" t="inlineStr">
        <is>
          <t>1</t>
        </is>
      </c>
    </row>
    <row r="370" ht="15" customHeight="1" s="39">
      <c r="A370" s="42" t="inlineStr">
        <is>
          <t>259101</t>
        </is>
      </c>
      <c r="B370" s="38" t="inlineStr">
        <is>
          <t>Josa i Tuixén</t>
        </is>
      </c>
      <c r="C370" s="38" t="inlineStr">
        <is>
          <t>61</t>
        </is>
      </c>
      <c r="D370" s="38" t="inlineStr">
        <is>
          <t>149</t>
        </is>
      </c>
      <c r="E370" s="38" t="inlineStr">
        <is>
          <t>210</t>
        </is>
      </c>
      <c r="F370" s="38" t="inlineStr">
        <is>
          <t>0</t>
        </is>
      </c>
      <c r="G370" s="38" t="inlineStr">
        <is>
          <t>210</t>
        </is>
      </c>
      <c r="H370" s="38" t="inlineStr">
        <is>
          <t>0</t>
        </is>
      </c>
    </row>
    <row r="371" ht="15" customHeight="1" s="39">
      <c r="A371" s="42" t="inlineStr">
        <is>
          <t>170871</t>
        </is>
      </c>
      <c r="B371" s="38" t="inlineStr">
        <is>
          <t>Juià</t>
        </is>
      </c>
      <c r="C371" s="38" t="inlineStr">
        <is>
          <t>101</t>
        </is>
      </c>
      <c r="D371" s="38" t="inlineStr">
        <is>
          <t>53</t>
        </is>
      </c>
      <c r="E371" s="38" t="inlineStr">
        <is>
          <t>154</t>
        </is>
      </c>
      <c r="F371" s="38" t="inlineStr">
        <is>
          <t>0</t>
        </is>
      </c>
      <c r="G371" s="38" t="inlineStr">
        <is>
          <t>154</t>
        </is>
      </c>
      <c r="H371" s="38" t="inlineStr">
        <is>
          <t>1</t>
        </is>
      </c>
    </row>
    <row r="372" ht="15" customHeight="1" s="39">
      <c r="A372" s="42" t="inlineStr">
        <is>
          <t>251180</t>
        </is>
      </c>
      <c r="B372" s="38" t="inlineStr">
        <is>
          <t>Juncosa</t>
        </is>
      </c>
      <c r="C372" s="38" t="inlineStr">
        <is>
          <t>167</t>
        </is>
      </c>
      <c r="D372" s="38" t="inlineStr">
        <is>
          <t>153</t>
        </is>
      </c>
      <c r="E372" s="38" t="inlineStr">
        <is>
          <t>320</t>
        </is>
      </c>
      <c r="F372" s="38" t="inlineStr">
        <is>
          <t>0</t>
        </is>
      </c>
      <c r="G372" s="38" t="inlineStr">
        <is>
          <t>320</t>
        </is>
      </c>
      <c r="H372" s="38" t="inlineStr">
        <is>
          <t>0</t>
        </is>
      </c>
    </row>
    <row r="373" ht="15" customHeight="1" s="39">
      <c r="A373" s="42" t="inlineStr">
        <is>
          <t>251193</t>
        </is>
      </c>
      <c r="B373" s="38" t="inlineStr">
        <is>
          <t>Juneda</t>
        </is>
      </c>
      <c r="C373" s="38" t="inlineStr">
        <is>
          <t>1292</t>
        </is>
      </c>
      <c r="D373" s="38" t="inlineStr">
        <is>
          <t>554</t>
        </is>
      </c>
      <c r="E373" s="38" t="inlineStr">
        <is>
          <t>1846</t>
        </is>
      </c>
      <c r="F373" s="38" t="inlineStr">
        <is>
          <t>0</t>
        </is>
      </c>
      <c r="G373" s="38" t="inlineStr">
        <is>
          <t>1846</t>
        </is>
      </c>
      <c r="H373" s="38" t="inlineStr">
        <is>
          <t>7</t>
        </is>
      </c>
    </row>
    <row r="374" ht="15" customHeight="1" s="39">
      <c r="A374" s="42" t="inlineStr">
        <is>
          <t>251214</t>
        </is>
      </c>
      <c r="B374" s="38" t="inlineStr">
        <is>
          <t>Les</t>
        </is>
      </c>
      <c r="C374" s="38" t="inlineStr">
        <is>
          <t>395</t>
        </is>
      </c>
      <c r="D374" s="38" t="inlineStr">
        <is>
          <t>158</t>
        </is>
      </c>
      <c r="E374" s="38" t="inlineStr">
        <is>
          <t>553</t>
        </is>
      </c>
      <c r="F374" s="38" t="inlineStr">
        <is>
          <t>0</t>
        </is>
      </c>
      <c r="G374" s="38" t="inlineStr">
        <is>
          <t>553</t>
        </is>
      </c>
      <c r="H374" s="38" t="inlineStr">
        <is>
          <t>0</t>
        </is>
      </c>
    </row>
    <row r="375" ht="15" customHeight="1" s="39">
      <c r="A375" s="42" t="inlineStr">
        <is>
          <t>251229</t>
        </is>
      </c>
      <c r="B375" s="38" t="inlineStr">
        <is>
          <t>Linyola</t>
        </is>
      </c>
      <c r="C375" s="38" t="inlineStr">
        <is>
          <t>1042</t>
        </is>
      </c>
      <c r="D375" s="38" t="inlineStr">
        <is>
          <t>410</t>
        </is>
      </c>
      <c r="E375" s="38" t="inlineStr">
        <is>
          <t>1452</t>
        </is>
      </c>
      <c r="F375" s="38" t="inlineStr">
        <is>
          <t>0</t>
        </is>
      </c>
      <c r="G375" s="38" t="inlineStr">
        <is>
          <t>1452</t>
        </is>
      </c>
      <c r="H375" s="38" t="inlineStr">
        <is>
          <t>0</t>
        </is>
      </c>
    </row>
    <row r="376" ht="15" customHeight="1" s="39">
      <c r="A376" s="42" t="inlineStr">
        <is>
          <t>081043</t>
        </is>
      </c>
      <c r="B376" s="38" t="inlineStr">
        <is>
          <t>Llacuna, la</t>
        </is>
      </c>
      <c r="C376" s="38" t="inlineStr">
        <is>
          <t>376</t>
        </is>
      </c>
      <c r="D376" s="38" t="inlineStr">
        <is>
          <t>380</t>
        </is>
      </c>
      <c r="E376" s="38" t="inlineStr">
        <is>
          <t>756</t>
        </is>
      </c>
      <c r="F376" s="38" t="inlineStr">
        <is>
          <t>0</t>
        </is>
      </c>
      <c r="G376" s="38" t="inlineStr">
        <is>
          <t>756</t>
        </is>
      </c>
      <c r="H376" s="38" t="inlineStr">
        <is>
          <t>0</t>
        </is>
      </c>
    </row>
    <row r="377" ht="15" customHeight="1" s="39">
      <c r="A377" s="42" t="inlineStr">
        <is>
          <t>170887</t>
        </is>
      </c>
      <c r="B377" s="38" t="inlineStr">
        <is>
          <t>Lladó</t>
        </is>
      </c>
      <c r="C377" s="38" t="inlineStr">
        <is>
          <t>298</t>
        </is>
      </c>
      <c r="D377" s="38" t="inlineStr">
        <is>
          <t>100</t>
        </is>
      </c>
      <c r="E377" s="38" t="inlineStr">
        <is>
          <t>398</t>
        </is>
      </c>
      <c r="F377" s="38" t="inlineStr">
        <is>
          <t>0</t>
        </is>
      </c>
      <c r="G377" s="38" t="inlineStr">
        <is>
          <t>398</t>
        </is>
      </c>
      <c r="H377" s="38" t="inlineStr">
        <is>
          <t>0</t>
        </is>
      </c>
    </row>
    <row r="378" ht="15" customHeight="1" s="39">
      <c r="A378" s="42" t="inlineStr">
        <is>
          <t>251235</t>
        </is>
      </c>
      <c r="B378" s="38" t="inlineStr">
        <is>
          <t>Lladorre</t>
        </is>
      </c>
      <c r="C378" s="38" t="inlineStr">
        <is>
          <t>115</t>
        </is>
      </c>
      <c r="D378" s="38" t="inlineStr">
        <is>
          <t>70</t>
        </is>
      </c>
      <c r="E378" s="38" t="inlineStr">
        <is>
          <t>185</t>
        </is>
      </c>
      <c r="F378" s="38" t="inlineStr">
        <is>
          <t>0</t>
        </is>
      </c>
      <c r="G378" s="38" t="inlineStr">
        <is>
          <t>185</t>
        </is>
      </c>
      <c r="H378" s="38" t="inlineStr">
        <is>
          <t>0</t>
        </is>
      </c>
    </row>
    <row r="379" ht="15" customHeight="1" s="39">
      <c r="A379" s="42" t="inlineStr">
        <is>
          <t>251240</t>
        </is>
      </c>
      <c r="B379" s="38" t="inlineStr">
        <is>
          <t>Lladurs</t>
        </is>
      </c>
      <c r="C379" s="38" t="inlineStr">
        <is>
          <t>68</t>
        </is>
      </c>
      <c r="D379" s="38" t="inlineStr">
        <is>
          <t>53</t>
        </is>
      </c>
      <c r="E379" s="38" t="inlineStr">
        <is>
          <t>121</t>
        </is>
      </c>
      <c r="F379" s="38" t="inlineStr">
        <is>
          <t>0</t>
        </is>
      </c>
      <c r="G379" s="38" t="inlineStr">
        <is>
          <t>121</t>
        </is>
      </c>
      <c r="H379" s="38" t="inlineStr">
        <is>
          <t>0</t>
        </is>
      </c>
    </row>
    <row r="380" ht="15" customHeight="1" s="39">
      <c r="A380" s="42" t="inlineStr">
        <is>
          <t>081056</t>
        </is>
      </c>
      <c r="B380" s="38" t="inlineStr">
        <is>
          <t>Llagosta, la</t>
        </is>
      </c>
      <c r="C380" s="38" t="inlineStr">
        <is>
          <t>5053</t>
        </is>
      </c>
      <c r="D380" s="38" t="inlineStr">
        <is>
          <t>256</t>
        </is>
      </c>
      <c r="E380" s="38" t="inlineStr">
        <is>
          <t>5309</t>
        </is>
      </c>
      <c r="F380" s="38" t="inlineStr">
        <is>
          <t>0</t>
        </is>
      </c>
      <c r="G380" s="38" t="inlineStr">
        <is>
          <t>5309</t>
        </is>
      </c>
      <c r="H380" s="38" t="inlineStr">
        <is>
          <t>0</t>
        </is>
      </c>
    </row>
    <row r="381" ht="15" customHeight="1" s="39">
      <c r="A381" s="42" t="inlineStr">
        <is>
          <t>170890</t>
        </is>
      </c>
      <c r="B381" s="38" t="inlineStr">
        <is>
          <t>Llagostera</t>
        </is>
      </c>
      <c r="C381" s="38" t="inlineStr">
        <is>
          <t>3302</t>
        </is>
      </c>
      <c r="D381" s="38" t="inlineStr">
        <is>
          <t>1179</t>
        </is>
      </c>
      <c r="E381" s="38" t="inlineStr">
        <is>
          <t>4481</t>
        </is>
      </c>
      <c r="F381" s="38" t="inlineStr">
        <is>
          <t>0</t>
        </is>
      </c>
      <c r="G381" s="38" t="inlineStr">
        <is>
          <t>4481</t>
        </is>
      </c>
      <c r="H381" s="38" t="inlineStr">
        <is>
          <t>3</t>
        </is>
      </c>
    </row>
    <row r="382" ht="15" customHeight="1" s="39">
      <c r="A382" s="42" t="inlineStr">
        <is>
          <t>170904</t>
        </is>
      </c>
      <c r="B382" s="38" t="inlineStr">
        <is>
          <t>Llambilles</t>
        </is>
      </c>
      <c r="C382" s="38" t="inlineStr">
        <is>
          <t>244</t>
        </is>
      </c>
      <c r="D382" s="38" t="inlineStr">
        <is>
          <t>43</t>
        </is>
      </c>
      <c r="E382" s="38" t="inlineStr">
        <is>
          <t>287</t>
        </is>
      </c>
      <c r="F382" s="38" t="inlineStr">
        <is>
          <t>0</t>
        </is>
      </c>
      <c r="G382" s="38" t="inlineStr">
        <is>
          <t>287</t>
        </is>
      </c>
      <c r="H382" s="38" t="inlineStr">
        <is>
          <t>0</t>
        </is>
      </c>
    </row>
    <row r="383" ht="15" customHeight="1" s="39">
      <c r="A383" s="42" t="inlineStr">
        <is>
          <t>170911</t>
        </is>
      </c>
      <c r="B383" s="38" t="inlineStr">
        <is>
          <t>Llanars</t>
        </is>
      </c>
      <c r="C383" s="38" t="inlineStr">
        <is>
          <t>228</t>
        </is>
      </c>
      <c r="D383" s="38" t="inlineStr">
        <is>
          <t>555</t>
        </is>
      </c>
      <c r="E383" s="38" t="inlineStr">
        <is>
          <t>783</t>
        </is>
      </c>
      <c r="F383" s="38" t="inlineStr">
        <is>
          <t>0</t>
        </is>
      </c>
      <c r="G383" s="38" t="inlineStr">
        <is>
          <t>783</t>
        </is>
      </c>
      <c r="H383" s="38" t="inlineStr">
        <is>
          <t>0</t>
        </is>
      </c>
    </row>
    <row r="384" ht="15" customHeight="1" s="39">
      <c r="A384" s="42" t="inlineStr">
        <is>
          <t>170926</t>
        </is>
      </c>
      <c r="B384" s="38" t="inlineStr">
        <is>
          <t>Llançà</t>
        </is>
      </c>
      <c r="C384" s="38" t="inlineStr">
        <is>
          <t>2200</t>
        </is>
      </c>
      <c r="D384" s="38" t="inlineStr">
        <is>
          <t>6046</t>
        </is>
      </c>
      <c r="E384" s="38" t="inlineStr">
        <is>
          <t>8246</t>
        </is>
      </c>
      <c r="F384" s="38" t="inlineStr">
        <is>
          <t>0</t>
        </is>
      </c>
      <c r="G384" s="38" t="inlineStr">
        <is>
          <t>8246</t>
        </is>
      </c>
      <c r="H384" s="38" t="inlineStr">
        <is>
          <t>0</t>
        </is>
      </c>
    </row>
    <row r="385" ht="15" customHeight="1" s="39">
      <c r="A385" s="42" t="inlineStr">
        <is>
          <t>251253</t>
        </is>
      </c>
      <c r="B385" s="38" t="inlineStr">
        <is>
          <t>Llardecans</t>
        </is>
      </c>
      <c r="C385" s="38" t="inlineStr">
        <is>
          <t>182</t>
        </is>
      </c>
      <c r="D385" s="38" t="inlineStr">
        <is>
          <t>147</t>
        </is>
      </c>
      <c r="E385" s="38" t="inlineStr">
        <is>
          <t>329</t>
        </is>
      </c>
      <c r="F385" s="38" t="inlineStr">
        <is>
          <t>0</t>
        </is>
      </c>
      <c r="G385" s="38" t="inlineStr">
        <is>
          <t>329</t>
        </is>
      </c>
      <c r="H385" s="38" t="inlineStr">
        <is>
          <t>0</t>
        </is>
      </c>
    </row>
    <row r="386" ht="15" customHeight="1" s="39">
      <c r="A386" s="42" t="inlineStr">
        <is>
          <t>251266</t>
        </is>
      </c>
      <c r="B386" s="38" t="inlineStr">
        <is>
          <t>Llavorsí</t>
        </is>
      </c>
      <c r="C386" s="38" t="inlineStr">
        <is>
          <t>169</t>
        </is>
      </c>
      <c r="D386" s="38" t="inlineStr">
        <is>
          <t>206</t>
        </is>
      </c>
      <c r="E386" s="38" t="inlineStr">
        <is>
          <t>375</t>
        </is>
      </c>
      <c r="F386" s="38" t="inlineStr">
        <is>
          <t>0</t>
        </is>
      </c>
      <c r="G386" s="38" t="inlineStr">
        <is>
          <t>375</t>
        </is>
      </c>
      <c r="H386" s="38" t="inlineStr">
        <is>
          <t>0</t>
        </is>
      </c>
    </row>
    <row r="387" ht="15" customHeight="1" s="39">
      <c r="A387" s="42" t="inlineStr">
        <is>
          <t>251207</t>
        </is>
      </c>
      <c r="B387" s="38" t="inlineStr">
        <is>
          <t>Lleida</t>
        </is>
      </c>
      <c r="C387" s="38" t="inlineStr">
        <is>
          <t>54542</t>
        </is>
      </c>
      <c r="D387" s="38" t="inlineStr">
        <is>
          <t>13757</t>
        </is>
      </c>
      <c r="E387" s="38" t="inlineStr">
        <is>
          <t>68299</t>
        </is>
      </c>
      <c r="F387" s="38" t="inlineStr">
        <is>
          <t>0</t>
        </is>
      </c>
      <c r="G387" s="38" t="inlineStr">
        <is>
          <t>68299</t>
        </is>
      </c>
      <c r="H387" s="38" t="inlineStr">
        <is>
          <t>68</t>
        </is>
      </c>
    </row>
    <row r="388" ht="15" customHeight="1" s="39">
      <c r="A388" s="42" t="inlineStr">
        <is>
          <t>170932</t>
        </is>
      </c>
      <c r="B388" s="38" t="inlineStr">
        <is>
          <t>Llers</t>
        </is>
      </c>
      <c r="C388" s="38" t="inlineStr">
        <is>
          <t>453</t>
        </is>
      </c>
      <c r="D388" s="38" t="inlineStr">
        <is>
          <t>97</t>
        </is>
      </c>
      <c r="E388" s="38" t="inlineStr">
        <is>
          <t>550</t>
        </is>
      </c>
      <c r="F388" s="38" t="inlineStr">
        <is>
          <t>0</t>
        </is>
      </c>
      <c r="G388" s="38" t="inlineStr">
        <is>
          <t>550</t>
        </is>
      </c>
      <c r="H388" s="38" t="inlineStr">
        <is>
          <t>0</t>
        </is>
      </c>
    </row>
    <row r="389" ht="15" customHeight="1" s="39">
      <c r="A389" s="42" t="inlineStr">
        <is>
          <t>251272</t>
        </is>
      </c>
      <c r="B389" s="38" t="inlineStr">
        <is>
          <t>Lles de Cerdanya</t>
        </is>
      </c>
      <c r="C389" s="38" t="inlineStr">
        <is>
          <t>124</t>
        </is>
      </c>
      <c r="D389" s="38" t="inlineStr">
        <is>
          <t>198</t>
        </is>
      </c>
      <c r="E389" s="38" t="inlineStr">
        <is>
          <t>322</t>
        </is>
      </c>
      <c r="F389" s="38" t="inlineStr">
        <is>
          <t>0</t>
        </is>
      </c>
      <c r="G389" s="38" t="inlineStr">
        <is>
          <t>322</t>
        </is>
      </c>
      <c r="H389" s="38" t="inlineStr">
        <is>
          <t>0</t>
        </is>
      </c>
    </row>
    <row r="390" ht="15" customHeight="1" s="39">
      <c r="A390" s="42" t="inlineStr">
        <is>
          <t>081075</t>
        </is>
      </c>
      <c r="B390" s="38" t="inlineStr">
        <is>
          <t>Lliçà d'Amunt</t>
        </is>
      </c>
      <c r="C390" s="38" t="inlineStr">
        <is>
          <t>5383</t>
        </is>
      </c>
      <c r="D390" s="38" t="inlineStr">
        <is>
          <t>1261</t>
        </is>
      </c>
      <c r="E390" s="38" t="inlineStr">
        <is>
          <t>6644</t>
        </is>
      </c>
      <c r="F390" s="38" t="inlineStr">
        <is>
          <t>0</t>
        </is>
      </c>
      <c r="G390" s="38" t="inlineStr">
        <is>
          <t>6644</t>
        </is>
      </c>
      <c r="H390" s="38" t="inlineStr">
        <is>
          <t>1</t>
        </is>
      </c>
    </row>
    <row r="391" ht="15" customHeight="1" s="39">
      <c r="A391" s="42" t="inlineStr">
        <is>
          <t>081081</t>
        </is>
      </c>
      <c r="B391" s="38" t="inlineStr">
        <is>
          <t>Lliçà de Vall</t>
        </is>
      </c>
      <c r="C391" s="38" t="inlineStr">
        <is>
          <t>2263</t>
        </is>
      </c>
      <c r="D391" s="38" t="inlineStr">
        <is>
          <t>417</t>
        </is>
      </c>
      <c r="E391" s="38" t="inlineStr">
        <is>
          <t>2680</t>
        </is>
      </c>
      <c r="F391" s="38" t="inlineStr">
        <is>
          <t>0</t>
        </is>
      </c>
      <c r="G391" s="38" t="inlineStr">
        <is>
          <t>2680</t>
        </is>
      </c>
      <c r="H391" s="38" t="inlineStr">
        <is>
          <t>2</t>
        </is>
      </c>
    </row>
    <row r="392" ht="15" customHeight="1" s="39">
      <c r="A392" s="42" t="inlineStr">
        <is>
          <t>251288</t>
        </is>
      </c>
      <c r="B392" s="38" t="inlineStr">
        <is>
          <t>Llimiana</t>
        </is>
      </c>
      <c r="C392" s="38" t="inlineStr">
        <is>
          <t>61</t>
        </is>
      </c>
      <c r="D392" s="38" t="inlineStr">
        <is>
          <t>98</t>
        </is>
      </c>
      <c r="E392" s="38" t="inlineStr">
        <is>
          <t>159</t>
        </is>
      </c>
      <c r="F392" s="38" t="inlineStr">
        <is>
          <t>0</t>
        </is>
      </c>
      <c r="G392" s="38" t="inlineStr">
        <is>
          <t>159</t>
        </is>
      </c>
      <c r="H392" s="38" t="inlineStr">
        <is>
          <t>0</t>
        </is>
      </c>
    </row>
    <row r="393" ht="15" customHeight="1" s="39">
      <c r="A393" s="42" t="inlineStr">
        <is>
          <t>081069</t>
        </is>
      </c>
      <c r="B393" s="38" t="inlineStr">
        <is>
          <t>Llinars del Vallès</t>
        </is>
      </c>
      <c r="C393" s="38" t="inlineStr">
        <is>
          <t>3741</t>
        </is>
      </c>
      <c r="D393" s="38" t="inlineStr">
        <is>
          <t>580</t>
        </is>
      </c>
      <c r="E393" s="38" t="inlineStr">
        <is>
          <t>4321</t>
        </is>
      </c>
      <c r="F393" s="38" t="inlineStr">
        <is>
          <t>0</t>
        </is>
      </c>
      <c r="G393" s="38" t="inlineStr">
        <is>
          <t>4321</t>
        </is>
      </c>
      <c r="H393" s="38" t="inlineStr">
        <is>
          <t>5</t>
        </is>
      </c>
    </row>
    <row r="394" ht="15" customHeight="1" s="39">
      <c r="A394" s="42" t="inlineStr">
        <is>
          <t>170947</t>
        </is>
      </c>
      <c r="B394" s="38" t="inlineStr">
        <is>
          <t>Llívia</t>
        </is>
      </c>
      <c r="C394" s="38" t="inlineStr">
        <is>
          <t>676</t>
        </is>
      </c>
      <c r="D394" s="38" t="inlineStr">
        <is>
          <t>1704</t>
        </is>
      </c>
      <c r="E394" s="38" t="inlineStr">
        <is>
          <t>2380</t>
        </is>
      </c>
      <c r="F394" s="38" t="inlineStr">
        <is>
          <t>0</t>
        </is>
      </c>
      <c r="G394" s="38" t="inlineStr">
        <is>
          <t>2380</t>
        </is>
      </c>
      <c r="H394" s="38" t="inlineStr">
        <is>
          <t>0</t>
        </is>
      </c>
    </row>
    <row r="395" ht="15" customHeight="1" s="39">
      <c r="A395" s="42" t="inlineStr">
        <is>
          <t>430727</t>
        </is>
      </c>
      <c r="B395" s="38" t="inlineStr">
        <is>
          <t>Lloar, el</t>
        </is>
      </c>
      <c r="C395" s="38" t="inlineStr">
        <is>
          <t>50</t>
        </is>
      </c>
      <c r="D395" s="38" t="inlineStr">
        <is>
          <t>73</t>
        </is>
      </c>
      <c r="E395" s="38" t="inlineStr">
        <is>
          <t>123</t>
        </is>
      </c>
      <c r="F395" s="38" t="inlineStr">
        <is>
          <t>0</t>
        </is>
      </c>
      <c r="G395" s="38" t="inlineStr">
        <is>
          <t>123</t>
        </is>
      </c>
      <c r="H395" s="38" t="inlineStr">
        <is>
          <t>0</t>
        </is>
      </c>
    </row>
    <row r="396" ht="15" customHeight="1" s="39">
      <c r="A396" s="42" t="inlineStr">
        <is>
          <t>251291</t>
        </is>
      </c>
      <c r="B396" s="38" t="inlineStr">
        <is>
          <t>Llobera</t>
        </is>
      </c>
      <c r="C396" s="38" t="inlineStr">
        <is>
          <t>57</t>
        </is>
      </c>
      <c r="D396" s="38" t="inlineStr">
        <is>
          <t>25</t>
        </is>
      </c>
      <c r="E396" s="38" t="inlineStr">
        <is>
          <t>82</t>
        </is>
      </c>
      <c r="F396" s="38" t="inlineStr">
        <is>
          <t>0</t>
        </is>
      </c>
      <c r="G396" s="38" t="inlineStr">
        <is>
          <t>82</t>
        </is>
      </c>
      <c r="H396" s="38" t="inlineStr">
        <is>
          <t>0</t>
        </is>
      </c>
    </row>
    <row r="397" ht="15" customHeight="1" s="39">
      <c r="A397" s="42" t="inlineStr">
        <is>
          <t>430733</t>
        </is>
      </c>
      <c r="B397" s="38" t="inlineStr">
        <is>
          <t>Llorac</t>
        </is>
      </c>
      <c r="C397" s="38" t="inlineStr">
        <is>
          <t>42</t>
        </is>
      </c>
      <c r="D397" s="38" t="inlineStr">
        <is>
          <t>63</t>
        </is>
      </c>
      <c r="E397" s="38" t="inlineStr">
        <is>
          <t>105</t>
        </is>
      </c>
      <c r="F397" s="38" t="inlineStr">
        <is>
          <t>0</t>
        </is>
      </c>
      <c r="G397" s="38" t="inlineStr">
        <is>
          <t>105</t>
        </is>
      </c>
      <c r="H397" s="38" t="inlineStr">
        <is>
          <t>0</t>
        </is>
      </c>
    </row>
    <row r="398" ht="15" customHeight="1" s="39">
      <c r="A398" s="42" t="inlineStr">
        <is>
          <t>430748</t>
        </is>
      </c>
      <c r="B398" s="38" t="inlineStr">
        <is>
          <t>Llorenç del Penedès</t>
        </is>
      </c>
      <c r="C398" s="38" t="inlineStr">
        <is>
          <t>859</t>
        </is>
      </c>
      <c r="D398" s="38" t="inlineStr">
        <is>
          <t>252</t>
        </is>
      </c>
      <c r="E398" s="38" t="inlineStr">
        <is>
          <t>1111</t>
        </is>
      </c>
      <c r="F398" s="38" t="inlineStr">
        <is>
          <t>0</t>
        </is>
      </c>
      <c r="G398" s="38" t="inlineStr">
        <is>
          <t>1111</t>
        </is>
      </c>
      <c r="H398" s="38" t="inlineStr">
        <is>
          <t>1</t>
        </is>
      </c>
    </row>
    <row r="399" ht="15" customHeight="1" s="39">
      <c r="A399" s="42" t="inlineStr">
        <is>
          <t>170950</t>
        </is>
      </c>
      <c r="B399" s="38" t="inlineStr">
        <is>
          <t>Lloret de Mar</t>
        </is>
      </c>
      <c r="C399" s="38" t="inlineStr">
        <is>
          <t>15288</t>
        </is>
      </c>
      <c r="D399" s="38" t="inlineStr">
        <is>
          <t>10208</t>
        </is>
      </c>
      <c r="E399" s="38" t="inlineStr">
        <is>
          <t>25496</t>
        </is>
      </c>
      <c r="F399" s="38" t="inlineStr">
        <is>
          <t>0</t>
        </is>
      </c>
      <c r="G399" s="38" t="inlineStr">
        <is>
          <t>25496</t>
        </is>
      </c>
      <c r="H399" s="38" t="inlineStr">
        <is>
          <t>3</t>
        </is>
      </c>
    </row>
    <row r="400" ht="15" customHeight="1" s="39">
      <c r="A400" s="42" t="inlineStr">
        <is>
          <t>170963</t>
        </is>
      </c>
      <c r="B400" s="38" t="inlineStr">
        <is>
          <t>Llosses, les</t>
        </is>
      </c>
      <c r="C400" s="38" t="inlineStr">
        <is>
          <t>88</t>
        </is>
      </c>
      <c r="D400" s="38" t="inlineStr">
        <is>
          <t>58</t>
        </is>
      </c>
      <c r="E400" s="38" t="inlineStr">
        <is>
          <t>146</t>
        </is>
      </c>
      <c r="F400" s="38" t="inlineStr">
        <is>
          <t>0</t>
        </is>
      </c>
      <c r="G400" s="38" t="inlineStr">
        <is>
          <t>146</t>
        </is>
      </c>
      <c r="H400" s="38" t="inlineStr">
        <is>
          <t>0</t>
        </is>
      </c>
    </row>
    <row r="401" ht="15" customHeight="1" s="39">
      <c r="A401" s="42" t="inlineStr">
        <is>
          <t>081094</t>
        </is>
      </c>
      <c r="B401" s="38" t="inlineStr">
        <is>
          <t>Lluçà</t>
        </is>
      </c>
      <c r="C401" s="38" t="inlineStr">
        <is>
          <t>102</t>
        </is>
      </c>
      <c r="D401" s="38" t="inlineStr">
        <is>
          <t>101</t>
        </is>
      </c>
      <c r="E401" s="38" t="inlineStr">
        <is>
          <t>203</t>
        </is>
      </c>
      <c r="F401" s="38" t="inlineStr">
        <is>
          <t>0</t>
        </is>
      </c>
      <c r="G401" s="38" t="inlineStr">
        <is>
          <t>203</t>
        </is>
      </c>
      <c r="H401" s="38" t="inlineStr">
        <is>
          <t>0</t>
        </is>
      </c>
    </row>
    <row r="402" ht="15" customHeight="1" s="39">
      <c r="A402" s="42" t="inlineStr">
        <is>
          <t>171024</t>
        </is>
      </c>
      <c r="B402" s="38" t="inlineStr">
        <is>
          <t>Maçanet de Cabrenys</t>
        </is>
      </c>
      <c r="C402" s="38" t="inlineStr">
        <is>
          <t>333</t>
        </is>
      </c>
      <c r="D402" s="38" t="inlineStr">
        <is>
          <t>351</t>
        </is>
      </c>
      <c r="E402" s="38" t="inlineStr">
        <is>
          <t>684</t>
        </is>
      </c>
      <c r="F402" s="38" t="inlineStr">
        <is>
          <t>0</t>
        </is>
      </c>
      <c r="G402" s="38" t="inlineStr">
        <is>
          <t>684</t>
        </is>
      </c>
      <c r="H402" s="38" t="inlineStr">
        <is>
          <t>0</t>
        </is>
      </c>
    </row>
    <row r="403" ht="15" customHeight="1" s="39">
      <c r="A403" s="42" t="inlineStr">
        <is>
          <t>171030</t>
        </is>
      </c>
      <c r="B403" s="38" t="inlineStr">
        <is>
          <t>Maçanet de la Selva</t>
        </is>
      </c>
      <c r="C403" s="38" t="inlineStr">
        <is>
          <t>2831</t>
        </is>
      </c>
      <c r="D403" s="38" t="inlineStr">
        <is>
          <t>1740</t>
        </is>
      </c>
      <c r="E403" s="38" t="inlineStr">
        <is>
          <t>4571</t>
        </is>
      </c>
      <c r="F403" s="38" t="inlineStr">
        <is>
          <t>0</t>
        </is>
      </c>
      <c r="G403" s="38" t="inlineStr">
        <is>
          <t>4571</t>
        </is>
      </c>
      <c r="H403" s="38" t="inlineStr">
        <is>
          <t>1</t>
        </is>
      </c>
    </row>
    <row r="404" ht="15" customHeight="1" s="39">
      <c r="A404" s="42" t="inlineStr">
        <is>
          <t>170979</t>
        </is>
      </c>
      <c r="B404" s="38" t="inlineStr">
        <is>
          <t>Madremanya</t>
        </is>
      </c>
      <c r="C404" s="38" t="inlineStr">
        <is>
          <t>106</t>
        </is>
      </c>
      <c r="D404" s="38" t="inlineStr">
        <is>
          <t>63</t>
        </is>
      </c>
      <c r="E404" s="38" t="inlineStr">
        <is>
          <t>169</t>
        </is>
      </c>
      <c r="F404" s="38" t="inlineStr">
        <is>
          <t>0</t>
        </is>
      </c>
      <c r="G404" s="38" t="inlineStr">
        <is>
          <t>169</t>
        </is>
      </c>
      <c r="H404" s="38" t="inlineStr">
        <is>
          <t>0</t>
        </is>
      </c>
    </row>
    <row r="405" ht="15" customHeight="1" s="39">
      <c r="A405" s="42" t="inlineStr">
        <is>
          <t>170985</t>
        </is>
      </c>
      <c r="B405" s="38" t="inlineStr">
        <is>
          <t>Maià de Montcal</t>
        </is>
      </c>
      <c r="C405" s="38" t="inlineStr">
        <is>
          <t>176</t>
        </is>
      </c>
      <c r="D405" s="38" t="inlineStr">
        <is>
          <t>77</t>
        </is>
      </c>
      <c r="E405" s="38" t="inlineStr">
        <is>
          <t>253</t>
        </is>
      </c>
      <c r="F405" s="38" t="inlineStr">
        <is>
          <t>0</t>
        </is>
      </c>
      <c r="G405" s="38" t="inlineStr">
        <is>
          <t>253</t>
        </is>
      </c>
      <c r="H405" s="38" t="inlineStr">
        <is>
          <t>1</t>
        </is>
      </c>
    </row>
    <row r="406" ht="15" customHeight="1" s="39">
      <c r="A406" s="42" t="inlineStr">
        <is>
          <t>251333</t>
        </is>
      </c>
      <c r="B406" s="38" t="inlineStr">
        <is>
          <t>Maials</t>
        </is>
      </c>
      <c r="C406" s="38" t="inlineStr">
        <is>
          <t>359</t>
        </is>
      </c>
      <c r="D406" s="38" t="inlineStr">
        <is>
          <t>253</t>
        </is>
      </c>
      <c r="E406" s="38" t="inlineStr">
        <is>
          <t>612</t>
        </is>
      </c>
      <c r="F406" s="38" t="inlineStr">
        <is>
          <t>0</t>
        </is>
      </c>
      <c r="G406" s="38" t="inlineStr">
        <is>
          <t>612</t>
        </is>
      </c>
      <c r="H406" s="38" t="inlineStr">
        <is>
          <t>0</t>
        </is>
      </c>
    </row>
    <row r="407" ht="15" customHeight="1" s="39">
      <c r="A407" s="42" t="inlineStr">
        <is>
          <t>251305</t>
        </is>
      </c>
      <c r="B407" s="38" t="inlineStr">
        <is>
          <t>Maldà</t>
        </is>
      </c>
      <c r="C407" s="38" t="inlineStr">
        <is>
          <t>99</t>
        </is>
      </c>
      <c r="D407" s="38" t="inlineStr">
        <is>
          <t>150</t>
        </is>
      </c>
      <c r="E407" s="38" t="inlineStr">
        <is>
          <t>249</t>
        </is>
      </c>
      <c r="F407" s="38" t="inlineStr">
        <is>
          <t>0</t>
        </is>
      </c>
      <c r="G407" s="38" t="inlineStr">
        <is>
          <t>249</t>
        </is>
      </c>
      <c r="H407" s="38" t="inlineStr">
        <is>
          <t>1</t>
        </is>
      </c>
    </row>
    <row r="408" ht="15" customHeight="1" s="39">
      <c r="A408" s="42" t="inlineStr">
        <is>
          <t>081108</t>
        </is>
      </c>
      <c r="B408" s="38" t="inlineStr">
        <is>
          <t>Malgrat de Mar</t>
        </is>
      </c>
      <c r="C408" s="38" t="inlineStr">
        <is>
          <t>7483</t>
        </is>
      </c>
      <c r="D408" s="38" t="inlineStr">
        <is>
          <t>2677</t>
        </is>
      </c>
      <c r="E408" s="38" t="inlineStr">
        <is>
          <t>10160</t>
        </is>
      </c>
      <c r="F408" s="38" t="inlineStr">
        <is>
          <t>0</t>
        </is>
      </c>
      <c r="G408" s="38" t="inlineStr">
        <is>
          <t>10160</t>
        </is>
      </c>
      <c r="H408" s="38" t="inlineStr">
        <is>
          <t>6</t>
        </is>
      </c>
    </row>
    <row r="409" ht="15" customHeight="1" s="39">
      <c r="A409" s="42" t="inlineStr">
        <is>
          <t>081115</t>
        </is>
      </c>
      <c r="B409" s="38" t="inlineStr">
        <is>
          <t>Malla</t>
        </is>
      </c>
      <c r="C409" s="38" t="inlineStr">
        <is>
          <t>89</t>
        </is>
      </c>
      <c r="D409" s="38" t="inlineStr">
        <is>
          <t>22</t>
        </is>
      </c>
      <c r="E409" s="38" t="inlineStr">
        <is>
          <t>111</t>
        </is>
      </c>
      <c r="F409" s="38" t="inlineStr">
        <is>
          <t>0</t>
        </is>
      </c>
      <c r="G409" s="38" t="inlineStr">
        <is>
          <t>111</t>
        </is>
      </c>
      <c r="H409" s="38" t="inlineStr">
        <is>
          <t>0</t>
        </is>
      </c>
    </row>
    <row r="410" ht="15" customHeight="1" s="39">
      <c r="A410" s="42" t="inlineStr">
        <is>
          <t>081120</t>
        </is>
      </c>
      <c r="B410" s="38" t="inlineStr">
        <is>
          <t>Manlleu</t>
        </is>
      </c>
      <c r="C410" s="38" t="inlineStr">
        <is>
          <t>7416</t>
        </is>
      </c>
      <c r="D410" s="38" t="inlineStr">
        <is>
          <t>1471</t>
        </is>
      </c>
      <c r="E410" s="38" t="inlineStr">
        <is>
          <t>8887</t>
        </is>
      </c>
      <c r="F410" s="38" t="inlineStr">
        <is>
          <t>0</t>
        </is>
      </c>
      <c r="G410" s="38" t="inlineStr">
        <is>
          <t>8887</t>
        </is>
      </c>
      <c r="H410" s="38" t="inlineStr">
        <is>
          <t>3</t>
        </is>
      </c>
    </row>
    <row r="411" ht="15" customHeight="1" s="39">
      <c r="A411" s="42" t="inlineStr">
        <is>
          <t>081136</t>
        </is>
      </c>
      <c r="B411" s="38" t="inlineStr">
        <is>
          <t>Manresa</t>
        </is>
      </c>
      <c r="C411" s="38" t="inlineStr">
        <is>
          <t>31030</t>
        </is>
      </c>
      <c r="D411" s="38" t="inlineStr">
        <is>
          <t>9106</t>
        </is>
      </c>
      <c r="E411" s="38" t="inlineStr">
        <is>
          <t>40136</t>
        </is>
      </c>
      <c r="F411" s="38" t="inlineStr">
        <is>
          <t>0</t>
        </is>
      </c>
      <c r="G411" s="38" t="inlineStr">
        <is>
          <t>40136</t>
        </is>
      </c>
      <c r="H411" s="38" t="inlineStr">
        <is>
          <t>35</t>
        </is>
      </c>
    </row>
    <row r="412" ht="15" customHeight="1" s="39">
      <c r="A412" s="42" t="inlineStr">
        <is>
          <t>430764</t>
        </is>
      </c>
      <c r="B412" s="38" t="inlineStr">
        <is>
          <t>Marçà</t>
        </is>
      </c>
      <c r="C412" s="38" t="inlineStr">
        <is>
          <t>245</t>
        </is>
      </c>
      <c r="D412" s="38" t="inlineStr">
        <is>
          <t>247</t>
        </is>
      </c>
      <c r="E412" s="38" t="inlineStr">
        <is>
          <t>492</t>
        </is>
      </c>
      <c r="F412" s="38" t="inlineStr">
        <is>
          <t>0</t>
        </is>
      </c>
      <c r="G412" s="38" t="inlineStr">
        <is>
          <t>492</t>
        </is>
      </c>
      <c r="H412" s="38" t="inlineStr">
        <is>
          <t>0</t>
        </is>
      </c>
    </row>
    <row r="413" ht="15" customHeight="1" s="39">
      <c r="A413" s="42" t="inlineStr">
        <is>
          <t>430751</t>
        </is>
      </c>
      <c r="B413" s="38" t="inlineStr">
        <is>
          <t>Margalef</t>
        </is>
      </c>
      <c r="C413" s="38" t="inlineStr">
        <is>
          <t>52</t>
        </is>
      </c>
      <c r="D413" s="38" t="inlineStr">
        <is>
          <t>107</t>
        </is>
      </c>
      <c r="E413" s="38" t="inlineStr">
        <is>
          <t>159</t>
        </is>
      </c>
      <c r="F413" s="38" t="inlineStr">
        <is>
          <t>0</t>
        </is>
      </c>
      <c r="G413" s="38" t="inlineStr">
        <is>
          <t>159</t>
        </is>
      </c>
      <c r="H413" s="38" t="inlineStr">
        <is>
          <t>0</t>
        </is>
      </c>
    </row>
    <row r="414" ht="15" customHeight="1" s="39">
      <c r="A414" s="42" t="inlineStr">
        <is>
          <t>082423</t>
        </is>
      </c>
      <c r="B414" s="38" t="inlineStr">
        <is>
          <t>Marganell</t>
        </is>
      </c>
      <c r="C414" s="38" t="inlineStr">
        <is>
          <t>118</t>
        </is>
      </c>
      <c r="D414" s="38" t="inlineStr">
        <is>
          <t>149</t>
        </is>
      </c>
      <c r="E414" s="38" t="inlineStr">
        <is>
          <t>267</t>
        </is>
      </c>
      <c r="F414" s="38" t="inlineStr">
        <is>
          <t>0</t>
        </is>
      </c>
      <c r="G414" s="38" t="inlineStr">
        <is>
          <t>267</t>
        </is>
      </c>
      <c r="H414" s="38" t="inlineStr">
        <is>
          <t>1</t>
        </is>
      </c>
    </row>
    <row r="415" ht="15" customHeight="1" s="39">
      <c r="A415" s="42" t="inlineStr">
        <is>
          <t>081141</t>
        </is>
      </c>
      <c r="B415" s="38" t="inlineStr">
        <is>
          <t>Martorell</t>
        </is>
      </c>
      <c r="C415" s="38" t="inlineStr">
        <is>
          <t>9967</t>
        </is>
      </c>
      <c r="D415" s="38" t="inlineStr">
        <is>
          <t>718</t>
        </is>
      </c>
      <c r="E415" s="38" t="inlineStr">
        <is>
          <t>10685</t>
        </is>
      </c>
      <c r="F415" s="38" t="inlineStr">
        <is>
          <t>0</t>
        </is>
      </c>
      <c r="G415" s="38" t="inlineStr">
        <is>
          <t>10685</t>
        </is>
      </c>
      <c r="H415" s="38" t="inlineStr">
        <is>
          <t>11</t>
        </is>
      </c>
    </row>
    <row r="416" ht="15" customHeight="1" s="39">
      <c r="A416" s="42" t="inlineStr">
        <is>
          <t>081154</t>
        </is>
      </c>
      <c r="B416" s="38" t="inlineStr">
        <is>
          <t>Martorelles</t>
        </is>
      </c>
      <c r="C416" s="38" t="inlineStr">
        <is>
          <t>1827</t>
        </is>
      </c>
      <c r="D416" s="38" t="inlineStr">
        <is>
          <t>230</t>
        </is>
      </c>
      <c r="E416" s="38" t="inlineStr">
        <is>
          <t>2057</t>
        </is>
      </c>
      <c r="F416" s="38" t="inlineStr">
        <is>
          <t>0</t>
        </is>
      </c>
      <c r="G416" s="38" t="inlineStr">
        <is>
          <t>2057</t>
        </is>
      </c>
      <c r="H416" s="38" t="inlineStr">
        <is>
          <t>1</t>
        </is>
      </c>
    </row>
    <row r="417" ht="15" customHeight="1" s="39">
      <c r="A417" s="42" t="inlineStr">
        <is>
          <t>430770</t>
        </is>
      </c>
      <c r="B417" s="38" t="inlineStr">
        <is>
          <t>Mas de Barberans</t>
        </is>
      </c>
      <c r="C417" s="38" t="inlineStr">
        <is>
          <t>240</t>
        </is>
      </c>
      <c r="D417" s="38" t="inlineStr">
        <is>
          <t>175</t>
        </is>
      </c>
      <c r="E417" s="38" t="inlineStr">
        <is>
          <t>415</t>
        </is>
      </c>
      <c r="F417" s="38" t="inlineStr">
        <is>
          <t>0</t>
        </is>
      </c>
      <c r="G417" s="38" t="inlineStr">
        <is>
          <t>415</t>
        </is>
      </c>
      <c r="H417" s="38" t="inlineStr">
        <is>
          <t>0</t>
        </is>
      </c>
    </row>
    <row r="418" ht="15" customHeight="1" s="39">
      <c r="A418" s="42" t="inlineStr">
        <is>
          <t>171002</t>
        </is>
      </c>
      <c r="B418" s="38" t="inlineStr">
        <is>
          <t>Masarac i Vilarnadal</t>
        </is>
      </c>
      <c r="C418" s="38" t="inlineStr">
        <is>
          <t>107</t>
        </is>
      </c>
      <c r="D418" s="38" t="inlineStr">
        <is>
          <t>35</t>
        </is>
      </c>
      <c r="E418" s="38" t="inlineStr">
        <is>
          <t>142</t>
        </is>
      </c>
      <c r="F418" s="38" t="inlineStr">
        <is>
          <t>0</t>
        </is>
      </c>
      <c r="G418" s="38" t="inlineStr">
        <is>
          <t>142</t>
        </is>
      </c>
      <c r="H418" s="38" t="inlineStr">
        <is>
          <t>0</t>
        </is>
      </c>
    </row>
    <row r="419" ht="15" customHeight="1" s="39">
      <c r="A419" s="42" t="inlineStr">
        <is>
          <t>430786</t>
        </is>
      </c>
      <c r="B419" s="38" t="inlineStr">
        <is>
          <t>Masdenverge</t>
        </is>
      </c>
      <c r="C419" s="38" t="inlineStr">
        <is>
          <t>441</t>
        </is>
      </c>
      <c r="D419" s="38" t="inlineStr">
        <is>
          <t>311</t>
        </is>
      </c>
      <c r="E419" s="38" t="inlineStr">
        <is>
          <t>752</t>
        </is>
      </c>
      <c r="F419" s="38" t="inlineStr">
        <is>
          <t>0</t>
        </is>
      </c>
      <c r="G419" s="38" t="inlineStr">
        <is>
          <t>752</t>
        </is>
      </c>
      <c r="H419" s="38" t="inlineStr">
        <is>
          <t>0</t>
        </is>
      </c>
    </row>
    <row r="420" ht="15" customHeight="1" s="39">
      <c r="A420" s="42" t="inlineStr">
        <is>
          <t>081167</t>
        </is>
      </c>
      <c r="B420" s="38" t="inlineStr">
        <is>
          <t>Masies de Roda, les</t>
        </is>
      </c>
      <c r="C420" s="38" t="inlineStr">
        <is>
          <t>246</t>
        </is>
      </c>
      <c r="D420" s="38" t="inlineStr">
        <is>
          <t>50</t>
        </is>
      </c>
      <c r="E420" s="38" t="inlineStr">
        <is>
          <t>296</t>
        </is>
      </c>
      <c r="F420" s="38" t="inlineStr">
        <is>
          <t>0</t>
        </is>
      </c>
      <c r="G420" s="38" t="inlineStr">
        <is>
          <t>296</t>
        </is>
      </c>
      <c r="H420" s="38" t="inlineStr">
        <is>
          <t>0</t>
        </is>
      </c>
    </row>
    <row r="421" ht="15" customHeight="1" s="39">
      <c r="A421" s="42" t="inlineStr">
        <is>
          <t>081173</t>
        </is>
      </c>
      <c r="B421" s="38" t="inlineStr">
        <is>
          <t>Masies de Voltregà, les</t>
        </is>
      </c>
      <c r="C421" s="38" t="inlineStr">
        <is>
          <t>1151</t>
        </is>
      </c>
      <c r="D421" s="38" t="inlineStr">
        <is>
          <t>247</t>
        </is>
      </c>
      <c r="E421" s="38" t="inlineStr">
        <is>
          <t>1398</t>
        </is>
      </c>
      <c r="F421" s="38" t="inlineStr">
        <is>
          <t>0</t>
        </is>
      </c>
      <c r="G421" s="38" t="inlineStr">
        <is>
          <t>1398</t>
        </is>
      </c>
      <c r="H421" s="38" t="inlineStr">
        <is>
          <t>0</t>
        </is>
      </c>
    </row>
    <row r="422" ht="15" customHeight="1" s="39">
      <c r="A422" s="42" t="inlineStr">
        <is>
          <t>430799</t>
        </is>
      </c>
      <c r="B422" s="38" t="inlineStr">
        <is>
          <t>Masllorenç</t>
        </is>
      </c>
      <c r="C422" s="38" t="inlineStr">
        <is>
          <t>218</t>
        </is>
      </c>
      <c r="D422" s="38" t="inlineStr">
        <is>
          <t>220</t>
        </is>
      </c>
      <c r="E422" s="38" t="inlineStr">
        <is>
          <t>438</t>
        </is>
      </c>
      <c r="F422" s="38" t="inlineStr">
        <is>
          <t>0</t>
        </is>
      </c>
      <c r="G422" s="38" t="inlineStr">
        <is>
          <t>438</t>
        </is>
      </c>
      <c r="H422" s="38" t="inlineStr">
        <is>
          <t>1</t>
        </is>
      </c>
    </row>
    <row r="423" ht="15" customHeight="1" s="39">
      <c r="A423" s="42" t="inlineStr">
        <is>
          <t>081189</t>
        </is>
      </c>
      <c r="B423" s="38" t="inlineStr">
        <is>
          <t>Masnou, el</t>
        </is>
      </c>
      <c r="C423" s="38" t="inlineStr">
        <is>
          <t>9166</t>
        </is>
      </c>
      <c r="D423" s="38" t="inlineStr">
        <is>
          <t>1244</t>
        </is>
      </c>
      <c r="E423" s="38" t="inlineStr">
        <is>
          <t>10410</t>
        </is>
      </c>
      <c r="F423" s="38" t="inlineStr">
        <is>
          <t>0</t>
        </is>
      </c>
      <c r="G423" s="38" t="inlineStr">
        <is>
          <t>10410</t>
        </is>
      </c>
      <c r="H423" s="38" t="inlineStr">
        <is>
          <t>9</t>
        </is>
      </c>
    </row>
    <row r="424" ht="15" customHeight="1" s="39">
      <c r="A424" s="42" t="inlineStr">
        <is>
          <t>430803</t>
        </is>
      </c>
      <c r="B424" s="38" t="inlineStr">
        <is>
          <t>Masó, la</t>
        </is>
      </c>
      <c r="C424" s="38" t="inlineStr">
        <is>
          <t>114</t>
        </is>
      </c>
      <c r="D424" s="38" t="inlineStr">
        <is>
          <t>46</t>
        </is>
      </c>
      <c r="E424" s="38" t="inlineStr">
        <is>
          <t>160</t>
        </is>
      </c>
      <c r="F424" s="38" t="inlineStr">
        <is>
          <t>0</t>
        </is>
      </c>
      <c r="G424" s="38" t="inlineStr">
        <is>
          <t>160</t>
        </is>
      </c>
      <c r="H424" s="38" t="inlineStr">
        <is>
          <t>0</t>
        </is>
      </c>
    </row>
    <row r="425" ht="15" customHeight="1" s="39">
      <c r="A425" s="42" t="inlineStr">
        <is>
          <t>430810</t>
        </is>
      </c>
      <c r="B425" s="38" t="inlineStr">
        <is>
          <t>Maspujols</t>
        </is>
      </c>
      <c r="C425" s="38" t="inlineStr">
        <is>
          <t>303</t>
        </is>
      </c>
      <c r="D425" s="38" t="inlineStr">
        <is>
          <t>167</t>
        </is>
      </c>
      <c r="E425" s="38" t="inlineStr">
        <is>
          <t>470</t>
        </is>
      </c>
      <c r="F425" s="38" t="inlineStr">
        <is>
          <t>0</t>
        </is>
      </c>
      <c r="G425" s="38" t="inlineStr">
        <is>
          <t>470</t>
        </is>
      </c>
      <c r="H425" s="38" t="inlineStr">
        <is>
          <t>0</t>
        </is>
      </c>
    </row>
    <row r="426" ht="15" customHeight="1" s="39">
      <c r="A426" s="42" t="inlineStr">
        <is>
          <t>081192</t>
        </is>
      </c>
      <c r="B426" s="38" t="inlineStr">
        <is>
          <t>Masquefa</t>
        </is>
      </c>
      <c r="C426" s="38" t="inlineStr">
        <is>
          <t>3503</t>
        </is>
      </c>
      <c r="D426" s="38" t="inlineStr">
        <is>
          <t>949</t>
        </is>
      </c>
      <c r="E426" s="38" t="inlineStr">
        <is>
          <t>4452</t>
        </is>
      </c>
      <c r="F426" s="38" t="inlineStr">
        <is>
          <t>0</t>
        </is>
      </c>
      <c r="G426" s="38" t="inlineStr">
        <is>
          <t>4452</t>
        </is>
      </c>
      <c r="H426" s="38" t="inlineStr">
        <is>
          <t>0</t>
        </is>
      </c>
    </row>
    <row r="427" ht="15" customHeight="1" s="39">
      <c r="A427" s="42" t="inlineStr">
        <is>
          <t>430825</t>
        </is>
      </c>
      <c r="B427" s="38" t="inlineStr">
        <is>
          <t>Masroig, el</t>
        </is>
      </c>
      <c r="C427" s="38" t="inlineStr">
        <is>
          <t>204</t>
        </is>
      </c>
      <c r="D427" s="38" t="inlineStr">
        <is>
          <t>157</t>
        </is>
      </c>
      <c r="E427" s="38" t="inlineStr">
        <is>
          <t>361</t>
        </is>
      </c>
      <c r="F427" s="38" t="inlineStr">
        <is>
          <t>0</t>
        </is>
      </c>
      <c r="G427" s="38" t="inlineStr">
        <is>
          <t>361</t>
        </is>
      </c>
      <c r="H427" s="38" t="inlineStr">
        <is>
          <t>0</t>
        </is>
      </c>
    </row>
    <row r="428" ht="15" customHeight="1" s="39">
      <c r="A428" s="42" t="inlineStr">
        <is>
          <t>251312</t>
        </is>
      </c>
      <c r="B428" s="38" t="inlineStr">
        <is>
          <t>Massalcoreig</t>
        </is>
      </c>
      <c r="C428" s="38" t="inlineStr">
        <is>
          <t>205</t>
        </is>
      </c>
      <c r="D428" s="38" t="inlineStr">
        <is>
          <t>72</t>
        </is>
      </c>
      <c r="E428" s="38" t="inlineStr">
        <is>
          <t>277</t>
        </is>
      </c>
      <c r="F428" s="38" t="inlineStr">
        <is>
          <t>0</t>
        </is>
      </c>
      <c r="G428" s="38" t="inlineStr">
        <is>
          <t>277</t>
        </is>
      </c>
      <c r="H428" s="38" t="inlineStr">
        <is>
          <t>1</t>
        </is>
      </c>
    </row>
    <row r="429" ht="15" customHeight="1" s="39">
      <c r="A429" s="42" t="inlineStr">
        <is>
          <t>171019</t>
        </is>
      </c>
      <c r="B429" s="38" t="inlineStr">
        <is>
          <t>Massanes</t>
        </is>
      </c>
      <c r="C429" s="38" t="inlineStr">
        <is>
          <t>309</t>
        </is>
      </c>
      <c r="D429" s="38" t="inlineStr">
        <is>
          <t>223</t>
        </is>
      </c>
      <c r="E429" s="38" t="inlineStr">
        <is>
          <t>532</t>
        </is>
      </c>
      <c r="F429" s="38" t="inlineStr">
        <is>
          <t>0</t>
        </is>
      </c>
      <c r="G429" s="38" t="inlineStr">
        <is>
          <t>532</t>
        </is>
      </c>
      <c r="H429" s="38" t="inlineStr">
        <is>
          <t>0</t>
        </is>
      </c>
    </row>
    <row r="430" ht="15" customHeight="1" s="39">
      <c r="A430" s="42" t="inlineStr">
        <is>
          <t>251327</t>
        </is>
      </c>
      <c r="B430" s="38" t="inlineStr">
        <is>
          <t>Massoteres</t>
        </is>
      </c>
      <c r="C430" s="38" t="inlineStr">
        <is>
          <t>79</t>
        </is>
      </c>
      <c r="D430" s="38" t="inlineStr">
        <is>
          <t>53</t>
        </is>
      </c>
      <c r="E430" s="38" t="inlineStr">
        <is>
          <t>132</t>
        </is>
      </c>
      <c r="F430" s="38" t="inlineStr">
        <is>
          <t>0</t>
        </is>
      </c>
      <c r="G430" s="38" t="inlineStr">
        <is>
          <t>132</t>
        </is>
      </c>
      <c r="H430" s="38" t="inlineStr">
        <is>
          <t>1</t>
        </is>
      </c>
    </row>
    <row r="431" ht="15" customHeight="1" s="39">
      <c r="A431" s="42" t="inlineStr">
        <is>
          <t>081206</t>
        </is>
      </c>
      <c r="B431" s="38" t="inlineStr">
        <is>
          <t>Matadepera</t>
        </is>
      </c>
      <c r="C431" s="38" t="inlineStr">
        <is>
          <t>3020</t>
        </is>
      </c>
      <c r="D431" s="38" t="inlineStr">
        <is>
          <t>413</t>
        </is>
      </c>
      <c r="E431" s="38" t="inlineStr">
        <is>
          <t>3433</t>
        </is>
      </c>
      <c r="F431" s="38" t="inlineStr">
        <is>
          <t>0</t>
        </is>
      </c>
      <c r="G431" s="38" t="inlineStr">
        <is>
          <t>3433</t>
        </is>
      </c>
      <c r="H431" s="38" t="inlineStr">
        <is>
          <t>2</t>
        </is>
      </c>
    </row>
    <row r="432" ht="15" customHeight="1" s="39">
      <c r="A432" s="42" t="inlineStr">
        <is>
          <t>081213</t>
        </is>
      </c>
      <c r="B432" s="38" t="inlineStr">
        <is>
          <t>Mataró</t>
        </is>
      </c>
      <c r="C432" s="38" t="inlineStr">
        <is>
          <t>48140</t>
        </is>
      </c>
      <c r="D432" s="38" t="inlineStr">
        <is>
          <t>4856</t>
        </is>
      </c>
      <c r="E432" s="38" t="inlineStr">
        <is>
          <t>52996</t>
        </is>
      </c>
      <c r="F432" s="38" t="inlineStr">
        <is>
          <t>0</t>
        </is>
      </c>
      <c r="G432" s="38" t="inlineStr">
        <is>
          <t>52996</t>
        </is>
      </c>
      <c r="H432" s="38" t="inlineStr">
        <is>
          <t>24</t>
        </is>
      </c>
    </row>
    <row r="433" ht="15" customHeight="1" s="39">
      <c r="A433" s="42" t="inlineStr">
        <is>
          <t>081228</t>
        </is>
      </c>
      <c r="B433" s="38" t="inlineStr">
        <is>
          <t>Mediona</t>
        </is>
      </c>
      <c r="C433" s="38" t="inlineStr">
        <is>
          <t>989</t>
        </is>
      </c>
      <c r="D433" s="38" t="inlineStr">
        <is>
          <t>928</t>
        </is>
      </c>
      <c r="E433" s="38" t="inlineStr">
        <is>
          <t>1917</t>
        </is>
      </c>
      <c r="F433" s="38" t="inlineStr">
        <is>
          <t>0</t>
        </is>
      </c>
      <c r="G433" s="38" t="inlineStr">
        <is>
          <t>1917</t>
        </is>
      </c>
      <c r="H433" s="38" t="inlineStr">
        <is>
          <t>2</t>
        </is>
      </c>
    </row>
    <row r="434" ht="15" customHeight="1" s="39">
      <c r="A434" s="42" t="inlineStr">
        <is>
          <t>251348</t>
        </is>
      </c>
      <c r="B434" s="38" t="inlineStr">
        <is>
          <t>Menàrguens</t>
        </is>
      </c>
      <c r="C434" s="38" t="inlineStr">
        <is>
          <t>301</t>
        </is>
      </c>
      <c r="D434" s="38" t="inlineStr">
        <is>
          <t>174</t>
        </is>
      </c>
      <c r="E434" s="38" t="inlineStr">
        <is>
          <t>475</t>
        </is>
      </c>
      <c r="F434" s="38" t="inlineStr">
        <is>
          <t>0</t>
        </is>
      </c>
      <c r="G434" s="38" t="inlineStr">
        <is>
          <t>475</t>
        </is>
      </c>
      <c r="H434" s="38" t="inlineStr">
        <is>
          <t>0</t>
        </is>
      </c>
    </row>
    <row r="435" ht="15" customHeight="1" s="39">
      <c r="A435" s="42" t="inlineStr">
        <is>
          <t>170998</t>
        </is>
      </c>
      <c r="B435" s="38" t="inlineStr">
        <is>
          <t>Meranges</t>
        </is>
      </c>
      <c r="C435" s="38" t="inlineStr">
        <is>
          <t>42</t>
        </is>
      </c>
      <c r="D435" s="38" t="inlineStr">
        <is>
          <t>61</t>
        </is>
      </c>
      <c r="E435" s="38" t="inlineStr">
        <is>
          <t>103</t>
        </is>
      </c>
      <c r="F435" s="38" t="inlineStr">
        <is>
          <t>0</t>
        </is>
      </c>
      <c r="G435" s="38" t="inlineStr">
        <is>
          <t>103</t>
        </is>
      </c>
      <c r="H435" s="38" t="inlineStr">
        <is>
          <t>0</t>
        </is>
      </c>
    </row>
    <row r="436" ht="15" customHeight="1" s="39">
      <c r="A436" s="42" t="inlineStr">
        <is>
          <t>171058</t>
        </is>
      </c>
      <c r="B436" s="38" t="inlineStr">
        <is>
          <t>Mieres</t>
        </is>
      </c>
      <c r="C436" s="38" t="inlineStr">
        <is>
          <t>144</t>
        </is>
      </c>
      <c r="D436" s="38" t="inlineStr">
        <is>
          <t>82</t>
        </is>
      </c>
      <c r="E436" s="38" t="inlineStr">
        <is>
          <t>226</t>
        </is>
      </c>
      <c r="F436" s="38" t="inlineStr">
        <is>
          <t>0</t>
        </is>
      </c>
      <c r="G436" s="38" t="inlineStr">
        <is>
          <t>226</t>
        </is>
      </c>
      <c r="H436" s="38" t="inlineStr">
        <is>
          <t>0</t>
        </is>
      </c>
    </row>
    <row r="437" ht="15" customHeight="1" s="39">
      <c r="A437" s="42" t="inlineStr">
        <is>
          <t>430831</t>
        </is>
      </c>
      <c r="B437" s="38" t="inlineStr">
        <is>
          <t>Milà, el</t>
        </is>
      </c>
      <c r="C437" s="38" t="inlineStr">
        <is>
          <t>69</t>
        </is>
      </c>
      <c r="D437" s="38" t="inlineStr">
        <is>
          <t>34</t>
        </is>
      </c>
      <c r="E437" s="38" t="inlineStr">
        <is>
          <t>103</t>
        </is>
      </c>
      <c r="F437" s="38" t="inlineStr">
        <is>
          <t>0</t>
        </is>
      </c>
      <c r="G437" s="38" t="inlineStr">
        <is>
          <t>103</t>
        </is>
      </c>
      <c r="H437" s="38" t="inlineStr">
        <is>
          <t>0</t>
        </is>
      </c>
    </row>
    <row r="438" ht="15" customHeight="1" s="39">
      <c r="A438" s="42" t="inlineStr">
        <is>
          <t>251351</t>
        </is>
      </c>
      <c r="B438" s="38" t="inlineStr">
        <is>
          <t>Miralcamp</t>
        </is>
      </c>
      <c r="C438" s="38" t="inlineStr">
        <is>
          <t>491</t>
        </is>
      </c>
      <c r="D438" s="38" t="inlineStr">
        <is>
          <t>159</t>
        </is>
      </c>
      <c r="E438" s="38" t="inlineStr">
        <is>
          <t>650</t>
        </is>
      </c>
      <c r="F438" s="38" t="inlineStr">
        <is>
          <t>0</t>
        </is>
      </c>
      <c r="G438" s="38" t="inlineStr">
        <is>
          <t>650</t>
        </is>
      </c>
      <c r="H438" s="38" t="inlineStr">
        <is>
          <t>0</t>
        </is>
      </c>
    </row>
    <row r="439" ht="15" customHeight="1" s="39">
      <c r="A439" s="42" t="inlineStr">
        <is>
          <t>430846</t>
        </is>
      </c>
      <c r="B439" s="38" t="inlineStr">
        <is>
          <t>Miravet</t>
        </is>
      </c>
      <c r="C439" s="38" t="inlineStr">
        <is>
          <t>272</t>
        </is>
      </c>
      <c r="D439" s="38" t="inlineStr">
        <is>
          <t>218</t>
        </is>
      </c>
      <c r="E439" s="38" t="inlineStr">
        <is>
          <t>490</t>
        </is>
      </c>
      <c r="F439" s="38" t="inlineStr">
        <is>
          <t>0</t>
        </is>
      </c>
      <c r="G439" s="38" t="inlineStr">
        <is>
          <t>490</t>
        </is>
      </c>
      <c r="H439" s="38" t="inlineStr">
        <is>
          <t>0</t>
        </is>
      </c>
    </row>
    <row r="440" ht="15" customHeight="1" s="39">
      <c r="A440" s="42" t="inlineStr">
        <is>
          <t>081385</t>
        </is>
      </c>
      <c r="B440" s="38" t="inlineStr">
        <is>
          <t>Moià</t>
        </is>
      </c>
      <c r="C440" s="38" t="inlineStr">
        <is>
          <t>2427</t>
        </is>
      </c>
      <c r="D440" s="38" t="inlineStr">
        <is>
          <t>880</t>
        </is>
      </c>
      <c r="E440" s="38" t="inlineStr">
        <is>
          <t>3307</t>
        </is>
      </c>
      <c r="F440" s="38" t="inlineStr">
        <is>
          <t>0</t>
        </is>
      </c>
      <c r="G440" s="38" t="inlineStr">
        <is>
          <t>3307</t>
        </is>
      </c>
      <c r="H440" s="38" t="inlineStr">
        <is>
          <t>5</t>
        </is>
      </c>
    </row>
    <row r="441" ht="15" customHeight="1" s="39">
      <c r="A441" s="42" t="inlineStr">
        <is>
          <t>430859</t>
        </is>
      </c>
      <c r="B441" s="38" t="inlineStr">
        <is>
          <t>Molar, el</t>
        </is>
      </c>
      <c r="C441" s="38" t="inlineStr">
        <is>
          <t>124</t>
        </is>
      </c>
      <c r="D441" s="38" t="inlineStr">
        <is>
          <t>101</t>
        </is>
      </c>
      <c r="E441" s="38" t="inlineStr">
        <is>
          <t>225</t>
        </is>
      </c>
      <c r="F441" s="38" t="inlineStr">
        <is>
          <t>0</t>
        </is>
      </c>
      <c r="G441" s="38" t="inlineStr">
        <is>
          <t>225</t>
        </is>
      </c>
      <c r="H441" s="38" t="inlineStr">
        <is>
          <t>0</t>
        </is>
      </c>
    </row>
    <row r="442" ht="15" customHeight="1" s="39">
      <c r="A442" s="42" t="inlineStr">
        <is>
          <t>081234</t>
        </is>
      </c>
      <c r="B442" s="38" t="inlineStr">
        <is>
          <t>Molins de Rei</t>
        </is>
      </c>
      <c r="C442" s="38" t="inlineStr">
        <is>
          <t>9954</t>
        </is>
      </c>
      <c r="D442" s="38" t="inlineStr">
        <is>
          <t>1446</t>
        </is>
      </c>
      <c r="E442" s="38" t="inlineStr">
        <is>
          <t>11400</t>
        </is>
      </c>
      <c r="F442" s="38" t="inlineStr">
        <is>
          <t>0</t>
        </is>
      </c>
      <c r="G442" s="38" t="inlineStr">
        <is>
          <t>11400</t>
        </is>
      </c>
      <c r="H442" s="38" t="inlineStr">
        <is>
          <t>11</t>
        </is>
      </c>
    </row>
    <row r="443" ht="15" customHeight="1" s="39">
      <c r="A443" s="42" t="inlineStr">
        <is>
          <t>251370</t>
        </is>
      </c>
      <c r="B443" s="38" t="inlineStr">
        <is>
          <t>Mollerussa</t>
        </is>
      </c>
      <c r="C443" s="38" t="inlineStr">
        <is>
          <t>5488</t>
        </is>
      </c>
      <c r="D443" s="38" t="inlineStr">
        <is>
          <t>1496</t>
        </is>
      </c>
      <c r="E443" s="38" t="inlineStr">
        <is>
          <t>6984</t>
        </is>
      </c>
      <c r="F443" s="38" t="inlineStr">
        <is>
          <t>0</t>
        </is>
      </c>
      <c r="G443" s="38" t="inlineStr">
        <is>
          <t>6984</t>
        </is>
      </c>
      <c r="H443" s="38" t="inlineStr">
        <is>
          <t>4</t>
        </is>
      </c>
    </row>
    <row r="444" ht="15" customHeight="1" s="39">
      <c r="A444" s="42" t="inlineStr">
        <is>
          <t>171061</t>
        </is>
      </c>
      <c r="B444" s="38" t="inlineStr">
        <is>
          <t>Mollet de Peralada</t>
        </is>
      </c>
      <c r="C444" s="38" t="inlineStr">
        <is>
          <t>80</t>
        </is>
      </c>
      <c r="D444" s="38" t="inlineStr">
        <is>
          <t>39</t>
        </is>
      </c>
      <c r="E444" s="38" t="inlineStr">
        <is>
          <t>119</t>
        </is>
      </c>
      <c r="F444" s="38" t="inlineStr">
        <is>
          <t>0</t>
        </is>
      </c>
      <c r="G444" s="38" t="inlineStr">
        <is>
          <t>119</t>
        </is>
      </c>
      <c r="H444" s="38" t="inlineStr">
        <is>
          <t>0</t>
        </is>
      </c>
    </row>
    <row r="445" ht="15" customHeight="1" s="39">
      <c r="A445" s="42" t="inlineStr">
        <is>
          <t>081249</t>
        </is>
      </c>
      <c r="B445" s="38" t="inlineStr">
        <is>
          <t>Mollet del Vallès</t>
        </is>
      </c>
      <c r="C445" s="38" t="inlineStr">
        <is>
          <t>19238</t>
        </is>
      </c>
      <c r="D445" s="38" t="inlineStr">
        <is>
          <t>1619</t>
        </is>
      </c>
      <c r="E445" s="38" t="inlineStr">
        <is>
          <t>20857</t>
        </is>
      </c>
      <c r="F445" s="38" t="inlineStr">
        <is>
          <t>0</t>
        </is>
      </c>
      <c r="G445" s="38" t="inlineStr">
        <is>
          <t>20857</t>
        </is>
      </c>
      <c r="H445" s="38" t="inlineStr">
        <is>
          <t>7</t>
        </is>
      </c>
    </row>
    <row r="446" ht="15" customHeight="1" s="39">
      <c r="A446" s="42" t="inlineStr">
        <is>
          <t>171077</t>
        </is>
      </c>
      <c r="B446" s="38" t="inlineStr">
        <is>
          <t>Molló</t>
        </is>
      </c>
      <c r="C446" s="38" t="inlineStr">
        <is>
          <t>148</t>
        </is>
      </c>
      <c r="D446" s="38" t="inlineStr">
        <is>
          <t>321</t>
        </is>
      </c>
      <c r="E446" s="38" t="inlineStr">
        <is>
          <t>469</t>
        </is>
      </c>
      <c r="F446" s="38" t="inlineStr">
        <is>
          <t>0</t>
        </is>
      </c>
      <c r="G446" s="38" t="inlineStr">
        <is>
          <t>469</t>
        </is>
      </c>
      <c r="H446" s="38" t="inlineStr">
        <is>
          <t>0</t>
        </is>
      </c>
    </row>
    <row r="447" ht="15" customHeight="1" s="39">
      <c r="A447" s="42" t="inlineStr">
        <is>
          <t>251364</t>
        </is>
      </c>
      <c r="B447" s="38" t="inlineStr">
        <is>
          <t>Molsosa, la</t>
        </is>
      </c>
      <c r="C447" s="38" t="inlineStr">
        <is>
          <t>33</t>
        </is>
      </c>
      <c r="D447" s="38" t="inlineStr">
        <is>
          <t>11</t>
        </is>
      </c>
      <c r="E447" s="38" t="inlineStr">
        <is>
          <t>44</t>
        </is>
      </c>
      <c r="F447" s="38" t="inlineStr">
        <is>
          <t>0</t>
        </is>
      </c>
      <c r="G447" s="38" t="inlineStr">
        <is>
          <t>44</t>
        </is>
      </c>
      <c r="H447" s="38" t="inlineStr">
        <is>
          <t>0</t>
        </is>
      </c>
    </row>
    <row r="448" ht="15" customHeight="1" s="39">
      <c r="A448" s="42" t="inlineStr">
        <is>
          <t>081287</t>
        </is>
      </c>
      <c r="B448" s="38" t="inlineStr">
        <is>
          <t>Monistrol de Calders</t>
        </is>
      </c>
      <c r="C448" s="38" t="inlineStr">
        <is>
          <t>288</t>
        </is>
      </c>
      <c r="D448" s="38" t="inlineStr">
        <is>
          <t>201</t>
        </is>
      </c>
      <c r="E448" s="38" t="inlineStr">
        <is>
          <t>489</t>
        </is>
      </c>
      <c r="F448" s="38" t="inlineStr">
        <is>
          <t>0</t>
        </is>
      </c>
      <c r="G448" s="38" t="inlineStr">
        <is>
          <t>489</t>
        </is>
      </c>
      <c r="H448" s="38" t="inlineStr">
        <is>
          <t>0</t>
        </is>
      </c>
    </row>
    <row r="449" ht="15" customHeight="1" s="39">
      <c r="A449" s="42" t="inlineStr">
        <is>
          <t>081271</t>
        </is>
      </c>
      <c r="B449" s="38" t="inlineStr">
        <is>
          <t>Monistrol de Montserrat</t>
        </is>
      </c>
      <c r="C449" s="38" t="inlineStr">
        <is>
          <t>1261</t>
        </is>
      </c>
      <c r="D449" s="38" t="inlineStr">
        <is>
          <t>344</t>
        </is>
      </c>
      <c r="E449" s="38" t="inlineStr">
        <is>
          <t>1605</t>
        </is>
      </c>
      <c r="F449" s="38" t="inlineStr">
        <is>
          <t>0</t>
        </is>
      </c>
      <c r="G449" s="38" t="inlineStr">
        <is>
          <t>1605</t>
        </is>
      </c>
      <c r="H449" s="38" t="inlineStr">
        <is>
          <t>1</t>
        </is>
      </c>
    </row>
    <row r="450" ht="15" customHeight="1" s="39">
      <c r="A450" s="42" t="inlineStr">
        <is>
          <t>171096</t>
        </is>
      </c>
      <c r="B450" s="38" t="inlineStr">
        <is>
          <t>Montagut i Oix</t>
        </is>
      </c>
      <c r="C450" s="38" t="inlineStr">
        <is>
          <t>365</t>
        </is>
      </c>
      <c r="D450" s="38" t="inlineStr">
        <is>
          <t>166</t>
        </is>
      </c>
      <c r="E450" s="38" t="inlineStr">
        <is>
          <t>531</t>
        </is>
      </c>
      <c r="F450" s="38" t="inlineStr">
        <is>
          <t>0</t>
        </is>
      </c>
      <c r="G450" s="38" t="inlineStr">
        <is>
          <t>531</t>
        </is>
      </c>
      <c r="H450" s="38" t="inlineStr">
        <is>
          <t>0</t>
        </is>
      </c>
    </row>
    <row r="451" ht="15" customHeight="1" s="39">
      <c r="A451" s="42" t="inlineStr">
        <is>
          <t>430862</t>
        </is>
      </c>
      <c r="B451" s="38" t="inlineStr">
        <is>
          <t>Montblanc</t>
        </is>
      </c>
      <c r="C451" s="38" t="inlineStr">
        <is>
          <t>2869</t>
        </is>
      </c>
      <c r="D451" s="38" t="inlineStr">
        <is>
          <t>1088</t>
        </is>
      </c>
      <c r="E451" s="38" t="inlineStr">
        <is>
          <t>3957</t>
        </is>
      </c>
      <c r="F451" s="38" t="inlineStr">
        <is>
          <t>0</t>
        </is>
      </c>
      <c r="G451" s="38" t="inlineStr">
        <is>
          <t>3957</t>
        </is>
      </c>
      <c r="H451" s="38" t="inlineStr">
        <is>
          <t>4</t>
        </is>
      </c>
    </row>
    <row r="452" ht="15" customHeight="1" s="39">
      <c r="A452" s="42" t="inlineStr">
        <is>
          <t>430884</t>
        </is>
      </c>
      <c r="B452" s="38" t="inlineStr">
        <is>
          <t>Montbrió del Camp</t>
        </is>
      </c>
      <c r="C452" s="38" t="inlineStr">
        <is>
          <t>1192</t>
        </is>
      </c>
      <c r="D452" s="38" t="inlineStr">
        <is>
          <t>514</t>
        </is>
      </c>
      <c r="E452" s="38" t="inlineStr">
        <is>
          <t>1706</t>
        </is>
      </c>
      <c r="F452" s="38" t="inlineStr">
        <is>
          <t>0</t>
        </is>
      </c>
      <c r="G452" s="38" t="inlineStr">
        <is>
          <t>1706</t>
        </is>
      </c>
      <c r="H452" s="38" t="inlineStr">
        <is>
          <t>0</t>
        </is>
      </c>
    </row>
    <row r="453" ht="15" customHeight="1" s="39">
      <c r="A453" s="42" t="inlineStr">
        <is>
          <t>081252</t>
        </is>
      </c>
      <c r="B453" s="38" t="inlineStr">
        <is>
          <t>Montcada i Reixac</t>
        </is>
      </c>
      <c r="C453" s="38" t="inlineStr">
        <is>
          <t>13669</t>
        </is>
      </c>
      <c r="D453" s="38" t="inlineStr">
        <is>
          <t>1635</t>
        </is>
      </c>
      <c r="E453" s="38" t="inlineStr">
        <is>
          <t>15304</t>
        </is>
      </c>
      <c r="F453" s="38" t="inlineStr">
        <is>
          <t>0</t>
        </is>
      </c>
      <c r="G453" s="38" t="inlineStr">
        <is>
          <t>15304</t>
        </is>
      </c>
      <c r="H453" s="38" t="inlineStr">
        <is>
          <t>5</t>
        </is>
      </c>
    </row>
    <row r="454" ht="15" customHeight="1" s="39">
      <c r="A454" s="42" t="inlineStr">
        <is>
          <t>081304</t>
        </is>
      </c>
      <c r="B454" s="38" t="inlineStr">
        <is>
          <t>Montclar</t>
        </is>
      </c>
      <c r="C454" s="38" t="inlineStr">
        <is>
          <t>46</t>
        </is>
      </c>
      <c r="D454" s="38" t="inlineStr">
        <is>
          <t>41</t>
        </is>
      </c>
      <c r="E454" s="38" t="inlineStr">
        <is>
          <t>87</t>
        </is>
      </c>
      <c r="F454" s="38" t="inlineStr">
        <is>
          <t>0</t>
        </is>
      </c>
      <c r="G454" s="38" t="inlineStr">
        <is>
          <t>87</t>
        </is>
      </c>
      <c r="H454" s="38" t="inlineStr">
        <is>
          <t>0</t>
        </is>
      </c>
    </row>
    <row r="455" ht="15" customHeight="1" s="39">
      <c r="A455" s="42" t="inlineStr">
        <is>
          <t>251399</t>
        </is>
      </c>
      <c r="B455" s="38" t="inlineStr">
        <is>
          <t>Montellà i Martinet</t>
        </is>
      </c>
      <c r="C455" s="38" t="inlineStr">
        <is>
          <t>303</t>
        </is>
      </c>
      <c r="D455" s="38" t="inlineStr">
        <is>
          <t>382</t>
        </is>
      </c>
      <c r="E455" s="38" t="inlineStr">
        <is>
          <t>685</t>
        </is>
      </c>
      <c r="F455" s="38" t="inlineStr">
        <is>
          <t>0</t>
        </is>
      </c>
      <c r="G455" s="38" t="inlineStr">
        <is>
          <t>685</t>
        </is>
      </c>
      <c r="H455" s="38" t="inlineStr">
        <is>
          <t>0</t>
        </is>
      </c>
    </row>
    <row r="456" ht="15" customHeight="1" s="39">
      <c r="A456" s="42" t="inlineStr">
        <is>
          <t>081311</t>
        </is>
      </c>
      <c r="B456" s="38" t="inlineStr">
        <is>
          <t>Montesquiu</t>
        </is>
      </c>
      <c r="C456" s="38" t="inlineStr">
        <is>
          <t>447</t>
        </is>
      </c>
      <c r="D456" s="38" t="inlineStr">
        <is>
          <t>212</t>
        </is>
      </c>
      <c r="E456" s="38" t="inlineStr">
        <is>
          <t>659</t>
        </is>
      </c>
      <c r="F456" s="38" t="inlineStr">
        <is>
          <t>0</t>
        </is>
      </c>
      <c r="G456" s="38" t="inlineStr">
        <is>
          <t>659</t>
        </is>
      </c>
      <c r="H456" s="38" t="inlineStr">
        <is>
          <t>1</t>
        </is>
      </c>
    </row>
    <row r="457" ht="15" customHeight="1" s="39">
      <c r="A457" s="42" t="inlineStr">
        <is>
          <t>251403</t>
        </is>
      </c>
      <c r="B457" s="38" t="inlineStr">
        <is>
          <t>Montferrer i Castellbò</t>
        </is>
      </c>
      <c r="C457" s="38" t="inlineStr">
        <is>
          <t>449</t>
        </is>
      </c>
      <c r="D457" s="38" t="inlineStr">
        <is>
          <t>486</t>
        </is>
      </c>
      <c r="E457" s="38" t="inlineStr">
        <is>
          <t>935</t>
        </is>
      </c>
      <c r="F457" s="38" t="inlineStr">
        <is>
          <t>0</t>
        </is>
      </c>
      <c r="G457" s="38" t="inlineStr">
        <is>
          <t>935</t>
        </is>
      </c>
      <c r="H457" s="38" t="inlineStr">
        <is>
          <t>0</t>
        </is>
      </c>
    </row>
    <row r="458" ht="15" customHeight="1" s="39">
      <c r="A458" s="42" t="inlineStr">
        <is>
          <t>430897</t>
        </is>
      </c>
      <c r="B458" s="38" t="inlineStr">
        <is>
          <t>Montferri</t>
        </is>
      </c>
      <c r="C458" s="38" t="inlineStr">
        <is>
          <t>162</t>
        </is>
      </c>
      <c r="D458" s="38" t="inlineStr">
        <is>
          <t>161</t>
        </is>
      </c>
      <c r="E458" s="38" t="inlineStr">
        <is>
          <t>323</t>
        </is>
      </c>
      <c r="F458" s="38" t="inlineStr">
        <is>
          <t>0</t>
        </is>
      </c>
      <c r="G458" s="38" t="inlineStr">
        <is>
          <t>323</t>
        </is>
      </c>
      <c r="H458" s="38" t="inlineStr">
        <is>
          <t>0</t>
        </is>
      </c>
    </row>
    <row r="459" ht="15" customHeight="1" s="39">
      <c r="A459" s="42" t="inlineStr">
        <is>
          <t>251386</t>
        </is>
      </c>
      <c r="B459" s="38" t="inlineStr">
        <is>
          <t>Montgai</t>
        </is>
      </c>
      <c r="C459" s="38" t="inlineStr">
        <is>
          <t>253</t>
        </is>
      </c>
      <c r="D459" s="38" t="inlineStr">
        <is>
          <t>139</t>
        </is>
      </c>
      <c r="E459" s="38" t="inlineStr">
        <is>
          <t>392</t>
        </is>
      </c>
      <c r="F459" s="38" t="inlineStr">
        <is>
          <t>0</t>
        </is>
      </c>
      <c r="G459" s="38" t="inlineStr">
        <is>
          <t>392</t>
        </is>
      </c>
      <c r="H459" s="38" t="inlineStr">
        <is>
          <t>0</t>
        </is>
      </c>
    </row>
    <row r="460" ht="15" customHeight="1" s="39">
      <c r="A460" s="42" t="inlineStr">
        <is>
          <t>081265</t>
        </is>
      </c>
      <c r="B460" s="38" t="inlineStr">
        <is>
          <t>Montgat</t>
        </is>
      </c>
      <c r="C460" s="38" t="inlineStr">
        <is>
          <t>4671</t>
        </is>
      </c>
      <c r="D460" s="38" t="inlineStr">
        <is>
          <t>605</t>
        </is>
      </c>
      <c r="E460" s="38" t="inlineStr">
        <is>
          <t>5276</t>
        </is>
      </c>
      <c r="F460" s="38" t="inlineStr">
        <is>
          <t>0</t>
        </is>
      </c>
      <c r="G460" s="38" t="inlineStr">
        <is>
          <t>5276</t>
        </is>
      </c>
      <c r="H460" s="38" t="inlineStr">
        <is>
          <t>4</t>
        </is>
      </c>
    </row>
    <row r="461" ht="15" customHeight="1" s="39">
      <c r="A461" s="42" t="inlineStr">
        <is>
          <t>081326</t>
        </is>
      </c>
      <c r="B461" s="38" t="inlineStr">
        <is>
          <t>Montmajor</t>
        </is>
      </c>
      <c r="C461" s="38" t="inlineStr">
        <is>
          <t>166</t>
        </is>
      </c>
      <c r="D461" s="38" t="inlineStr">
        <is>
          <t>123</t>
        </is>
      </c>
      <c r="E461" s="38" t="inlineStr">
        <is>
          <t>289</t>
        </is>
      </c>
      <c r="F461" s="38" t="inlineStr">
        <is>
          <t>0</t>
        </is>
      </c>
      <c r="G461" s="38" t="inlineStr">
        <is>
          <t>289</t>
        </is>
      </c>
      <c r="H461" s="38" t="inlineStr">
        <is>
          <t>0</t>
        </is>
      </c>
    </row>
    <row r="462" ht="15" customHeight="1" s="39">
      <c r="A462" s="42" t="inlineStr">
        <is>
          <t>081332</t>
        </is>
      </c>
      <c r="B462" s="38" t="inlineStr">
        <is>
          <t>Montmaneu</t>
        </is>
      </c>
      <c r="C462" s="38" t="inlineStr">
        <is>
          <t>61</t>
        </is>
      </c>
      <c r="D462" s="38" t="inlineStr">
        <is>
          <t>60</t>
        </is>
      </c>
      <c r="E462" s="38" t="inlineStr">
        <is>
          <t>121</t>
        </is>
      </c>
      <c r="F462" s="38" t="inlineStr">
        <is>
          <t>0</t>
        </is>
      </c>
      <c r="G462" s="38" t="inlineStr">
        <is>
          <t>121</t>
        </is>
      </c>
      <c r="H462" s="38" t="inlineStr">
        <is>
          <t>0</t>
        </is>
      </c>
    </row>
    <row r="463" ht="15" customHeight="1" s="39">
      <c r="A463" s="42" t="inlineStr">
        <is>
          <t>430901</t>
        </is>
      </c>
      <c r="B463" s="38" t="inlineStr">
        <is>
          <t>Montmell, el</t>
        </is>
      </c>
      <c r="C463" s="38" t="inlineStr">
        <is>
          <t>733</t>
        </is>
      </c>
      <c r="D463" s="38" t="inlineStr">
        <is>
          <t>1006</t>
        </is>
      </c>
      <c r="E463" s="38" t="inlineStr">
        <is>
          <t>1739</t>
        </is>
      </c>
      <c r="F463" s="38" t="inlineStr">
        <is>
          <t>0</t>
        </is>
      </c>
      <c r="G463" s="38" t="inlineStr">
        <is>
          <t>1739</t>
        </is>
      </c>
      <c r="H463" s="38" t="inlineStr">
        <is>
          <t>0</t>
        </is>
      </c>
    </row>
    <row r="464" ht="15" customHeight="1" s="39">
      <c r="A464" s="42" t="inlineStr">
        <is>
          <t>081350</t>
        </is>
      </c>
      <c r="B464" s="38" t="inlineStr">
        <is>
          <t>Montmeló</t>
        </is>
      </c>
      <c r="C464" s="38" t="inlineStr">
        <is>
          <t>3294</t>
        </is>
      </c>
      <c r="D464" s="38" t="inlineStr">
        <is>
          <t>255</t>
        </is>
      </c>
      <c r="E464" s="38" t="inlineStr">
        <is>
          <t>3549</t>
        </is>
      </c>
      <c r="F464" s="38" t="inlineStr">
        <is>
          <t>0</t>
        </is>
      </c>
      <c r="G464" s="38" t="inlineStr">
        <is>
          <t>3549</t>
        </is>
      </c>
      <c r="H464" s="38" t="inlineStr">
        <is>
          <t>1</t>
        </is>
      </c>
    </row>
    <row r="465" ht="15" customHeight="1" s="39">
      <c r="A465" s="42" t="inlineStr">
        <is>
          <t>251425</t>
        </is>
      </c>
      <c r="B465" s="38" t="inlineStr">
        <is>
          <t>Montoliu de Lleida</t>
        </is>
      </c>
      <c r="C465" s="38" t="inlineStr">
        <is>
          <t>176</t>
        </is>
      </c>
      <c r="D465" s="38" t="inlineStr">
        <is>
          <t>69</t>
        </is>
      </c>
      <c r="E465" s="38" t="inlineStr">
        <is>
          <t>245</t>
        </is>
      </c>
      <c r="F465" s="38" t="inlineStr">
        <is>
          <t>0</t>
        </is>
      </c>
      <c r="G465" s="38" t="inlineStr">
        <is>
          <t>245</t>
        </is>
      </c>
      <c r="H465" s="38" t="inlineStr">
        <is>
          <t>0</t>
        </is>
      </c>
    </row>
    <row r="466" ht="15" customHeight="1" s="39">
      <c r="A466" s="42" t="inlineStr">
        <is>
          <t>251410</t>
        </is>
      </c>
      <c r="B466" s="38" t="inlineStr">
        <is>
          <t>Montoliu de Segarra</t>
        </is>
      </c>
      <c r="C466" s="38" t="inlineStr">
        <is>
          <t>80</t>
        </is>
      </c>
      <c r="D466" s="38" t="inlineStr">
        <is>
          <t>124</t>
        </is>
      </c>
      <c r="E466" s="38" t="inlineStr">
        <is>
          <t>204</t>
        </is>
      </c>
      <c r="F466" s="38" t="inlineStr">
        <is>
          <t>0</t>
        </is>
      </c>
      <c r="G466" s="38" t="inlineStr">
        <is>
          <t>204</t>
        </is>
      </c>
      <c r="H466" s="38" t="inlineStr">
        <is>
          <t>0</t>
        </is>
      </c>
    </row>
    <row r="467" ht="15" customHeight="1" s="39">
      <c r="A467" s="42" t="inlineStr">
        <is>
          <t>251431</t>
        </is>
      </c>
      <c r="B467" s="38" t="inlineStr">
        <is>
          <t>Montornès de Segarra</t>
        </is>
      </c>
      <c r="C467" s="38" t="inlineStr">
        <is>
          <t>34</t>
        </is>
      </c>
      <c r="D467" s="38" t="inlineStr">
        <is>
          <t>47</t>
        </is>
      </c>
      <c r="E467" s="38" t="inlineStr">
        <is>
          <t>81</t>
        </is>
      </c>
      <c r="F467" s="38" t="inlineStr">
        <is>
          <t>0</t>
        </is>
      </c>
      <c r="G467" s="38" t="inlineStr">
        <is>
          <t>81</t>
        </is>
      </c>
      <c r="H467" s="38" t="inlineStr">
        <is>
          <t>0</t>
        </is>
      </c>
    </row>
    <row r="468" ht="15" customHeight="1" s="39">
      <c r="A468" s="42" t="inlineStr">
        <is>
          <t>081363</t>
        </is>
      </c>
      <c r="B468" s="38" t="inlineStr">
        <is>
          <t>Montornès del Vallès</t>
        </is>
      </c>
      <c r="C468" s="38" t="inlineStr">
        <is>
          <t>6089</t>
        </is>
      </c>
      <c r="D468" s="38" t="inlineStr">
        <is>
          <t>598</t>
        </is>
      </c>
      <c r="E468" s="38" t="inlineStr">
        <is>
          <t>6687</t>
        </is>
      </c>
      <c r="F468" s="38" t="inlineStr">
        <is>
          <t>0</t>
        </is>
      </c>
      <c r="G468" s="38" t="inlineStr">
        <is>
          <t>6687</t>
        </is>
      </c>
      <c r="H468" s="38" t="inlineStr">
        <is>
          <t>1</t>
        </is>
      </c>
    </row>
    <row r="469" ht="15" customHeight="1" s="39">
      <c r="A469" s="42" t="inlineStr">
        <is>
          <t>430918</t>
        </is>
      </c>
      <c r="B469" s="38" t="inlineStr">
        <is>
          <t>Mont-ral</t>
        </is>
      </c>
      <c r="C469" s="38" t="inlineStr">
        <is>
          <t>79</t>
        </is>
      </c>
      <c r="D469" s="38" t="inlineStr">
        <is>
          <t>121</t>
        </is>
      </c>
      <c r="E469" s="38" t="inlineStr">
        <is>
          <t>200</t>
        </is>
      </c>
      <c r="F469" s="38" t="inlineStr">
        <is>
          <t>0</t>
        </is>
      </c>
      <c r="G469" s="38" t="inlineStr">
        <is>
          <t>200</t>
        </is>
      </c>
      <c r="H469" s="38" t="inlineStr">
        <is>
          <t>0</t>
        </is>
      </c>
    </row>
    <row r="470" ht="15" customHeight="1" s="39">
      <c r="A470" s="42" t="inlineStr">
        <is>
          <t>171100</t>
        </is>
      </c>
      <c r="B470" s="38" t="inlineStr">
        <is>
          <t>Mont-ras</t>
        </is>
      </c>
      <c r="C470" s="38" t="inlineStr">
        <is>
          <t>576</t>
        </is>
      </c>
      <c r="D470" s="38" t="inlineStr">
        <is>
          <t>231</t>
        </is>
      </c>
      <c r="E470" s="38" t="inlineStr">
        <is>
          <t>807</t>
        </is>
      </c>
      <c r="F470" s="38" t="inlineStr">
        <is>
          <t>0</t>
        </is>
      </c>
      <c r="G470" s="38" t="inlineStr">
        <is>
          <t>807</t>
        </is>
      </c>
      <c r="H470" s="38" t="inlineStr">
        <is>
          <t>0</t>
        </is>
      </c>
    </row>
    <row r="471" ht="15" customHeight="1" s="39">
      <c r="A471" s="42" t="inlineStr">
        <is>
          <t>430923</t>
        </is>
      </c>
      <c r="B471" s="38" t="inlineStr">
        <is>
          <t>Mont-roig del Camp</t>
        </is>
      </c>
      <c r="C471" s="38" t="inlineStr">
        <is>
          <t>5525</t>
        </is>
      </c>
      <c r="D471" s="38" t="inlineStr">
        <is>
          <t>11136</t>
        </is>
      </c>
      <c r="E471" s="38" t="inlineStr">
        <is>
          <t>16661</t>
        </is>
      </c>
      <c r="F471" s="38" t="inlineStr">
        <is>
          <t>0</t>
        </is>
      </c>
      <c r="G471" s="38" t="inlineStr">
        <is>
          <t>16661</t>
        </is>
      </c>
      <c r="H471" s="38" t="inlineStr">
        <is>
          <t>0</t>
        </is>
      </c>
    </row>
    <row r="472" ht="15" customHeight="1" s="39">
      <c r="A472" s="42" t="inlineStr">
        <is>
          <t>081379</t>
        </is>
      </c>
      <c r="B472" s="38" t="inlineStr">
        <is>
          <t>Montseny</t>
        </is>
      </c>
      <c r="C472" s="38" t="inlineStr">
        <is>
          <t>151</t>
        </is>
      </c>
      <c r="D472" s="38" t="inlineStr">
        <is>
          <t>89</t>
        </is>
      </c>
      <c r="E472" s="38" t="inlineStr">
        <is>
          <t>240</t>
        </is>
      </c>
      <c r="F472" s="38" t="inlineStr">
        <is>
          <t>0</t>
        </is>
      </c>
      <c r="G472" s="38" t="inlineStr">
        <is>
          <t>240</t>
        </is>
      </c>
      <c r="H472" s="38" t="inlineStr">
        <is>
          <t>0</t>
        </is>
      </c>
    </row>
    <row r="473" ht="15" customHeight="1" s="39">
      <c r="A473" s="42" t="inlineStr">
        <is>
          <t>430939</t>
        </is>
      </c>
      <c r="B473" s="38" t="inlineStr">
        <is>
          <t>Móra d'Ebre</t>
        </is>
      </c>
      <c r="C473" s="38" t="inlineStr">
        <is>
          <t>2132</t>
        </is>
      </c>
      <c r="D473" s="38" t="inlineStr">
        <is>
          <t>1015</t>
        </is>
      </c>
      <c r="E473" s="38" t="inlineStr">
        <is>
          <t>3147</t>
        </is>
      </c>
      <c r="F473" s="38" t="inlineStr">
        <is>
          <t>0</t>
        </is>
      </c>
      <c r="G473" s="38" t="inlineStr">
        <is>
          <t>3147</t>
        </is>
      </c>
      <c r="H473" s="38" t="inlineStr">
        <is>
          <t>1</t>
        </is>
      </c>
    </row>
    <row r="474" ht="15" customHeight="1" s="39">
      <c r="A474" s="42" t="inlineStr">
        <is>
          <t>430944</t>
        </is>
      </c>
      <c r="B474" s="38" t="inlineStr">
        <is>
          <t>Móra la Nova</t>
        </is>
      </c>
      <c r="C474" s="38" t="inlineStr">
        <is>
          <t>1169</t>
        </is>
      </c>
      <c r="D474" s="38" t="inlineStr">
        <is>
          <t>384</t>
        </is>
      </c>
      <c r="E474" s="38" t="inlineStr">
        <is>
          <t>1553</t>
        </is>
      </c>
      <c r="F474" s="38" t="inlineStr">
        <is>
          <t>0</t>
        </is>
      </c>
      <c r="G474" s="38" t="inlineStr">
        <is>
          <t>1553</t>
        </is>
      </c>
      <c r="H474" s="38" t="inlineStr">
        <is>
          <t>2</t>
        </is>
      </c>
    </row>
    <row r="475" ht="15" customHeight="1" s="39">
      <c r="A475" s="42" t="inlineStr">
        <is>
          <t>430957</t>
        </is>
      </c>
      <c r="B475" s="38" t="inlineStr">
        <is>
          <t>Morell, el</t>
        </is>
      </c>
      <c r="C475" s="38" t="inlineStr">
        <is>
          <t>1373</t>
        </is>
      </c>
      <c r="D475" s="38" t="inlineStr">
        <is>
          <t>355</t>
        </is>
      </c>
      <c r="E475" s="38" t="inlineStr">
        <is>
          <t>1728</t>
        </is>
      </c>
      <c r="F475" s="38" t="inlineStr">
        <is>
          <t>0</t>
        </is>
      </c>
      <c r="G475" s="38" t="inlineStr">
        <is>
          <t>1728</t>
        </is>
      </c>
      <c r="H475" s="38" t="inlineStr">
        <is>
          <t>0</t>
        </is>
      </c>
    </row>
    <row r="476" ht="15" customHeight="1" s="39">
      <c r="A476" s="42" t="inlineStr">
        <is>
          <t>430960</t>
        </is>
      </c>
      <c r="B476" s="38" t="inlineStr">
        <is>
          <t>Morera de Montsant, la</t>
        </is>
      </c>
      <c r="C476" s="38" t="inlineStr">
        <is>
          <t>65</t>
        </is>
      </c>
      <c r="D476" s="38" t="inlineStr">
        <is>
          <t>97</t>
        </is>
      </c>
      <c r="E476" s="38" t="inlineStr">
        <is>
          <t>162</t>
        </is>
      </c>
      <c r="F476" s="38" t="inlineStr">
        <is>
          <t>0</t>
        </is>
      </c>
      <c r="G476" s="38" t="inlineStr">
        <is>
          <t>162</t>
        </is>
      </c>
      <c r="H476" s="38" t="inlineStr">
        <is>
          <t>0</t>
        </is>
      </c>
    </row>
    <row r="477" ht="15" customHeight="1" s="39">
      <c r="A477" s="42" t="inlineStr">
        <is>
          <t>081290</t>
        </is>
      </c>
      <c r="B477" s="38" t="inlineStr">
        <is>
          <t>Muntanyola</t>
        </is>
      </c>
      <c r="C477" s="38" t="inlineStr">
        <is>
          <t>250</t>
        </is>
      </c>
      <c r="D477" s="38" t="inlineStr">
        <is>
          <t>142</t>
        </is>
      </c>
      <c r="E477" s="38" t="inlineStr">
        <is>
          <t>392</t>
        </is>
      </c>
      <c r="F477" s="38" t="inlineStr">
        <is>
          <t>0</t>
        </is>
      </c>
      <c r="G477" s="38" t="inlineStr">
        <is>
          <t>392</t>
        </is>
      </c>
      <c r="H477" s="38" t="inlineStr">
        <is>
          <t>0</t>
        </is>
      </c>
    </row>
    <row r="478" ht="15" customHeight="1" s="39">
      <c r="A478" s="42" t="inlineStr">
        <is>
          <t>081398</t>
        </is>
      </c>
      <c r="B478" s="38" t="inlineStr">
        <is>
          <t>Mura</t>
        </is>
      </c>
      <c r="C478" s="38" t="inlineStr">
        <is>
          <t>102</t>
        </is>
      </c>
      <c r="D478" s="38" t="inlineStr">
        <is>
          <t>142</t>
        </is>
      </c>
      <c r="E478" s="38" t="inlineStr">
        <is>
          <t>244</t>
        </is>
      </c>
      <c r="F478" s="38" t="inlineStr">
        <is>
          <t>0</t>
        </is>
      </c>
      <c r="G478" s="38" t="inlineStr">
        <is>
          <t>244</t>
        </is>
      </c>
      <c r="H478" s="38" t="inlineStr">
        <is>
          <t>0</t>
        </is>
      </c>
    </row>
    <row r="479" ht="15" customHeight="1" s="39">
      <c r="A479" s="42" t="inlineStr">
        <is>
          <t>251459</t>
        </is>
      </c>
      <c r="B479" s="38" t="inlineStr">
        <is>
          <t>Nalec</t>
        </is>
      </c>
      <c r="C479" s="38" t="inlineStr">
        <is>
          <t>40</t>
        </is>
      </c>
      <c r="D479" s="38" t="inlineStr">
        <is>
          <t>80</t>
        </is>
      </c>
      <c r="E479" s="38" t="inlineStr">
        <is>
          <t>120</t>
        </is>
      </c>
      <c r="F479" s="38" t="inlineStr">
        <is>
          <t>0</t>
        </is>
      </c>
      <c r="G479" s="38" t="inlineStr">
        <is>
          <t>120</t>
        </is>
      </c>
      <c r="H479" s="38" t="inlineStr">
        <is>
          <t>0</t>
        </is>
      </c>
    </row>
    <row r="480" ht="15" customHeight="1" s="39">
      <c r="A480" s="42" t="inlineStr">
        <is>
          <t>250254</t>
        </is>
      </c>
      <c r="B480" s="38" t="inlineStr">
        <is>
          <t>Naut Aran</t>
        </is>
      </c>
      <c r="C480" s="38" t="inlineStr">
        <is>
          <t>791</t>
        </is>
      </c>
      <c r="D480" s="38" t="inlineStr">
        <is>
          <t>3969</t>
        </is>
      </c>
      <c r="E480" s="38" t="inlineStr">
        <is>
          <t>4760</t>
        </is>
      </c>
      <c r="F480" s="38" t="inlineStr">
        <is>
          <t>0</t>
        </is>
      </c>
      <c r="G480" s="38" t="inlineStr">
        <is>
          <t>4760</t>
        </is>
      </c>
      <c r="H480" s="38" t="inlineStr">
        <is>
          <t>0</t>
        </is>
      </c>
    </row>
    <row r="481" ht="15" customHeight="1" s="39">
      <c r="A481" s="42" t="inlineStr">
        <is>
          <t>081402</t>
        </is>
      </c>
      <c r="B481" s="38" t="inlineStr">
        <is>
          <t>Navarcles</t>
        </is>
      </c>
      <c r="C481" s="38" t="inlineStr">
        <is>
          <t>2341</t>
        </is>
      </c>
      <c r="D481" s="38" t="inlineStr">
        <is>
          <t>450</t>
        </is>
      </c>
      <c r="E481" s="38" t="inlineStr">
        <is>
          <t>2791</t>
        </is>
      </c>
      <c r="F481" s="38" t="inlineStr">
        <is>
          <t>0</t>
        </is>
      </c>
      <c r="G481" s="38" t="inlineStr">
        <is>
          <t>2791</t>
        </is>
      </c>
      <c r="H481" s="38" t="inlineStr">
        <is>
          <t>2</t>
        </is>
      </c>
    </row>
    <row r="482" ht="15" customHeight="1" s="39">
      <c r="A482" s="42" t="inlineStr">
        <is>
          <t>081419</t>
        </is>
      </c>
      <c r="B482" s="38" t="inlineStr">
        <is>
          <t>Navàs</t>
        </is>
      </c>
      <c r="C482" s="38" t="inlineStr">
        <is>
          <t>2357</t>
        </is>
      </c>
      <c r="D482" s="38" t="inlineStr">
        <is>
          <t>735</t>
        </is>
      </c>
      <c r="E482" s="38" t="inlineStr">
        <is>
          <t>3092</t>
        </is>
      </c>
      <c r="F482" s="38" t="inlineStr">
        <is>
          <t>0</t>
        </is>
      </c>
      <c r="G482" s="38" t="inlineStr">
        <is>
          <t>3092</t>
        </is>
      </c>
      <c r="H482" s="38" t="inlineStr">
        <is>
          <t>1</t>
        </is>
      </c>
    </row>
    <row r="483" ht="15" customHeight="1" s="39">
      <c r="A483" s="42" t="inlineStr">
        <is>
          <t>171117</t>
        </is>
      </c>
      <c r="B483" s="38" t="inlineStr">
        <is>
          <t>Navata</t>
        </is>
      </c>
      <c r="C483" s="38" t="inlineStr">
        <is>
          <t>534</t>
        </is>
      </c>
      <c r="D483" s="38" t="inlineStr">
        <is>
          <t>324</t>
        </is>
      </c>
      <c r="E483" s="38" t="inlineStr">
        <is>
          <t>858</t>
        </is>
      </c>
      <c r="F483" s="38" t="inlineStr">
        <is>
          <t>0</t>
        </is>
      </c>
      <c r="G483" s="38" t="inlineStr">
        <is>
          <t>858</t>
        </is>
      </c>
      <c r="H483" s="38" t="inlineStr">
        <is>
          <t>0</t>
        </is>
      </c>
    </row>
    <row r="484" ht="15" customHeight="1" s="39">
      <c r="A484" s="42" t="inlineStr">
        <is>
          <t>251462</t>
        </is>
      </c>
      <c r="B484" s="38" t="inlineStr">
        <is>
          <t>Navès</t>
        </is>
      </c>
      <c r="C484" s="38" t="inlineStr">
        <is>
          <t>107</t>
        </is>
      </c>
      <c r="D484" s="38" t="inlineStr">
        <is>
          <t>94</t>
        </is>
      </c>
      <c r="E484" s="38" t="inlineStr">
        <is>
          <t>201</t>
        </is>
      </c>
      <c r="F484" s="38" t="inlineStr">
        <is>
          <t>0</t>
        </is>
      </c>
      <c r="G484" s="38" t="inlineStr">
        <is>
          <t>201</t>
        </is>
      </c>
      <c r="H484" s="38" t="inlineStr">
        <is>
          <t>0</t>
        </is>
      </c>
    </row>
    <row r="485" ht="15" customHeight="1" s="39">
      <c r="A485" s="42" t="inlineStr">
        <is>
          <t>081424</t>
        </is>
      </c>
      <c r="B485" s="38" t="inlineStr">
        <is>
          <t>Nou de Berguedà, la</t>
        </is>
      </c>
      <c r="C485" s="38" t="inlineStr">
        <is>
          <t>64</t>
        </is>
      </c>
      <c r="D485" s="38" t="inlineStr">
        <is>
          <t>59</t>
        </is>
      </c>
      <c r="E485" s="38" t="inlineStr">
        <is>
          <t>123</t>
        </is>
      </c>
      <c r="F485" s="38" t="inlineStr">
        <is>
          <t>0</t>
        </is>
      </c>
      <c r="G485" s="38" t="inlineStr">
        <is>
          <t>123</t>
        </is>
      </c>
      <c r="H485" s="38" t="inlineStr">
        <is>
          <t>0</t>
        </is>
      </c>
    </row>
    <row r="486" ht="15" customHeight="1" s="39">
      <c r="A486" s="42" t="inlineStr">
        <is>
          <t>430976</t>
        </is>
      </c>
      <c r="B486" s="38" t="inlineStr">
        <is>
          <t>Nou de Gaià, la</t>
        </is>
      </c>
      <c r="C486" s="38" t="inlineStr">
        <is>
          <t>220</t>
        </is>
      </c>
      <c r="D486" s="38" t="inlineStr">
        <is>
          <t>68</t>
        </is>
      </c>
      <c r="E486" s="38" t="inlineStr">
        <is>
          <t>288</t>
        </is>
      </c>
      <c r="F486" s="38" t="inlineStr">
        <is>
          <t>0</t>
        </is>
      </c>
      <c r="G486" s="38" t="inlineStr">
        <is>
          <t>288</t>
        </is>
      </c>
      <c r="H486" s="38" t="inlineStr">
        <is>
          <t>0</t>
        </is>
      </c>
    </row>
    <row r="487" ht="15" customHeight="1" s="39">
      <c r="A487" s="42" t="inlineStr">
        <is>
          <t>430982</t>
        </is>
      </c>
      <c r="B487" s="38" t="inlineStr">
        <is>
          <t>Nulles</t>
        </is>
      </c>
      <c r="C487" s="38" t="inlineStr">
        <is>
          <t>198</t>
        </is>
      </c>
      <c r="D487" s="38" t="inlineStr">
        <is>
          <t>139</t>
        </is>
      </c>
      <c r="E487" s="38" t="inlineStr">
        <is>
          <t>337</t>
        </is>
      </c>
      <c r="F487" s="38" t="inlineStr">
        <is>
          <t>0</t>
        </is>
      </c>
      <c r="G487" s="38" t="inlineStr">
        <is>
          <t>337</t>
        </is>
      </c>
      <c r="H487" s="38" t="inlineStr">
        <is>
          <t>0</t>
        </is>
      </c>
    </row>
    <row r="488" ht="15" customHeight="1" s="39">
      <c r="A488" s="42" t="inlineStr">
        <is>
          <t>251484</t>
        </is>
      </c>
      <c r="B488" s="38" t="inlineStr">
        <is>
          <t>Odèn</t>
        </is>
      </c>
      <c r="C488" s="38" t="inlineStr">
        <is>
          <t>88</t>
        </is>
      </c>
      <c r="D488" s="38" t="inlineStr">
        <is>
          <t>43</t>
        </is>
      </c>
      <c r="E488" s="38" t="inlineStr">
        <is>
          <t>131</t>
        </is>
      </c>
      <c r="F488" s="38" t="inlineStr">
        <is>
          <t>0</t>
        </is>
      </c>
      <c r="G488" s="38" t="inlineStr">
        <is>
          <t>131</t>
        </is>
      </c>
      <c r="H488" s="38" t="inlineStr">
        <is>
          <t>0</t>
        </is>
      </c>
    </row>
    <row r="489" ht="15" customHeight="1" s="39">
      <c r="A489" s="42" t="inlineStr">
        <is>
          <t>081430</t>
        </is>
      </c>
      <c r="B489" s="38" t="inlineStr">
        <is>
          <t>Òdena</t>
        </is>
      </c>
      <c r="C489" s="38" t="inlineStr">
        <is>
          <t>1337</t>
        </is>
      </c>
      <c r="D489" s="38" t="inlineStr">
        <is>
          <t>393</t>
        </is>
      </c>
      <c r="E489" s="38" t="inlineStr">
        <is>
          <t>1730</t>
        </is>
      </c>
      <c r="F489" s="38" t="inlineStr">
        <is>
          <t>0</t>
        </is>
      </c>
      <c r="G489" s="38" t="inlineStr">
        <is>
          <t>1730</t>
        </is>
      </c>
      <c r="H489" s="38" t="inlineStr">
        <is>
          <t>2</t>
        </is>
      </c>
    </row>
    <row r="490" ht="15" customHeight="1" s="39">
      <c r="A490" s="42" t="inlineStr">
        <is>
          <t>171122</t>
        </is>
      </c>
      <c r="B490" s="38" t="inlineStr">
        <is>
          <t>Ogassa</t>
        </is>
      </c>
      <c r="C490" s="38" t="inlineStr">
        <is>
          <t>106</t>
        </is>
      </c>
      <c r="D490" s="38" t="inlineStr">
        <is>
          <t>107</t>
        </is>
      </c>
      <c r="E490" s="38" t="inlineStr">
        <is>
          <t>213</t>
        </is>
      </c>
      <c r="F490" s="38" t="inlineStr">
        <is>
          <t>0</t>
        </is>
      </c>
      <c r="G490" s="38" t="inlineStr">
        <is>
          <t>213</t>
        </is>
      </c>
      <c r="H490" s="38" t="inlineStr">
        <is>
          <t>0</t>
        </is>
      </c>
    </row>
    <row r="491" ht="15" customHeight="1" s="39">
      <c r="A491" s="42" t="inlineStr">
        <is>
          <t>081458</t>
        </is>
      </c>
      <c r="B491" s="38" t="inlineStr">
        <is>
          <t>Olèrdola</t>
        </is>
      </c>
      <c r="C491" s="38" t="inlineStr">
        <is>
          <t>1405</t>
        </is>
      </c>
      <c r="D491" s="38" t="inlineStr">
        <is>
          <t>386</t>
        </is>
      </c>
      <c r="E491" s="38" t="inlineStr">
        <is>
          <t>1791</t>
        </is>
      </c>
      <c r="F491" s="38" t="inlineStr">
        <is>
          <t>0</t>
        </is>
      </c>
      <c r="G491" s="38" t="inlineStr">
        <is>
          <t>1791</t>
        </is>
      </c>
      <c r="H491" s="38" t="inlineStr">
        <is>
          <t>0</t>
        </is>
      </c>
    </row>
    <row r="492" ht="15" customHeight="1" s="39">
      <c r="A492" s="42" t="inlineStr">
        <is>
          <t>081461</t>
        </is>
      </c>
      <c r="B492" s="38" t="inlineStr">
        <is>
          <t>Olesa de Bonesvalls</t>
        </is>
      </c>
      <c r="C492" s="38" t="inlineStr">
        <is>
          <t>728</t>
        </is>
      </c>
      <c r="D492" s="38" t="inlineStr">
        <is>
          <t>409</t>
        </is>
      </c>
      <c r="E492" s="38" t="inlineStr">
        <is>
          <t>1137</t>
        </is>
      </c>
      <c r="F492" s="38" t="inlineStr">
        <is>
          <t>0</t>
        </is>
      </c>
      <c r="G492" s="38" t="inlineStr">
        <is>
          <t>1137</t>
        </is>
      </c>
      <c r="H492" s="38" t="inlineStr">
        <is>
          <t>1</t>
        </is>
      </c>
    </row>
    <row r="493" ht="15" customHeight="1" s="39">
      <c r="A493" s="42" t="inlineStr">
        <is>
          <t>081477</t>
        </is>
      </c>
      <c r="B493" s="38" t="inlineStr">
        <is>
          <t>Olesa de Montserrat</t>
        </is>
      </c>
      <c r="C493" s="38" t="inlineStr">
        <is>
          <t>8927</t>
        </is>
      </c>
      <c r="D493" s="38" t="inlineStr">
        <is>
          <t>1251</t>
        </is>
      </c>
      <c r="E493" s="38" t="inlineStr">
        <is>
          <t>10178</t>
        </is>
      </c>
      <c r="F493" s="38" t="inlineStr">
        <is>
          <t>0</t>
        </is>
      </c>
      <c r="G493" s="38" t="inlineStr">
        <is>
          <t>10178</t>
        </is>
      </c>
      <c r="H493" s="38" t="inlineStr">
        <is>
          <t>7</t>
        </is>
      </c>
    </row>
    <row r="494" ht="15" customHeight="1" s="39">
      <c r="A494" s="42" t="inlineStr">
        <is>
          <t>251497</t>
        </is>
      </c>
      <c r="B494" s="38" t="inlineStr">
        <is>
          <t>Oliana</t>
        </is>
      </c>
      <c r="C494" s="38" t="inlineStr">
        <is>
          <t>710</t>
        </is>
      </c>
      <c r="D494" s="38" t="inlineStr">
        <is>
          <t>512</t>
        </is>
      </c>
      <c r="E494" s="38" t="inlineStr">
        <is>
          <t>1222</t>
        </is>
      </c>
      <c r="F494" s="38" t="inlineStr">
        <is>
          <t>0</t>
        </is>
      </c>
      <c r="G494" s="38" t="inlineStr">
        <is>
          <t>1222</t>
        </is>
      </c>
      <c r="H494" s="38" t="inlineStr">
        <is>
          <t>1</t>
        </is>
      </c>
    </row>
    <row r="495" ht="15" customHeight="1" s="39">
      <c r="A495" s="42" t="inlineStr">
        <is>
          <t>251500</t>
        </is>
      </c>
      <c r="B495" s="38" t="inlineStr">
        <is>
          <t>Oliola</t>
        </is>
      </c>
      <c r="C495" s="38" t="inlineStr">
        <is>
          <t>69</t>
        </is>
      </c>
      <c r="D495" s="38" t="inlineStr">
        <is>
          <t>61</t>
        </is>
      </c>
      <c r="E495" s="38" t="inlineStr">
        <is>
          <t>130</t>
        </is>
      </c>
      <c r="F495" s="38" t="inlineStr">
        <is>
          <t>0</t>
        </is>
      </c>
      <c r="G495" s="38" t="inlineStr">
        <is>
          <t>130</t>
        </is>
      </c>
      <c r="H495" s="38" t="inlineStr">
        <is>
          <t>0</t>
        </is>
      </c>
    </row>
    <row r="496" ht="15" customHeight="1" s="39">
      <c r="A496" s="42" t="inlineStr">
        <is>
          <t>251517</t>
        </is>
      </c>
      <c r="B496" s="38" t="inlineStr">
        <is>
          <t>Olius</t>
        </is>
      </c>
      <c r="C496" s="38" t="inlineStr">
        <is>
          <t>324</t>
        </is>
      </c>
      <c r="D496" s="38" t="inlineStr">
        <is>
          <t>124</t>
        </is>
      </c>
      <c r="E496" s="38" t="inlineStr">
        <is>
          <t>448</t>
        </is>
      </c>
      <c r="F496" s="38" t="inlineStr">
        <is>
          <t>0</t>
        </is>
      </c>
      <c r="G496" s="38" t="inlineStr">
        <is>
          <t>448</t>
        </is>
      </c>
      <c r="H496" s="38" t="inlineStr">
        <is>
          <t>0</t>
        </is>
      </c>
    </row>
    <row r="497" ht="15" customHeight="1" s="39">
      <c r="A497" s="42" t="inlineStr">
        <is>
          <t>081483</t>
        </is>
      </c>
      <c r="B497" s="38" t="inlineStr">
        <is>
          <t>Olivella</t>
        </is>
      </c>
      <c r="C497" s="38" t="inlineStr">
        <is>
          <t>1514</t>
        </is>
      </c>
      <c r="D497" s="38" t="inlineStr">
        <is>
          <t>748</t>
        </is>
      </c>
      <c r="E497" s="38" t="inlineStr">
        <is>
          <t>2262</t>
        </is>
      </c>
      <c r="F497" s="38" t="inlineStr">
        <is>
          <t>0</t>
        </is>
      </c>
      <c r="G497" s="38" t="inlineStr">
        <is>
          <t>2262</t>
        </is>
      </c>
      <c r="H497" s="38" t="inlineStr">
        <is>
          <t>1</t>
        </is>
      </c>
    </row>
    <row r="498" ht="15" customHeight="1" s="39">
      <c r="A498" s="42" t="inlineStr">
        <is>
          <t>081496</t>
        </is>
      </c>
      <c r="B498" s="38" t="inlineStr">
        <is>
          <t>Olost</t>
        </is>
      </c>
      <c r="C498" s="38" t="inlineStr">
        <is>
          <t>465</t>
        </is>
      </c>
      <c r="D498" s="38" t="inlineStr">
        <is>
          <t>166</t>
        </is>
      </c>
      <c r="E498" s="38" t="inlineStr">
        <is>
          <t>631</t>
        </is>
      </c>
      <c r="F498" s="38" t="inlineStr">
        <is>
          <t>0</t>
        </is>
      </c>
      <c r="G498" s="38" t="inlineStr">
        <is>
          <t>631</t>
        </is>
      </c>
      <c r="H498" s="38" t="inlineStr">
        <is>
          <t>0</t>
        </is>
      </c>
    </row>
    <row r="499" ht="15" customHeight="1" s="39">
      <c r="A499" s="42" t="inlineStr">
        <is>
          <t>171143</t>
        </is>
      </c>
      <c r="B499" s="38" t="inlineStr">
        <is>
          <t>Olot</t>
        </is>
      </c>
      <c r="C499" s="38" t="inlineStr">
        <is>
          <t>13638</t>
        </is>
      </c>
      <c r="D499" s="38" t="inlineStr">
        <is>
          <t>3075</t>
        </is>
      </c>
      <c r="E499" s="38" t="inlineStr">
        <is>
          <t>16713</t>
        </is>
      </c>
      <c r="F499" s="38" t="inlineStr">
        <is>
          <t>0</t>
        </is>
      </c>
      <c r="G499" s="38" t="inlineStr">
        <is>
          <t>16713</t>
        </is>
      </c>
      <c r="H499" s="38" t="inlineStr">
        <is>
          <t>96</t>
        </is>
      </c>
    </row>
    <row r="500" ht="15" customHeight="1" s="39">
      <c r="A500" s="42" t="inlineStr">
        <is>
          <t>251522</t>
        </is>
      </c>
      <c r="B500" s="38" t="inlineStr">
        <is>
          <t>Oluges, les</t>
        </is>
      </c>
      <c r="C500" s="38" t="inlineStr">
        <is>
          <t>65</t>
        </is>
      </c>
      <c r="D500" s="38" t="inlineStr">
        <is>
          <t>89</t>
        </is>
      </c>
      <c r="E500" s="38" t="inlineStr">
        <is>
          <t>154</t>
        </is>
      </c>
      <c r="F500" s="38" t="inlineStr">
        <is>
          <t>0</t>
        </is>
      </c>
      <c r="G500" s="38" t="inlineStr">
        <is>
          <t>154</t>
        </is>
      </c>
      <c r="H500" s="38" t="inlineStr">
        <is>
          <t>0</t>
        </is>
      </c>
    </row>
    <row r="501" ht="15" customHeight="1" s="39">
      <c r="A501" s="42" t="inlineStr">
        <is>
          <t>081445</t>
        </is>
      </c>
      <c r="B501" s="38" t="inlineStr">
        <is>
          <t>Olvan</t>
        </is>
      </c>
      <c r="C501" s="38" t="inlineStr">
        <is>
          <t>360</t>
        </is>
      </c>
      <c r="D501" s="38" t="inlineStr">
        <is>
          <t>170</t>
        </is>
      </c>
      <c r="E501" s="38" t="inlineStr">
        <is>
          <t>530</t>
        </is>
      </c>
      <c r="F501" s="38" t="inlineStr">
        <is>
          <t>0</t>
        </is>
      </c>
      <c r="G501" s="38" t="inlineStr">
        <is>
          <t>530</t>
        </is>
      </c>
      <c r="H501" s="38" t="inlineStr">
        <is>
          <t>0</t>
        </is>
      </c>
    </row>
    <row r="502" ht="15" customHeight="1" s="39">
      <c r="A502" s="42" t="inlineStr">
        <is>
          <t>251538</t>
        </is>
      </c>
      <c r="B502" s="38" t="inlineStr">
        <is>
          <t>Omellons, els</t>
        </is>
      </c>
      <c r="C502" s="38" t="inlineStr">
        <is>
          <t>87</t>
        </is>
      </c>
      <c r="D502" s="38" t="inlineStr">
        <is>
          <t>66</t>
        </is>
      </c>
      <c r="E502" s="38" t="inlineStr">
        <is>
          <t>153</t>
        </is>
      </c>
      <c r="F502" s="38" t="inlineStr">
        <is>
          <t>0</t>
        </is>
      </c>
      <c r="G502" s="38" t="inlineStr">
        <is>
          <t>153</t>
        </is>
      </c>
      <c r="H502" s="38" t="inlineStr">
        <is>
          <t>0</t>
        </is>
      </c>
    </row>
    <row r="503" ht="15" customHeight="1" s="39">
      <c r="A503" s="42" t="inlineStr">
        <is>
          <t>251543</t>
        </is>
      </c>
      <c r="B503" s="38" t="inlineStr">
        <is>
          <t>Omells de na Gaia, els</t>
        </is>
      </c>
      <c r="C503" s="38" t="inlineStr">
        <is>
          <t>55</t>
        </is>
      </c>
      <c r="D503" s="38" t="inlineStr">
        <is>
          <t>130</t>
        </is>
      </c>
      <c r="E503" s="38" t="inlineStr">
        <is>
          <t>185</t>
        </is>
      </c>
      <c r="F503" s="38" t="inlineStr">
        <is>
          <t>0</t>
        </is>
      </c>
      <c r="G503" s="38" t="inlineStr">
        <is>
          <t>185</t>
        </is>
      </c>
      <c r="H503" s="38" t="inlineStr">
        <is>
          <t>0</t>
        </is>
      </c>
    </row>
    <row r="504" ht="15" customHeight="1" s="39">
      <c r="A504" s="42" t="inlineStr">
        <is>
          <t>171156</t>
        </is>
      </c>
      <c r="B504" s="38" t="inlineStr">
        <is>
          <t>Ordis</t>
        </is>
      </c>
      <c r="C504" s="38" t="inlineStr">
        <is>
          <t>128</t>
        </is>
      </c>
      <c r="D504" s="38" t="inlineStr">
        <is>
          <t>38</t>
        </is>
      </c>
      <c r="E504" s="38" t="inlineStr">
        <is>
          <t>166</t>
        </is>
      </c>
      <c r="F504" s="38" t="inlineStr">
        <is>
          <t>0</t>
        </is>
      </c>
      <c r="G504" s="38" t="inlineStr">
        <is>
          <t>166</t>
        </is>
      </c>
      <c r="H504" s="38" t="inlineStr">
        <is>
          <t>0</t>
        </is>
      </c>
    </row>
    <row r="505" ht="15" customHeight="1" s="39">
      <c r="A505" s="42" t="inlineStr">
        <is>
          <t>251556</t>
        </is>
      </c>
      <c r="B505" s="38" t="inlineStr">
        <is>
          <t>Organyà</t>
        </is>
      </c>
      <c r="C505" s="38" t="inlineStr">
        <is>
          <t>350</t>
        </is>
      </c>
      <c r="D505" s="38" t="inlineStr">
        <is>
          <t>463</t>
        </is>
      </c>
      <c r="E505" s="38" t="inlineStr">
        <is>
          <t>813</t>
        </is>
      </c>
      <c r="F505" s="38" t="inlineStr">
        <is>
          <t>0</t>
        </is>
      </c>
      <c r="G505" s="38" t="inlineStr">
        <is>
          <t>813</t>
        </is>
      </c>
      <c r="H505" s="38" t="inlineStr">
        <is>
          <t>0</t>
        </is>
      </c>
    </row>
    <row r="506" ht="15" customHeight="1" s="39">
      <c r="A506" s="42" t="inlineStr">
        <is>
          <t>081509</t>
        </is>
      </c>
      <c r="B506" s="38" t="inlineStr">
        <is>
          <t>Orís</t>
        </is>
      </c>
      <c r="C506" s="38" t="inlineStr">
        <is>
          <t>116</t>
        </is>
      </c>
      <c r="D506" s="38" t="inlineStr">
        <is>
          <t>19</t>
        </is>
      </c>
      <c r="E506" s="38" t="inlineStr">
        <is>
          <t>135</t>
        </is>
      </c>
      <c r="F506" s="38" t="inlineStr">
        <is>
          <t>0</t>
        </is>
      </c>
      <c r="G506" s="38" t="inlineStr">
        <is>
          <t>135</t>
        </is>
      </c>
      <c r="H506" s="38" t="inlineStr">
        <is>
          <t>0</t>
        </is>
      </c>
    </row>
    <row r="507" ht="15" customHeight="1" s="39">
      <c r="A507" s="42" t="inlineStr">
        <is>
          <t>081516</t>
        </is>
      </c>
      <c r="B507" s="38" t="inlineStr">
        <is>
          <t>Oristà</t>
        </is>
      </c>
      <c r="C507" s="38" t="inlineStr">
        <is>
          <t>197</t>
        </is>
      </c>
      <c r="D507" s="38" t="inlineStr">
        <is>
          <t>125</t>
        </is>
      </c>
      <c r="E507" s="38" t="inlineStr">
        <is>
          <t>322</t>
        </is>
      </c>
      <c r="F507" s="38" t="inlineStr">
        <is>
          <t>0</t>
        </is>
      </c>
      <c r="G507" s="38" t="inlineStr">
        <is>
          <t>322</t>
        </is>
      </c>
      <c r="H507" s="38" t="inlineStr">
        <is>
          <t>0</t>
        </is>
      </c>
    </row>
    <row r="508" ht="15" customHeight="1" s="39">
      <c r="A508" s="42" t="inlineStr">
        <is>
          <t>081521</t>
        </is>
      </c>
      <c r="B508" s="38" t="inlineStr">
        <is>
          <t>Orpí</t>
        </is>
      </c>
      <c r="C508" s="38" t="inlineStr">
        <is>
          <t>60</t>
        </is>
      </c>
      <c r="D508" s="38" t="inlineStr">
        <is>
          <t>62</t>
        </is>
      </c>
      <c r="E508" s="38" t="inlineStr">
        <is>
          <t>122</t>
        </is>
      </c>
      <c r="F508" s="38" t="inlineStr">
        <is>
          <t>0</t>
        </is>
      </c>
      <c r="G508" s="38" t="inlineStr">
        <is>
          <t>122</t>
        </is>
      </c>
      <c r="H508" s="38" t="inlineStr">
        <is>
          <t>0</t>
        </is>
      </c>
    </row>
    <row r="509" ht="15" customHeight="1" s="39">
      <c r="A509" s="42" t="inlineStr">
        <is>
          <t>081537</t>
        </is>
      </c>
      <c r="B509" s="38" t="inlineStr">
        <is>
          <t>Òrrius</t>
        </is>
      </c>
      <c r="C509" s="38" t="inlineStr">
        <is>
          <t>299</t>
        </is>
      </c>
      <c r="D509" s="38" t="inlineStr">
        <is>
          <t>60</t>
        </is>
      </c>
      <c r="E509" s="38" t="inlineStr">
        <is>
          <t>359</t>
        </is>
      </c>
      <c r="F509" s="38" t="inlineStr">
        <is>
          <t>0</t>
        </is>
      </c>
      <c r="G509" s="38" t="inlineStr">
        <is>
          <t>359</t>
        </is>
      </c>
      <c r="H509" s="38" t="inlineStr">
        <is>
          <t>0</t>
        </is>
      </c>
    </row>
    <row r="510" ht="15" customHeight="1" s="39">
      <c r="A510" s="42" t="inlineStr">
        <is>
          <t>251569</t>
        </is>
      </c>
      <c r="B510" s="38" t="inlineStr">
        <is>
          <t>Os de Balaguer</t>
        </is>
      </c>
      <c r="C510" s="38" t="inlineStr">
        <is>
          <t>371</t>
        </is>
      </c>
      <c r="D510" s="38" t="inlineStr">
        <is>
          <t>349</t>
        </is>
      </c>
      <c r="E510" s="38" t="inlineStr">
        <is>
          <t>720</t>
        </is>
      </c>
      <c r="F510" s="38" t="inlineStr">
        <is>
          <t>0</t>
        </is>
      </c>
      <c r="G510" s="38" t="inlineStr">
        <is>
          <t>720</t>
        </is>
      </c>
      <c r="H510" s="38" t="inlineStr">
        <is>
          <t>2</t>
        </is>
      </c>
    </row>
    <row r="511" ht="15" customHeight="1" s="39">
      <c r="A511" s="42" t="inlineStr">
        <is>
          <t>171169</t>
        </is>
      </c>
      <c r="B511" s="38" t="inlineStr">
        <is>
          <t>Osor</t>
        </is>
      </c>
      <c r="C511" s="38" t="inlineStr">
        <is>
          <t>187</t>
        </is>
      </c>
      <c r="D511" s="38" t="inlineStr">
        <is>
          <t>131</t>
        </is>
      </c>
      <c r="E511" s="38" t="inlineStr">
        <is>
          <t>318</t>
        </is>
      </c>
      <c r="F511" s="38" t="inlineStr">
        <is>
          <t>0</t>
        </is>
      </c>
      <c r="G511" s="38" t="inlineStr">
        <is>
          <t>318</t>
        </is>
      </c>
      <c r="H511" s="38" t="inlineStr">
        <is>
          <t>0</t>
        </is>
      </c>
    </row>
    <row r="512" ht="15" customHeight="1" s="39">
      <c r="A512" s="42" t="inlineStr">
        <is>
          <t>251575</t>
        </is>
      </c>
      <c r="B512" s="38" t="inlineStr">
        <is>
          <t>Ossó de Sió</t>
        </is>
      </c>
      <c r="C512" s="38" t="inlineStr">
        <is>
          <t>61</t>
        </is>
      </c>
      <c r="D512" s="38" t="inlineStr">
        <is>
          <t>148</t>
        </is>
      </c>
      <c r="E512" s="38" t="inlineStr">
        <is>
          <t>209</t>
        </is>
      </c>
      <c r="F512" s="38" t="inlineStr">
        <is>
          <t>0</t>
        </is>
      </c>
      <c r="G512" s="38" t="inlineStr">
        <is>
          <t>209</t>
        </is>
      </c>
      <c r="H512" s="38" t="inlineStr">
        <is>
          <t>0</t>
        </is>
      </c>
    </row>
    <row r="513" ht="15" customHeight="1" s="39">
      <c r="A513" s="42" t="inlineStr">
        <is>
          <t>081542</t>
        </is>
      </c>
      <c r="B513" s="38" t="inlineStr">
        <is>
          <t>Pacs del Penedès</t>
        </is>
      </c>
      <c r="C513" s="38" t="inlineStr">
        <is>
          <t>327</t>
        </is>
      </c>
      <c r="D513" s="38" t="inlineStr">
        <is>
          <t>85</t>
        </is>
      </c>
      <c r="E513" s="38" t="inlineStr">
        <is>
          <t>412</t>
        </is>
      </c>
      <c r="F513" s="38" t="inlineStr">
        <is>
          <t>0</t>
        </is>
      </c>
      <c r="G513" s="38" t="inlineStr">
        <is>
          <t>412</t>
        </is>
      </c>
      <c r="H513" s="38" t="inlineStr">
        <is>
          <t>0</t>
        </is>
      </c>
    </row>
    <row r="514" ht="15" customHeight="1" s="39">
      <c r="A514" s="42" t="inlineStr">
        <is>
          <t>081555</t>
        </is>
      </c>
      <c r="B514" s="38" t="inlineStr">
        <is>
          <t>Palafolls</t>
        </is>
      </c>
      <c r="C514" s="38" t="inlineStr">
        <is>
          <t>3650</t>
        </is>
      </c>
      <c r="D514" s="38" t="inlineStr">
        <is>
          <t>783</t>
        </is>
      </c>
      <c r="E514" s="38" t="inlineStr">
        <is>
          <t>4433</t>
        </is>
      </c>
      <c r="F514" s="38" t="inlineStr">
        <is>
          <t>0</t>
        </is>
      </c>
      <c r="G514" s="38" t="inlineStr">
        <is>
          <t>4433</t>
        </is>
      </c>
      <c r="H514" s="38" t="inlineStr">
        <is>
          <t>5</t>
        </is>
      </c>
    </row>
    <row r="515" ht="15" customHeight="1" s="39">
      <c r="A515" s="42" t="inlineStr">
        <is>
          <t>171175</t>
        </is>
      </c>
      <c r="B515" s="38" t="inlineStr">
        <is>
          <t>Palafrugell</t>
        </is>
      </c>
      <c r="C515" s="38" t="inlineStr">
        <is>
          <t>8687</t>
        </is>
      </c>
      <c r="D515" s="38" t="inlineStr">
        <is>
          <t>8988</t>
        </is>
      </c>
      <c r="E515" s="38" t="inlineStr">
        <is>
          <t>17675</t>
        </is>
      </c>
      <c r="F515" s="38" t="inlineStr">
        <is>
          <t>0</t>
        </is>
      </c>
      <c r="G515" s="38" t="inlineStr">
        <is>
          <t>17675</t>
        </is>
      </c>
      <c r="H515" s="38" t="inlineStr">
        <is>
          <t>6</t>
        </is>
      </c>
    </row>
    <row r="516" ht="15" customHeight="1" s="39">
      <c r="A516" s="42" t="inlineStr">
        <is>
          <t>171181</t>
        </is>
      </c>
      <c r="B516" s="38" t="inlineStr">
        <is>
          <t>Palamós</t>
        </is>
      </c>
      <c r="C516" s="38" t="inlineStr">
        <is>
          <t>7193</t>
        </is>
      </c>
      <c r="D516" s="38" t="inlineStr">
        <is>
          <t>5814</t>
        </is>
      </c>
      <c r="E516" s="38" t="inlineStr">
        <is>
          <t>13007</t>
        </is>
      </c>
      <c r="F516" s="38" t="inlineStr">
        <is>
          <t>0</t>
        </is>
      </c>
      <c r="G516" s="38" t="inlineStr">
        <is>
          <t>13007</t>
        </is>
      </c>
      <c r="H516" s="38" t="inlineStr">
        <is>
          <t>1</t>
        </is>
      </c>
    </row>
    <row r="517" ht="15" customHeight="1" s="39">
      <c r="A517" s="42" t="inlineStr">
        <is>
          <t>251581</t>
        </is>
      </c>
      <c r="B517" s="38" t="inlineStr">
        <is>
          <t>Palau d'Anglesola, el</t>
        </is>
      </c>
      <c r="C517" s="38" t="inlineStr">
        <is>
          <t>802</t>
        </is>
      </c>
      <c r="D517" s="38" t="inlineStr">
        <is>
          <t>219</t>
        </is>
      </c>
      <c r="E517" s="38" t="inlineStr">
        <is>
          <t>1021</t>
        </is>
      </c>
      <c r="F517" s="38" t="inlineStr">
        <is>
          <t>0</t>
        </is>
      </c>
      <c r="G517" s="38" t="inlineStr">
        <is>
          <t>1021</t>
        </is>
      </c>
      <c r="H517" s="38" t="inlineStr">
        <is>
          <t>1</t>
        </is>
      </c>
    </row>
    <row r="518" ht="15" customHeight="1" s="39">
      <c r="A518" s="42" t="inlineStr">
        <is>
          <t>171194</t>
        </is>
      </c>
      <c r="B518" s="38" t="inlineStr">
        <is>
          <t>Palau de Santa Eulàlia</t>
        </is>
      </c>
      <c r="C518" s="38" t="inlineStr">
        <is>
          <t>49</t>
        </is>
      </c>
      <c r="D518" s="38" t="inlineStr">
        <is>
          <t>32</t>
        </is>
      </c>
      <c r="E518" s="38" t="inlineStr">
        <is>
          <t>81</t>
        </is>
      </c>
      <c r="F518" s="38" t="inlineStr">
        <is>
          <t>0</t>
        </is>
      </c>
      <c r="G518" s="38" t="inlineStr">
        <is>
          <t>81</t>
        </is>
      </c>
      <c r="H518" s="38" t="inlineStr">
        <is>
          <t>0</t>
        </is>
      </c>
    </row>
    <row r="519" ht="15" customHeight="1" s="39">
      <c r="A519" s="42" t="inlineStr">
        <is>
          <t>171215</t>
        </is>
      </c>
      <c r="B519" s="38" t="inlineStr">
        <is>
          <t>Palau-sator</t>
        </is>
      </c>
      <c r="C519" s="38" t="inlineStr">
        <is>
          <t>120</t>
        </is>
      </c>
      <c r="D519" s="38" t="inlineStr">
        <is>
          <t>139</t>
        </is>
      </c>
      <c r="E519" s="38" t="inlineStr">
        <is>
          <t>259</t>
        </is>
      </c>
      <c r="F519" s="38" t="inlineStr">
        <is>
          <t>0</t>
        </is>
      </c>
      <c r="G519" s="38" t="inlineStr">
        <is>
          <t>259</t>
        </is>
      </c>
      <c r="H519" s="38" t="inlineStr">
        <is>
          <t>0</t>
        </is>
      </c>
    </row>
    <row r="520" ht="15" customHeight="1" s="39">
      <c r="A520" s="42" t="inlineStr">
        <is>
          <t>171208</t>
        </is>
      </c>
      <c r="B520" s="38" t="inlineStr">
        <is>
          <t>Palau-saverdera</t>
        </is>
      </c>
      <c r="C520" s="38" t="inlineStr">
        <is>
          <t>547</t>
        </is>
      </c>
      <c r="D520" s="38" t="inlineStr">
        <is>
          <t>389</t>
        </is>
      </c>
      <c r="E520" s="38" t="inlineStr">
        <is>
          <t>936</t>
        </is>
      </c>
      <c r="F520" s="38" t="inlineStr">
        <is>
          <t>0</t>
        </is>
      </c>
      <c r="G520" s="38" t="inlineStr">
        <is>
          <t>936</t>
        </is>
      </c>
      <c r="H520" s="38" t="inlineStr">
        <is>
          <t>1</t>
        </is>
      </c>
    </row>
    <row r="521" ht="15" customHeight="1" s="39">
      <c r="A521" s="42" t="inlineStr">
        <is>
          <t>081568</t>
        </is>
      </c>
      <c r="B521" s="38" t="inlineStr">
        <is>
          <t>Palau-solità i Plegamans</t>
        </is>
      </c>
      <c r="C521" s="38" t="inlineStr">
        <is>
          <t>5138</t>
        </is>
      </c>
      <c r="D521" s="38" t="inlineStr">
        <is>
          <t>589</t>
        </is>
      </c>
      <c r="E521" s="38" t="inlineStr">
        <is>
          <t>5727</t>
        </is>
      </c>
      <c r="F521" s="38" t="inlineStr">
        <is>
          <t>0</t>
        </is>
      </c>
      <c r="G521" s="38" t="inlineStr">
        <is>
          <t>5727</t>
        </is>
      </c>
      <c r="H521" s="38" t="inlineStr">
        <is>
          <t>1</t>
        </is>
      </c>
    </row>
    <row r="522" ht="15" customHeight="1" s="39">
      <c r="A522" s="42" t="inlineStr">
        <is>
          <t>431009</t>
        </is>
      </c>
      <c r="B522" s="38" t="inlineStr">
        <is>
          <t>Pallaresos, els</t>
        </is>
      </c>
      <c r="C522" s="38" t="inlineStr">
        <is>
          <t>1623</t>
        </is>
      </c>
      <c r="D522" s="38" t="inlineStr">
        <is>
          <t>309</t>
        </is>
      </c>
      <c r="E522" s="38" t="inlineStr">
        <is>
          <t>1932</t>
        </is>
      </c>
      <c r="F522" s="38" t="inlineStr">
        <is>
          <t>0</t>
        </is>
      </c>
      <c r="G522" s="38" t="inlineStr">
        <is>
          <t>1932</t>
        </is>
      </c>
      <c r="H522" s="38" t="inlineStr">
        <is>
          <t>28</t>
        </is>
      </c>
    </row>
    <row r="523" ht="15" customHeight="1" s="39">
      <c r="A523" s="42" t="inlineStr">
        <is>
          <t>081574</t>
        </is>
      </c>
      <c r="B523" s="38" t="inlineStr">
        <is>
          <t>Pallejà</t>
        </is>
      </c>
      <c r="C523" s="38" t="inlineStr">
        <is>
          <t>4194</t>
        </is>
      </c>
      <c r="D523" s="38" t="inlineStr">
        <is>
          <t>456</t>
        </is>
      </c>
      <c r="E523" s="38" t="inlineStr">
        <is>
          <t>4650</t>
        </is>
      </c>
      <c r="F523" s="38" t="inlineStr">
        <is>
          <t>0</t>
        </is>
      </c>
      <c r="G523" s="38" t="inlineStr">
        <is>
          <t>4650</t>
        </is>
      </c>
      <c r="H523" s="38" t="inlineStr">
        <is>
          <t>7</t>
        </is>
      </c>
    </row>
    <row r="524" ht="15" customHeight="1" s="39">
      <c r="A524" s="42" t="inlineStr">
        <is>
          <t>430995</t>
        </is>
      </c>
      <c r="B524" s="38" t="inlineStr">
        <is>
          <t>Palma d'Ebre, la</t>
        </is>
      </c>
      <c r="C524" s="38" t="inlineStr">
        <is>
          <t>154</t>
        </is>
      </c>
      <c r="D524" s="38" t="inlineStr">
        <is>
          <t>133</t>
        </is>
      </c>
      <c r="E524" s="38" t="inlineStr">
        <is>
          <t>287</t>
        </is>
      </c>
      <c r="F524" s="38" t="inlineStr">
        <is>
          <t>0</t>
        </is>
      </c>
      <c r="G524" s="38" t="inlineStr">
        <is>
          <t>287</t>
        </is>
      </c>
      <c r="H524" s="38" t="inlineStr">
        <is>
          <t>0</t>
        </is>
      </c>
    </row>
    <row r="525" ht="15" customHeight="1" s="39">
      <c r="A525" s="42" t="inlineStr">
        <is>
          <t>089058</t>
        </is>
      </c>
      <c r="B525" s="38" t="inlineStr">
        <is>
          <t>Palma de Cervelló, la</t>
        </is>
      </c>
      <c r="C525" s="38" t="inlineStr">
        <is>
          <t>1131</t>
        </is>
      </c>
      <c r="D525" s="38" t="inlineStr">
        <is>
          <t>157</t>
        </is>
      </c>
      <c r="E525" s="38" t="inlineStr">
        <is>
          <t>1288</t>
        </is>
      </c>
      <c r="F525" s="38" t="inlineStr">
        <is>
          <t>0</t>
        </is>
      </c>
      <c r="G525" s="38" t="inlineStr">
        <is>
          <t>1288</t>
        </is>
      </c>
      <c r="H525" s="38" t="inlineStr">
        <is>
          <t>1</t>
        </is>
      </c>
    </row>
    <row r="526" ht="15" customHeight="1" s="39">
      <c r="A526" s="42" t="inlineStr">
        <is>
          <t>171236</t>
        </is>
      </c>
      <c r="B526" s="38" t="inlineStr">
        <is>
          <t>Palol de Revardit</t>
        </is>
      </c>
      <c r="C526" s="38" t="inlineStr">
        <is>
          <t>151</t>
        </is>
      </c>
      <c r="D526" s="38" t="inlineStr">
        <is>
          <t>55</t>
        </is>
      </c>
      <c r="E526" s="38" t="inlineStr">
        <is>
          <t>206</t>
        </is>
      </c>
      <c r="F526" s="38" t="inlineStr">
        <is>
          <t>0</t>
        </is>
      </c>
      <c r="G526" s="38" t="inlineStr">
        <is>
          <t>206</t>
        </is>
      </c>
      <c r="H526" s="38" t="inlineStr">
        <is>
          <t>0</t>
        </is>
      </c>
    </row>
    <row r="527" ht="15" customHeight="1" s="39">
      <c r="A527" s="42" t="inlineStr">
        <is>
          <t>171241</t>
        </is>
      </c>
      <c r="B527" s="38" t="inlineStr">
        <is>
          <t>Pals</t>
        </is>
      </c>
      <c r="C527" s="38" t="inlineStr">
        <is>
          <t>1028</t>
        </is>
      </c>
      <c r="D527" s="38" t="inlineStr">
        <is>
          <t>2961</t>
        </is>
      </c>
      <c r="E527" s="38" t="inlineStr">
        <is>
          <t>3989</t>
        </is>
      </c>
      <c r="F527" s="38" t="inlineStr">
        <is>
          <t>0</t>
        </is>
      </c>
      <c r="G527" s="38" t="inlineStr">
        <is>
          <t>3989</t>
        </is>
      </c>
      <c r="H527" s="38" t="inlineStr">
        <is>
          <t>0</t>
        </is>
      </c>
    </row>
    <row r="528" ht="15" customHeight="1" s="39">
      <c r="A528" s="42" t="inlineStr">
        <is>
          <t>081580</t>
        </is>
      </c>
      <c r="B528" s="38" t="inlineStr">
        <is>
          <t>Papiol, el</t>
        </is>
      </c>
      <c r="C528" s="38" t="inlineStr">
        <is>
          <t>1563</t>
        </is>
      </c>
      <c r="D528" s="38" t="inlineStr">
        <is>
          <t>208</t>
        </is>
      </c>
      <c r="E528" s="38" t="inlineStr">
        <is>
          <t>1771</t>
        </is>
      </c>
      <c r="F528" s="38" t="inlineStr">
        <is>
          <t>0</t>
        </is>
      </c>
      <c r="G528" s="38" t="inlineStr">
        <is>
          <t>1771</t>
        </is>
      </c>
      <c r="H528" s="38" t="inlineStr">
        <is>
          <t>0</t>
        </is>
      </c>
    </row>
    <row r="529" ht="15" customHeight="1" s="39">
      <c r="A529" s="42" t="inlineStr">
        <is>
          <t>171254</t>
        </is>
      </c>
      <c r="B529" s="38" t="inlineStr">
        <is>
          <t>Pardines</t>
        </is>
      </c>
      <c r="C529" s="38" t="inlineStr">
        <is>
          <t>63</t>
        </is>
      </c>
      <c r="D529" s="38" t="inlineStr">
        <is>
          <t>157</t>
        </is>
      </c>
      <c r="E529" s="38" t="inlineStr">
        <is>
          <t>220</t>
        </is>
      </c>
      <c r="F529" s="38" t="inlineStr">
        <is>
          <t>0</t>
        </is>
      </c>
      <c r="G529" s="38" t="inlineStr">
        <is>
          <t>220</t>
        </is>
      </c>
      <c r="H529" s="38" t="inlineStr">
        <is>
          <t>0</t>
        </is>
      </c>
    </row>
    <row r="530" ht="15" customHeight="1" s="39">
      <c r="A530" s="42" t="inlineStr">
        <is>
          <t>081593</t>
        </is>
      </c>
      <c r="B530" s="38" t="inlineStr">
        <is>
          <t>Parets del Vallès</t>
        </is>
      </c>
      <c r="C530" s="38" t="inlineStr">
        <is>
          <t>6910</t>
        </is>
      </c>
      <c r="D530" s="38" t="inlineStr">
        <is>
          <t>650</t>
        </is>
      </c>
      <c r="E530" s="38" t="inlineStr">
        <is>
          <t>7560</t>
        </is>
      </c>
      <c r="F530" s="38" t="inlineStr">
        <is>
          <t>0</t>
        </is>
      </c>
      <c r="G530" s="38" t="inlineStr">
        <is>
          <t>7560</t>
        </is>
      </c>
      <c r="H530" s="38" t="inlineStr">
        <is>
          <t>3</t>
        </is>
      </c>
    </row>
    <row r="531" ht="15" customHeight="1" s="39">
      <c r="A531" s="42" t="inlineStr">
        <is>
          <t>171267</t>
        </is>
      </c>
      <c r="B531" s="38" t="inlineStr">
        <is>
          <t>Parlavà</t>
        </is>
      </c>
      <c r="C531" s="38" t="inlineStr">
        <is>
          <t>162</t>
        </is>
      </c>
      <c r="D531" s="38" t="inlineStr">
        <is>
          <t>106</t>
        </is>
      </c>
      <c r="E531" s="38" t="inlineStr">
        <is>
          <t>268</t>
        </is>
      </c>
      <c r="F531" s="38" t="inlineStr">
        <is>
          <t>0</t>
        </is>
      </c>
      <c r="G531" s="38" t="inlineStr">
        <is>
          <t>268</t>
        </is>
      </c>
      <c r="H531" s="38" t="inlineStr">
        <is>
          <t>0</t>
        </is>
      </c>
    </row>
    <row r="532" ht="15" customHeight="1" s="39">
      <c r="A532" s="42" t="inlineStr">
        <is>
          <t>431016</t>
        </is>
      </c>
      <c r="B532" s="38" t="inlineStr">
        <is>
          <t>Passanant i Belltall</t>
        </is>
      </c>
      <c r="C532" s="38" t="inlineStr">
        <is>
          <t>81</t>
        </is>
      </c>
      <c r="D532" s="38" t="inlineStr">
        <is>
          <t>169</t>
        </is>
      </c>
      <c r="E532" s="38" t="inlineStr">
        <is>
          <t>250</t>
        </is>
      </c>
      <c r="F532" s="38" t="inlineStr">
        <is>
          <t>0</t>
        </is>
      </c>
      <c r="G532" s="38" t="inlineStr">
        <is>
          <t>250</t>
        </is>
      </c>
      <c r="H532" s="38" t="inlineStr">
        <is>
          <t>0</t>
        </is>
      </c>
    </row>
    <row r="533" ht="15" customHeight="1" s="39">
      <c r="A533" s="42" t="inlineStr">
        <is>
          <t>171289</t>
        </is>
      </c>
      <c r="B533" s="38" t="inlineStr">
        <is>
          <t>Pau</t>
        </is>
      </c>
      <c r="C533" s="38" t="inlineStr">
        <is>
          <t>220</t>
        </is>
      </c>
      <c r="D533" s="38" t="inlineStr">
        <is>
          <t>94</t>
        </is>
      </c>
      <c r="E533" s="38" t="inlineStr">
        <is>
          <t>314</t>
        </is>
      </c>
      <c r="F533" s="38" t="inlineStr">
        <is>
          <t>0</t>
        </is>
      </c>
      <c r="G533" s="38" t="inlineStr">
        <is>
          <t>314</t>
        </is>
      </c>
      <c r="H533" s="38" t="inlineStr">
        <is>
          <t>0</t>
        </is>
      </c>
    </row>
    <row r="534" ht="15" customHeight="1" s="39">
      <c r="A534" s="42" t="inlineStr">
        <is>
          <t>431021</t>
        </is>
      </c>
      <c r="B534" s="38" t="inlineStr">
        <is>
          <t>Paüls</t>
        </is>
      </c>
      <c r="C534" s="38" t="inlineStr">
        <is>
          <t>221</t>
        </is>
      </c>
      <c r="D534" s="38" t="inlineStr">
        <is>
          <t>120</t>
        </is>
      </c>
      <c r="E534" s="38" t="inlineStr">
        <is>
          <t>341</t>
        </is>
      </c>
      <c r="F534" s="38" t="inlineStr">
        <is>
          <t>0</t>
        </is>
      </c>
      <c r="G534" s="38" t="inlineStr">
        <is>
          <t>341</t>
        </is>
      </c>
      <c r="H534" s="38" t="inlineStr">
        <is>
          <t>0</t>
        </is>
      </c>
    </row>
    <row r="535" ht="15" customHeight="1" s="39">
      <c r="A535" s="42" t="inlineStr">
        <is>
          <t>171292</t>
        </is>
      </c>
      <c r="B535" s="38" t="inlineStr">
        <is>
          <t>Pedret i Marzà</t>
        </is>
      </c>
      <c r="C535" s="38" t="inlineStr">
        <is>
          <t>71</t>
        </is>
      </c>
      <c r="D535" s="38" t="inlineStr">
        <is>
          <t>37</t>
        </is>
      </c>
      <c r="E535" s="38" t="inlineStr">
        <is>
          <t>108</t>
        </is>
      </c>
      <c r="F535" s="38" t="inlineStr">
        <is>
          <t>0</t>
        </is>
      </c>
      <c r="G535" s="38" t="inlineStr">
        <is>
          <t>108</t>
        </is>
      </c>
      <c r="H535" s="38" t="inlineStr">
        <is>
          <t>0</t>
        </is>
      </c>
    </row>
    <row r="536" ht="15" customHeight="1" s="39">
      <c r="A536" s="42" t="inlineStr">
        <is>
          <t>251641</t>
        </is>
      </c>
      <c r="B536" s="38" t="inlineStr">
        <is>
          <t>Penelles</t>
        </is>
      </c>
      <c r="C536" s="38" t="inlineStr">
        <is>
          <t>158</t>
        </is>
      </c>
      <c r="D536" s="38" t="inlineStr">
        <is>
          <t>136</t>
        </is>
      </c>
      <c r="E536" s="38" t="inlineStr">
        <is>
          <t>294</t>
        </is>
      </c>
      <c r="F536" s="38" t="inlineStr">
        <is>
          <t>0</t>
        </is>
      </c>
      <c r="G536" s="38" t="inlineStr">
        <is>
          <t>294</t>
        </is>
      </c>
      <c r="H536" s="38" t="inlineStr">
        <is>
          <t>2</t>
        </is>
      </c>
    </row>
    <row r="537" ht="15" customHeight="1" s="39">
      <c r="A537" s="42" t="inlineStr">
        <is>
          <t>171306</t>
        </is>
      </c>
      <c r="B537" s="38" t="inlineStr">
        <is>
          <t>Pera, la</t>
        </is>
      </c>
      <c r="C537" s="38" t="inlineStr">
        <is>
          <t>168</t>
        </is>
      </c>
      <c r="D537" s="38" t="inlineStr">
        <is>
          <t>102</t>
        </is>
      </c>
      <c r="E537" s="38" t="inlineStr">
        <is>
          <t>270</t>
        </is>
      </c>
      <c r="F537" s="38" t="inlineStr">
        <is>
          <t>0</t>
        </is>
      </c>
      <c r="G537" s="38" t="inlineStr">
        <is>
          <t>270</t>
        </is>
      </c>
      <c r="H537" s="38" t="inlineStr">
        <is>
          <t>0</t>
        </is>
      </c>
    </row>
    <row r="538" ht="15" customHeight="1" s="39">
      <c r="A538" s="42" t="inlineStr">
        <is>
          <t>081607</t>
        </is>
      </c>
      <c r="B538" s="38" t="inlineStr">
        <is>
          <t>Perafita</t>
        </is>
      </c>
      <c r="C538" s="38" t="inlineStr">
        <is>
          <t>161</t>
        </is>
      </c>
      <c r="D538" s="38" t="inlineStr">
        <is>
          <t>120</t>
        </is>
      </c>
      <c r="E538" s="38" t="inlineStr">
        <is>
          <t>281</t>
        </is>
      </c>
      <c r="F538" s="38" t="inlineStr">
        <is>
          <t>0</t>
        </is>
      </c>
      <c r="G538" s="38" t="inlineStr">
        <is>
          <t>281</t>
        </is>
      </c>
      <c r="H538" s="38" t="inlineStr">
        <is>
          <t>0</t>
        </is>
      </c>
    </row>
    <row r="539" ht="15" customHeight="1" s="39">
      <c r="A539" s="42" t="inlineStr">
        <is>
          <t>431037</t>
        </is>
      </c>
      <c r="B539" s="38" t="inlineStr">
        <is>
          <t>Perafort</t>
        </is>
      </c>
      <c r="C539" s="38" t="inlineStr">
        <is>
          <t>467</t>
        </is>
      </c>
      <c r="D539" s="38" t="inlineStr">
        <is>
          <t>105</t>
        </is>
      </c>
      <c r="E539" s="38" t="inlineStr">
        <is>
          <t>572</t>
        </is>
      </c>
      <c r="F539" s="38" t="inlineStr">
        <is>
          <t>0</t>
        </is>
      </c>
      <c r="G539" s="38" t="inlineStr">
        <is>
          <t>572</t>
        </is>
      </c>
      <c r="H539" s="38" t="inlineStr">
        <is>
          <t>0</t>
        </is>
      </c>
    </row>
    <row r="540" ht="15" customHeight="1" s="39">
      <c r="A540" s="42" t="inlineStr">
        <is>
          <t>171328</t>
        </is>
      </c>
      <c r="B540" s="38" t="inlineStr">
        <is>
          <t>Peralada</t>
        </is>
      </c>
      <c r="C540" s="38" t="inlineStr">
        <is>
          <t>737</t>
        </is>
      </c>
      <c r="D540" s="38" t="inlineStr">
        <is>
          <t>388</t>
        </is>
      </c>
      <c r="E540" s="38" t="inlineStr">
        <is>
          <t>1125</t>
        </is>
      </c>
      <c r="F540" s="38" t="inlineStr">
        <is>
          <t>0</t>
        </is>
      </c>
      <c r="G540" s="38" t="inlineStr">
        <is>
          <t>1125</t>
        </is>
      </c>
      <c r="H540" s="38" t="inlineStr">
        <is>
          <t>0</t>
        </is>
      </c>
    </row>
    <row r="541" ht="15" customHeight="1" s="39">
      <c r="A541" s="42" t="inlineStr">
        <is>
          <t>251654</t>
        </is>
      </c>
      <c r="B541" s="38" t="inlineStr">
        <is>
          <t>Peramola</t>
        </is>
      </c>
      <c r="C541" s="38" t="inlineStr">
        <is>
          <t>138</t>
        </is>
      </c>
      <c r="D541" s="38" t="inlineStr">
        <is>
          <t>172</t>
        </is>
      </c>
      <c r="E541" s="38" t="inlineStr">
        <is>
          <t>310</t>
        </is>
      </c>
      <c r="F541" s="38" t="inlineStr">
        <is>
          <t>0</t>
        </is>
      </c>
      <c r="G541" s="38" t="inlineStr">
        <is>
          <t>310</t>
        </is>
      </c>
      <c r="H541" s="38" t="inlineStr">
        <is>
          <t>0</t>
        </is>
      </c>
    </row>
    <row r="542" ht="15" customHeight="1" s="39">
      <c r="A542" s="42" t="inlineStr">
        <is>
          <t>431042</t>
        </is>
      </c>
      <c r="B542" s="38" t="inlineStr">
        <is>
          <t>Perelló, el</t>
        </is>
      </c>
      <c r="C542" s="38" t="inlineStr">
        <is>
          <t>1152</t>
        </is>
      </c>
      <c r="D542" s="38" t="inlineStr">
        <is>
          <t>1850</t>
        </is>
      </c>
      <c r="E542" s="38" t="inlineStr">
        <is>
          <t>3002</t>
        </is>
      </c>
      <c r="F542" s="38" t="inlineStr">
        <is>
          <t>0</t>
        </is>
      </c>
      <c r="G542" s="38" t="inlineStr">
        <is>
          <t>3002</t>
        </is>
      </c>
      <c r="H542" s="38" t="inlineStr">
        <is>
          <t>1</t>
        </is>
      </c>
    </row>
    <row r="543" ht="15" customHeight="1" s="39">
      <c r="A543" s="42" t="inlineStr">
        <is>
          <t>081614</t>
        </is>
      </c>
      <c r="B543" s="38" t="inlineStr">
        <is>
          <t>Piera</t>
        </is>
      </c>
      <c r="C543" s="38" t="inlineStr">
        <is>
          <t>6120</t>
        </is>
      </c>
      <c r="D543" s="38" t="inlineStr">
        <is>
          <t>2547</t>
        </is>
      </c>
      <c r="E543" s="38" t="inlineStr">
        <is>
          <t>8667</t>
        </is>
      </c>
      <c r="F543" s="38" t="inlineStr">
        <is>
          <t>0</t>
        </is>
      </c>
      <c r="G543" s="38" t="inlineStr">
        <is>
          <t>8667</t>
        </is>
      </c>
      <c r="H543" s="38" t="inlineStr">
        <is>
          <t>7</t>
        </is>
      </c>
    </row>
    <row r="544" ht="15" customHeight="1" s="39">
      <c r="A544" s="42" t="inlineStr">
        <is>
          <t>431055</t>
        </is>
      </c>
      <c r="B544" s="38" t="inlineStr">
        <is>
          <t>Piles, les</t>
        </is>
      </c>
      <c r="C544" s="38" t="inlineStr">
        <is>
          <t>83</t>
        </is>
      </c>
      <c r="D544" s="38" t="inlineStr">
        <is>
          <t>83</t>
        </is>
      </c>
      <c r="E544" s="38" t="inlineStr">
        <is>
          <t>166</t>
        </is>
      </c>
      <c r="F544" s="38" t="inlineStr">
        <is>
          <t>0</t>
        </is>
      </c>
      <c r="G544" s="38" t="inlineStr">
        <is>
          <t>166</t>
        </is>
      </c>
      <c r="H544" s="38" t="inlineStr">
        <is>
          <t>0</t>
        </is>
      </c>
    </row>
    <row r="545" ht="15" customHeight="1" s="39">
      <c r="A545" s="42" t="inlineStr">
        <is>
          <t>081635</t>
        </is>
      </c>
      <c r="B545" s="38" t="inlineStr">
        <is>
          <t>Pineda de Mar</t>
        </is>
      </c>
      <c r="C545" s="38" t="inlineStr">
        <is>
          <t>11318</t>
        </is>
      </c>
      <c r="D545" s="38" t="inlineStr">
        <is>
          <t>4979</t>
        </is>
      </c>
      <c r="E545" s="38" t="inlineStr">
        <is>
          <t>16297</t>
        </is>
      </c>
      <c r="F545" s="38" t="inlineStr">
        <is>
          <t>0</t>
        </is>
      </c>
      <c r="G545" s="38" t="inlineStr">
        <is>
          <t>16297</t>
        </is>
      </c>
      <c r="H545" s="38" t="inlineStr">
        <is>
          <t>6</t>
        </is>
      </c>
    </row>
    <row r="546" ht="15" customHeight="1" s="39">
      <c r="A546" s="42" t="inlineStr">
        <is>
          <t>431068</t>
        </is>
      </c>
      <c r="B546" s="38" t="inlineStr">
        <is>
          <t>Pinell de Brai, el</t>
        </is>
      </c>
      <c r="C546" s="38" t="inlineStr">
        <is>
          <t>372</t>
        </is>
      </c>
      <c r="D546" s="38" t="inlineStr">
        <is>
          <t>165</t>
        </is>
      </c>
      <c r="E546" s="38" t="inlineStr">
        <is>
          <t>537</t>
        </is>
      </c>
      <c r="F546" s="38" t="inlineStr">
        <is>
          <t>0</t>
        </is>
      </c>
      <c r="G546" s="38" t="inlineStr">
        <is>
          <t>537</t>
        </is>
      </c>
      <c r="H546" s="38" t="inlineStr">
        <is>
          <t>0</t>
        </is>
      </c>
    </row>
    <row r="547" ht="15" customHeight="1" s="39">
      <c r="A547" s="42" t="inlineStr">
        <is>
          <t>251667</t>
        </is>
      </c>
      <c r="B547" s="38" t="inlineStr">
        <is>
          <t>Pinell de Solsonès</t>
        </is>
      </c>
      <c r="C547" s="38" t="inlineStr">
        <is>
          <t>63</t>
        </is>
      </c>
      <c r="D547" s="38" t="inlineStr">
        <is>
          <t>47</t>
        </is>
      </c>
      <c r="E547" s="38" t="inlineStr">
        <is>
          <t>110</t>
        </is>
      </c>
      <c r="F547" s="38" t="inlineStr">
        <is>
          <t>0</t>
        </is>
      </c>
      <c r="G547" s="38" t="inlineStr">
        <is>
          <t>110</t>
        </is>
      </c>
      <c r="H547" s="38" t="inlineStr">
        <is>
          <t>0</t>
        </is>
      </c>
    </row>
    <row r="548" ht="15" customHeight="1" s="39">
      <c r="A548" s="42" t="inlineStr">
        <is>
          <t>251673</t>
        </is>
      </c>
      <c r="B548" s="38" t="inlineStr">
        <is>
          <t>Pinós</t>
        </is>
      </c>
      <c r="C548" s="38" t="inlineStr">
        <is>
          <t>102</t>
        </is>
      </c>
      <c r="D548" s="38" t="inlineStr">
        <is>
          <t>79</t>
        </is>
      </c>
      <c r="E548" s="38" t="inlineStr">
        <is>
          <t>181</t>
        </is>
      </c>
      <c r="F548" s="38" t="inlineStr">
        <is>
          <t>0</t>
        </is>
      </c>
      <c r="G548" s="38" t="inlineStr">
        <is>
          <t>181</t>
        </is>
      </c>
      <c r="H548" s="38" t="inlineStr">
        <is>
          <t>0</t>
        </is>
      </c>
    </row>
    <row r="549" ht="15" customHeight="1" s="39">
      <c r="A549" s="42" t="inlineStr">
        <is>
          <t>431074</t>
        </is>
      </c>
      <c r="B549" s="38" t="inlineStr">
        <is>
          <t>Pira</t>
        </is>
      </c>
      <c r="C549" s="38" t="inlineStr">
        <is>
          <t>196</t>
        </is>
      </c>
      <c r="D549" s="38" t="inlineStr">
        <is>
          <t>92</t>
        </is>
      </c>
      <c r="E549" s="38" t="inlineStr">
        <is>
          <t>288</t>
        </is>
      </c>
      <c r="F549" s="38" t="inlineStr">
        <is>
          <t>0</t>
        </is>
      </c>
      <c r="G549" s="38" t="inlineStr">
        <is>
          <t>288</t>
        </is>
      </c>
      <c r="H549" s="38" t="inlineStr">
        <is>
          <t>0</t>
        </is>
      </c>
    </row>
    <row r="550" ht="15" customHeight="1" s="39">
      <c r="A550" s="42" t="inlineStr">
        <is>
          <t>431080</t>
        </is>
      </c>
      <c r="B550" s="38" t="inlineStr">
        <is>
          <t>Pla de Santa Maria, el</t>
        </is>
      </c>
      <c r="C550" s="38" t="inlineStr">
        <is>
          <t>927</t>
        </is>
      </c>
      <c r="D550" s="38" t="inlineStr">
        <is>
          <t>443</t>
        </is>
      </c>
      <c r="E550" s="38" t="inlineStr">
        <is>
          <t>1370</t>
        </is>
      </c>
      <c r="F550" s="38" t="inlineStr">
        <is>
          <t>0</t>
        </is>
      </c>
      <c r="G550" s="38" t="inlineStr">
        <is>
          <t>1370</t>
        </is>
      </c>
      <c r="H550" s="38" t="inlineStr">
        <is>
          <t>2</t>
        </is>
      </c>
    </row>
    <row r="551" ht="15" customHeight="1" s="39">
      <c r="A551" s="42" t="inlineStr">
        <is>
          <t>081640</t>
        </is>
      </c>
      <c r="B551" s="38" t="inlineStr">
        <is>
          <t>Pla del Penedès, el</t>
        </is>
      </c>
      <c r="C551" s="38" t="inlineStr">
        <is>
          <t>526</t>
        </is>
      </c>
      <c r="D551" s="38" t="inlineStr">
        <is>
          <t>204</t>
        </is>
      </c>
      <c r="E551" s="38" t="inlineStr">
        <is>
          <t>730</t>
        </is>
      </c>
      <c r="F551" s="38" t="inlineStr">
        <is>
          <t>0</t>
        </is>
      </c>
      <c r="G551" s="38" t="inlineStr">
        <is>
          <t>730</t>
        </is>
      </c>
      <c r="H551" s="38" t="inlineStr">
        <is>
          <t>0</t>
        </is>
      </c>
    </row>
    <row r="552" ht="15" customHeight="1" s="39">
      <c r="A552" s="42" t="inlineStr">
        <is>
          <t>171334</t>
        </is>
      </c>
      <c r="B552" s="38" t="inlineStr">
        <is>
          <t>Planes d'Hostoles, les</t>
        </is>
      </c>
      <c r="C552" s="38" t="inlineStr">
        <is>
          <t>652</t>
        </is>
      </c>
      <c r="D552" s="38" t="inlineStr">
        <is>
          <t>311</t>
        </is>
      </c>
      <c r="E552" s="38" t="inlineStr">
        <is>
          <t>963</t>
        </is>
      </c>
      <c r="F552" s="38" t="inlineStr">
        <is>
          <t>0</t>
        </is>
      </c>
      <c r="G552" s="38" t="inlineStr">
        <is>
          <t>963</t>
        </is>
      </c>
      <c r="H552" s="38" t="inlineStr">
        <is>
          <t>1</t>
        </is>
      </c>
    </row>
    <row r="553" ht="15" customHeight="1" s="39">
      <c r="A553" s="42" t="inlineStr">
        <is>
          <t>171349</t>
        </is>
      </c>
      <c r="B553" s="38" t="inlineStr">
        <is>
          <t>Planoles</t>
        </is>
      </c>
      <c r="C553" s="38" t="inlineStr">
        <is>
          <t>141</t>
        </is>
      </c>
      <c r="D553" s="38" t="inlineStr">
        <is>
          <t>448</t>
        </is>
      </c>
      <c r="E553" s="38" t="inlineStr">
        <is>
          <t>589</t>
        </is>
      </c>
      <c r="F553" s="38" t="inlineStr">
        <is>
          <t>0</t>
        </is>
      </c>
      <c r="G553" s="38" t="inlineStr">
        <is>
          <t>589</t>
        </is>
      </c>
      <c r="H553" s="38" t="inlineStr">
        <is>
          <t>0</t>
        </is>
      </c>
    </row>
    <row r="554" ht="15" customHeight="1" s="39">
      <c r="A554" s="42" t="inlineStr">
        <is>
          <t>259118</t>
        </is>
      </c>
      <c r="B554" s="38" t="inlineStr">
        <is>
          <t>Plans de Sió, els</t>
        </is>
      </c>
      <c r="C554" s="38" t="inlineStr">
        <is>
          <t>209</t>
        </is>
      </c>
      <c r="D554" s="38" t="inlineStr">
        <is>
          <t>177</t>
        </is>
      </c>
      <c r="E554" s="38" t="inlineStr">
        <is>
          <t>386</t>
        </is>
      </c>
      <c r="F554" s="38" t="inlineStr">
        <is>
          <t>0</t>
        </is>
      </c>
      <c r="G554" s="38" t="inlineStr">
        <is>
          <t>386</t>
        </is>
      </c>
      <c r="H554" s="38" t="inlineStr">
        <is>
          <t>0</t>
        </is>
      </c>
    </row>
    <row r="555" ht="15" customHeight="1" s="39">
      <c r="A555" s="42" t="inlineStr">
        <is>
          <t>251689</t>
        </is>
      </c>
      <c r="B555" s="38" t="inlineStr">
        <is>
          <t>Poal, el</t>
        </is>
      </c>
      <c r="C555" s="38" t="inlineStr">
        <is>
          <t>234</t>
        </is>
      </c>
      <c r="D555" s="38" t="inlineStr">
        <is>
          <t>88</t>
        </is>
      </c>
      <c r="E555" s="38" t="inlineStr">
        <is>
          <t>322</t>
        </is>
      </c>
      <c r="F555" s="38" t="inlineStr">
        <is>
          <t>0</t>
        </is>
      </c>
      <c r="G555" s="38" t="inlineStr">
        <is>
          <t>322</t>
        </is>
      </c>
      <c r="H555" s="38" t="inlineStr">
        <is>
          <t>0</t>
        </is>
      </c>
    </row>
    <row r="556" ht="15" customHeight="1" s="39">
      <c r="A556" s="42" t="inlineStr">
        <is>
          <t>251692</t>
        </is>
      </c>
      <c r="B556" s="38" t="inlineStr">
        <is>
          <t>Pobla de Cérvoles, la</t>
        </is>
      </c>
      <c r="C556" s="38" t="inlineStr">
        <is>
          <t>104</t>
        </is>
      </c>
      <c r="D556" s="38" t="inlineStr">
        <is>
          <t>194</t>
        </is>
      </c>
      <c r="E556" s="38" t="inlineStr">
        <is>
          <t>298</t>
        </is>
      </c>
      <c r="F556" s="38" t="inlineStr">
        <is>
          <t>0</t>
        </is>
      </c>
      <c r="G556" s="38" t="inlineStr">
        <is>
          <t>298</t>
        </is>
      </c>
      <c r="H556" s="38" t="inlineStr">
        <is>
          <t>0</t>
        </is>
      </c>
    </row>
    <row r="557" ht="15" customHeight="1" s="39">
      <c r="A557" s="42" t="inlineStr">
        <is>
          <t>081653</t>
        </is>
      </c>
      <c r="B557" s="38" t="inlineStr">
        <is>
          <t>Pobla de Claramunt, la</t>
        </is>
      </c>
      <c r="C557" s="38" t="inlineStr">
        <is>
          <t>818</t>
        </is>
      </c>
      <c r="D557" s="38" t="inlineStr">
        <is>
          <t>241</t>
        </is>
      </c>
      <c r="E557" s="38" t="inlineStr">
        <is>
          <t>1059</t>
        </is>
      </c>
      <c r="F557" s="38" t="inlineStr">
        <is>
          <t>0</t>
        </is>
      </c>
      <c r="G557" s="38" t="inlineStr">
        <is>
          <t>1059</t>
        </is>
      </c>
      <c r="H557" s="38" t="inlineStr">
        <is>
          <t>0</t>
        </is>
      </c>
    </row>
    <row r="558" ht="15" customHeight="1" s="39">
      <c r="A558" s="42" t="inlineStr">
        <is>
          <t>081666</t>
        </is>
      </c>
      <c r="B558" s="38" t="inlineStr">
        <is>
          <t>Pobla de Lillet, la</t>
        </is>
      </c>
      <c r="C558" s="38" t="inlineStr">
        <is>
          <t>474</t>
        </is>
      </c>
      <c r="D558" s="38" t="inlineStr">
        <is>
          <t>515</t>
        </is>
      </c>
      <c r="E558" s="38" t="inlineStr">
        <is>
          <t>989</t>
        </is>
      </c>
      <c r="F558" s="38" t="inlineStr">
        <is>
          <t>0</t>
        </is>
      </c>
      <c r="G558" s="38" t="inlineStr">
        <is>
          <t>989</t>
        </is>
      </c>
      <c r="H558" s="38" t="inlineStr">
        <is>
          <t>1</t>
        </is>
      </c>
    </row>
    <row r="559" ht="15" customHeight="1" s="39">
      <c r="A559" s="42" t="inlineStr">
        <is>
          <t>431093</t>
        </is>
      </c>
      <c r="B559" s="38" t="inlineStr">
        <is>
          <t>Pobla de Mafumet, la</t>
        </is>
      </c>
      <c r="C559" s="38" t="inlineStr">
        <is>
          <t>1420</t>
        </is>
      </c>
      <c r="D559" s="38" t="inlineStr">
        <is>
          <t>195</t>
        </is>
      </c>
      <c r="E559" s="38" t="inlineStr">
        <is>
          <t>1615</t>
        </is>
      </c>
      <c r="F559" s="38" t="inlineStr">
        <is>
          <t>0</t>
        </is>
      </c>
      <c r="G559" s="38" t="inlineStr">
        <is>
          <t>1615</t>
        </is>
      </c>
      <c r="H559" s="38" t="inlineStr">
        <is>
          <t>0</t>
        </is>
      </c>
    </row>
    <row r="560" ht="15" customHeight="1" s="39">
      <c r="A560" s="42" t="inlineStr">
        <is>
          <t>431107</t>
        </is>
      </c>
      <c r="B560" s="38" t="inlineStr">
        <is>
          <t>Pobla de Massaluca, la</t>
        </is>
      </c>
      <c r="C560" s="38" t="inlineStr">
        <is>
          <t>137</t>
        </is>
      </c>
      <c r="D560" s="38" t="inlineStr">
        <is>
          <t>128</t>
        </is>
      </c>
      <c r="E560" s="38" t="inlineStr">
        <is>
          <t>265</t>
        </is>
      </c>
      <c r="F560" s="38" t="inlineStr">
        <is>
          <t>0</t>
        </is>
      </c>
      <c r="G560" s="38" t="inlineStr">
        <is>
          <t>265</t>
        </is>
      </c>
      <c r="H560" s="38" t="inlineStr">
        <is>
          <t>0</t>
        </is>
      </c>
    </row>
    <row r="561" ht="15" customHeight="1" s="39">
      <c r="A561" s="42" t="inlineStr">
        <is>
          <t>431114</t>
        </is>
      </c>
      <c r="B561" s="38" t="inlineStr">
        <is>
          <t>Pobla de Montornès, la</t>
        </is>
      </c>
      <c r="C561" s="38" t="inlineStr">
        <is>
          <t>1240</t>
        </is>
      </c>
      <c r="D561" s="38" t="inlineStr">
        <is>
          <t>915</t>
        </is>
      </c>
      <c r="E561" s="38" t="inlineStr">
        <is>
          <t>2155</t>
        </is>
      </c>
      <c r="F561" s="38" t="inlineStr">
        <is>
          <t>0</t>
        </is>
      </c>
      <c r="G561" s="38" t="inlineStr">
        <is>
          <t>2155</t>
        </is>
      </c>
      <c r="H561" s="38" t="inlineStr">
        <is>
          <t>0</t>
        </is>
      </c>
    </row>
    <row r="562" ht="15" customHeight="1" s="39">
      <c r="A562" s="42" t="inlineStr">
        <is>
          <t>251713</t>
        </is>
      </c>
      <c r="B562" s="38" t="inlineStr">
        <is>
          <t>Pobla de Segur, la</t>
        </is>
      </c>
      <c r="C562" s="38" t="inlineStr">
        <is>
          <t>1333</t>
        </is>
      </c>
      <c r="D562" s="38" t="inlineStr">
        <is>
          <t>1122</t>
        </is>
      </c>
      <c r="E562" s="38" t="inlineStr">
        <is>
          <t>2455</t>
        </is>
      </c>
      <c r="F562" s="38" t="inlineStr">
        <is>
          <t>0</t>
        </is>
      </c>
      <c r="G562" s="38" t="inlineStr">
        <is>
          <t>2455</t>
        </is>
      </c>
      <c r="H562" s="38" t="inlineStr">
        <is>
          <t>2</t>
        </is>
      </c>
    </row>
    <row r="563" ht="15" customHeight="1" s="39">
      <c r="A563" s="42" t="inlineStr">
        <is>
          <t>431129</t>
        </is>
      </c>
      <c r="B563" s="38" t="inlineStr">
        <is>
          <t>Poboleda</t>
        </is>
      </c>
      <c r="C563" s="38" t="inlineStr">
        <is>
          <t>139</t>
        </is>
      </c>
      <c r="D563" s="38" t="inlineStr">
        <is>
          <t>226</t>
        </is>
      </c>
      <c r="E563" s="38" t="inlineStr">
        <is>
          <t>365</t>
        </is>
      </c>
      <c r="F563" s="38" t="inlineStr">
        <is>
          <t>0</t>
        </is>
      </c>
      <c r="G563" s="38" t="inlineStr">
        <is>
          <t>365</t>
        </is>
      </c>
      <c r="H563" s="38" t="inlineStr">
        <is>
          <t>0</t>
        </is>
      </c>
    </row>
    <row r="564" ht="15" customHeight="1" s="39">
      <c r="A564" s="42" t="inlineStr">
        <is>
          <t>081672</t>
        </is>
      </c>
      <c r="B564" s="38" t="inlineStr">
        <is>
          <t>Polinyà</t>
        </is>
      </c>
      <c r="C564" s="38" t="inlineStr">
        <is>
          <t>3009</t>
        </is>
      </c>
      <c r="D564" s="38" t="inlineStr">
        <is>
          <t>182</t>
        </is>
      </c>
      <c r="E564" s="38" t="inlineStr">
        <is>
          <t>3191</t>
        </is>
      </c>
      <c r="F564" s="38" t="inlineStr">
        <is>
          <t>0</t>
        </is>
      </c>
      <c r="G564" s="38" t="inlineStr">
        <is>
          <t>3191</t>
        </is>
      </c>
      <c r="H564" s="38" t="inlineStr">
        <is>
          <t>1</t>
        </is>
      </c>
    </row>
    <row r="565" ht="15" customHeight="1" s="39">
      <c r="A565" s="42" t="inlineStr">
        <is>
          <t>431135</t>
        </is>
      </c>
      <c r="B565" s="38" t="inlineStr">
        <is>
          <t>Pont d'Armentera, el</t>
        </is>
      </c>
      <c r="C565" s="38" t="inlineStr">
        <is>
          <t>222</t>
        </is>
      </c>
      <c r="D565" s="38" t="inlineStr">
        <is>
          <t>181</t>
        </is>
      </c>
      <c r="E565" s="38" t="inlineStr">
        <is>
          <t>403</t>
        </is>
      </c>
      <c r="F565" s="38" t="inlineStr">
        <is>
          <t>0</t>
        </is>
      </c>
      <c r="G565" s="38" t="inlineStr">
        <is>
          <t>403</t>
        </is>
      </c>
      <c r="H565" s="38" t="inlineStr">
        <is>
          <t>0</t>
        </is>
      </c>
    </row>
    <row r="566" ht="15" customHeight="1" s="39">
      <c r="A566" s="42" t="inlineStr">
        <is>
          <t>250306</t>
        </is>
      </c>
      <c r="B566" s="38" t="inlineStr">
        <is>
          <t>Pont de Bar, el</t>
        </is>
      </c>
      <c r="C566" s="38" t="inlineStr">
        <is>
          <t>80</t>
        </is>
      </c>
      <c r="D566" s="38" t="inlineStr">
        <is>
          <t>103</t>
        </is>
      </c>
      <c r="E566" s="38" t="inlineStr">
        <is>
          <t>183</t>
        </is>
      </c>
      <c r="F566" s="38" t="inlineStr">
        <is>
          <t>0</t>
        </is>
      </c>
      <c r="G566" s="38" t="inlineStr">
        <is>
          <t>183</t>
        </is>
      </c>
      <c r="H566" s="38" t="inlineStr">
        <is>
          <t>0</t>
        </is>
      </c>
    </row>
    <row r="567" ht="15" customHeight="1" s="39">
      <c r="A567" s="42" t="inlineStr">
        <is>
          <t>171352</t>
        </is>
      </c>
      <c r="B567" s="38" t="inlineStr">
        <is>
          <t>Pont de Molins</t>
        </is>
      </c>
      <c r="C567" s="38" t="inlineStr">
        <is>
          <t>208</t>
        </is>
      </c>
      <c r="D567" s="38" t="inlineStr">
        <is>
          <t>64</t>
        </is>
      </c>
      <c r="E567" s="38" t="inlineStr">
        <is>
          <t>272</t>
        </is>
      </c>
      <c r="F567" s="38" t="inlineStr">
        <is>
          <t>0</t>
        </is>
      </c>
      <c r="G567" s="38" t="inlineStr">
        <is>
          <t>272</t>
        </is>
      </c>
      <c r="H567" s="38" t="inlineStr">
        <is>
          <t>0</t>
        </is>
      </c>
    </row>
    <row r="568" ht="15" customHeight="1" s="39">
      <c r="A568" s="42" t="inlineStr">
        <is>
          <t>251734</t>
        </is>
      </c>
      <c r="B568" s="38" t="inlineStr">
        <is>
          <t>Pont de Suert, el</t>
        </is>
      </c>
      <c r="C568" s="38" t="inlineStr">
        <is>
          <t>1004</t>
        </is>
      </c>
      <c r="D568" s="38" t="inlineStr">
        <is>
          <t>909</t>
        </is>
      </c>
      <c r="E568" s="38" t="inlineStr">
        <is>
          <t>1913</t>
        </is>
      </c>
      <c r="F568" s="38" t="inlineStr">
        <is>
          <t>0</t>
        </is>
      </c>
      <c r="G568" s="38" t="inlineStr">
        <is>
          <t>1913</t>
        </is>
      </c>
      <c r="H568" s="38" t="inlineStr">
        <is>
          <t>1</t>
        </is>
      </c>
    </row>
    <row r="569" ht="15" customHeight="1" s="39">
      <c r="A569" s="42" t="inlineStr">
        <is>
          <t>081825</t>
        </is>
      </c>
      <c r="B569" s="38" t="inlineStr">
        <is>
          <t>Pont de Vilomara i Rocafort, el</t>
        </is>
      </c>
      <c r="C569" s="38" t="inlineStr">
        <is>
          <t>1493</t>
        </is>
      </c>
      <c r="D569" s="38" t="inlineStr">
        <is>
          <t>458</t>
        </is>
      </c>
      <c r="E569" s="38" t="inlineStr">
        <is>
          <t>1951</t>
        </is>
      </c>
      <c r="F569" s="38" t="inlineStr">
        <is>
          <t>0</t>
        </is>
      </c>
      <c r="G569" s="38" t="inlineStr">
        <is>
          <t>1951</t>
        </is>
      </c>
      <c r="H569" s="38" t="inlineStr">
        <is>
          <t>0</t>
        </is>
      </c>
    </row>
    <row r="570" ht="15" customHeight="1" s="39">
      <c r="A570" s="42" t="inlineStr">
        <is>
          <t>431418</t>
        </is>
      </c>
      <c r="B570" s="38" t="inlineStr">
        <is>
          <t>Pontils</t>
        </is>
      </c>
      <c r="C570" s="38" t="inlineStr">
        <is>
          <t>62</t>
        </is>
      </c>
      <c r="D570" s="38" t="inlineStr">
        <is>
          <t>142</t>
        </is>
      </c>
      <c r="E570" s="38" t="inlineStr">
        <is>
          <t>204</t>
        </is>
      </c>
      <c r="F570" s="38" t="inlineStr">
        <is>
          <t>0</t>
        </is>
      </c>
      <c r="G570" s="38" t="inlineStr">
        <is>
          <t>204</t>
        </is>
      </c>
      <c r="H570" s="38" t="inlineStr">
        <is>
          <t>0</t>
        </is>
      </c>
    </row>
    <row r="571" ht="15" customHeight="1" s="39">
      <c r="A571" s="42" t="inlineStr">
        <is>
          <t>081688</t>
        </is>
      </c>
      <c r="B571" s="38" t="inlineStr">
        <is>
          <t>Pontons</t>
        </is>
      </c>
      <c r="C571" s="38" t="inlineStr">
        <is>
          <t>221</t>
        </is>
      </c>
      <c r="D571" s="38" t="inlineStr">
        <is>
          <t>367</t>
        </is>
      </c>
      <c r="E571" s="38" t="inlineStr">
        <is>
          <t>588</t>
        </is>
      </c>
      <c r="F571" s="38" t="inlineStr">
        <is>
          <t>0</t>
        </is>
      </c>
      <c r="G571" s="38" t="inlineStr">
        <is>
          <t>588</t>
        </is>
      </c>
      <c r="H571" s="38" t="inlineStr">
        <is>
          <t>0</t>
        </is>
      </c>
    </row>
    <row r="572" ht="15" customHeight="1" s="39">
      <c r="A572" s="42" t="inlineStr">
        <is>
          <t>171365</t>
        </is>
      </c>
      <c r="B572" s="38" t="inlineStr">
        <is>
          <t>Pontós</t>
        </is>
      </c>
      <c r="C572" s="38" t="inlineStr">
        <is>
          <t>106</t>
        </is>
      </c>
      <c r="D572" s="38" t="inlineStr">
        <is>
          <t>72</t>
        </is>
      </c>
      <c r="E572" s="38" t="inlineStr">
        <is>
          <t>178</t>
        </is>
      </c>
      <c r="F572" s="38" t="inlineStr">
        <is>
          <t>0</t>
        </is>
      </c>
      <c r="G572" s="38" t="inlineStr">
        <is>
          <t>178</t>
        </is>
      </c>
      <c r="H572" s="38" t="inlineStr">
        <is>
          <t>0</t>
        </is>
      </c>
    </row>
    <row r="573" ht="15" customHeight="1" s="39">
      <c r="A573" s="42" t="inlineStr">
        <is>
          <t>251728</t>
        </is>
      </c>
      <c r="B573" s="38" t="inlineStr">
        <is>
          <t>Ponts</t>
        </is>
      </c>
      <c r="C573" s="38" t="inlineStr">
        <is>
          <t>1043</t>
        </is>
      </c>
      <c r="D573" s="38" t="inlineStr">
        <is>
          <t>482</t>
        </is>
      </c>
      <c r="E573" s="38" t="inlineStr">
        <is>
          <t>1525</t>
        </is>
      </c>
      <c r="F573" s="38" t="inlineStr">
        <is>
          <t>0</t>
        </is>
      </c>
      <c r="G573" s="38" t="inlineStr">
        <is>
          <t>1525</t>
        </is>
      </c>
      <c r="H573" s="38" t="inlineStr">
        <is>
          <t>1</t>
        </is>
      </c>
    </row>
    <row r="574" ht="15" customHeight="1" s="39">
      <c r="A574" s="42" t="inlineStr">
        <is>
          <t>171371</t>
        </is>
      </c>
      <c r="B574" s="38" t="inlineStr">
        <is>
          <t>Porqueres</t>
        </is>
      </c>
      <c r="C574" s="38" t="inlineStr">
        <is>
          <t>1624</t>
        </is>
      </c>
      <c r="D574" s="38" t="inlineStr">
        <is>
          <t>211</t>
        </is>
      </c>
      <c r="E574" s="38" t="inlineStr">
        <is>
          <t>1835</t>
        </is>
      </c>
      <c r="F574" s="38" t="inlineStr">
        <is>
          <t>0</t>
        </is>
      </c>
      <c r="G574" s="38" t="inlineStr">
        <is>
          <t>1835</t>
        </is>
      </c>
      <c r="H574" s="38" t="inlineStr">
        <is>
          <t>0</t>
        </is>
      </c>
    </row>
    <row r="575" ht="15" customHeight="1" s="39">
      <c r="A575" s="42" t="inlineStr">
        <is>
          <t>431140</t>
        </is>
      </c>
      <c r="B575" s="38" t="inlineStr">
        <is>
          <t>Porrera</t>
        </is>
      </c>
      <c r="C575" s="38" t="inlineStr">
        <is>
          <t>175</t>
        </is>
      </c>
      <c r="D575" s="38" t="inlineStr">
        <is>
          <t>149</t>
        </is>
      </c>
      <c r="E575" s="38" t="inlineStr">
        <is>
          <t>324</t>
        </is>
      </c>
      <c r="F575" s="38" t="inlineStr">
        <is>
          <t>0</t>
        </is>
      </c>
      <c r="G575" s="38" t="inlineStr">
        <is>
          <t>324</t>
        </is>
      </c>
      <c r="H575" s="38" t="inlineStr">
        <is>
          <t>0</t>
        </is>
      </c>
    </row>
    <row r="576" ht="15" customHeight="1" s="39">
      <c r="A576" s="42" t="inlineStr">
        <is>
          <t>171404</t>
        </is>
      </c>
      <c r="B576" s="38" t="inlineStr">
        <is>
          <t>Port de la Selva, el</t>
        </is>
      </c>
      <c r="C576" s="38" t="inlineStr">
        <is>
          <t>477</t>
        </is>
      </c>
      <c r="D576" s="38" t="inlineStr">
        <is>
          <t>2020</t>
        </is>
      </c>
      <c r="E576" s="38" t="inlineStr">
        <is>
          <t>2497</t>
        </is>
      </c>
      <c r="F576" s="38" t="inlineStr">
        <is>
          <t>0</t>
        </is>
      </c>
      <c r="G576" s="38" t="inlineStr">
        <is>
          <t>2497</t>
        </is>
      </c>
      <c r="H576" s="38" t="inlineStr">
        <is>
          <t>0</t>
        </is>
      </c>
    </row>
    <row r="577" ht="15" customHeight="1" s="39">
      <c r="A577" s="42" t="inlineStr">
        <is>
          <t>171387</t>
        </is>
      </c>
      <c r="B577" s="38" t="inlineStr">
        <is>
          <t>Portbou</t>
        </is>
      </c>
      <c r="C577" s="38" t="inlineStr">
        <is>
          <t>532</t>
        </is>
      </c>
      <c r="D577" s="38" t="inlineStr">
        <is>
          <t>559</t>
        </is>
      </c>
      <c r="E577" s="38" t="inlineStr">
        <is>
          <t>1091</t>
        </is>
      </c>
      <c r="F577" s="38" t="inlineStr">
        <is>
          <t>0</t>
        </is>
      </c>
      <c r="G577" s="38" t="inlineStr">
        <is>
          <t>1091</t>
        </is>
      </c>
      <c r="H577" s="38" t="inlineStr">
        <is>
          <t>0</t>
        </is>
      </c>
    </row>
    <row r="578" ht="15" customHeight="1" s="39">
      <c r="A578" s="42" t="inlineStr">
        <is>
          <t>251749</t>
        </is>
      </c>
      <c r="B578" s="38" t="inlineStr">
        <is>
          <t>Portella, la</t>
        </is>
      </c>
      <c r="C578" s="38" t="inlineStr">
        <is>
          <t>231</t>
        </is>
      </c>
      <c r="D578" s="38" t="inlineStr">
        <is>
          <t>60</t>
        </is>
      </c>
      <c r="E578" s="38" t="inlineStr">
        <is>
          <t>291</t>
        </is>
      </c>
      <c r="F578" s="38" t="inlineStr">
        <is>
          <t>0</t>
        </is>
      </c>
      <c r="G578" s="38" t="inlineStr">
        <is>
          <t>291</t>
        </is>
      </c>
      <c r="H578" s="38" t="inlineStr">
        <is>
          <t>1</t>
        </is>
      </c>
    </row>
    <row r="579" ht="15" customHeight="1" s="39">
      <c r="A579" s="42" t="inlineStr">
        <is>
          <t>431153</t>
        </is>
      </c>
      <c r="B579" s="38" t="inlineStr">
        <is>
          <t>Pradell de la Teixeta</t>
        </is>
      </c>
      <c r="C579" s="38" t="inlineStr">
        <is>
          <t>71</t>
        </is>
      </c>
      <c r="D579" s="38" t="inlineStr">
        <is>
          <t>94</t>
        </is>
      </c>
      <c r="E579" s="38" t="inlineStr">
        <is>
          <t>165</t>
        </is>
      </c>
      <c r="F579" s="38" t="inlineStr">
        <is>
          <t>0</t>
        </is>
      </c>
      <c r="G579" s="38" t="inlineStr">
        <is>
          <t>165</t>
        </is>
      </c>
      <c r="H579" s="38" t="inlineStr">
        <is>
          <t>0</t>
        </is>
      </c>
    </row>
    <row r="580" ht="15" customHeight="1" s="39">
      <c r="A580" s="42" t="inlineStr">
        <is>
          <t>431166</t>
        </is>
      </c>
      <c r="B580" s="38" t="inlineStr">
        <is>
          <t>Prades</t>
        </is>
      </c>
      <c r="C580" s="38" t="inlineStr">
        <is>
          <t>282</t>
        </is>
      </c>
      <c r="D580" s="38" t="inlineStr">
        <is>
          <t>634</t>
        </is>
      </c>
      <c r="E580" s="38" t="inlineStr">
        <is>
          <t>916</t>
        </is>
      </c>
      <c r="F580" s="38" t="inlineStr">
        <is>
          <t>0</t>
        </is>
      </c>
      <c r="G580" s="38" t="inlineStr">
        <is>
          <t>916</t>
        </is>
      </c>
      <c r="H580" s="38" t="inlineStr">
        <is>
          <t>0</t>
        </is>
      </c>
    </row>
    <row r="581" ht="15" customHeight="1" s="39">
      <c r="A581" s="42" t="inlineStr">
        <is>
          <t>431172</t>
        </is>
      </c>
      <c r="B581" s="38" t="inlineStr">
        <is>
          <t>Prat de Comte</t>
        </is>
      </c>
      <c r="C581" s="38" t="inlineStr">
        <is>
          <t>79</t>
        </is>
      </c>
      <c r="D581" s="38" t="inlineStr">
        <is>
          <t>94</t>
        </is>
      </c>
      <c r="E581" s="38" t="inlineStr">
        <is>
          <t>173</t>
        </is>
      </c>
      <c r="F581" s="38" t="inlineStr">
        <is>
          <t>0</t>
        </is>
      </c>
      <c r="G581" s="38" t="inlineStr">
        <is>
          <t>173</t>
        </is>
      </c>
      <c r="H581" s="38" t="inlineStr">
        <is>
          <t>0</t>
        </is>
      </c>
    </row>
    <row r="582" ht="15" customHeight="1" s="39">
      <c r="A582" s="42" t="inlineStr">
        <is>
          <t>081691</t>
        </is>
      </c>
      <c r="B582" s="38" t="inlineStr">
        <is>
          <t>Prat de Llobregat, el</t>
        </is>
      </c>
      <c r="C582" s="38" t="inlineStr">
        <is>
          <t>24614</t>
        </is>
      </c>
      <c r="D582" s="38" t="inlineStr">
        <is>
          <t>1904</t>
        </is>
      </c>
      <c r="E582" s="38" t="inlineStr">
        <is>
          <t>26518</t>
        </is>
      </c>
      <c r="F582" s="38" t="inlineStr">
        <is>
          <t>0</t>
        </is>
      </c>
      <c r="G582" s="38" t="inlineStr">
        <is>
          <t>26518</t>
        </is>
      </c>
      <c r="H582" s="38" t="inlineStr">
        <is>
          <t>9</t>
        </is>
      </c>
    </row>
    <row r="583" ht="15" customHeight="1" s="39">
      <c r="A583" s="42" t="inlineStr">
        <is>
          <t>431188</t>
        </is>
      </c>
      <c r="B583" s="38" t="inlineStr">
        <is>
          <t>Pratdip</t>
        </is>
      </c>
      <c r="C583" s="38" t="inlineStr">
        <is>
          <t>291</t>
        </is>
      </c>
      <c r="D583" s="38" t="inlineStr">
        <is>
          <t>485</t>
        </is>
      </c>
      <c r="E583" s="38" t="inlineStr">
        <is>
          <t>776</t>
        </is>
      </c>
      <c r="F583" s="38" t="inlineStr">
        <is>
          <t>0</t>
        </is>
      </c>
      <c r="G583" s="38" t="inlineStr">
        <is>
          <t>776</t>
        </is>
      </c>
      <c r="H583" s="38" t="inlineStr">
        <is>
          <t>0</t>
        </is>
      </c>
    </row>
    <row r="584" ht="15" customHeight="1" s="39">
      <c r="A584" s="42" t="inlineStr">
        <is>
          <t>081712</t>
        </is>
      </c>
      <c r="B584" s="38" t="inlineStr">
        <is>
          <t>Prats de Lluçanès</t>
        </is>
      </c>
      <c r="C584" s="38" t="inlineStr">
        <is>
          <t>997</t>
        </is>
      </c>
      <c r="D584" s="38" t="inlineStr">
        <is>
          <t>392</t>
        </is>
      </c>
      <c r="E584" s="38" t="inlineStr">
        <is>
          <t>1389</t>
        </is>
      </c>
      <c r="F584" s="38" t="inlineStr">
        <is>
          <t>0</t>
        </is>
      </c>
      <c r="G584" s="38" t="inlineStr">
        <is>
          <t>1389</t>
        </is>
      </c>
      <c r="H584" s="38" t="inlineStr">
        <is>
          <t>1</t>
        </is>
      </c>
    </row>
    <row r="585" ht="15" customHeight="1" s="39">
      <c r="A585" s="42" t="inlineStr">
        <is>
          <t>081705</t>
        </is>
      </c>
      <c r="B585" s="38" t="inlineStr">
        <is>
          <t>Prats de Rei, els</t>
        </is>
      </c>
      <c r="C585" s="38" t="inlineStr">
        <is>
          <t>212</t>
        </is>
      </c>
      <c r="D585" s="38" t="inlineStr">
        <is>
          <t>143</t>
        </is>
      </c>
      <c r="E585" s="38" t="inlineStr">
        <is>
          <t>355</t>
        </is>
      </c>
      <c r="F585" s="38" t="inlineStr">
        <is>
          <t>0</t>
        </is>
      </c>
      <c r="G585" s="38" t="inlineStr">
        <is>
          <t>355</t>
        </is>
      </c>
      <c r="H585" s="38" t="inlineStr">
        <is>
          <t>1</t>
        </is>
      </c>
    </row>
    <row r="586" ht="15" customHeight="1" s="39">
      <c r="A586" s="42" t="inlineStr">
        <is>
          <t>251752</t>
        </is>
      </c>
      <c r="B586" s="38" t="inlineStr">
        <is>
          <t>Prats i Sansor</t>
        </is>
      </c>
      <c r="C586" s="38" t="inlineStr">
        <is>
          <t>108</t>
        </is>
      </c>
      <c r="D586" s="38" t="inlineStr">
        <is>
          <t>447</t>
        </is>
      </c>
      <c r="E586" s="38" t="inlineStr">
        <is>
          <t>555</t>
        </is>
      </c>
      <c r="F586" s="38" t="inlineStr">
        <is>
          <t>0</t>
        </is>
      </c>
      <c r="G586" s="38" t="inlineStr">
        <is>
          <t>555</t>
        </is>
      </c>
      <c r="H586" s="38" t="inlineStr">
        <is>
          <t>0</t>
        </is>
      </c>
    </row>
    <row r="587" ht="15" customHeight="1" s="39">
      <c r="A587" s="42" t="inlineStr">
        <is>
          <t>251765</t>
        </is>
      </c>
      <c r="B587" s="38" t="inlineStr">
        <is>
          <t>Preixana</t>
        </is>
      </c>
      <c r="C587" s="38" t="inlineStr">
        <is>
          <t>159</t>
        </is>
      </c>
      <c r="D587" s="38" t="inlineStr">
        <is>
          <t>88</t>
        </is>
      </c>
      <c r="E587" s="38" t="inlineStr">
        <is>
          <t>247</t>
        </is>
      </c>
      <c r="F587" s="38" t="inlineStr">
        <is>
          <t>0</t>
        </is>
      </c>
      <c r="G587" s="38" t="inlineStr">
        <is>
          <t>247</t>
        </is>
      </c>
      <c r="H587" s="38" t="inlineStr">
        <is>
          <t>0</t>
        </is>
      </c>
    </row>
    <row r="588" ht="15" customHeight="1" s="39">
      <c r="A588" s="42" t="inlineStr">
        <is>
          <t>251771</t>
        </is>
      </c>
      <c r="B588" s="38" t="inlineStr">
        <is>
          <t>Preixens</t>
        </is>
      </c>
      <c r="C588" s="38" t="inlineStr">
        <is>
          <t>164</t>
        </is>
      </c>
      <c r="D588" s="38" t="inlineStr">
        <is>
          <t>137</t>
        </is>
      </c>
      <c r="E588" s="38" t="inlineStr">
        <is>
          <t>301</t>
        </is>
      </c>
      <c r="F588" s="38" t="inlineStr">
        <is>
          <t>0</t>
        </is>
      </c>
      <c r="G588" s="38" t="inlineStr">
        <is>
          <t>301</t>
        </is>
      </c>
      <c r="H588" s="38" t="inlineStr">
        <is>
          <t>0</t>
        </is>
      </c>
    </row>
    <row r="589" ht="15" customHeight="1" s="39">
      <c r="A589" s="42" t="inlineStr">
        <is>
          <t>082303</t>
        </is>
      </c>
      <c r="B589" s="38" t="inlineStr">
        <is>
          <t>Premià de Dalt</t>
        </is>
      </c>
      <c r="C589" s="38" t="inlineStr">
        <is>
          <t>3675</t>
        </is>
      </c>
      <c r="D589" s="38" t="inlineStr">
        <is>
          <t>565</t>
        </is>
      </c>
      <c r="E589" s="38" t="inlineStr">
        <is>
          <t>4240</t>
        </is>
      </c>
      <c r="F589" s="38" t="inlineStr">
        <is>
          <t>0</t>
        </is>
      </c>
      <c r="G589" s="38" t="inlineStr">
        <is>
          <t>4240</t>
        </is>
      </c>
      <c r="H589" s="38" t="inlineStr">
        <is>
          <t>2</t>
        </is>
      </c>
    </row>
    <row r="590" ht="15" customHeight="1" s="39">
      <c r="A590" s="42" t="inlineStr">
        <is>
          <t>081727</t>
        </is>
      </c>
      <c r="B590" s="38" t="inlineStr">
        <is>
          <t>Premià de Mar</t>
        </is>
      </c>
      <c r="C590" s="38" t="inlineStr">
        <is>
          <t>10876</t>
        </is>
      </c>
      <c r="D590" s="38" t="inlineStr">
        <is>
          <t>1437</t>
        </is>
      </c>
      <c r="E590" s="38" t="inlineStr">
        <is>
          <t>12313</t>
        </is>
      </c>
      <c r="F590" s="38" t="inlineStr">
        <is>
          <t>0</t>
        </is>
      </c>
      <c r="G590" s="38" t="inlineStr">
        <is>
          <t>12313</t>
        </is>
      </c>
      <c r="H590" s="38" t="inlineStr">
        <is>
          <t>7</t>
        </is>
      </c>
    </row>
    <row r="591" ht="15" customHeight="1" s="39">
      <c r="A591" s="42" t="inlineStr">
        <is>
          <t>171390</t>
        </is>
      </c>
      <c r="B591" s="38" t="inlineStr">
        <is>
          <t>Preses, les</t>
        </is>
      </c>
      <c r="C591" s="38" t="inlineStr">
        <is>
          <t>657</t>
        </is>
      </c>
      <c r="D591" s="38" t="inlineStr">
        <is>
          <t>110</t>
        </is>
      </c>
      <c r="E591" s="38" t="inlineStr">
        <is>
          <t>767</t>
        </is>
      </c>
      <c r="F591" s="38" t="inlineStr">
        <is>
          <t>0</t>
        </is>
      </c>
      <c r="G591" s="38" t="inlineStr">
        <is>
          <t>767</t>
        </is>
      </c>
      <c r="H591" s="38" t="inlineStr">
        <is>
          <t>0</t>
        </is>
      </c>
    </row>
    <row r="592" ht="15" customHeight="1" s="39">
      <c r="A592" s="42" t="inlineStr">
        <is>
          <t>251790</t>
        </is>
      </c>
      <c r="B592" s="38" t="inlineStr">
        <is>
          <t>Prullans</t>
        </is>
      </c>
      <c r="C592" s="38" t="inlineStr">
        <is>
          <t>118</t>
        </is>
      </c>
      <c r="D592" s="38" t="inlineStr">
        <is>
          <t>152</t>
        </is>
      </c>
      <c r="E592" s="38" t="inlineStr">
        <is>
          <t>270</t>
        </is>
      </c>
      <c r="F592" s="38" t="inlineStr">
        <is>
          <t>0</t>
        </is>
      </c>
      <c r="G592" s="38" t="inlineStr">
        <is>
          <t>270</t>
        </is>
      </c>
      <c r="H592" s="38" t="inlineStr">
        <is>
          <t>0</t>
        </is>
      </c>
    </row>
    <row r="593" ht="15" customHeight="1" s="39">
      <c r="A593" s="42" t="inlineStr">
        <is>
          <t>171411</t>
        </is>
      </c>
      <c r="B593" s="38" t="inlineStr">
        <is>
          <t>Puigcerdà</t>
        </is>
      </c>
      <c r="C593" s="38" t="inlineStr">
        <is>
          <t>3563</t>
        </is>
      </c>
      <c r="D593" s="38" t="inlineStr">
        <is>
          <t>2426</t>
        </is>
      </c>
      <c r="E593" s="38" t="inlineStr">
        <is>
          <t>5989</t>
        </is>
      </c>
      <c r="F593" s="38" t="inlineStr">
        <is>
          <t>0</t>
        </is>
      </c>
      <c r="G593" s="38" t="inlineStr">
        <is>
          <t>5989</t>
        </is>
      </c>
      <c r="H593" s="38" t="inlineStr">
        <is>
          <t>4</t>
        </is>
      </c>
    </row>
    <row r="594" ht="15" customHeight="1" s="39">
      <c r="A594" s="42" t="inlineStr">
        <is>
          <t>081748</t>
        </is>
      </c>
      <c r="B594" s="38" t="inlineStr">
        <is>
          <t>Puigdàlber</t>
        </is>
      </c>
      <c r="C594" s="38" t="inlineStr">
        <is>
          <t>205</t>
        </is>
      </c>
      <c r="D594" s="38" t="inlineStr">
        <is>
          <t>58</t>
        </is>
      </c>
      <c r="E594" s="38" t="inlineStr">
        <is>
          <t>263</t>
        </is>
      </c>
      <c r="F594" s="38" t="inlineStr">
        <is>
          <t>0</t>
        </is>
      </c>
      <c r="G594" s="38" t="inlineStr">
        <is>
          <t>263</t>
        </is>
      </c>
      <c r="H594" s="38" t="inlineStr">
        <is>
          <t>0</t>
        </is>
      </c>
    </row>
    <row r="595" ht="15" customHeight="1" s="39">
      <c r="A595" s="42" t="inlineStr">
        <is>
          <t>251804</t>
        </is>
      </c>
      <c r="B595" s="38" t="inlineStr">
        <is>
          <t>Puiggròs</t>
        </is>
      </c>
      <c r="C595" s="38" t="inlineStr">
        <is>
          <t>112</t>
        </is>
      </c>
      <c r="D595" s="38" t="inlineStr">
        <is>
          <t>65</t>
        </is>
      </c>
      <c r="E595" s="38" t="inlineStr">
        <is>
          <t>177</t>
        </is>
      </c>
      <c r="F595" s="38" t="inlineStr">
        <is>
          <t>0</t>
        </is>
      </c>
      <c r="G595" s="38" t="inlineStr">
        <is>
          <t>177</t>
        </is>
      </c>
      <c r="H595" s="38" t="inlineStr">
        <is>
          <t>0</t>
        </is>
      </c>
    </row>
    <row r="596" ht="15" customHeight="1" s="39">
      <c r="A596" s="42" t="inlineStr">
        <is>
          <t>431191</t>
        </is>
      </c>
      <c r="B596" s="38" t="inlineStr">
        <is>
          <t>Puigpelat</t>
        </is>
      </c>
      <c r="C596" s="38" t="inlineStr">
        <is>
          <t>431</t>
        </is>
      </c>
      <c r="D596" s="38" t="inlineStr">
        <is>
          <t>169</t>
        </is>
      </c>
      <c r="E596" s="38" t="inlineStr">
        <is>
          <t>600</t>
        </is>
      </c>
      <c r="F596" s="38" t="inlineStr">
        <is>
          <t>0</t>
        </is>
      </c>
      <c r="G596" s="38" t="inlineStr">
        <is>
          <t>600</t>
        </is>
      </c>
      <c r="H596" s="38" t="inlineStr">
        <is>
          <t>0</t>
        </is>
      </c>
    </row>
    <row r="597" ht="15" customHeight="1" s="39">
      <c r="A597" s="42" t="inlineStr">
        <is>
          <t>081751</t>
        </is>
      </c>
      <c r="B597" s="38" t="inlineStr">
        <is>
          <t>Puig-reig</t>
        </is>
      </c>
      <c r="C597" s="38" t="inlineStr">
        <is>
          <t>1742</t>
        </is>
      </c>
      <c r="D597" s="38" t="inlineStr">
        <is>
          <t>634</t>
        </is>
      </c>
      <c r="E597" s="38" t="inlineStr">
        <is>
          <t>2376</t>
        </is>
      </c>
      <c r="F597" s="38" t="inlineStr">
        <is>
          <t>0</t>
        </is>
      </c>
      <c r="G597" s="38" t="inlineStr">
        <is>
          <t>2376</t>
        </is>
      </c>
      <c r="H597" s="38" t="inlineStr">
        <is>
          <t>3</t>
        </is>
      </c>
    </row>
    <row r="598" ht="15" customHeight="1" s="39">
      <c r="A598" s="42" t="inlineStr">
        <is>
          <t>251811</t>
        </is>
      </c>
      <c r="B598" s="38" t="inlineStr">
        <is>
          <t>Puigverd d'Agramunt</t>
        </is>
      </c>
      <c r="C598" s="38" t="inlineStr">
        <is>
          <t>95</t>
        </is>
      </c>
      <c r="D598" s="38" t="inlineStr">
        <is>
          <t>28</t>
        </is>
      </c>
      <c r="E598" s="38" t="inlineStr">
        <is>
          <t>123</t>
        </is>
      </c>
      <c r="F598" s="38" t="inlineStr">
        <is>
          <t>0</t>
        </is>
      </c>
      <c r="G598" s="38" t="inlineStr">
        <is>
          <t>123</t>
        </is>
      </c>
      <c r="H598" s="38" t="inlineStr">
        <is>
          <t>0</t>
        </is>
      </c>
    </row>
    <row r="599" ht="15" customHeight="1" s="39">
      <c r="A599" s="42" t="inlineStr">
        <is>
          <t>251826</t>
        </is>
      </c>
      <c r="B599" s="38" t="inlineStr">
        <is>
          <t>Puigverd de Lleida</t>
        </is>
      </c>
      <c r="C599" s="38" t="inlineStr">
        <is>
          <t>507</t>
        </is>
      </c>
      <c r="D599" s="38" t="inlineStr">
        <is>
          <t>246</t>
        </is>
      </c>
      <c r="E599" s="38" t="inlineStr">
        <is>
          <t>753</t>
        </is>
      </c>
      <c r="F599" s="38" t="inlineStr">
        <is>
          <t>0</t>
        </is>
      </c>
      <c r="G599" s="38" t="inlineStr">
        <is>
          <t>753</t>
        </is>
      </c>
      <c r="H599" s="38" t="inlineStr">
        <is>
          <t>1</t>
        </is>
      </c>
    </row>
    <row r="600" ht="15" customHeight="1" s="39">
      <c r="A600" s="42" t="inlineStr">
        <is>
          <t>081764</t>
        </is>
      </c>
      <c r="B600" s="38" t="inlineStr">
        <is>
          <t>Pujalt</t>
        </is>
      </c>
      <c r="C600" s="38" t="inlineStr">
        <is>
          <t>76</t>
        </is>
      </c>
      <c r="D600" s="38" t="inlineStr">
        <is>
          <t>100</t>
        </is>
      </c>
      <c r="E600" s="38" t="inlineStr">
        <is>
          <t>176</t>
        </is>
      </c>
      <c r="F600" s="38" t="inlineStr">
        <is>
          <t>0</t>
        </is>
      </c>
      <c r="G600" s="38" t="inlineStr">
        <is>
          <t>176</t>
        </is>
      </c>
      <c r="H600" s="38" t="inlineStr">
        <is>
          <t>0</t>
        </is>
      </c>
    </row>
    <row r="601" ht="15" customHeight="1" s="39">
      <c r="A601" s="42" t="inlineStr">
        <is>
          <t>081770</t>
        </is>
      </c>
      <c r="B601" s="38" t="inlineStr">
        <is>
          <t>Quar, la</t>
        </is>
      </c>
      <c r="C601" s="38" t="inlineStr">
        <is>
          <t>18</t>
        </is>
      </c>
      <c r="D601" s="38" t="inlineStr">
        <is>
          <t>13</t>
        </is>
      </c>
      <c r="E601" s="38" t="inlineStr">
        <is>
          <t>31</t>
        </is>
      </c>
      <c r="F601" s="38" t="inlineStr">
        <is>
          <t>0</t>
        </is>
      </c>
      <c r="G601" s="38" t="inlineStr">
        <is>
          <t>31</t>
        </is>
      </c>
      <c r="H601" s="38" t="inlineStr">
        <is>
          <t>0</t>
        </is>
      </c>
    </row>
    <row r="602" ht="15" customHeight="1" s="39">
      <c r="A602" s="42" t="inlineStr">
        <is>
          <t>171426</t>
        </is>
      </c>
      <c r="B602" s="38" t="inlineStr">
        <is>
          <t>Quart</t>
        </is>
      </c>
      <c r="C602" s="38" t="inlineStr">
        <is>
          <t>1313</t>
        </is>
      </c>
      <c r="D602" s="38" t="inlineStr">
        <is>
          <t>186</t>
        </is>
      </c>
      <c r="E602" s="38" t="inlineStr">
        <is>
          <t>1499</t>
        </is>
      </c>
      <c r="F602" s="38" t="inlineStr">
        <is>
          <t>0</t>
        </is>
      </c>
      <c r="G602" s="38" t="inlineStr">
        <is>
          <t>1499</t>
        </is>
      </c>
      <c r="H602" s="38" t="inlineStr">
        <is>
          <t>0</t>
        </is>
      </c>
    </row>
    <row r="603" ht="15" customHeight="1" s="39">
      <c r="A603" s="42" t="inlineStr">
        <is>
          <t>170433</t>
        </is>
      </c>
      <c r="B603" s="38" t="inlineStr">
        <is>
          <t>Queralbs</t>
        </is>
      </c>
      <c r="C603" s="38" t="inlineStr">
        <is>
          <t>98</t>
        </is>
      </c>
      <c r="D603" s="38" t="inlineStr">
        <is>
          <t>280</t>
        </is>
      </c>
      <c r="E603" s="38" t="inlineStr">
        <is>
          <t>378</t>
        </is>
      </c>
      <c r="F603" s="38" t="inlineStr">
        <is>
          <t>0</t>
        </is>
      </c>
      <c r="G603" s="38" t="inlineStr">
        <is>
          <t>378</t>
        </is>
      </c>
      <c r="H603" s="38" t="inlineStr">
        <is>
          <t>0</t>
        </is>
      </c>
    </row>
    <row r="604" ht="15" customHeight="1" s="39">
      <c r="A604" s="42" t="inlineStr">
        <is>
          <t>431205</t>
        </is>
      </c>
      <c r="B604" s="38" t="inlineStr">
        <is>
          <t>Querol</t>
        </is>
      </c>
      <c r="C604" s="38" t="inlineStr">
        <is>
          <t>257</t>
        </is>
      </c>
      <c r="D604" s="38" t="inlineStr">
        <is>
          <t>510</t>
        </is>
      </c>
      <c r="E604" s="38" t="inlineStr">
        <is>
          <t>767</t>
        </is>
      </c>
      <c r="F604" s="38" t="inlineStr">
        <is>
          <t>0</t>
        </is>
      </c>
      <c r="G604" s="38" t="inlineStr">
        <is>
          <t>767</t>
        </is>
      </c>
      <c r="H604" s="38" t="inlineStr">
        <is>
          <t>0</t>
        </is>
      </c>
    </row>
    <row r="605" ht="15" customHeight="1" s="39">
      <c r="A605" s="42" t="inlineStr">
        <is>
          <t>171432</t>
        </is>
      </c>
      <c r="B605" s="38" t="inlineStr">
        <is>
          <t>Rabós</t>
        </is>
      </c>
      <c r="C605" s="38" t="inlineStr">
        <is>
          <t>94</t>
        </is>
      </c>
      <c r="D605" s="38" t="inlineStr">
        <is>
          <t>87</t>
        </is>
      </c>
      <c r="E605" s="38" t="inlineStr">
        <is>
          <t>181</t>
        </is>
      </c>
      <c r="F605" s="38" t="inlineStr">
        <is>
          <t>0</t>
        </is>
      </c>
      <c r="G605" s="38" t="inlineStr">
        <is>
          <t>181</t>
        </is>
      </c>
      <c r="H605" s="38" t="inlineStr">
        <is>
          <t>0</t>
        </is>
      </c>
    </row>
    <row r="606" ht="15" customHeight="1" s="39">
      <c r="A606" s="42" t="inlineStr">
        <is>
          <t>081786</t>
        </is>
      </c>
      <c r="B606" s="38" t="inlineStr">
        <is>
          <t>Rajadell</t>
        </is>
      </c>
      <c r="C606" s="38" t="inlineStr">
        <is>
          <t>202</t>
        </is>
      </c>
      <c r="D606" s="38" t="inlineStr">
        <is>
          <t>94</t>
        </is>
      </c>
      <c r="E606" s="38" t="inlineStr">
        <is>
          <t>296</t>
        </is>
      </c>
      <c r="F606" s="38" t="inlineStr">
        <is>
          <t>0</t>
        </is>
      </c>
      <c r="G606" s="38" t="inlineStr">
        <is>
          <t>296</t>
        </is>
      </c>
      <c r="H606" s="38" t="inlineStr">
        <is>
          <t>0</t>
        </is>
      </c>
    </row>
    <row r="607" ht="15" customHeight="1" s="39">
      <c r="A607" s="42" t="inlineStr">
        <is>
          <t>431362</t>
        </is>
      </c>
      <c r="B607" s="38" t="inlineStr">
        <is>
          <t>Ràpita, la</t>
        </is>
      </c>
      <c r="C607" s="38" t="inlineStr">
        <is>
          <t>6047</t>
        </is>
      </c>
      <c r="D607" s="38" t="inlineStr">
        <is>
          <t>6027</t>
        </is>
      </c>
      <c r="E607" s="38" t="inlineStr">
        <is>
          <t>12074</t>
        </is>
      </c>
      <c r="F607" s="38" t="inlineStr">
        <is>
          <t>0</t>
        </is>
      </c>
      <c r="G607" s="38" t="inlineStr">
        <is>
          <t>12074</t>
        </is>
      </c>
      <c r="H607" s="38" t="inlineStr">
        <is>
          <t>3</t>
        </is>
      </c>
    </row>
    <row r="608" ht="15" customHeight="1" s="39">
      <c r="A608" s="42" t="inlineStr">
        <is>
          <t>431212</t>
        </is>
      </c>
      <c r="B608" s="38" t="inlineStr">
        <is>
          <t>Rasquera</t>
        </is>
      </c>
      <c r="C608" s="38" t="inlineStr">
        <is>
          <t>334</t>
        </is>
      </c>
      <c r="D608" s="38" t="inlineStr">
        <is>
          <t>340</t>
        </is>
      </c>
      <c r="E608" s="38" t="inlineStr">
        <is>
          <t>674</t>
        </is>
      </c>
      <c r="F608" s="38" t="inlineStr">
        <is>
          <t>0</t>
        </is>
      </c>
      <c r="G608" s="38" t="inlineStr">
        <is>
          <t>674</t>
        </is>
      </c>
      <c r="H608" s="38" t="inlineStr">
        <is>
          <t>0</t>
        </is>
      </c>
    </row>
    <row r="609" ht="15" customHeight="1" s="39">
      <c r="A609" s="42" t="inlineStr">
        <is>
          <t>171447</t>
        </is>
      </c>
      <c r="B609" s="38" t="inlineStr">
        <is>
          <t>Regencós</t>
        </is>
      </c>
      <c r="C609" s="38" t="inlineStr">
        <is>
          <t>110</t>
        </is>
      </c>
      <c r="D609" s="38" t="inlineStr">
        <is>
          <t>76</t>
        </is>
      </c>
      <c r="E609" s="38" t="inlineStr">
        <is>
          <t>186</t>
        </is>
      </c>
      <c r="F609" s="38" t="inlineStr">
        <is>
          <t>0</t>
        </is>
      </c>
      <c r="G609" s="38" t="inlineStr">
        <is>
          <t>186</t>
        </is>
      </c>
      <c r="H609" s="38" t="inlineStr">
        <is>
          <t>0</t>
        </is>
      </c>
    </row>
    <row r="610" ht="15" customHeight="1" s="39">
      <c r="A610" s="42" t="inlineStr">
        <is>
          <t>081799</t>
        </is>
      </c>
      <c r="B610" s="38" t="inlineStr">
        <is>
          <t>Rellinars</t>
        </is>
      </c>
      <c r="C610" s="38" t="inlineStr">
        <is>
          <t>335</t>
        </is>
      </c>
      <c r="D610" s="38" t="inlineStr">
        <is>
          <t>213</t>
        </is>
      </c>
      <c r="E610" s="38" t="inlineStr">
        <is>
          <t>548</t>
        </is>
      </c>
      <c r="F610" s="38" t="inlineStr">
        <is>
          <t>0</t>
        </is>
      </c>
      <c r="G610" s="38" t="inlineStr">
        <is>
          <t>548</t>
        </is>
      </c>
      <c r="H610" s="38" t="inlineStr">
        <is>
          <t>0</t>
        </is>
      </c>
    </row>
    <row r="611" ht="15" customHeight="1" s="39">
      <c r="A611" s="42" t="inlineStr">
        <is>
          <t>431227</t>
        </is>
      </c>
      <c r="B611" s="38" t="inlineStr">
        <is>
          <t>Renau</t>
        </is>
      </c>
      <c r="C611" s="38" t="inlineStr">
        <is>
          <t>57</t>
        </is>
      </c>
      <c r="D611" s="38" t="inlineStr">
        <is>
          <t>22</t>
        </is>
      </c>
      <c r="E611" s="38" t="inlineStr">
        <is>
          <t>79</t>
        </is>
      </c>
      <c r="F611" s="38" t="inlineStr">
        <is>
          <t>0</t>
        </is>
      </c>
      <c r="G611" s="38" t="inlineStr">
        <is>
          <t>79</t>
        </is>
      </c>
      <c r="H611" s="38" t="inlineStr">
        <is>
          <t>0</t>
        </is>
      </c>
    </row>
    <row r="612" ht="15" customHeight="1" s="39">
      <c r="A612" s="42" t="inlineStr">
        <is>
          <t>431233</t>
        </is>
      </c>
      <c r="B612" s="38" t="inlineStr">
        <is>
          <t>Reus</t>
        </is>
      </c>
      <c r="C612" s="38" t="inlineStr">
        <is>
          <t>40520</t>
        </is>
      </c>
      <c r="D612" s="38" t="inlineStr">
        <is>
          <t>10764</t>
        </is>
      </c>
      <c r="E612" s="38" t="inlineStr">
        <is>
          <t>51284</t>
        </is>
      </c>
      <c r="F612" s="38" t="inlineStr">
        <is>
          <t>0</t>
        </is>
      </c>
      <c r="G612" s="38" t="inlineStr">
        <is>
          <t>51284</t>
        </is>
      </c>
      <c r="H612" s="38" t="inlineStr">
        <is>
          <t>43</t>
        </is>
      </c>
    </row>
    <row r="613" ht="15" customHeight="1" s="39">
      <c r="A613" s="42" t="inlineStr">
        <is>
          <t>251832</t>
        </is>
      </c>
      <c r="B613" s="38" t="inlineStr">
        <is>
          <t>Rialp</t>
        </is>
      </c>
      <c r="C613" s="38" t="inlineStr">
        <is>
          <t>295</t>
        </is>
      </c>
      <c r="D613" s="38" t="inlineStr">
        <is>
          <t>517</t>
        </is>
      </c>
      <c r="E613" s="38" t="inlineStr">
        <is>
          <t>812</t>
        </is>
      </c>
      <c r="F613" s="38" t="inlineStr">
        <is>
          <t>0</t>
        </is>
      </c>
      <c r="G613" s="38" t="inlineStr">
        <is>
          <t>812</t>
        </is>
      </c>
      <c r="H613" s="38" t="inlineStr">
        <is>
          <t>0</t>
        </is>
      </c>
    </row>
    <row r="614" ht="15" customHeight="1" s="39">
      <c r="A614" s="42" t="inlineStr">
        <is>
          <t>431248</t>
        </is>
      </c>
      <c r="B614" s="38" t="inlineStr">
        <is>
          <t>Riba, la</t>
        </is>
      </c>
      <c r="C614" s="38" t="inlineStr">
        <is>
          <t>251</t>
        </is>
      </c>
      <c r="D614" s="38" t="inlineStr">
        <is>
          <t>212</t>
        </is>
      </c>
      <c r="E614" s="38" t="inlineStr">
        <is>
          <t>463</t>
        </is>
      </c>
      <c r="F614" s="38" t="inlineStr">
        <is>
          <t>0</t>
        </is>
      </c>
      <c r="G614" s="38" t="inlineStr">
        <is>
          <t>463</t>
        </is>
      </c>
      <c r="H614" s="38" t="inlineStr">
        <is>
          <t>0</t>
        </is>
      </c>
    </row>
    <row r="615" ht="15" customHeight="1" s="39">
      <c r="A615" s="42" t="inlineStr">
        <is>
          <t>431251</t>
        </is>
      </c>
      <c r="B615" s="38" t="inlineStr">
        <is>
          <t>Riba-roja d'Ebre</t>
        </is>
      </c>
      <c r="C615" s="38" t="inlineStr">
        <is>
          <t>475</t>
        </is>
      </c>
      <c r="D615" s="38" t="inlineStr">
        <is>
          <t>404</t>
        </is>
      </c>
      <c r="E615" s="38" t="inlineStr">
        <is>
          <t>879</t>
        </is>
      </c>
      <c r="F615" s="38" t="inlineStr">
        <is>
          <t>0</t>
        </is>
      </c>
      <c r="G615" s="38" t="inlineStr">
        <is>
          <t>879</t>
        </is>
      </c>
      <c r="H615" s="38" t="inlineStr">
        <is>
          <t>0</t>
        </is>
      </c>
    </row>
    <row r="616" ht="15" customHeight="1" s="39">
      <c r="A616" s="42" t="inlineStr">
        <is>
          <t>259059</t>
        </is>
      </c>
      <c r="B616" s="38" t="inlineStr">
        <is>
          <t>Ribera d'Ondara</t>
        </is>
      </c>
      <c r="C616" s="38" t="inlineStr">
        <is>
          <t>170</t>
        </is>
      </c>
      <c r="D616" s="38" t="inlineStr">
        <is>
          <t>145</t>
        </is>
      </c>
      <c r="E616" s="38" t="inlineStr">
        <is>
          <t>315</t>
        </is>
      </c>
      <c r="F616" s="38" t="inlineStr">
        <is>
          <t>0</t>
        </is>
      </c>
      <c r="G616" s="38" t="inlineStr">
        <is>
          <t>315</t>
        </is>
      </c>
      <c r="H616" s="38" t="inlineStr">
        <is>
          <t>0</t>
        </is>
      </c>
    </row>
    <row r="617" ht="15" customHeight="1" s="39">
      <c r="A617" s="42" t="inlineStr">
        <is>
          <t>251850</t>
        </is>
      </c>
      <c r="B617" s="38" t="inlineStr">
        <is>
          <t>Ribera d'Urgellet</t>
        </is>
      </c>
      <c r="C617" s="38" t="inlineStr">
        <is>
          <t>376</t>
        </is>
      </c>
      <c r="D617" s="38" t="inlineStr">
        <is>
          <t>273</t>
        </is>
      </c>
      <c r="E617" s="38" t="inlineStr">
        <is>
          <t>649</t>
        </is>
      </c>
      <c r="F617" s="38" t="inlineStr">
        <is>
          <t>0</t>
        </is>
      </c>
      <c r="G617" s="38" t="inlineStr">
        <is>
          <t>649</t>
        </is>
      </c>
      <c r="H617" s="38" t="inlineStr">
        <is>
          <t>0</t>
        </is>
      </c>
    </row>
    <row r="618" ht="15" customHeight="1" s="39">
      <c r="A618" s="42" t="inlineStr">
        <is>
          <t>171450</t>
        </is>
      </c>
      <c r="B618" s="38" t="inlineStr">
        <is>
          <t>Ribes de Freser</t>
        </is>
      </c>
      <c r="C618" s="38" t="inlineStr">
        <is>
          <t>785</t>
        </is>
      </c>
      <c r="D618" s="38" t="inlineStr">
        <is>
          <t>862</t>
        </is>
      </c>
      <c r="E618" s="38" t="inlineStr">
        <is>
          <t>1647</t>
        </is>
      </c>
      <c r="F618" s="38" t="inlineStr">
        <is>
          <t>0</t>
        </is>
      </c>
      <c r="G618" s="38" t="inlineStr">
        <is>
          <t>1647</t>
        </is>
      </c>
      <c r="H618" s="38" t="inlineStr">
        <is>
          <t>2</t>
        </is>
      </c>
    </row>
    <row r="619" ht="15" customHeight="1" s="39">
      <c r="A619" s="42" t="inlineStr">
        <is>
          <t>171463</t>
        </is>
      </c>
      <c r="B619" s="38" t="inlineStr">
        <is>
          <t>Riells i Viabrea</t>
        </is>
      </c>
      <c r="C619" s="38" t="inlineStr">
        <is>
          <t>1633</t>
        </is>
      </c>
      <c r="D619" s="38" t="inlineStr">
        <is>
          <t>750</t>
        </is>
      </c>
      <c r="E619" s="38" t="inlineStr">
        <is>
          <t>2383</t>
        </is>
      </c>
      <c r="F619" s="38" t="inlineStr">
        <is>
          <t>0</t>
        </is>
      </c>
      <c r="G619" s="38" t="inlineStr">
        <is>
          <t>2383</t>
        </is>
      </c>
      <c r="H619" s="38" t="inlineStr">
        <is>
          <t>0</t>
        </is>
      </c>
    </row>
    <row r="620" ht="15" customHeight="1" s="39">
      <c r="A620" s="42" t="inlineStr">
        <is>
          <t>431264</t>
        </is>
      </c>
      <c r="B620" s="38" t="inlineStr">
        <is>
          <t>Riera de Gaià, la</t>
        </is>
      </c>
      <c r="C620" s="38" t="inlineStr">
        <is>
          <t>623</t>
        </is>
      </c>
      <c r="D620" s="38" t="inlineStr">
        <is>
          <t>246</t>
        </is>
      </c>
      <c r="E620" s="38" t="inlineStr">
        <is>
          <t>869</t>
        </is>
      </c>
      <c r="F620" s="38" t="inlineStr">
        <is>
          <t>0</t>
        </is>
      </c>
      <c r="G620" s="38" t="inlineStr">
        <is>
          <t>869</t>
        </is>
      </c>
      <c r="H620" s="38" t="inlineStr">
        <is>
          <t>0</t>
        </is>
      </c>
    </row>
    <row r="621" ht="15" customHeight="1" s="39">
      <c r="A621" s="42" t="inlineStr">
        <is>
          <t>251863</t>
        </is>
      </c>
      <c r="B621" s="38" t="inlineStr">
        <is>
          <t>Riner</t>
        </is>
      </c>
      <c r="C621" s="38" t="inlineStr">
        <is>
          <t>92</t>
        </is>
      </c>
      <c r="D621" s="38" t="inlineStr">
        <is>
          <t>38</t>
        </is>
      </c>
      <c r="E621" s="38" t="inlineStr">
        <is>
          <t>130</t>
        </is>
      </c>
      <c r="F621" s="38" t="inlineStr">
        <is>
          <t>0</t>
        </is>
      </c>
      <c r="G621" s="38" t="inlineStr">
        <is>
          <t>130</t>
        </is>
      </c>
      <c r="H621" s="38" t="inlineStr">
        <is>
          <t>0</t>
        </is>
      </c>
    </row>
    <row r="622" ht="15" customHeight="1" s="39">
      <c r="A622" s="42" t="inlineStr">
        <is>
          <t>171479</t>
        </is>
      </c>
      <c r="B622" s="38" t="inlineStr">
        <is>
          <t>Ripoll</t>
        </is>
      </c>
      <c r="C622" s="38" t="inlineStr">
        <is>
          <t>4391</t>
        </is>
      </c>
      <c r="D622" s="38" t="inlineStr">
        <is>
          <t>1274</t>
        </is>
      </c>
      <c r="E622" s="38" t="inlineStr">
        <is>
          <t>5665</t>
        </is>
      </c>
      <c r="F622" s="38" t="inlineStr">
        <is>
          <t>0</t>
        </is>
      </c>
      <c r="G622" s="38" t="inlineStr">
        <is>
          <t>5665</t>
        </is>
      </c>
      <c r="H622" s="38" t="inlineStr">
        <is>
          <t>6</t>
        </is>
      </c>
    </row>
    <row r="623" ht="15" customHeight="1" s="39">
      <c r="A623" s="42" t="inlineStr">
        <is>
          <t>081803</t>
        </is>
      </c>
      <c r="B623" s="38" t="inlineStr">
        <is>
          <t>Ripollet</t>
        </is>
      </c>
      <c r="C623" s="38" t="inlineStr">
        <is>
          <t>14559</t>
        </is>
      </c>
      <c r="D623" s="38" t="inlineStr">
        <is>
          <t>868</t>
        </is>
      </c>
      <c r="E623" s="38" t="inlineStr">
        <is>
          <t>15427</t>
        </is>
      </c>
      <c r="F623" s="38" t="inlineStr">
        <is>
          <t>0</t>
        </is>
      </c>
      <c r="G623" s="38" t="inlineStr">
        <is>
          <t>15427</t>
        </is>
      </c>
      <c r="H623" s="38" t="inlineStr">
        <is>
          <t>3</t>
        </is>
      </c>
    </row>
    <row r="624" ht="15" customHeight="1" s="39">
      <c r="A624" s="42" t="inlineStr">
        <is>
          <t>259139</t>
        </is>
      </c>
      <c r="B624" s="38" t="inlineStr">
        <is>
          <t>Riu de Cerdanya</t>
        </is>
      </c>
      <c r="C624" s="38" t="inlineStr">
        <is>
          <t>47</t>
        </is>
      </c>
      <c r="D624" s="38" t="inlineStr">
        <is>
          <t>77</t>
        </is>
      </c>
      <c r="E624" s="38" t="inlineStr">
        <is>
          <t>124</t>
        </is>
      </c>
      <c r="F624" s="38" t="inlineStr">
        <is>
          <t>0</t>
        </is>
      </c>
      <c r="G624" s="38" t="inlineStr">
        <is>
          <t>124</t>
        </is>
      </c>
      <c r="H624" s="38" t="inlineStr">
        <is>
          <t>0</t>
        </is>
      </c>
    </row>
    <row r="625" ht="15" customHeight="1" s="39">
      <c r="A625" s="42" t="inlineStr">
        <is>
          <t>171485</t>
        </is>
      </c>
      <c r="B625" s="38" t="inlineStr">
        <is>
          <t>Riudarenes</t>
        </is>
      </c>
      <c r="C625" s="38" t="inlineStr">
        <is>
          <t>893</t>
        </is>
      </c>
      <c r="D625" s="38" t="inlineStr">
        <is>
          <t>550</t>
        </is>
      </c>
      <c r="E625" s="38" t="inlineStr">
        <is>
          <t>1443</t>
        </is>
      </c>
      <c r="F625" s="38" t="inlineStr">
        <is>
          <t>0</t>
        </is>
      </c>
      <c r="G625" s="38" t="inlineStr">
        <is>
          <t>1443</t>
        </is>
      </c>
      <c r="H625" s="38" t="inlineStr">
        <is>
          <t>0</t>
        </is>
      </c>
    </row>
    <row r="626" ht="15" customHeight="1" s="39">
      <c r="A626" s="42" t="inlineStr">
        <is>
          <t>171498</t>
        </is>
      </c>
      <c r="B626" s="38" t="inlineStr">
        <is>
          <t>Riudaura</t>
        </is>
      </c>
      <c r="C626" s="38" t="inlineStr">
        <is>
          <t>180</t>
        </is>
      </c>
      <c r="D626" s="38" t="inlineStr">
        <is>
          <t>76</t>
        </is>
      </c>
      <c r="E626" s="38" t="inlineStr">
        <is>
          <t>256</t>
        </is>
      </c>
      <c r="F626" s="38" t="inlineStr">
        <is>
          <t>0</t>
        </is>
      </c>
      <c r="G626" s="38" t="inlineStr">
        <is>
          <t>256</t>
        </is>
      </c>
      <c r="H626" s="38" t="inlineStr">
        <is>
          <t>0</t>
        </is>
      </c>
    </row>
    <row r="627" ht="15" customHeight="1" s="39">
      <c r="A627" s="42" t="inlineStr">
        <is>
          <t>431270</t>
        </is>
      </c>
      <c r="B627" s="38" t="inlineStr">
        <is>
          <t>Riudecanyes</t>
        </is>
      </c>
      <c r="C627" s="38" t="inlineStr">
        <is>
          <t>471</t>
        </is>
      </c>
      <c r="D627" s="38" t="inlineStr">
        <is>
          <t>295</t>
        </is>
      </c>
      <c r="E627" s="38" t="inlineStr">
        <is>
          <t>766</t>
        </is>
      </c>
      <c r="F627" s="38" t="inlineStr">
        <is>
          <t>0</t>
        </is>
      </c>
      <c r="G627" s="38" t="inlineStr">
        <is>
          <t>766</t>
        </is>
      </c>
      <c r="H627" s="38" t="inlineStr">
        <is>
          <t>0</t>
        </is>
      </c>
    </row>
    <row r="628" ht="15" customHeight="1" s="39">
      <c r="A628" s="42" t="inlineStr">
        <is>
          <t>431286</t>
        </is>
      </c>
      <c r="B628" s="38" t="inlineStr">
        <is>
          <t>Riudecols</t>
        </is>
      </c>
      <c r="C628" s="38" t="inlineStr">
        <is>
          <t>490</t>
        </is>
      </c>
      <c r="D628" s="38" t="inlineStr">
        <is>
          <t>221</t>
        </is>
      </c>
      <c r="E628" s="38" t="inlineStr">
        <is>
          <t>711</t>
        </is>
      </c>
      <c r="F628" s="38" t="inlineStr">
        <is>
          <t>0</t>
        </is>
      </c>
      <c r="G628" s="38" t="inlineStr">
        <is>
          <t>711</t>
        </is>
      </c>
      <c r="H628" s="38" t="inlineStr">
        <is>
          <t>0</t>
        </is>
      </c>
    </row>
    <row r="629" ht="15" customHeight="1" s="39">
      <c r="A629" s="42" t="inlineStr">
        <is>
          <t>171501</t>
        </is>
      </c>
      <c r="B629" s="38" t="inlineStr">
        <is>
          <t>Riudellots de la Selva</t>
        </is>
      </c>
      <c r="C629" s="38" t="inlineStr">
        <is>
          <t>739</t>
        </is>
      </c>
      <c r="D629" s="38" t="inlineStr">
        <is>
          <t>104</t>
        </is>
      </c>
      <c r="E629" s="38" t="inlineStr">
        <is>
          <t>843</t>
        </is>
      </c>
      <c r="F629" s="38" t="inlineStr">
        <is>
          <t>0</t>
        </is>
      </c>
      <c r="G629" s="38" t="inlineStr">
        <is>
          <t>843</t>
        </is>
      </c>
      <c r="H629" s="38" t="inlineStr">
        <is>
          <t>0</t>
        </is>
      </c>
    </row>
    <row r="630" ht="15" customHeight="1" s="39">
      <c r="A630" s="42" t="inlineStr">
        <is>
          <t>431299</t>
        </is>
      </c>
      <c r="B630" s="38" t="inlineStr">
        <is>
          <t>Riudoms</t>
        </is>
      </c>
      <c r="C630" s="38" t="inlineStr">
        <is>
          <t>2387</t>
        </is>
      </c>
      <c r="D630" s="38" t="inlineStr">
        <is>
          <t>1060</t>
        </is>
      </c>
      <c r="E630" s="38" t="inlineStr">
        <is>
          <t>3447</t>
        </is>
      </c>
      <c r="F630" s="38" t="inlineStr">
        <is>
          <t>0</t>
        </is>
      </c>
      <c r="G630" s="38" t="inlineStr">
        <is>
          <t>3447</t>
        </is>
      </c>
      <c r="H630" s="38" t="inlineStr">
        <is>
          <t>1</t>
        </is>
      </c>
    </row>
    <row r="631" ht="15" customHeight="1" s="39">
      <c r="A631" s="42" t="inlineStr">
        <is>
          <t>171518</t>
        </is>
      </c>
      <c r="B631" s="38" t="inlineStr">
        <is>
          <t>Riumors</t>
        </is>
      </c>
      <c r="C631" s="38" t="inlineStr">
        <is>
          <t>93</t>
        </is>
      </c>
      <c r="D631" s="38" t="inlineStr">
        <is>
          <t>62</t>
        </is>
      </c>
      <c r="E631" s="38" t="inlineStr">
        <is>
          <t>155</t>
        </is>
      </c>
      <c r="F631" s="38" t="inlineStr">
        <is>
          <t>0</t>
        </is>
      </c>
      <c r="G631" s="38" t="inlineStr">
        <is>
          <t>155</t>
        </is>
      </c>
      <c r="H631" s="38" t="inlineStr">
        <is>
          <t>0</t>
        </is>
      </c>
    </row>
    <row r="632" ht="15" customHeight="1" s="39">
      <c r="A632" s="42" t="inlineStr">
        <is>
          <t>081810</t>
        </is>
      </c>
      <c r="B632" s="38" t="inlineStr">
        <is>
          <t>Roca del Vallès, la</t>
        </is>
      </c>
      <c r="C632" s="38" t="inlineStr">
        <is>
          <t>3876</t>
        </is>
      </c>
      <c r="D632" s="38" t="inlineStr">
        <is>
          <t>639</t>
        </is>
      </c>
      <c r="E632" s="38" t="inlineStr">
        <is>
          <t>4515</t>
        </is>
      </c>
      <c r="F632" s="38" t="inlineStr">
        <is>
          <t>0</t>
        </is>
      </c>
      <c r="G632" s="38" t="inlineStr">
        <is>
          <t>4515</t>
        </is>
      </c>
      <c r="H632" s="38" t="inlineStr">
        <is>
          <t>5</t>
        </is>
      </c>
    </row>
    <row r="633" ht="15" customHeight="1" s="39">
      <c r="A633" s="42" t="inlineStr">
        <is>
          <t>431303</t>
        </is>
      </c>
      <c r="B633" s="38" t="inlineStr">
        <is>
          <t>Rocafort de Queralt</t>
        </is>
      </c>
      <c r="C633" s="38" t="inlineStr">
        <is>
          <t>97</t>
        </is>
      </c>
      <c r="D633" s="38" t="inlineStr">
        <is>
          <t>132</t>
        </is>
      </c>
      <c r="E633" s="38" t="inlineStr">
        <is>
          <t>229</t>
        </is>
      </c>
      <c r="F633" s="38" t="inlineStr">
        <is>
          <t>0</t>
        </is>
      </c>
      <c r="G633" s="38" t="inlineStr">
        <is>
          <t>229</t>
        </is>
      </c>
      <c r="H633" s="38" t="inlineStr">
        <is>
          <t>0</t>
        </is>
      </c>
    </row>
    <row r="634" ht="15" customHeight="1" s="39">
      <c r="A634" s="42" t="inlineStr">
        <is>
          <t>431310</t>
        </is>
      </c>
      <c r="B634" s="38" t="inlineStr">
        <is>
          <t>Roda de Berà</t>
        </is>
      </c>
      <c r="C634" s="38" t="inlineStr">
        <is>
          <t>3089</t>
        </is>
      </c>
      <c r="D634" s="38" t="inlineStr">
        <is>
          <t>5673</t>
        </is>
      </c>
      <c r="E634" s="38" t="inlineStr">
        <is>
          <t>8762</t>
        </is>
      </c>
      <c r="F634" s="38" t="inlineStr">
        <is>
          <t>0</t>
        </is>
      </c>
      <c r="G634" s="38" t="inlineStr">
        <is>
          <t>8762</t>
        </is>
      </c>
      <c r="H634" s="38" t="inlineStr">
        <is>
          <t>2</t>
        </is>
      </c>
    </row>
    <row r="635" ht="15" customHeight="1" s="39">
      <c r="A635" s="42" t="inlineStr">
        <is>
          <t>081831</t>
        </is>
      </c>
      <c r="B635" s="38" t="inlineStr">
        <is>
          <t>Roda de Ter</t>
        </is>
      </c>
      <c r="C635" s="38" t="inlineStr">
        <is>
          <t>2391</t>
        </is>
      </c>
      <c r="D635" s="38" t="inlineStr">
        <is>
          <t>428</t>
        </is>
      </c>
      <c r="E635" s="38" t="inlineStr">
        <is>
          <t>2819</t>
        </is>
      </c>
      <c r="F635" s="38" t="inlineStr">
        <is>
          <t>0</t>
        </is>
      </c>
      <c r="G635" s="38" t="inlineStr">
        <is>
          <t>2819</t>
        </is>
      </c>
      <c r="H635" s="38" t="inlineStr">
        <is>
          <t>1</t>
        </is>
      </c>
    </row>
    <row r="636" ht="15" customHeight="1" s="39">
      <c r="A636" s="42" t="inlineStr">
        <is>
          <t>431325</t>
        </is>
      </c>
      <c r="B636" s="38" t="inlineStr">
        <is>
          <t>Rodonyà</t>
        </is>
      </c>
      <c r="C636" s="38" t="inlineStr">
        <is>
          <t>206</t>
        </is>
      </c>
      <c r="D636" s="38" t="inlineStr">
        <is>
          <t>179</t>
        </is>
      </c>
      <c r="E636" s="38" t="inlineStr">
        <is>
          <t>385</t>
        </is>
      </c>
      <c r="F636" s="38" t="inlineStr">
        <is>
          <t>0</t>
        </is>
      </c>
      <c r="G636" s="38" t="inlineStr">
        <is>
          <t>385</t>
        </is>
      </c>
      <c r="H636" s="38" t="inlineStr">
        <is>
          <t>0</t>
        </is>
      </c>
    </row>
    <row r="637" ht="15" customHeight="1" s="39">
      <c r="A637" s="42" t="inlineStr">
        <is>
          <t>431331</t>
        </is>
      </c>
      <c r="B637" s="38" t="inlineStr">
        <is>
          <t>Roquetes</t>
        </is>
      </c>
      <c r="C637" s="38" t="inlineStr">
        <is>
          <t>2996</t>
        </is>
      </c>
      <c r="D637" s="38" t="inlineStr">
        <is>
          <t>1297</t>
        </is>
      </c>
      <c r="E637" s="38" t="inlineStr">
        <is>
          <t>4293</t>
        </is>
      </c>
      <c r="F637" s="38" t="inlineStr">
        <is>
          <t>0</t>
        </is>
      </c>
      <c r="G637" s="38" t="inlineStr">
        <is>
          <t>4293</t>
        </is>
      </c>
      <c r="H637" s="38" t="inlineStr">
        <is>
          <t>2</t>
        </is>
      </c>
    </row>
    <row r="638" ht="15" customHeight="1" s="39">
      <c r="A638" s="42" t="inlineStr">
        <is>
          <t>171523</t>
        </is>
      </c>
      <c r="B638" s="38" t="inlineStr">
        <is>
          <t>Roses</t>
        </is>
      </c>
      <c r="C638" s="38" t="inlineStr">
        <is>
          <t>7877</t>
        </is>
      </c>
      <c r="D638" s="38" t="inlineStr">
        <is>
          <t>16866</t>
        </is>
      </c>
      <c r="E638" s="38" t="inlineStr">
        <is>
          <t>24743</t>
        </is>
      </c>
      <c r="F638" s="38" t="inlineStr">
        <is>
          <t>0</t>
        </is>
      </c>
      <c r="G638" s="38" t="inlineStr">
        <is>
          <t>24743</t>
        </is>
      </c>
      <c r="H638" s="38" t="inlineStr">
        <is>
          <t>57</t>
        </is>
      </c>
    </row>
    <row r="639" ht="15" customHeight="1" s="39">
      <c r="A639" s="42" t="inlineStr">
        <is>
          <t>251898</t>
        </is>
      </c>
      <c r="B639" s="38" t="inlineStr">
        <is>
          <t>Rosselló</t>
        </is>
      </c>
      <c r="C639" s="38" t="inlineStr">
        <is>
          <t>1173</t>
        </is>
      </c>
      <c r="D639" s="38" t="inlineStr">
        <is>
          <t>374</t>
        </is>
      </c>
      <c r="E639" s="38" t="inlineStr">
        <is>
          <t>1547</t>
        </is>
      </c>
      <c r="F639" s="38" t="inlineStr">
        <is>
          <t>0</t>
        </is>
      </c>
      <c r="G639" s="38" t="inlineStr">
        <is>
          <t>1547</t>
        </is>
      </c>
      <c r="H639" s="38" t="inlineStr">
        <is>
          <t>1</t>
        </is>
      </c>
    </row>
    <row r="640" ht="15" customHeight="1" s="39">
      <c r="A640" s="42" t="inlineStr">
        <is>
          <t>431346</t>
        </is>
      </c>
      <c r="B640" s="38" t="inlineStr">
        <is>
          <t>Rourell, el</t>
        </is>
      </c>
      <c r="C640" s="38" t="inlineStr">
        <is>
          <t>148</t>
        </is>
      </c>
      <c r="D640" s="38" t="inlineStr">
        <is>
          <t>39</t>
        </is>
      </c>
      <c r="E640" s="38" t="inlineStr">
        <is>
          <t>187</t>
        </is>
      </c>
      <c r="F640" s="38" t="inlineStr">
        <is>
          <t>0</t>
        </is>
      </c>
      <c r="G640" s="38" t="inlineStr">
        <is>
          <t>187</t>
        </is>
      </c>
      <c r="H640" s="38" t="inlineStr">
        <is>
          <t>0</t>
        </is>
      </c>
    </row>
    <row r="641" ht="15" customHeight="1" s="39">
      <c r="A641" s="42" t="inlineStr">
        <is>
          <t>081846</t>
        </is>
      </c>
      <c r="B641" s="38" t="inlineStr">
        <is>
          <t>Rubí</t>
        </is>
      </c>
      <c r="C641" s="38" t="inlineStr">
        <is>
          <t>28881</t>
        </is>
      </c>
      <c r="D641" s="38" t="inlineStr">
        <is>
          <t>3595</t>
        </is>
      </c>
      <c r="E641" s="38" t="inlineStr">
        <is>
          <t>32476</t>
        </is>
      </c>
      <c r="F641" s="38" t="inlineStr">
        <is>
          <t>0</t>
        </is>
      </c>
      <c r="G641" s="38" t="inlineStr">
        <is>
          <t>32476</t>
        </is>
      </c>
      <c r="H641" s="38" t="inlineStr">
        <is>
          <t>12</t>
        </is>
      </c>
    </row>
    <row r="642" ht="15" customHeight="1" s="39">
      <c r="A642" s="42" t="inlineStr">
        <is>
          <t>081859</t>
        </is>
      </c>
      <c r="B642" s="38" t="inlineStr">
        <is>
          <t>Rubió</t>
        </is>
      </c>
      <c r="C642" s="38" t="inlineStr">
        <is>
          <t>74</t>
        </is>
      </c>
      <c r="D642" s="38" t="inlineStr">
        <is>
          <t>30</t>
        </is>
      </c>
      <c r="E642" s="38" t="inlineStr">
        <is>
          <t>104</t>
        </is>
      </c>
      <c r="F642" s="38" t="inlineStr">
        <is>
          <t>0</t>
        </is>
      </c>
      <c r="G642" s="38" t="inlineStr">
        <is>
          <t>104</t>
        </is>
      </c>
      <c r="H642" s="38" t="inlineStr">
        <is>
          <t>0</t>
        </is>
      </c>
    </row>
    <row r="643" ht="15" customHeight="1" s="39">
      <c r="A643" s="42" t="inlineStr">
        <is>
          <t>171539</t>
        </is>
      </c>
      <c r="B643" s="38" t="inlineStr">
        <is>
          <t>Rupià</t>
        </is>
      </c>
      <c r="C643" s="38" t="inlineStr">
        <is>
          <t>114</t>
        </is>
      </c>
      <c r="D643" s="38" t="inlineStr">
        <is>
          <t>87</t>
        </is>
      </c>
      <c r="E643" s="38" t="inlineStr">
        <is>
          <t>201</t>
        </is>
      </c>
      <c r="F643" s="38" t="inlineStr">
        <is>
          <t>0</t>
        </is>
      </c>
      <c r="G643" s="38" t="inlineStr">
        <is>
          <t>201</t>
        </is>
      </c>
      <c r="H643" s="38" t="inlineStr">
        <is>
          <t>0</t>
        </is>
      </c>
    </row>
    <row r="644" ht="15" customHeight="1" s="39">
      <c r="A644" s="42" t="inlineStr">
        <is>
          <t>089019</t>
        </is>
      </c>
      <c r="B644" s="38" t="inlineStr">
        <is>
          <t>Rupit i Pruit</t>
        </is>
      </c>
      <c r="C644" s="38" t="inlineStr">
        <is>
          <t>116</t>
        </is>
      </c>
      <c r="D644" s="38" t="inlineStr">
        <is>
          <t>196</t>
        </is>
      </c>
      <c r="E644" s="38" t="inlineStr">
        <is>
          <t>312</t>
        </is>
      </c>
      <c r="F644" s="38" t="inlineStr">
        <is>
          <t>0</t>
        </is>
      </c>
      <c r="G644" s="38" t="inlineStr">
        <is>
          <t>312</t>
        </is>
      </c>
      <c r="H644" s="38" t="inlineStr">
        <is>
          <t>0</t>
        </is>
      </c>
    </row>
    <row r="645" ht="15" customHeight="1" s="39">
      <c r="A645" s="42" t="inlineStr">
        <is>
          <t>081878</t>
        </is>
      </c>
      <c r="B645" s="38" t="inlineStr">
        <is>
          <t>Sabadell</t>
        </is>
      </c>
      <c r="C645" s="38" t="inlineStr">
        <is>
          <t>83558</t>
        </is>
      </c>
      <c r="D645" s="38" t="inlineStr">
        <is>
          <t>9214</t>
        </is>
      </c>
      <c r="E645" s="38" t="inlineStr">
        <is>
          <t>92772</t>
        </is>
      </c>
      <c r="F645" s="38" t="inlineStr">
        <is>
          <t>0</t>
        </is>
      </c>
      <c r="G645" s="38" t="inlineStr">
        <is>
          <t>92772</t>
        </is>
      </c>
      <c r="H645" s="38" t="inlineStr">
        <is>
          <t>128</t>
        </is>
      </c>
    </row>
    <row r="646" ht="15" customHeight="1" s="39">
      <c r="A646" s="42" t="inlineStr">
        <is>
          <t>081884</t>
        </is>
      </c>
      <c r="B646" s="38" t="inlineStr">
        <is>
          <t>Sagàs</t>
        </is>
      </c>
      <c r="C646" s="38" t="inlineStr">
        <is>
          <t>44</t>
        </is>
      </c>
      <c r="D646" s="38" t="inlineStr">
        <is>
          <t>34</t>
        </is>
      </c>
      <c r="E646" s="38" t="inlineStr">
        <is>
          <t>78</t>
        </is>
      </c>
      <c r="F646" s="38" t="inlineStr">
        <is>
          <t>0</t>
        </is>
      </c>
      <c r="G646" s="38" t="inlineStr">
        <is>
          <t>78</t>
        </is>
      </c>
      <c r="H646" s="38" t="inlineStr">
        <is>
          <t>0</t>
        </is>
      </c>
    </row>
    <row r="647" ht="15" customHeight="1" s="39">
      <c r="A647" s="42" t="inlineStr">
        <is>
          <t>251902</t>
        </is>
      </c>
      <c r="B647" s="38" t="inlineStr">
        <is>
          <t>Salàs de Pallars</t>
        </is>
      </c>
      <c r="C647" s="38" t="inlineStr">
        <is>
          <t>152</t>
        </is>
      </c>
      <c r="D647" s="38" t="inlineStr">
        <is>
          <t>310</t>
        </is>
      </c>
      <c r="E647" s="38" t="inlineStr">
        <is>
          <t>462</t>
        </is>
      </c>
      <c r="F647" s="38" t="inlineStr">
        <is>
          <t>0</t>
        </is>
      </c>
      <c r="G647" s="38" t="inlineStr">
        <is>
          <t>462</t>
        </is>
      </c>
      <c r="H647" s="38" t="inlineStr">
        <is>
          <t>0</t>
        </is>
      </c>
    </row>
    <row r="648" ht="15" customHeight="1" s="39">
      <c r="A648" s="42" t="inlineStr">
        <is>
          <t>081901</t>
        </is>
      </c>
      <c r="B648" s="38" t="inlineStr">
        <is>
          <t>Saldes</t>
        </is>
      </c>
      <c r="C648" s="38" t="inlineStr">
        <is>
          <t>141</t>
        </is>
      </c>
      <c r="D648" s="38" t="inlineStr">
        <is>
          <t>226</t>
        </is>
      </c>
      <c r="E648" s="38" t="inlineStr">
        <is>
          <t>367</t>
        </is>
      </c>
      <c r="F648" s="38" t="inlineStr">
        <is>
          <t>0</t>
        </is>
      </c>
      <c r="G648" s="38" t="inlineStr">
        <is>
          <t>367</t>
        </is>
      </c>
      <c r="H648" s="38" t="inlineStr">
        <is>
          <t>0</t>
        </is>
      </c>
    </row>
    <row r="649" ht="15" customHeight="1" s="39">
      <c r="A649" s="42" t="inlineStr">
        <is>
          <t>171544</t>
        </is>
      </c>
      <c r="B649" s="38" t="inlineStr">
        <is>
          <t>Sales de Llierca</t>
        </is>
      </c>
      <c r="C649" s="38" t="inlineStr">
        <is>
          <t>60</t>
        </is>
      </c>
      <c r="D649" s="38" t="inlineStr">
        <is>
          <t>27</t>
        </is>
      </c>
      <c r="E649" s="38" t="inlineStr">
        <is>
          <t>87</t>
        </is>
      </c>
      <c r="F649" s="38" t="inlineStr">
        <is>
          <t>0</t>
        </is>
      </c>
      <c r="G649" s="38" t="inlineStr">
        <is>
          <t>87</t>
        </is>
      </c>
      <c r="H649" s="38" t="inlineStr">
        <is>
          <t>0</t>
        </is>
      </c>
    </row>
    <row r="650" ht="15" customHeight="1" s="39">
      <c r="A650" s="42" t="inlineStr">
        <is>
          <t>081918</t>
        </is>
      </c>
      <c r="B650" s="38" t="inlineStr">
        <is>
          <t>Sallent</t>
        </is>
      </c>
      <c r="C650" s="38" t="inlineStr">
        <is>
          <t>2690</t>
        </is>
      </c>
      <c r="D650" s="38" t="inlineStr">
        <is>
          <t>783</t>
        </is>
      </c>
      <c r="E650" s="38" t="inlineStr">
        <is>
          <t>3473</t>
        </is>
      </c>
      <c r="F650" s="38" t="inlineStr">
        <is>
          <t>0</t>
        </is>
      </c>
      <c r="G650" s="38" t="inlineStr">
        <is>
          <t>3473</t>
        </is>
      </c>
      <c r="H650" s="38" t="inlineStr">
        <is>
          <t>2</t>
        </is>
      </c>
    </row>
    <row r="651" ht="15" customHeight="1" s="39">
      <c r="A651" s="42" t="inlineStr">
        <is>
          <t>431359</t>
        </is>
      </c>
      <c r="B651" s="38" t="inlineStr">
        <is>
          <t>Salomó</t>
        </is>
      </c>
      <c r="C651" s="38" t="inlineStr">
        <is>
          <t>215</t>
        </is>
      </c>
      <c r="D651" s="38" t="inlineStr">
        <is>
          <t>138</t>
        </is>
      </c>
      <c r="E651" s="38" t="inlineStr">
        <is>
          <t>353</t>
        </is>
      </c>
      <c r="F651" s="38" t="inlineStr">
        <is>
          <t>0</t>
        </is>
      </c>
      <c r="G651" s="38" t="inlineStr">
        <is>
          <t>353</t>
        </is>
      </c>
      <c r="H651" s="38" t="inlineStr">
        <is>
          <t>0</t>
        </is>
      </c>
    </row>
    <row r="652" ht="15" customHeight="1" s="39">
      <c r="A652" s="42" t="inlineStr">
        <is>
          <t>439057</t>
        </is>
      </c>
      <c r="B652" s="38" t="inlineStr">
        <is>
          <t>Salou</t>
        </is>
      </c>
      <c r="C652" s="38" t="inlineStr">
        <is>
          <t>11639</t>
        </is>
      </c>
      <c r="D652" s="38" t="inlineStr">
        <is>
          <t>19884</t>
        </is>
      </c>
      <c r="E652" s="38" t="inlineStr">
        <is>
          <t>31523</t>
        </is>
      </c>
      <c r="F652" s="38" t="inlineStr">
        <is>
          <t>0</t>
        </is>
      </c>
      <c r="G652" s="38" t="inlineStr">
        <is>
          <t>31523</t>
        </is>
      </c>
      <c r="H652" s="38" t="inlineStr">
        <is>
          <t>5</t>
        </is>
      </c>
    </row>
    <row r="653" ht="15" customHeight="1" s="39">
      <c r="A653" s="42" t="inlineStr">
        <is>
          <t>171557</t>
        </is>
      </c>
      <c r="B653" s="38" t="inlineStr">
        <is>
          <t>Salt</t>
        </is>
      </c>
      <c r="C653" s="38" t="inlineStr">
        <is>
          <t>10518</t>
        </is>
      </c>
      <c r="D653" s="38" t="inlineStr">
        <is>
          <t>1124</t>
        </is>
      </c>
      <c r="E653" s="38" t="inlineStr">
        <is>
          <t>11642</t>
        </is>
      </c>
      <c r="F653" s="38" t="inlineStr">
        <is>
          <t>0</t>
        </is>
      </c>
      <c r="G653" s="38" t="inlineStr">
        <is>
          <t>11642</t>
        </is>
      </c>
      <c r="H653" s="38" t="inlineStr">
        <is>
          <t>8</t>
        </is>
      </c>
    </row>
    <row r="654" ht="15" customHeight="1" s="39">
      <c r="A654" s="42" t="inlineStr">
        <is>
          <t>251919</t>
        </is>
      </c>
      <c r="B654" s="38" t="inlineStr">
        <is>
          <t>Sanaüja</t>
        </is>
      </c>
      <c r="C654" s="38" t="inlineStr">
        <is>
          <t>170</t>
        </is>
      </c>
      <c r="D654" s="38" t="inlineStr">
        <is>
          <t>204</t>
        </is>
      </c>
      <c r="E654" s="38" t="inlineStr">
        <is>
          <t>374</t>
        </is>
      </c>
      <c r="F654" s="38" t="inlineStr">
        <is>
          <t>0</t>
        </is>
      </c>
      <c r="G654" s="38" t="inlineStr">
        <is>
          <t>374</t>
        </is>
      </c>
      <c r="H654" s="38" t="inlineStr">
        <is>
          <t>0</t>
        </is>
      </c>
    </row>
    <row r="655" ht="15" customHeight="1" s="39">
      <c r="A655" s="42" t="inlineStr">
        <is>
          <t>081944</t>
        </is>
      </c>
      <c r="B655" s="38" t="inlineStr">
        <is>
          <t>Sant Adrià de Besòs</t>
        </is>
      </c>
      <c r="C655" s="38" t="inlineStr">
        <is>
          <t>13757</t>
        </is>
      </c>
      <c r="D655" s="38" t="inlineStr">
        <is>
          <t>1120</t>
        </is>
      </c>
      <c r="E655" s="38" t="inlineStr">
        <is>
          <t>14877</t>
        </is>
      </c>
      <c r="F655" s="38" t="inlineStr">
        <is>
          <t>0</t>
        </is>
      </c>
      <c r="G655" s="38" t="inlineStr">
        <is>
          <t>14877</t>
        </is>
      </c>
      <c r="H655" s="38" t="inlineStr">
        <is>
          <t>8</t>
        </is>
      </c>
    </row>
    <row r="656" ht="15" customHeight="1" s="39">
      <c r="A656" s="42" t="inlineStr">
        <is>
          <t>081957</t>
        </is>
      </c>
      <c r="B656" s="38" t="inlineStr">
        <is>
          <t>Sant Agustí de Lluçanès</t>
        </is>
      </c>
      <c r="C656" s="38" t="inlineStr">
        <is>
          <t>36</t>
        </is>
      </c>
      <c r="D656" s="38" t="inlineStr">
        <is>
          <t>39</t>
        </is>
      </c>
      <c r="E656" s="38" t="inlineStr">
        <is>
          <t>75</t>
        </is>
      </c>
      <c r="F656" s="38" t="inlineStr">
        <is>
          <t>0</t>
        </is>
      </c>
      <c r="G656" s="38" t="inlineStr">
        <is>
          <t>75</t>
        </is>
      </c>
      <c r="H656" s="38" t="inlineStr">
        <is>
          <t>0</t>
        </is>
      </c>
    </row>
    <row r="657" ht="15" customHeight="1" s="39">
      <c r="A657" s="42" t="inlineStr">
        <is>
          <t>081960</t>
        </is>
      </c>
      <c r="B657" s="38" t="inlineStr">
        <is>
          <t>Sant Andreu de la Barca</t>
        </is>
      </c>
      <c r="C657" s="38" t="inlineStr">
        <is>
          <t>9930</t>
        </is>
      </c>
      <c r="D657" s="38" t="inlineStr">
        <is>
          <t>606</t>
        </is>
      </c>
      <c r="E657" s="38" t="inlineStr">
        <is>
          <t>10536</t>
        </is>
      </c>
      <c r="F657" s="38" t="inlineStr">
        <is>
          <t>0</t>
        </is>
      </c>
      <c r="G657" s="38" t="inlineStr">
        <is>
          <t>10536</t>
        </is>
      </c>
      <c r="H657" s="38" t="inlineStr">
        <is>
          <t>3</t>
        </is>
      </c>
    </row>
    <row r="658" ht="15" customHeight="1" s="39">
      <c r="A658" s="42" t="inlineStr">
        <is>
          <t>081976</t>
        </is>
      </c>
      <c r="B658" s="38" t="inlineStr">
        <is>
          <t>Sant Andreu de Llavaneres</t>
        </is>
      </c>
      <c r="C658" s="38" t="inlineStr">
        <is>
          <t>4132</t>
        </is>
      </c>
      <c r="D658" s="38" t="inlineStr">
        <is>
          <t>1429</t>
        </is>
      </c>
      <c r="E658" s="38" t="inlineStr">
        <is>
          <t>5561</t>
        </is>
      </c>
      <c r="F658" s="38" t="inlineStr">
        <is>
          <t>0</t>
        </is>
      </c>
      <c r="G658" s="38" t="inlineStr">
        <is>
          <t>5561</t>
        </is>
      </c>
      <c r="H658" s="38" t="inlineStr">
        <is>
          <t>5</t>
        </is>
      </c>
    </row>
    <row r="659" ht="15" customHeight="1" s="39">
      <c r="A659" s="42" t="inlineStr">
        <is>
          <t>171576</t>
        </is>
      </c>
      <c r="B659" s="38" t="inlineStr">
        <is>
          <t>Sant Andreu Salou</t>
        </is>
      </c>
      <c r="C659" s="38" t="inlineStr">
        <is>
          <t>49</t>
        </is>
      </c>
      <c r="D659" s="38" t="inlineStr">
        <is>
          <t>30</t>
        </is>
      </c>
      <c r="E659" s="38" t="inlineStr">
        <is>
          <t>79</t>
        </is>
      </c>
      <c r="F659" s="38" t="inlineStr">
        <is>
          <t>0</t>
        </is>
      </c>
      <c r="G659" s="38" t="inlineStr">
        <is>
          <t>79</t>
        </is>
      </c>
      <c r="H659" s="38" t="inlineStr">
        <is>
          <t>0</t>
        </is>
      </c>
    </row>
    <row r="660" ht="15" customHeight="1" s="39">
      <c r="A660" s="42" t="inlineStr">
        <is>
          <t>171833</t>
        </is>
      </c>
      <c r="B660" s="38" t="inlineStr">
        <is>
          <t>Sant Aniol de Finestres</t>
        </is>
      </c>
      <c r="C660" s="38" t="inlineStr">
        <is>
          <t>133</t>
        </is>
      </c>
      <c r="D660" s="38" t="inlineStr">
        <is>
          <t>96</t>
        </is>
      </c>
      <c r="E660" s="38" t="inlineStr">
        <is>
          <t>229</t>
        </is>
      </c>
      <c r="F660" s="38" t="inlineStr">
        <is>
          <t>0</t>
        </is>
      </c>
      <c r="G660" s="38" t="inlineStr">
        <is>
          <t>229</t>
        </is>
      </c>
      <c r="H660" s="38" t="inlineStr">
        <is>
          <t>0</t>
        </is>
      </c>
    </row>
    <row r="661" ht="15" customHeight="1" s="39">
      <c r="A661" s="42" t="inlineStr">
        <is>
          <t>081982</t>
        </is>
      </c>
      <c r="B661" s="38" t="inlineStr">
        <is>
          <t>Sant Antoni de Vilamajor</t>
        </is>
      </c>
      <c r="C661" s="38" t="inlineStr">
        <is>
          <t>2358</t>
        </is>
      </c>
      <c r="D661" s="38" t="inlineStr">
        <is>
          <t>638</t>
        </is>
      </c>
      <c r="E661" s="38" t="inlineStr">
        <is>
          <t>2996</t>
        </is>
      </c>
      <c r="F661" s="38" t="inlineStr">
        <is>
          <t>0</t>
        </is>
      </c>
      <c r="G661" s="38" t="inlineStr">
        <is>
          <t>2996</t>
        </is>
      </c>
      <c r="H661" s="38" t="inlineStr">
        <is>
          <t>3</t>
        </is>
      </c>
    </row>
    <row r="662" ht="15" customHeight="1" s="39">
      <c r="A662" s="42" t="inlineStr">
        <is>
          <t>081995</t>
        </is>
      </c>
      <c r="B662" s="38" t="inlineStr">
        <is>
          <t>Sant Bartomeu del Grau</t>
        </is>
      </c>
      <c r="C662" s="38" t="inlineStr">
        <is>
          <t>331</t>
        </is>
      </c>
      <c r="D662" s="38" t="inlineStr">
        <is>
          <t>93</t>
        </is>
      </c>
      <c r="E662" s="38" t="inlineStr">
        <is>
          <t>424</t>
        </is>
      </c>
      <c r="F662" s="38" t="inlineStr">
        <is>
          <t>0</t>
        </is>
      </c>
      <c r="G662" s="38" t="inlineStr">
        <is>
          <t>424</t>
        </is>
      </c>
      <c r="H662" s="38" t="inlineStr">
        <is>
          <t>0</t>
        </is>
      </c>
    </row>
    <row r="663" ht="15" customHeight="1" s="39">
      <c r="A663" s="42" t="inlineStr">
        <is>
          <t>082009</t>
        </is>
      </c>
      <c r="B663" s="38" t="inlineStr">
        <is>
          <t>Sant Boi de Llobregat</t>
        </is>
      </c>
      <c r="C663" s="38" t="inlineStr">
        <is>
          <t>31529</t>
        </is>
      </c>
      <c r="D663" s="38" t="inlineStr">
        <is>
          <t>2375</t>
        </is>
      </c>
      <c r="E663" s="38" t="inlineStr">
        <is>
          <t>33904</t>
        </is>
      </c>
      <c r="F663" s="38" t="inlineStr">
        <is>
          <t>0</t>
        </is>
      </c>
      <c r="G663" s="38" t="inlineStr">
        <is>
          <t>33904</t>
        </is>
      </c>
      <c r="H663" s="38" t="inlineStr">
        <is>
          <t>15</t>
        </is>
      </c>
    </row>
    <row r="664" ht="15" customHeight="1" s="39">
      <c r="A664" s="42" t="inlineStr">
        <is>
          <t>082016</t>
        </is>
      </c>
      <c r="B664" s="38" t="inlineStr">
        <is>
          <t>Sant Boi de Lluçanès</t>
        </is>
      </c>
      <c r="C664" s="38" t="inlineStr">
        <is>
          <t>188</t>
        </is>
      </c>
      <c r="D664" s="38" t="inlineStr">
        <is>
          <t>154</t>
        </is>
      </c>
      <c r="E664" s="38" t="inlineStr">
        <is>
          <t>342</t>
        </is>
      </c>
      <c r="F664" s="38" t="inlineStr">
        <is>
          <t>0</t>
        </is>
      </c>
      <c r="G664" s="38" t="inlineStr">
        <is>
          <t>342</t>
        </is>
      </c>
      <c r="H664" s="38" t="inlineStr">
        <is>
          <t>2</t>
        </is>
      </c>
    </row>
    <row r="665" ht="15" customHeight="1" s="39">
      <c r="A665" s="42" t="inlineStr">
        <is>
          <t>082037</t>
        </is>
      </c>
      <c r="B665" s="38" t="inlineStr">
        <is>
          <t>Sant Cebrià de Vallalta</t>
        </is>
      </c>
      <c r="C665" s="38" t="inlineStr">
        <is>
          <t>1433</t>
        </is>
      </c>
      <c r="D665" s="38" t="inlineStr">
        <is>
          <t>733</t>
        </is>
      </c>
      <c r="E665" s="38" t="inlineStr">
        <is>
          <t>2166</t>
        </is>
      </c>
      <c r="F665" s="38" t="inlineStr">
        <is>
          <t>0</t>
        </is>
      </c>
      <c r="G665" s="38" t="inlineStr">
        <is>
          <t>2166</t>
        </is>
      </c>
      <c r="H665" s="38" t="inlineStr">
        <is>
          <t>0</t>
        </is>
      </c>
    </row>
    <row r="666" ht="15" customHeight="1" s="39">
      <c r="A666" s="42" t="inlineStr">
        <is>
          <t>082021</t>
        </is>
      </c>
      <c r="B666" s="38" t="inlineStr">
        <is>
          <t>Sant Celoni</t>
        </is>
      </c>
      <c r="C666" s="38" t="inlineStr">
        <is>
          <t>6807</t>
        </is>
      </c>
      <c r="D666" s="38" t="inlineStr">
        <is>
          <t>1139</t>
        </is>
      </c>
      <c r="E666" s="38" t="inlineStr">
        <is>
          <t>7946</t>
        </is>
      </c>
      <c r="F666" s="38" t="inlineStr">
        <is>
          <t>0</t>
        </is>
      </c>
      <c r="G666" s="38" t="inlineStr">
        <is>
          <t>7946</t>
        </is>
      </c>
      <c r="H666" s="38" t="inlineStr">
        <is>
          <t>2</t>
        </is>
      </c>
    </row>
    <row r="667" ht="15" customHeight="1" s="39">
      <c r="A667" s="42" t="inlineStr">
        <is>
          <t>082042</t>
        </is>
      </c>
      <c r="B667" s="38" t="inlineStr">
        <is>
          <t>Sant Climent de Llobregat</t>
        </is>
      </c>
      <c r="C667" s="38" t="inlineStr">
        <is>
          <t>1444</t>
        </is>
      </c>
      <c r="D667" s="38" t="inlineStr">
        <is>
          <t>182</t>
        </is>
      </c>
      <c r="E667" s="38" t="inlineStr">
        <is>
          <t>1626</t>
        </is>
      </c>
      <c r="F667" s="38" t="inlineStr">
        <is>
          <t>0</t>
        </is>
      </c>
      <c r="G667" s="38" t="inlineStr">
        <is>
          <t>1626</t>
        </is>
      </c>
      <c r="H667" s="38" t="inlineStr">
        <is>
          <t>1</t>
        </is>
      </c>
    </row>
    <row r="668" ht="15" customHeight="1" s="39">
      <c r="A668" s="42" t="inlineStr">
        <is>
          <t>171582</t>
        </is>
      </c>
      <c r="B668" s="38" t="inlineStr">
        <is>
          <t>Sant Climent Sescebes</t>
        </is>
      </c>
      <c r="C668" s="38" t="inlineStr">
        <is>
          <t>203</t>
        </is>
      </c>
      <c r="D668" s="38" t="inlineStr">
        <is>
          <t>163</t>
        </is>
      </c>
      <c r="E668" s="38" t="inlineStr">
        <is>
          <t>366</t>
        </is>
      </c>
      <c r="F668" s="38" t="inlineStr">
        <is>
          <t>0</t>
        </is>
      </c>
      <c r="G668" s="38" t="inlineStr">
        <is>
          <t>366</t>
        </is>
      </c>
      <c r="H668" s="38" t="inlineStr">
        <is>
          <t>157</t>
        </is>
      </c>
    </row>
    <row r="669" ht="15" customHeight="1" s="39">
      <c r="A669" s="42" t="inlineStr">
        <is>
          <t>082055</t>
        </is>
      </c>
      <c r="B669" s="38" t="inlineStr">
        <is>
          <t>Sant Cugat del Vallès</t>
        </is>
      </c>
      <c r="C669" s="38" t="inlineStr">
        <is>
          <t>31327</t>
        </is>
      </c>
      <c r="D669" s="38" t="inlineStr">
        <is>
          <t>4443</t>
        </is>
      </c>
      <c r="E669" s="38" t="inlineStr">
        <is>
          <t>35770</t>
        </is>
      </c>
      <c r="F669" s="38" t="inlineStr">
        <is>
          <t>0</t>
        </is>
      </c>
      <c r="G669" s="38" t="inlineStr">
        <is>
          <t>35770</t>
        </is>
      </c>
      <c r="H669" s="38" t="inlineStr">
        <is>
          <t>33</t>
        </is>
      </c>
    </row>
    <row r="670" ht="15" customHeight="1" s="39">
      <c r="A670" s="42" t="inlineStr">
        <is>
          <t>082068</t>
        </is>
      </c>
      <c r="B670" s="38" t="inlineStr">
        <is>
          <t>Sant Cugat Sesgarrigues</t>
        </is>
      </c>
      <c r="C670" s="38" t="inlineStr">
        <is>
          <t>347</t>
        </is>
      </c>
      <c r="D670" s="38" t="inlineStr">
        <is>
          <t>74</t>
        </is>
      </c>
      <c r="E670" s="38" t="inlineStr">
        <is>
          <t>421</t>
        </is>
      </c>
      <c r="F670" s="38" t="inlineStr">
        <is>
          <t>0</t>
        </is>
      </c>
      <c r="G670" s="38" t="inlineStr">
        <is>
          <t>421</t>
        </is>
      </c>
      <c r="H670" s="38" t="inlineStr">
        <is>
          <t>1</t>
        </is>
      </c>
    </row>
    <row r="671" ht="15" customHeight="1" s="39">
      <c r="A671" s="42" t="inlineStr">
        <is>
          <t>251961</t>
        </is>
      </c>
      <c r="B671" s="38" t="inlineStr">
        <is>
          <t>Sant Esteve de la Sarga</t>
        </is>
      </c>
      <c r="C671" s="38" t="inlineStr">
        <is>
          <t>60</t>
        </is>
      </c>
      <c r="D671" s="38" t="inlineStr">
        <is>
          <t>89</t>
        </is>
      </c>
      <c r="E671" s="38" t="inlineStr">
        <is>
          <t>149</t>
        </is>
      </c>
      <c r="F671" s="38" t="inlineStr">
        <is>
          <t>0</t>
        </is>
      </c>
      <c r="G671" s="38" t="inlineStr">
        <is>
          <t>149</t>
        </is>
      </c>
      <c r="H671" s="38" t="inlineStr">
        <is>
          <t>0</t>
        </is>
      </c>
    </row>
    <row r="672" ht="15" customHeight="1" s="39">
      <c r="A672" s="42" t="inlineStr">
        <is>
          <t>082074</t>
        </is>
      </c>
      <c r="B672" s="38" t="inlineStr">
        <is>
          <t>Sant Esteve de Palautordera</t>
        </is>
      </c>
      <c r="C672" s="38" t="inlineStr">
        <is>
          <t>1053</t>
        </is>
      </c>
      <c r="D672" s="38" t="inlineStr">
        <is>
          <t>223</t>
        </is>
      </c>
      <c r="E672" s="38" t="inlineStr">
        <is>
          <t>1276</t>
        </is>
      </c>
      <c r="F672" s="38" t="inlineStr">
        <is>
          <t>0</t>
        </is>
      </c>
      <c r="G672" s="38" t="inlineStr">
        <is>
          <t>1276</t>
        </is>
      </c>
      <c r="H672" s="38" t="inlineStr">
        <is>
          <t>1</t>
        </is>
      </c>
    </row>
    <row r="673" ht="15" customHeight="1" s="39">
      <c r="A673" s="42" t="inlineStr">
        <is>
          <t>082080</t>
        </is>
      </c>
      <c r="B673" s="38" t="inlineStr">
        <is>
          <t>Sant Esteve Sesrovires</t>
        </is>
      </c>
      <c r="C673" s="38" t="inlineStr">
        <is>
          <t>2787</t>
        </is>
      </c>
      <c r="D673" s="38" t="inlineStr">
        <is>
          <t>648</t>
        </is>
      </c>
      <c r="E673" s="38" t="inlineStr">
        <is>
          <t>3435</t>
        </is>
      </c>
      <c r="F673" s="38" t="inlineStr">
        <is>
          <t>0</t>
        </is>
      </c>
      <c r="G673" s="38" t="inlineStr">
        <is>
          <t>3435</t>
        </is>
      </c>
      <c r="H673" s="38" t="inlineStr">
        <is>
          <t>4</t>
        </is>
      </c>
    </row>
    <row r="674" ht="15" customHeight="1" s="39">
      <c r="A674" s="42" t="inlineStr">
        <is>
          <t>171595</t>
        </is>
      </c>
      <c r="B674" s="38" t="inlineStr">
        <is>
          <t>Sant Feliu de Buixalleu</t>
        </is>
      </c>
      <c r="C674" s="38" t="inlineStr">
        <is>
          <t>305</t>
        </is>
      </c>
      <c r="D674" s="38" t="inlineStr">
        <is>
          <t>256</t>
        </is>
      </c>
      <c r="E674" s="38" t="inlineStr">
        <is>
          <t>561</t>
        </is>
      </c>
      <c r="F674" s="38" t="inlineStr">
        <is>
          <t>0</t>
        </is>
      </c>
      <c r="G674" s="38" t="inlineStr">
        <is>
          <t>561</t>
        </is>
      </c>
      <c r="H674" s="38" t="inlineStr">
        <is>
          <t>0</t>
        </is>
      </c>
    </row>
    <row r="675" ht="15" customHeight="1" s="39">
      <c r="A675" s="42" t="inlineStr">
        <is>
          <t>082107</t>
        </is>
      </c>
      <c r="B675" s="38" t="inlineStr">
        <is>
          <t>Sant Feliu de Codines</t>
        </is>
      </c>
      <c r="C675" s="38" t="inlineStr">
        <is>
          <t>2452</t>
        </is>
      </c>
      <c r="D675" s="38" t="inlineStr">
        <is>
          <t>820</t>
        </is>
      </c>
      <c r="E675" s="38" t="inlineStr">
        <is>
          <t>3272</t>
        </is>
      </c>
      <c r="F675" s="38" t="inlineStr">
        <is>
          <t>0</t>
        </is>
      </c>
      <c r="G675" s="38" t="inlineStr">
        <is>
          <t>3272</t>
        </is>
      </c>
      <c r="H675" s="38" t="inlineStr">
        <is>
          <t>8</t>
        </is>
      </c>
    </row>
    <row r="676" ht="15" customHeight="1" s="39">
      <c r="A676" s="42" t="inlineStr">
        <is>
          <t>171609</t>
        </is>
      </c>
      <c r="B676" s="38" t="inlineStr">
        <is>
          <t>Sant Feliu de Guíxols</t>
        </is>
      </c>
      <c r="C676" s="38" t="inlineStr">
        <is>
          <t>8753</t>
        </is>
      </c>
      <c r="D676" s="38" t="inlineStr">
        <is>
          <t>7155</t>
        </is>
      </c>
      <c r="E676" s="38" t="inlineStr">
        <is>
          <t>15908</t>
        </is>
      </c>
      <c r="F676" s="38" t="inlineStr">
        <is>
          <t>0</t>
        </is>
      </c>
      <c r="G676" s="38" t="inlineStr">
        <is>
          <t>15908</t>
        </is>
      </c>
      <c r="H676" s="38" t="inlineStr">
        <is>
          <t>5</t>
        </is>
      </c>
    </row>
    <row r="677" ht="15" customHeight="1" s="39">
      <c r="A677" s="42" t="inlineStr">
        <is>
          <t>082114</t>
        </is>
      </c>
      <c r="B677" s="38" t="inlineStr">
        <is>
          <t>Sant Feliu de Llobregat</t>
        </is>
      </c>
      <c r="C677" s="38" t="inlineStr">
        <is>
          <t>17173</t>
        </is>
      </c>
      <c r="D677" s="38" t="inlineStr">
        <is>
          <t>1546</t>
        </is>
      </c>
      <c r="E677" s="38" t="inlineStr">
        <is>
          <t>18719</t>
        </is>
      </c>
      <c r="F677" s="38" t="inlineStr">
        <is>
          <t>0</t>
        </is>
      </c>
      <c r="G677" s="38" t="inlineStr">
        <is>
          <t>18719</t>
        </is>
      </c>
      <c r="H677" s="38" t="inlineStr">
        <is>
          <t>10</t>
        </is>
      </c>
    </row>
    <row r="678" ht="15" customHeight="1" s="39">
      <c r="A678" s="42" t="inlineStr">
        <is>
          <t>171616</t>
        </is>
      </c>
      <c r="B678" s="38" t="inlineStr">
        <is>
          <t>Sant Feliu de Pallerols</t>
        </is>
      </c>
      <c r="C678" s="38" t="inlineStr">
        <is>
          <t>514</t>
        </is>
      </c>
      <c r="D678" s="38" t="inlineStr">
        <is>
          <t>289</t>
        </is>
      </c>
      <c r="E678" s="38" t="inlineStr">
        <is>
          <t>803</t>
        </is>
      </c>
      <c r="F678" s="38" t="inlineStr">
        <is>
          <t>0</t>
        </is>
      </c>
      <c r="G678" s="38" t="inlineStr">
        <is>
          <t>803</t>
        </is>
      </c>
      <c r="H678" s="38" t="inlineStr">
        <is>
          <t>2</t>
        </is>
      </c>
    </row>
    <row r="679" ht="15" customHeight="1" s="39">
      <c r="A679" s="42" t="inlineStr">
        <is>
          <t>082129</t>
        </is>
      </c>
      <c r="B679" s="38" t="inlineStr">
        <is>
          <t>Sant Feliu Sasserra</t>
        </is>
      </c>
      <c r="C679" s="38" t="inlineStr">
        <is>
          <t>227</t>
        </is>
      </c>
      <c r="D679" s="38" t="inlineStr">
        <is>
          <t>150</t>
        </is>
      </c>
      <c r="E679" s="38" t="inlineStr">
        <is>
          <t>377</t>
        </is>
      </c>
      <c r="F679" s="38" t="inlineStr">
        <is>
          <t>0</t>
        </is>
      </c>
      <c r="G679" s="38" t="inlineStr">
        <is>
          <t>377</t>
        </is>
      </c>
      <c r="H679" s="38" t="inlineStr">
        <is>
          <t>0</t>
        </is>
      </c>
    </row>
    <row r="680" ht="15" customHeight="1" s="39">
      <c r="A680" s="42" t="inlineStr">
        <is>
          <t>171621</t>
        </is>
      </c>
      <c r="B680" s="38" t="inlineStr">
        <is>
          <t>Sant Ferriol</t>
        </is>
      </c>
      <c r="C680" s="38" t="inlineStr">
        <is>
          <t>83</t>
        </is>
      </c>
      <c r="D680" s="38" t="inlineStr">
        <is>
          <t>27</t>
        </is>
      </c>
      <c r="E680" s="38" t="inlineStr">
        <is>
          <t>110</t>
        </is>
      </c>
      <c r="F680" s="38" t="inlineStr">
        <is>
          <t>0</t>
        </is>
      </c>
      <c r="G680" s="38" t="inlineStr">
        <is>
          <t>110</t>
        </is>
      </c>
      <c r="H680" s="38" t="inlineStr">
        <is>
          <t>0</t>
        </is>
      </c>
    </row>
    <row r="681" ht="15" customHeight="1" s="39">
      <c r="A681" s="42" t="inlineStr">
        <is>
          <t>082093</t>
        </is>
      </c>
      <c r="B681" s="38" t="inlineStr">
        <is>
          <t>Sant Fost de Campsentelles</t>
        </is>
      </c>
      <c r="C681" s="38" t="inlineStr">
        <is>
          <t>3005</t>
        </is>
      </c>
      <c r="D681" s="38" t="inlineStr">
        <is>
          <t>422</t>
        </is>
      </c>
      <c r="E681" s="38" t="inlineStr">
        <is>
          <t>3427</t>
        </is>
      </c>
      <c r="F681" s="38" t="inlineStr">
        <is>
          <t>0</t>
        </is>
      </c>
      <c r="G681" s="38" t="inlineStr">
        <is>
          <t>3427</t>
        </is>
      </c>
      <c r="H681" s="38" t="inlineStr">
        <is>
          <t>9</t>
        </is>
      </c>
    </row>
    <row r="682" ht="15" customHeight="1" s="39">
      <c r="A682" s="42" t="inlineStr">
        <is>
          <t>082135</t>
        </is>
      </c>
      <c r="B682" s="38" t="inlineStr">
        <is>
          <t>Sant Fruitós de Bages</t>
        </is>
      </c>
      <c r="C682" s="38" t="inlineStr">
        <is>
          <t>3336</t>
        </is>
      </c>
      <c r="D682" s="38" t="inlineStr">
        <is>
          <t>540</t>
        </is>
      </c>
      <c r="E682" s="38" t="inlineStr">
        <is>
          <t>3876</t>
        </is>
      </c>
      <c r="F682" s="38" t="inlineStr">
        <is>
          <t>0</t>
        </is>
      </c>
      <c r="G682" s="38" t="inlineStr">
        <is>
          <t>3876</t>
        </is>
      </c>
      <c r="H682" s="38" t="inlineStr">
        <is>
          <t>4</t>
        </is>
      </c>
    </row>
    <row r="683" ht="15" customHeight="1" s="39">
      <c r="A683" s="42" t="inlineStr">
        <is>
          <t>171637</t>
        </is>
      </c>
      <c r="B683" s="38" t="inlineStr">
        <is>
          <t>Sant Gregori</t>
        </is>
      </c>
      <c r="C683" s="38" t="inlineStr">
        <is>
          <t>1291</t>
        </is>
      </c>
      <c r="D683" s="38" t="inlineStr">
        <is>
          <t>215</t>
        </is>
      </c>
      <c r="E683" s="38" t="inlineStr">
        <is>
          <t>1506</t>
        </is>
      </c>
      <c r="F683" s="38" t="inlineStr">
        <is>
          <t>0</t>
        </is>
      </c>
      <c r="G683" s="38" t="inlineStr">
        <is>
          <t>1506</t>
        </is>
      </c>
      <c r="H683" s="38" t="inlineStr">
        <is>
          <t>4</t>
        </is>
      </c>
    </row>
    <row r="684" ht="15" customHeight="1" s="39">
      <c r="A684" s="42" t="inlineStr">
        <is>
          <t>251924</t>
        </is>
      </c>
      <c r="B684" s="38" t="inlineStr">
        <is>
          <t>Sant Guim de Freixenet</t>
        </is>
      </c>
      <c r="C684" s="38" t="inlineStr">
        <is>
          <t>437</t>
        </is>
      </c>
      <c r="D684" s="38" t="inlineStr">
        <is>
          <t>252</t>
        </is>
      </c>
      <c r="E684" s="38" t="inlineStr">
        <is>
          <t>689</t>
        </is>
      </c>
      <c r="F684" s="38" t="inlineStr">
        <is>
          <t>0</t>
        </is>
      </c>
      <c r="G684" s="38" t="inlineStr">
        <is>
          <t>689</t>
        </is>
      </c>
      <c r="H684" s="38" t="inlineStr">
        <is>
          <t>0</t>
        </is>
      </c>
    </row>
    <row r="685" ht="15" customHeight="1" s="39">
      <c r="A685" s="42" t="inlineStr">
        <is>
          <t>251977</t>
        </is>
      </c>
      <c r="B685" s="38" t="inlineStr">
        <is>
          <t>Sant Guim de la Plana</t>
        </is>
      </c>
      <c r="C685" s="38" t="inlineStr">
        <is>
          <t>63</t>
        </is>
      </c>
      <c r="D685" s="38" t="inlineStr">
        <is>
          <t>40</t>
        </is>
      </c>
      <c r="E685" s="38" t="inlineStr">
        <is>
          <t>103</t>
        </is>
      </c>
      <c r="F685" s="38" t="inlineStr">
        <is>
          <t>0</t>
        </is>
      </c>
      <c r="G685" s="38" t="inlineStr">
        <is>
          <t>103</t>
        </is>
      </c>
      <c r="H685" s="38" t="inlineStr">
        <is>
          <t>0</t>
        </is>
      </c>
    </row>
    <row r="686" ht="15" customHeight="1" s="39">
      <c r="A686" s="42" t="inlineStr">
        <is>
          <t>171642</t>
        </is>
      </c>
      <c r="B686" s="38" t="inlineStr">
        <is>
          <t>Sant Hilari Sacalm</t>
        </is>
      </c>
      <c r="C686" s="38" t="inlineStr">
        <is>
          <t>2203</t>
        </is>
      </c>
      <c r="D686" s="38" t="inlineStr">
        <is>
          <t>845</t>
        </is>
      </c>
      <c r="E686" s="38" t="inlineStr">
        <is>
          <t>3048</t>
        </is>
      </c>
      <c r="F686" s="38" t="inlineStr">
        <is>
          <t>0</t>
        </is>
      </c>
      <c r="G686" s="38" t="inlineStr">
        <is>
          <t>3048</t>
        </is>
      </c>
      <c r="H686" s="38" t="inlineStr">
        <is>
          <t>4</t>
        </is>
      </c>
    </row>
    <row r="687" ht="15" customHeight="1" s="39">
      <c r="A687" s="42" t="inlineStr">
        <is>
          <t>082153</t>
        </is>
      </c>
      <c r="B687" s="38" t="inlineStr">
        <is>
          <t>Sant Hipòlit de Voltregà</t>
        </is>
      </c>
      <c r="C687" s="38" t="inlineStr">
        <is>
          <t>1365</t>
        </is>
      </c>
      <c r="D687" s="38" t="inlineStr">
        <is>
          <t>374</t>
        </is>
      </c>
      <c r="E687" s="38" t="inlineStr">
        <is>
          <t>1739</t>
        </is>
      </c>
      <c r="F687" s="38" t="inlineStr">
        <is>
          <t>0</t>
        </is>
      </c>
      <c r="G687" s="38" t="inlineStr">
        <is>
          <t>1739</t>
        </is>
      </c>
      <c r="H687" s="38" t="inlineStr">
        <is>
          <t>2</t>
        </is>
      </c>
    </row>
    <row r="688" ht="15" customHeight="1" s="39">
      <c r="A688" s="42" t="inlineStr">
        <is>
          <t>081939</t>
        </is>
      </c>
      <c r="B688" s="38" t="inlineStr">
        <is>
          <t>Sant Iscle de Vallalta</t>
        </is>
      </c>
      <c r="C688" s="38" t="inlineStr">
        <is>
          <t>540</t>
        </is>
      </c>
      <c r="D688" s="38" t="inlineStr">
        <is>
          <t>223</t>
        </is>
      </c>
      <c r="E688" s="38" t="inlineStr">
        <is>
          <t>763</t>
        </is>
      </c>
      <c r="F688" s="38" t="inlineStr">
        <is>
          <t>0</t>
        </is>
      </c>
      <c r="G688" s="38" t="inlineStr">
        <is>
          <t>763</t>
        </is>
      </c>
      <c r="H688" s="38" t="inlineStr">
        <is>
          <t>1</t>
        </is>
      </c>
    </row>
    <row r="689" ht="15" customHeight="1" s="39">
      <c r="A689" s="42" t="inlineStr">
        <is>
          <t>439023</t>
        </is>
      </c>
      <c r="B689" s="38" t="inlineStr">
        <is>
          <t>Sant Jaume d'Enveja</t>
        </is>
      </c>
      <c r="C689" s="38" t="inlineStr">
        <is>
          <t>1369</t>
        </is>
      </c>
      <c r="D689" s="38" t="inlineStr">
        <is>
          <t>1129</t>
        </is>
      </c>
      <c r="E689" s="38" t="inlineStr">
        <is>
          <t>2498</t>
        </is>
      </c>
      <c r="F689" s="38" t="inlineStr">
        <is>
          <t>0</t>
        </is>
      </c>
      <c r="G689" s="38" t="inlineStr">
        <is>
          <t>2498</t>
        </is>
      </c>
      <c r="H689" s="38" t="inlineStr">
        <is>
          <t>1</t>
        </is>
      </c>
    </row>
    <row r="690" ht="15" customHeight="1" s="39">
      <c r="A690" s="42" t="inlineStr">
        <is>
          <t>082166</t>
        </is>
      </c>
      <c r="B690" s="38" t="inlineStr">
        <is>
          <t>Sant Jaume de Frontanyà</t>
        </is>
      </c>
      <c r="C690" s="38" t="inlineStr">
        <is>
          <t>17</t>
        </is>
      </c>
      <c r="D690" s="38" t="inlineStr">
        <is>
          <t>22</t>
        </is>
      </c>
      <c r="E690" s="38" t="inlineStr">
        <is>
          <t>39</t>
        </is>
      </c>
      <c r="F690" s="38" t="inlineStr">
        <is>
          <t>0</t>
        </is>
      </c>
      <c r="G690" s="38" t="inlineStr">
        <is>
          <t>39</t>
        </is>
      </c>
      <c r="H690" s="38" t="inlineStr">
        <is>
          <t>0</t>
        </is>
      </c>
    </row>
    <row r="691" ht="15" customHeight="1" s="39">
      <c r="A691" s="42" t="inlineStr">
        <is>
          <t>171655</t>
        </is>
      </c>
      <c r="B691" s="38" t="inlineStr">
        <is>
          <t>Sant Jaume de Llierca</t>
        </is>
      </c>
      <c r="C691" s="38" t="inlineStr">
        <is>
          <t>333</t>
        </is>
      </c>
      <c r="D691" s="38" t="inlineStr">
        <is>
          <t>93</t>
        </is>
      </c>
      <c r="E691" s="38" t="inlineStr">
        <is>
          <t>426</t>
        </is>
      </c>
      <c r="F691" s="38" t="inlineStr">
        <is>
          <t>0</t>
        </is>
      </c>
      <c r="G691" s="38" t="inlineStr">
        <is>
          <t>426</t>
        </is>
      </c>
      <c r="H691" s="38" t="inlineStr">
        <is>
          <t>0</t>
        </is>
      </c>
    </row>
    <row r="692" ht="15" customHeight="1" s="39">
      <c r="A692" s="42" t="inlineStr">
        <is>
          <t>431378</t>
        </is>
      </c>
      <c r="B692" s="38" t="inlineStr">
        <is>
          <t>Sant Jaume dels Domenys</t>
        </is>
      </c>
      <c r="C692" s="38" t="inlineStr">
        <is>
          <t>1023</t>
        </is>
      </c>
      <c r="D692" s="38" t="inlineStr">
        <is>
          <t>459</t>
        </is>
      </c>
      <c r="E692" s="38" t="inlineStr">
        <is>
          <t>1482</t>
        </is>
      </c>
      <c r="F692" s="38" t="inlineStr">
        <is>
          <t>0</t>
        </is>
      </c>
      <c r="G692" s="38" t="inlineStr">
        <is>
          <t>1482</t>
        </is>
      </c>
      <c r="H692" s="38" t="inlineStr">
        <is>
          <t>0</t>
        </is>
      </c>
    </row>
    <row r="693" ht="15" customHeight="1" s="39">
      <c r="A693" s="42" t="inlineStr">
        <is>
          <t>171674</t>
        </is>
      </c>
      <c r="B693" s="38" t="inlineStr">
        <is>
          <t>Sant Joan de les Abadesses</t>
        </is>
      </c>
      <c r="C693" s="38" t="inlineStr">
        <is>
          <t>1355</t>
        </is>
      </c>
      <c r="D693" s="38" t="inlineStr">
        <is>
          <t>666</t>
        </is>
      </c>
      <c r="E693" s="38" t="inlineStr">
        <is>
          <t>2021</t>
        </is>
      </c>
      <c r="F693" s="38" t="inlineStr">
        <is>
          <t>0</t>
        </is>
      </c>
      <c r="G693" s="38" t="inlineStr">
        <is>
          <t>2021</t>
        </is>
      </c>
      <c r="H693" s="38" t="inlineStr">
        <is>
          <t>1</t>
        </is>
      </c>
    </row>
    <row r="694" ht="15" customHeight="1" s="39">
      <c r="A694" s="42" t="inlineStr">
        <is>
          <t>171680</t>
        </is>
      </c>
      <c r="B694" s="38" t="inlineStr">
        <is>
          <t>Sant Joan de Mollet</t>
        </is>
      </c>
      <c r="C694" s="38" t="inlineStr">
        <is>
          <t>177</t>
        </is>
      </c>
      <c r="D694" s="38" t="inlineStr">
        <is>
          <t>55</t>
        </is>
      </c>
      <c r="E694" s="38" t="inlineStr">
        <is>
          <t>232</t>
        </is>
      </c>
      <c r="F694" s="38" t="inlineStr">
        <is>
          <t>0</t>
        </is>
      </c>
      <c r="G694" s="38" t="inlineStr">
        <is>
          <t>232</t>
        </is>
      </c>
      <c r="H694" s="38" t="inlineStr">
        <is>
          <t>0</t>
        </is>
      </c>
    </row>
    <row r="695" ht="15" customHeight="1" s="39">
      <c r="A695" s="42" t="inlineStr">
        <is>
          <t>082188</t>
        </is>
      </c>
      <c r="B695" s="38" t="inlineStr">
        <is>
          <t>Sant Joan de Vilatorrada</t>
        </is>
      </c>
      <c r="C695" s="38" t="inlineStr">
        <is>
          <t>4034</t>
        </is>
      </c>
      <c r="D695" s="38" t="inlineStr">
        <is>
          <t>471</t>
        </is>
      </c>
      <c r="E695" s="38" t="inlineStr">
        <is>
          <t>4505</t>
        </is>
      </c>
      <c r="F695" s="38" t="inlineStr">
        <is>
          <t>0</t>
        </is>
      </c>
      <c r="G695" s="38" t="inlineStr">
        <is>
          <t>4505</t>
        </is>
      </c>
      <c r="H695" s="38" t="inlineStr">
        <is>
          <t>12</t>
        </is>
      </c>
    </row>
    <row r="696" ht="15" customHeight="1" s="39">
      <c r="A696" s="42" t="inlineStr">
        <is>
          <t>082172</t>
        </is>
      </c>
      <c r="B696" s="38" t="inlineStr">
        <is>
          <t>Sant Joan Despí</t>
        </is>
      </c>
      <c r="C696" s="38" t="inlineStr">
        <is>
          <t>12582</t>
        </is>
      </c>
      <c r="D696" s="38" t="inlineStr">
        <is>
          <t>995</t>
        </is>
      </c>
      <c r="E696" s="38" t="inlineStr">
        <is>
          <t>13577</t>
        </is>
      </c>
      <c r="F696" s="38" t="inlineStr">
        <is>
          <t>0</t>
        </is>
      </c>
      <c r="G696" s="38" t="inlineStr">
        <is>
          <t>13577</t>
        </is>
      </c>
      <c r="H696" s="38" t="inlineStr">
        <is>
          <t>4</t>
        </is>
      </c>
    </row>
    <row r="697" ht="15" customHeight="1" s="39">
      <c r="A697" s="42" t="inlineStr">
        <is>
          <t>171851</t>
        </is>
      </c>
      <c r="B697" s="38" t="inlineStr">
        <is>
          <t>Sant Joan les Fonts</t>
        </is>
      </c>
      <c r="C697" s="38" t="inlineStr">
        <is>
          <t>1186</t>
        </is>
      </c>
      <c r="D697" s="38" t="inlineStr">
        <is>
          <t>240</t>
        </is>
      </c>
      <c r="E697" s="38" t="inlineStr">
        <is>
          <t>1426</t>
        </is>
      </c>
      <c r="F697" s="38" t="inlineStr">
        <is>
          <t>0</t>
        </is>
      </c>
      <c r="G697" s="38" t="inlineStr">
        <is>
          <t>1426</t>
        </is>
      </c>
      <c r="H697" s="38" t="inlineStr">
        <is>
          <t>1</t>
        </is>
      </c>
    </row>
    <row r="698" ht="15" customHeight="1" s="39">
      <c r="A698" s="42" t="inlineStr">
        <is>
          <t>171668</t>
        </is>
      </c>
      <c r="B698" s="38" t="inlineStr">
        <is>
          <t>Sant Jordi Desvalls</t>
        </is>
      </c>
      <c r="C698" s="38" t="inlineStr">
        <is>
          <t>288</t>
        </is>
      </c>
      <c r="D698" s="38" t="inlineStr">
        <is>
          <t>112</t>
        </is>
      </c>
      <c r="E698" s="38" t="inlineStr">
        <is>
          <t>400</t>
        </is>
      </c>
      <c r="F698" s="38" t="inlineStr">
        <is>
          <t>0</t>
        </is>
      </c>
      <c r="G698" s="38" t="inlineStr">
        <is>
          <t>400</t>
        </is>
      </c>
      <c r="H698" s="38" t="inlineStr">
        <is>
          <t>0</t>
        </is>
      </c>
    </row>
    <row r="699" ht="15" customHeight="1" s="39">
      <c r="A699" s="42" t="inlineStr">
        <is>
          <t>089030</t>
        </is>
      </c>
      <c r="B699" s="38" t="inlineStr">
        <is>
          <t>Sant Julià de Cerdanyola</t>
        </is>
      </c>
      <c r="C699" s="38" t="inlineStr">
        <is>
          <t>116</t>
        </is>
      </c>
      <c r="D699" s="38" t="inlineStr">
        <is>
          <t>114</t>
        </is>
      </c>
      <c r="E699" s="38" t="inlineStr">
        <is>
          <t>230</t>
        </is>
      </c>
      <c r="F699" s="38" t="inlineStr">
        <is>
          <t>0</t>
        </is>
      </c>
      <c r="G699" s="38" t="inlineStr">
        <is>
          <t>230</t>
        </is>
      </c>
      <c r="H699" s="38" t="inlineStr">
        <is>
          <t>0</t>
        </is>
      </c>
    </row>
    <row r="700" ht="15" customHeight="1" s="39">
      <c r="A700" s="42" t="inlineStr">
        <is>
          <t>171693</t>
        </is>
      </c>
      <c r="B700" s="38" t="inlineStr">
        <is>
          <t>Sant Julià de Ramis</t>
        </is>
      </c>
      <c r="C700" s="38" t="inlineStr">
        <is>
          <t>1229</t>
        </is>
      </c>
      <c r="D700" s="38" t="inlineStr">
        <is>
          <t>158</t>
        </is>
      </c>
      <c r="E700" s="38" t="inlineStr">
        <is>
          <t>1387</t>
        </is>
      </c>
      <c r="F700" s="38" t="inlineStr">
        <is>
          <t>0</t>
        </is>
      </c>
      <c r="G700" s="38" t="inlineStr">
        <is>
          <t>1387</t>
        </is>
      </c>
      <c r="H700" s="38" t="inlineStr">
        <is>
          <t>0</t>
        </is>
      </c>
    </row>
    <row r="701" ht="15" customHeight="1" s="39">
      <c r="A701" s="42" t="inlineStr">
        <is>
          <t>082205</t>
        </is>
      </c>
      <c r="B701" s="38" t="inlineStr">
        <is>
          <t>Sant Julià de Vilatorta</t>
        </is>
      </c>
      <c r="C701" s="38" t="inlineStr">
        <is>
          <t>1092</t>
        </is>
      </c>
      <c r="D701" s="38" t="inlineStr">
        <is>
          <t>300</t>
        </is>
      </c>
      <c r="E701" s="38" t="inlineStr">
        <is>
          <t>1392</t>
        </is>
      </c>
      <c r="F701" s="38" t="inlineStr">
        <is>
          <t>0</t>
        </is>
      </c>
      <c r="G701" s="38" t="inlineStr">
        <is>
          <t>1392</t>
        </is>
      </c>
      <c r="H701" s="38" t="inlineStr">
        <is>
          <t>0</t>
        </is>
      </c>
    </row>
    <row r="702" ht="15" customHeight="1" s="39">
      <c r="A702" s="42" t="inlineStr">
        <is>
          <t>179032</t>
        </is>
      </c>
      <c r="B702" s="38" t="inlineStr">
        <is>
          <t>Sant Julià del Llor i Bonmatí</t>
        </is>
      </c>
      <c r="C702" s="38" t="inlineStr">
        <is>
          <t>493</t>
        </is>
      </c>
      <c r="D702" s="38" t="inlineStr">
        <is>
          <t>122</t>
        </is>
      </c>
      <c r="E702" s="38" t="inlineStr">
        <is>
          <t>615</t>
        </is>
      </c>
      <c r="F702" s="38" t="inlineStr">
        <is>
          <t>0</t>
        </is>
      </c>
      <c r="G702" s="38" t="inlineStr">
        <is>
          <t>615</t>
        </is>
      </c>
      <c r="H702" s="38" t="inlineStr">
        <is>
          <t>0</t>
        </is>
      </c>
    </row>
    <row r="703" ht="15" customHeight="1" s="39">
      <c r="A703" s="42" t="inlineStr">
        <is>
          <t>082212</t>
        </is>
      </c>
      <c r="B703" s="38" t="inlineStr">
        <is>
          <t>Sant Just Desvern</t>
        </is>
      </c>
      <c r="C703" s="38" t="inlineStr">
        <is>
          <t>7104</t>
        </is>
      </c>
      <c r="D703" s="38" t="inlineStr">
        <is>
          <t>854</t>
        </is>
      </c>
      <c r="E703" s="38" t="inlineStr">
        <is>
          <t>7958</t>
        </is>
      </c>
      <c r="F703" s="38" t="inlineStr">
        <is>
          <t>0</t>
        </is>
      </c>
      <c r="G703" s="38" t="inlineStr">
        <is>
          <t>7958</t>
        </is>
      </c>
      <c r="H703" s="38" t="inlineStr">
        <is>
          <t>6</t>
        </is>
      </c>
    </row>
    <row r="704" ht="15" customHeight="1" s="39">
      <c r="A704" s="42" t="inlineStr">
        <is>
          <t>082227</t>
        </is>
      </c>
      <c r="B704" s="38" t="inlineStr">
        <is>
          <t>Sant Llorenç d'Hortons</t>
        </is>
      </c>
      <c r="C704" s="38" t="inlineStr">
        <is>
          <t>928</t>
        </is>
      </c>
      <c r="D704" s="38" t="inlineStr">
        <is>
          <t>300</t>
        </is>
      </c>
      <c r="E704" s="38" t="inlineStr">
        <is>
          <t>1228</t>
        </is>
      </c>
      <c r="F704" s="38" t="inlineStr">
        <is>
          <t>0</t>
        </is>
      </c>
      <c r="G704" s="38" t="inlineStr">
        <is>
          <t>1228</t>
        </is>
      </c>
      <c r="H704" s="38" t="inlineStr">
        <is>
          <t>1</t>
        </is>
      </c>
    </row>
    <row r="705" ht="15" customHeight="1" s="39">
      <c r="A705" s="42" t="inlineStr">
        <is>
          <t>171714</t>
        </is>
      </c>
      <c r="B705" s="38" t="inlineStr">
        <is>
          <t>Sant Llorenç de la Muga</t>
        </is>
      </c>
      <c r="C705" s="38" t="inlineStr">
        <is>
          <t>113</t>
        </is>
      </c>
      <c r="D705" s="38" t="inlineStr">
        <is>
          <t>148</t>
        </is>
      </c>
      <c r="E705" s="38" t="inlineStr">
        <is>
          <t>261</t>
        </is>
      </c>
      <c r="F705" s="38" t="inlineStr">
        <is>
          <t>0</t>
        </is>
      </c>
      <c r="G705" s="38" t="inlineStr">
        <is>
          <t>261</t>
        </is>
      </c>
      <c r="H705" s="38" t="inlineStr">
        <is>
          <t>0</t>
        </is>
      </c>
    </row>
    <row r="706" ht="15" customHeight="1" s="39">
      <c r="A706" s="42" t="inlineStr">
        <is>
          <t>251930</t>
        </is>
      </c>
      <c r="B706" s="38" t="inlineStr">
        <is>
          <t>Sant Llorenç de Morunys</t>
        </is>
      </c>
      <c r="C706" s="38" t="inlineStr">
        <is>
          <t>417</t>
        </is>
      </c>
      <c r="D706" s="38" t="inlineStr">
        <is>
          <t>740</t>
        </is>
      </c>
      <c r="E706" s="38" t="inlineStr">
        <is>
          <t>1157</t>
        </is>
      </c>
      <c r="F706" s="38" t="inlineStr">
        <is>
          <t>0</t>
        </is>
      </c>
      <c r="G706" s="38" t="inlineStr">
        <is>
          <t>1157</t>
        </is>
      </c>
      <c r="H706" s="38" t="inlineStr">
        <is>
          <t>2</t>
        </is>
      </c>
    </row>
    <row r="707" ht="15" customHeight="1" s="39">
      <c r="A707" s="42" t="inlineStr">
        <is>
          <t>082233</t>
        </is>
      </c>
      <c r="B707" s="38" t="inlineStr">
        <is>
          <t>Sant Llorenç Savall</t>
        </is>
      </c>
      <c r="C707" s="38" t="inlineStr">
        <is>
          <t>982</t>
        </is>
      </c>
      <c r="D707" s="38" t="inlineStr">
        <is>
          <t>384</t>
        </is>
      </c>
      <c r="E707" s="38" t="inlineStr">
        <is>
          <t>1366</t>
        </is>
      </c>
      <c r="F707" s="38" t="inlineStr">
        <is>
          <t>0</t>
        </is>
      </c>
      <c r="G707" s="38" t="inlineStr">
        <is>
          <t>1366</t>
        </is>
      </c>
      <c r="H707" s="38" t="inlineStr">
        <is>
          <t>1</t>
        </is>
      </c>
    </row>
    <row r="708" ht="15" customHeight="1" s="39">
      <c r="A708" s="42" t="inlineStr">
        <is>
          <t>082251</t>
        </is>
      </c>
      <c r="B708" s="38" t="inlineStr">
        <is>
          <t>Sant Martí d'Albars</t>
        </is>
      </c>
      <c r="C708" s="38" t="inlineStr">
        <is>
          <t>41</t>
        </is>
      </c>
      <c r="D708" s="38" t="inlineStr">
        <is>
          <t>32</t>
        </is>
      </c>
      <c r="E708" s="38" t="inlineStr">
        <is>
          <t>73</t>
        </is>
      </c>
      <c r="F708" s="38" t="inlineStr">
        <is>
          <t>0</t>
        </is>
      </c>
      <c r="G708" s="38" t="inlineStr">
        <is>
          <t>73</t>
        </is>
      </c>
      <c r="H708" s="38" t="inlineStr">
        <is>
          <t>0</t>
        </is>
      </c>
    </row>
    <row r="709" ht="15" customHeight="1" s="39">
      <c r="A709" s="42" t="inlineStr">
        <is>
          <t>082248</t>
        </is>
      </c>
      <c r="B709" s="38" t="inlineStr">
        <is>
          <t>Sant Martí de Centelles</t>
        </is>
      </c>
      <c r="C709" s="38" t="inlineStr">
        <is>
          <t>483</t>
        </is>
      </c>
      <c r="D709" s="38" t="inlineStr">
        <is>
          <t>135</t>
        </is>
      </c>
      <c r="E709" s="38" t="inlineStr">
        <is>
          <t>618</t>
        </is>
      </c>
      <c r="F709" s="38" t="inlineStr">
        <is>
          <t>0</t>
        </is>
      </c>
      <c r="G709" s="38" t="inlineStr">
        <is>
          <t>618</t>
        </is>
      </c>
      <c r="H709" s="38" t="inlineStr">
        <is>
          <t>0</t>
        </is>
      </c>
    </row>
    <row r="710" ht="15" customHeight="1" s="39">
      <c r="A710" s="42" t="inlineStr">
        <is>
          <t>171729</t>
        </is>
      </c>
      <c r="B710" s="38" t="inlineStr">
        <is>
          <t>Sant Martí de Llémena</t>
        </is>
      </c>
      <c r="C710" s="38" t="inlineStr">
        <is>
          <t>243</t>
        </is>
      </c>
      <c r="D710" s="38" t="inlineStr">
        <is>
          <t>140</t>
        </is>
      </c>
      <c r="E710" s="38" t="inlineStr">
        <is>
          <t>383</t>
        </is>
      </c>
      <c r="F710" s="38" t="inlineStr">
        <is>
          <t>0</t>
        </is>
      </c>
      <c r="G710" s="38" t="inlineStr">
        <is>
          <t>383</t>
        </is>
      </c>
      <c r="H710" s="38" t="inlineStr">
        <is>
          <t>1</t>
        </is>
      </c>
    </row>
    <row r="711" ht="15" customHeight="1" s="39">
      <c r="A711" s="42" t="inlineStr">
        <is>
          <t>259025</t>
        </is>
      </c>
      <c r="B711" s="38" t="inlineStr">
        <is>
          <t>Sant Martí de Riucorb</t>
        </is>
      </c>
      <c r="C711" s="38" t="inlineStr">
        <is>
          <t>260</t>
        </is>
      </c>
      <c r="D711" s="38" t="inlineStr">
        <is>
          <t>265</t>
        </is>
      </c>
      <c r="E711" s="38" t="inlineStr">
        <is>
          <t>525</t>
        </is>
      </c>
      <c r="F711" s="38" t="inlineStr">
        <is>
          <t>0</t>
        </is>
      </c>
      <c r="G711" s="38" t="inlineStr">
        <is>
          <t>525</t>
        </is>
      </c>
      <c r="H711" s="38" t="inlineStr">
        <is>
          <t>0</t>
        </is>
      </c>
    </row>
    <row r="712" ht="15" customHeight="1" s="39">
      <c r="A712" s="42" t="inlineStr">
        <is>
          <t>082264</t>
        </is>
      </c>
      <c r="B712" s="38" t="inlineStr">
        <is>
          <t>Sant Martí de Tous</t>
        </is>
      </c>
      <c r="C712" s="38" t="inlineStr">
        <is>
          <t>427</t>
        </is>
      </c>
      <c r="D712" s="38" t="inlineStr">
        <is>
          <t>168</t>
        </is>
      </c>
      <c r="E712" s="38" t="inlineStr">
        <is>
          <t>595</t>
        </is>
      </c>
      <c r="F712" s="38" t="inlineStr">
        <is>
          <t>0</t>
        </is>
      </c>
      <c r="G712" s="38" t="inlineStr">
        <is>
          <t>595</t>
        </is>
      </c>
      <c r="H712" s="38" t="inlineStr">
        <is>
          <t>0</t>
        </is>
      </c>
    </row>
    <row r="713" ht="15" customHeight="1" s="39">
      <c r="A713" s="42" t="inlineStr">
        <is>
          <t>082270</t>
        </is>
      </c>
      <c r="B713" s="38" t="inlineStr">
        <is>
          <t>Sant Martí Sarroca</t>
        </is>
      </c>
      <c r="C713" s="38" t="inlineStr">
        <is>
          <t>1199</t>
        </is>
      </c>
      <c r="D713" s="38" t="inlineStr">
        <is>
          <t>474</t>
        </is>
      </c>
      <c r="E713" s="38" t="inlineStr">
        <is>
          <t>1673</t>
        </is>
      </c>
      <c r="F713" s="38" t="inlineStr">
        <is>
          <t>0</t>
        </is>
      </c>
      <c r="G713" s="38" t="inlineStr">
        <is>
          <t>1673</t>
        </is>
      </c>
      <c r="H713" s="38" t="inlineStr">
        <is>
          <t>2</t>
        </is>
      </c>
    </row>
    <row r="714" ht="15" customHeight="1" s="39">
      <c r="A714" s="42" t="inlineStr">
        <is>
          <t>082286</t>
        </is>
      </c>
      <c r="B714" s="38" t="inlineStr">
        <is>
          <t>Sant Martí Sesgueioles</t>
        </is>
      </c>
      <c r="C714" s="38" t="inlineStr">
        <is>
          <t>128</t>
        </is>
      </c>
      <c r="D714" s="38" t="inlineStr">
        <is>
          <t>125</t>
        </is>
      </c>
      <c r="E714" s="38" t="inlineStr">
        <is>
          <t>253</t>
        </is>
      </c>
      <c r="F714" s="38" t="inlineStr">
        <is>
          <t>0</t>
        </is>
      </c>
      <c r="G714" s="38" t="inlineStr">
        <is>
          <t>253</t>
        </is>
      </c>
      <c r="H714" s="38" t="inlineStr">
        <is>
          <t>0</t>
        </is>
      </c>
    </row>
    <row r="715" ht="15" customHeight="1" s="39">
      <c r="A715" s="42" t="inlineStr">
        <is>
          <t>171735</t>
        </is>
      </c>
      <c r="B715" s="38" t="inlineStr">
        <is>
          <t>Sant Martí Vell</t>
        </is>
      </c>
      <c r="C715" s="38" t="inlineStr">
        <is>
          <t>82</t>
        </is>
      </c>
      <c r="D715" s="38" t="inlineStr">
        <is>
          <t>37</t>
        </is>
      </c>
      <c r="E715" s="38" t="inlineStr">
        <is>
          <t>119</t>
        </is>
      </c>
      <c r="F715" s="38" t="inlineStr">
        <is>
          <t>0</t>
        </is>
      </c>
      <c r="G715" s="38" t="inlineStr">
        <is>
          <t>119</t>
        </is>
      </c>
      <c r="H715" s="38" t="inlineStr">
        <is>
          <t>0</t>
        </is>
      </c>
    </row>
    <row r="716" ht="15" customHeight="1" s="39">
      <c r="A716" s="42" t="inlineStr">
        <is>
          <t>082299</t>
        </is>
      </c>
      <c r="B716" s="38" t="inlineStr">
        <is>
          <t>Sant Mateu de Bages</t>
        </is>
      </c>
      <c r="C716" s="38" t="inlineStr">
        <is>
          <t>261</t>
        </is>
      </c>
      <c r="D716" s="38" t="inlineStr">
        <is>
          <t>116</t>
        </is>
      </c>
      <c r="E716" s="38" t="inlineStr">
        <is>
          <t>377</t>
        </is>
      </c>
      <c r="F716" s="38" t="inlineStr">
        <is>
          <t>0</t>
        </is>
      </c>
      <c r="G716" s="38" t="inlineStr">
        <is>
          <t>377</t>
        </is>
      </c>
      <c r="H716" s="38" t="inlineStr">
        <is>
          <t>0</t>
        </is>
      </c>
    </row>
    <row r="717" ht="15" customHeight="1" s="39">
      <c r="A717" s="42" t="inlineStr">
        <is>
          <t>171740</t>
        </is>
      </c>
      <c r="B717" s="38" t="inlineStr">
        <is>
          <t>Sant Miquel de Campmajor</t>
        </is>
      </c>
      <c r="C717" s="38" t="inlineStr">
        <is>
          <t>81</t>
        </is>
      </c>
      <c r="D717" s="38" t="inlineStr">
        <is>
          <t>53</t>
        </is>
      </c>
      <c r="E717" s="38" t="inlineStr">
        <is>
          <t>134</t>
        </is>
      </c>
      <c r="F717" s="38" t="inlineStr">
        <is>
          <t>0</t>
        </is>
      </c>
      <c r="G717" s="38" t="inlineStr">
        <is>
          <t>134</t>
        </is>
      </c>
      <c r="H717" s="38" t="inlineStr">
        <is>
          <t>0</t>
        </is>
      </c>
    </row>
    <row r="718" ht="15" customHeight="1" s="39">
      <c r="A718" s="42" t="inlineStr">
        <is>
          <t>171753</t>
        </is>
      </c>
      <c r="B718" s="38" t="inlineStr">
        <is>
          <t>Sant Miquel de Fluvià</t>
        </is>
      </c>
      <c r="C718" s="38" t="inlineStr">
        <is>
          <t>275</t>
        </is>
      </c>
      <c r="D718" s="38" t="inlineStr">
        <is>
          <t>86</t>
        </is>
      </c>
      <c r="E718" s="38" t="inlineStr">
        <is>
          <t>361</t>
        </is>
      </c>
      <c r="F718" s="38" t="inlineStr">
        <is>
          <t>0</t>
        </is>
      </c>
      <c r="G718" s="38" t="inlineStr">
        <is>
          <t>361</t>
        </is>
      </c>
      <c r="H718" s="38" t="inlineStr">
        <is>
          <t>0</t>
        </is>
      </c>
    </row>
    <row r="719" ht="15" customHeight="1" s="39">
      <c r="A719" s="42" t="inlineStr">
        <is>
          <t>171766</t>
        </is>
      </c>
      <c r="B719" s="38" t="inlineStr">
        <is>
          <t>Sant Mori</t>
        </is>
      </c>
      <c r="C719" s="38" t="inlineStr">
        <is>
          <t>76</t>
        </is>
      </c>
      <c r="D719" s="38" t="inlineStr">
        <is>
          <t>90</t>
        </is>
      </c>
      <c r="E719" s="38" t="inlineStr">
        <is>
          <t>166</t>
        </is>
      </c>
      <c r="F719" s="38" t="inlineStr">
        <is>
          <t>0</t>
        </is>
      </c>
      <c r="G719" s="38" t="inlineStr">
        <is>
          <t>166</t>
        </is>
      </c>
      <c r="H719" s="38" t="inlineStr">
        <is>
          <t>0</t>
        </is>
      </c>
    </row>
    <row r="720" ht="15" customHeight="1" s="39">
      <c r="A720" s="42" t="inlineStr">
        <is>
          <t>171772</t>
        </is>
      </c>
      <c r="B720" s="38" t="inlineStr">
        <is>
          <t>Sant Pau de Segúries</t>
        </is>
      </c>
      <c r="C720" s="38" t="inlineStr">
        <is>
          <t>301</t>
        </is>
      </c>
      <c r="D720" s="38" t="inlineStr">
        <is>
          <t>274</t>
        </is>
      </c>
      <c r="E720" s="38" t="inlineStr">
        <is>
          <t>575</t>
        </is>
      </c>
      <c r="F720" s="38" t="inlineStr">
        <is>
          <t>0</t>
        </is>
      </c>
      <c r="G720" s="38" t="inlineStr">
        <is>
          <t>575</t>
        </is>
      </c>
      <c r="H720" s="38" t="inlineStr">
        <is>
          <t>0</t>
        </is>
      </c>
    </row>
    <row r="721" ht="15" customHeight="1" s="39">
      <c r="A721" s="42" t="inlineStr">
        <is>
          <t>082310</t>
        </is>
      </c>
      <c r="B721" s="38" t="inlineStr">
        <is>
          <t>Sant Pere de Ribes</t>
        </is>
      </c>
      <c r="C721" s="38" t="inlineStr">
        <is>
          <t>11807</t>
        </is>
      </c>
      <c r="D721" s="38" t="inlineStr">
        <is>
          <t>2343</t>
        </is>
      </c>
      <c r="E721" s="38" t="inlineStr">
        <is>
          <t>14150</t>
        </is>
      </c>
      <c r="F721" s="38" t="inlineStr">
        <is>
          <t>0</t>
        </is>
      </c>
      <c r="G721" s="38" t="inlineStr">
        <is>
          <t>14150</t>
        </is>
      </c>
      <c r="H721" s="38" t="inlineStr">
        <is>
          <t>6</t>
        </is>
      </c>
    </row>
    <row r="722" ht="15" customHeight="1" s="39">
      <c r="A722" s="42" t="inlineStr">
        <is>
          <t>082325</t>
        </is>
      </c>
      <c r="B722" s="38" t="inlineStr">
        <is>
          <t>Sant Pere de Riudebitlles</t>
        </is>
      </c>
      <c r="C722" s="38" t="inlineStr">
        <is>
          <t>930</t>
        </is>
      </c>
      <c r="D722" s="38" t="inlineStr">
        <is>
          <t>255</t>
        </is>
      </c>
      <c r="E722" s="38" t="inlineStr">
        <is>
          <t>1185</t>
        </is>
      </c>
      <c r="F722" s="38" t="inlineStr">
        <is>
          <t>0</t>
        </is>
      </c>
      <c r="G722" s="38" t="inlineStr">
        <is>
          <t>1185</t>
        </is>
      </c>
      <c r="H722" s="38" t="inlineStr">
        <is>
          <t>0</t>
        </is>
      </c>
    </row>
    <row r="723" ht="15" customHeight="1" s="39">
      <c r="A723" s="42" t="inlineStr">
        <is>
          <t>082331</t>
        </is>
      </c>
      <c r="B723" s="38" t="inlineStr">
        <is>
          <t>Sant Pere de Torelló</t>
        </is>
      </c>
      <c r="C723" s="38" t="inlineStr">
        <is>
          <t>941</t>
        </is>
      </c>
      <c r="D723" s="38" t="inlineStr">
        <is>
          <t>231</t>
        </is>
      </c>
      <c r="E723" s="38" t="inlineStr">
        <is>
          <t>1172</t>
        </is>
      </c>
      <c r="F723" s="38" t="inlineStr">
        <is>
          <t>0</t>
        </is>
      </c>
      <c r="G723" s="38" t="inlineStr">
        <is>
          <t>1172</t>
        </is>
      </c>
      <c r="H723" s="38" t="inlineStr">
        <is>
          <t>3</t>
        </is>
      </c>
    </row>
    <row r="724" ht="15" customHeight="1" s="39">
      <c r="A724" s="42" t="inlineStr">
        <is>
          <t>082346</t>
        </is>
      </c>
      <c r="B724" s="38" t="inlineStr">
        <is>
          <t>Sant Pere de Vilamajor</t>
        </is>
      </c>
      <c r="C724" s="38" t="inlineStr">
        <is>
          <t>1715</t>
        </is>
      </c>
      <c r="D724" s="38" t="inlineStr">
        <is>
          <t>687</t>
        </is>
      </c>
      <c r="E724" s="38" t="inlineStr">
        <is>
          <t>2402</t>
        </is>
      </c>
      <c r="F724" s="38" t="inlineStr">
        <is>
          <t>0</t>
        </is>
      </c>
      <c r="G724" s="38" t="inlineStr">
        <is>
          <t>2402</t>
        </is>
      </c>
      <c r="H724" s="38" t="inlineStr">
        <is>
          <t>0</t>
        </is>
      </c>
    </row>
    <row r="725" ht="15" customHeight="1" s="39">
      <c r="A725" s="42" t="inlineStr">
        <is>
          <t>171788</t>
        </is>
      </c>
      <c r="B725" s="38" t="inlineStr">
        <is>
          <t>Sant Pere Pescador</t>
        </is>
      </c>
      <c r="C725" s="38" t="inlineStr">
        <is>
          <t>791</t>
        </is>
      </c>
      <c r="D725" s="38" t="inlineStr">
        <is>
          <t>849</t>
        </is>
      </c>
      <c r="E725" s="38" t="inlineStr">
        <is>
          <t>1640</t>
        </is>
      </c>
      <c r="F725" s="38" t="inlineStr">
        <is>
          <t>0</t>
        </is>
      </c>
      <c r="G725" s="38" t="inlineStr">
        <is>
          <t>1640</t>
        </is>
      </c>
      <c r="H725" s="38" t="inlineStr">
        <is>
          <t>0</t>
        </is>
      </c>
    </row>
    <row r="726" ht="15" customHeight="1" s="39">
      <c r="A726" s="42" t="inlineStr">
        <is>
          <t>081897</t>
        </is>
      </c>
      <c r="B726" s="38" t="inlineStr">
        <is>
          <t>Sant Pere Sallavinera</t>
        </is>
      </c>
      <c r="C726" s="38" t="inlineStr">
        <is>
          <t>61</t>
        </is>
      </c>
      <c r="D726" s="38" t="inlineStr">
        <is>
          <t>40</t>
        </is>
      </c>
      <c r="E726" s="38" t="inlineStr">
        <is>
          <t>101</t>
        </is>
      </c>
      <c r="F726" s="38" t="inlineStr">
        <is>
          <t>0</t>
        </is>
      </c>
      <c r="G726" s="38" t="inlineStr">
        <is>
          <t>101</t>
        </is>
      </c>
      <c r="H726" s="38" t="inlineStr">
        <is>
          <t>0</t>
        </is>
      </c>
    </row>
    <row r="727" ht="15" customHeight="1" s="39">
      <c r="A727" s="42" t="inlineStr">
        <is>
          <t>082359</t>
        </is>
      </c>
      <c r="B727" s="38" t="inlineStr">
        <is>
          <t>Sant Pol de Mar</t>
        </is>
      </c>
      <c r="C727" s="38" t="inlineStr">
        <is>
          <t>2246</t>
        </is>
      </c>
      <c r="D727" s="38" t="inlineStr">
        <is>
          <t>1638</t>
        </is>
      </c>
      <c r="E727" s="38" t="inlineStr">
        <is>
          <t>3884</t>
        </is>
      </c>
      <c r="F727" s="38" t="inlineStr">
        <is>
          <t>0</t>
        </is>
      </c>
      <c r="G727" s="38" t="inlineStr">
        <is>
          <t>3884</t>
        </is>
      </c>
      <c r="H727" s="38" t="inlineStr">
        <is>
          <t>2</t>
        </is>
      </c>
    </row>
    <row r="728" ht="15" customHeight="1" s="39">
      <c r="A728" s="42" t="inlineStr">
        <is>
          <t>082362</t>
        </is>
      </c>
      <c r="B728" s="38" t="inlineStr">
        <is>
          <t>Sant Quintí de Mediona</t>
        </is>
      </c>
      <c r="C728" s="38" t="inlineStr">
        <is>
          <t>886</t>
        </is>
      </c>
      <c r="D728" s="38" t="inlineStr">
        <is>
          <t>347</t>
        </is>
      </c>
      <c r="E728" s="38" t="inlineStr">
        <is>
          <t>1233</t>
        </is>
      </c>
      <c r="F728" s="38" t="inlineStr">
        <is>
          <t>0</t>
        </is>
      </c>
      <c r="G728" s="38" t="inlineStr">
        <is>
          <t>1233</t>
        </is>
      </c>
      <c r="H728" s="38" t="inlineStr">
        <is>
          <t>1</t>
        </is>
      </c>
    </row>
    <row r="729" ht="15" customHeight="1" s="39">
      <c r="A729" s="42" t="inlineStr">
        <is>
          <t>082378</t>
        </is>
      </c>
      <c r="B729" s="38" t="inlineStr">
        <is>
          <t>Sant Quirze de Besora</t>
        </is>
      </c>
      <c r="C729" s="38" t="inlineStr">
        <is>
          <t>847</t>
        </is>
      </c>
      <c r="D729" s="38" t="inlineStr">
        <is>
          <t>256</t>
        </is>
      </c>
      <c r="E729" s="38" t="inlineStr">
        <is>
          <t>1103</t>
        </is>
      </c>
      <c r="F729" s="38" t="inlineStr">
        <is>
          <t>0</t>
        </is>
      </c>
      <c r="G729" s="38" t="inlineStr">
        <is>
          <t>1103</t>
        </is>
      </c>
      <c r="H729" s="38" t="inlineStr">
        <is>
          <t>1</t>
        </is>
      </c>
    </row>
    <row r="730" ht="15" customHeight="1" s="39">
      <c r="A730" s="42" t="inlineStr">
        <is>
          <t>082384</t>
        </is>
      </c>
      <c r="B730" s="38" t="inlineStr">
        <is>
          <t>Sant Quirze del Vallès</t>
        </is>
      </c>
      <c r="C730" s="38" t="inlineStr">
        <is>
          <t>6994</t>
        </is>
      </c>
      <c r="D730" s="38" t="inlineStr">
        <is>
          <t>615</t>
        </is>
      </c>
      <c r="E730" s="38" t="inlineStr">
        <is>
          <t>7609</t>
        </is>
      </c>
      <c r="F730" s="38" t="inlineStr">
        <is>
          <t>0</t>
        </is>
      </c>
      <c r="G730" s="38" t="inlineStr">
        <is>
          <t>7609</t>
        </is>
      </c>
      <c r="H730" s="38" t="inlineStr">
        <is>
          <t>6</t>
        </is>
      </c>
    </row>
    <row r="731" ht="15" customHeight="1" s="39">
      <c r="A731" s="42" t="inlineStr">
        <is>
          <t>082397</t>
        </is>
      </c>
      <c r="B731" s="38" t="inlineStr">
        <is>
          <t>Sant Quirze Safaja</t>
        </is>
      </c>
      <c r="C731" s="38" t="inlineStr">
        <is>
          <t>261</t>
        </is>
      </c>
      <c r="D731" s="38" t="inlineStr">
        <is>
          <t>218</t>
        </is>
      </c>
      <c r="E731" s="38" t="inlineStr">
        <is>
          <t>479</t>
        </is>
      </c>
      <c r="F731" s="38" t="inlineStr">
        <is>
          <t>0</t>
        </is>
      </c>
      <c r="G731" s="38" t="inlineStr">
        <is>
          <t>479</t>
        </is>
      </c>
      <c r="H731" s="38" t="inlineStr">
        <is>
          <t>2</t>
        </is>
      </c>
    </row>
    <row r="732" ht="15" customHeight="1" s="39">
      <c r="A732" s="42" t="inlineStr">
        <is>
          <t>251945</t>
        </is>
      </c>
      <c r="B732" s="38" t="inlineStr">
        <is>
          <t>Sant Ramon</t>
        </is>
      </c>
      <c r="C732" s="38" t="inlineStr">
        <is>
          <t>177</t>
        </is>
      </c>
      <c r="D732" s="38" t="inlineStr">
        <is>
          <t>104</t>
        </is>
      </c>
      <c r="E732" s="38" t="inlineStr">
        <is>
          <t>281</t>
        </is>
      </c>
      <c r="F732" s="38" t="inlineStr">
        <is>
          <t>0</t>
        </is>
      </c>
      <c r="G732" s="38" t="inlineStr">
        <is>
          <t>281</t>
        </is>
      </c>
      <c r="H732" s="38" t="inlineStr">
        <is>
          <t>1</t>
        </is>
      </c>
    </row>
    <row r="733" ht="15" customHeight="1" s="39">
      <c r="A733" s="42" t="inlineStr">
        <is>
          <t>082401</t>
        </is>
      </c>
      <c r="B733" s="38" t="inlineStr">
        <is>
          <t>Sant Sadurní d'Anoia</t>
        </is>
      </c>
      <c r="C733" s="38" t="inlineStr">
        <is>
          <t>4824</t>
        </is>
      </c>
      <c r="D733" s="38" t="inlineStr">
        <is>
          <t>812</t>
        </is>
      </c>
      <c r="E733" s="38" t="inlineStr">
        <is>
          <t>5636</t>
        </is>
      </c>
      <c r="F733" s="38" t="inlineStr">
        <is>
          <t>0</t>
        </is>
      </c>
      <c r="G733" s="38" t="inlineStr">
        <is>
          <t>5636</t>
        </is>
      </c>
      <c r="H733" s="38" t="inlineStr">
        <is>
          <t>1</t>
        </is>
      </c>
    </row>
    <row r="734" ht="15" customHeight="1" s="39">
      <c r="A734" s="42" t="inlineStr">
        <is>
          <t>082418</t>
        </is>
      </c>
      <c r="B734" s="38" t="inlineStr">
        <is>
          <t>Sant Sadurní d'Osormort</t>
        </is>
      </c>
      <c r="C734" s="38" t="inlineStr">
        <is>
          <t>39</t>
        </is>
      </c>
      <c r="D734" s="38" t="inlineStr">
        <is>
          <t>85</t>
        </is>
      </c>
      <c r="E734" s="38" t="inlineStr">
        <is>
          <t>124</t>
        </is>
      </c>
      <c r="F734" s="38" t="inlineStr">
        <is>
          <t>0</t>
        </is>
      </c>
      <c r="G734" s="38" t="inlineStr">
        <is>
          <t>124</t>
        </is>
      </c>
      <c r="H734" s="38" t="inlineStr">
        <is>
          <t>0</t>
        </is>
      </c>
    </row>
    <row r="735" ht="15" customHeight="1" s="39">
      <c r="A735" s="42" t="inlineStr">
        <is>
          <t>080983</t>
        </is>
      </c>
      <c r="B735" s="38" t="inlineStr">
        <is>
          <t>Sant Salvador de Guardiola</t>
        </is>
      </c>
      <c r="C735" s="38" t="inlineStr">
        <is>
          <t>1169</t>
        </is>
      </c>
      <c r="D735" s="38" t="inlineStr">
        <is>
          <t>438</t>
        </is>
      </c>
      <c r="E735" s="38" t="inlineStr">
        <is>
          <t>1607</t>
        </is>
      </c>
      <c r="F735" s="38" t="inlineStr">
        <is>
          <t>0</t>
        </is>
      </c>
      <c r="G735" s="38" t="inlineStr">
        <is>
          <t>1607</t>
        </is>
      </c>
      <c r="H735" s="38" t="inlineStr">
        <is>
          <t>2</t>
        </is>
      </c>
    </row>
    <row r="736" ht="15" customHeight="1" s="39">
      <c r="A736" s="42" t="inlineStr">
        <is>
          <t>082628</t>
        </is>
      </c>
      <c r="B736" s="38" t="inlineStr">
        <is>
          <t>Sant Vicenç de Castellet</t>
        </is>
      </c>
      <c r="C736" s="38" t="inlineStr">
        <is>
          <t>3773</t>
        </is>
      </c>
      <c r="D736" s="38" t="inlineStr">
        <is>
          <t>651</t>
        </is>
      </c>
      <c r="E736" s="38" t="inlineStr">
        <is>
          <t>4424</t>
        </is>
      </c>
      <c r="F736" s="38" t="inlineStr">
        <is>
          <t>0</t>
        </is>
      </c>
      <c r="G736" s="38" t="inlineStr">
        <is>
          <t>4424</t>
        </is>
      </c>
      <c r="H736" s="38" t="inlineStr">
        <is>
          <t>1</t>
        </is>
      </c>
    </row>
    <row r="737" ht="15" customHeight="1" s="39">
      <c r="A737" s="42" t="inlineStr">
        <is>
          <t>082649</t>
        </is>
      </c>
      <c r="B737" s="38" t="inlineStr">
        <is>
          <t>Sant Vicenç de Montalt</t>
        </is>
      </c>
      <c r="C737" s="38" t="inlineStr">
        <is>
          <t>2369</t>
        </is>
      </c>
      <c r="D737" s="38" t="inlineStr">
        <is>
          <t>1243</t>
        </is>
      </c>
      <c r="E737" s="38" t="inlineStr">
        <is>
          <t>3612</t>
        </is>
      </c>
      <c r="F737" s="38" t="inlineStr">
        <is>
          <t>0</t>
        </is>
      </c>
      <c r="G737" s="38" t="inlineStr">
        <is>
          <t>3612</t>
        </is>
      </c>
      <c r="H737" s="38" t="inlineStr">
        <is>
          <t>3</t>
        </is>
      </c>
    </row>
    <row r="738" ht="15" customHeight="1" s="39">
      <c r="A738" s="42" t="inlineStr">
        <is>
          <t>082652</t>
        </is>
      </c>
      <c r="B738" s="38" t="inlineStr">
        <is>
          <t>Sant Vicenç de Torelló</t>
        </is>
      </c>
      <c r="C738" s="38" t="inlineStr">
        <is>
          <t>782</t>
        </is>
      </c>
      <c r="D738" s="38" t="inlineStr">
        <is>
          <t>157</t>
        </is>
      </c>
      <c r="E738" s="38" t="inlineStr">
        <is>
          <t>939</t>
        </is>
      </c>
      <c r="F738" s="38" t="inlineStr">
        <is>
          <t>0</t>
        </is>
      </c>
      <c r="G738" s="38" t="inlineStr">
        <is>
          <t>939</t>
        </is>
      </c>
      <c r="H738" s="38" t="inlineStr">
        <is>
          <t>0</t>
        </is>
      </c>
    </row>
    <row r="739" ht="15" customHeight="1" s="39">
      <c r="A739" s="42" t="inlineStr">
        <is>
          <t>082634</t>
        </is>
      </c>
      <c r="B739" s="38" t="inlineStr">
        <is>
          <t>Sant Vicenç dels Horts</t>
        </is>
      </c>
      <c r="C739" s="38" t="inlineStr">
        <is>
          <t>10010</t>
        </is>
      </c>
      <c r="D739" s="38" t="inlineStr">
        <is>
          <t>1520</t>
        </is>
      </c>
      <c r="E739" s="38" t="inlineStr">
        <is>
          <t>11530</t>
        </is>
      </c>
      <c r="F739" s="38" t="inlineStr">
        <is>
          <t>0</t>
        </is>
      </c>
      <c r="G739" s="38" t="inlineStr">
        <is>
          <t>11530</t>
        </is>
      </c>
      <c r="H739" s="38" t="inlineStr">
        <is>
          <t>7</t>
        </is>
      </c>
    </row>
    <row r="740" ht="15" customHeight="1" s="39">
      <c r="A740" s="42" t="inlineStr">
        <is>
          <t>431384</t>
        </is>
      </c>
      <c r="B740" s="38" t="inlineStr">
        <is>
          <t>Santa Bàrbara</t>
        </is>
      </c>
      <c r="C740" s="38" t="inlineStr">
        <is>
          <t>1489</t>
        </is>
      </c>
      <c r="D740" s="38" t="inlineStr">
        <is>
          <t>815</t>
        </is>
      </c>
      <c r="E740" s="38" t="inlineStr">
        <is>
          <t>2304</t>
        </is>
      </c>
      <c r="F740" s="38" t="inlineStr">
        <is>
          <t>0</t>
        </is>
      </c>
      <c r="G740" s="38" t="inlineStr">
        <is>
          <t>2304</t>
        </is>
      </c>
      <c r="H740" s="38" t="inlineStr">
        <is>
          <t>0</t>
        </is>
      </c>
    </row>
    <row r="741" ht="15" customHeight="1" s="39">
      <c r="A741" s="42" t="inlineStr">
        <is>
          <t>082439</t>
        </is>
      </c>
      <c r="B741" s="38" t="inlineStr">
        <is>
          <t>Santa Cecília de Voltregà</t>
        </is>
      </c>
      <c r="C741" s="38" t="inlineStr">
        <is>
          <t>58</t>
        </is>
      </c>
      <c r="D741" s="38" t="inlineStr">
        <is>
          <t>13</t>
        </is>
      </c>
      <c r="E741" s="38" t="inlineStr">
        <is>
          <t>71</t>
        </is>
      </c>
      <c r="F741" s="38" t="inlineStr">
        <is>
          <t>0</t>
        </is>
      </c>
      <c r="G741" s="38" t="inlineStr">
        <is>
          <t>71</t>
        </is>
      </c>
      <c r="H741" s="38" t="inlineStr">
        <is>
          <t>0</t>
        </is>
      </c>
    </row>
    <row r="742" ht="15" customHeight="1" s="39">
      <c r="A742" s="42" t="inlineStr">
        <is>
          <t>082444</t>
        </is>
      </c>
      <c r="B742" s="38" t="inlineStr">
        <is>
          <t>Santa Coloma de Cervelló</t>
        </is>
      </c>
      <c r="C742" s="38" t="inlineStr">
        <is>
          <t>2813</t>
        </is>
      </c>
      <c r="D742" s="38" t="inlineStr">
        <is>
          <t>258</t>
        </is>
      </c>
      <c r="E742" s="38" t="inlineStr">
        <is>
          <t>3071</t>
        </is>
      </c>
      <c r="F742" s="38" t="inlineStr">
        <is>
          <t>0</t>
        </is>
      </c>
      <c r="G742" s="38" t="inlineStr">
        <is>
          <t>3071</t>
        </is>
      </c>
      <c r="H742" s="38" t="inlineStr">
        <is>
          <t>3</t>
        </is>
      </c>
    </row>
    <row r="743" ht="15" customHeight="1" s="39">
      <c r="A743" s="42" t="inlineStr">
        <is>
          <t>171805</t>
        </is>
      </c>
      <c r="B743" s="38" t="inlineStr">
        <is>
          <t>Santa Coloma de Farners</t>
        </is>
      </c>
      <c r="C743" s="38" t="inlineStr">
        <is>
          <t>4894</t>
        </is>
      </c>
      <c r="D743" s="38" t="inlineStr">
        <is>
          <t>1101</t>
        </is>
      </c>
      <c r="E743" s="38" t="inlineStr">
        <is>
          <t>5995</t>
        </is>
      </c>
      <c r="F743" s="38" t="inlineStr">
        <is>
          <t>0</t>
        </is>
      </c>
      <c r="G743" s="38" t="inlineStr">
        <is>
          <t>5995</t>
        </is>
      </c>
      <c r="H743" s="38" t="inlineStr">
        <is>
          <t>5</t>
        </is>
      </c>
    </row>
    <row r="744" ht="15" customHeight="1" s="39">
      <c r="A744" s="42" t="inlineStr">
        <is>
          <t>082457</t>
        </is>
      </c>
      <c r="B744" s="38" t="inlineStr">
        <is>
          <t>Santa Coloma de Gramenet</t>
        </is>
      </c>
      <c r="C744" s="38" t="inlineStr">
        <is>
          <t>44180</t>
        </is>
      </c>
      <c r="D744" s="38" t="inlineStr">
        <is>
          <t>3920</t>
        </is>
      </c>
      <c r="E744" s="38" t="inlineStr">
        <is>
          <t>48100</t>
        </is>
      </c>
      <c r="F744" s="38" t="inlineStr">
        <is>
          <t>0</t>
        </is>
      </c>
      <c r="G744" s="38" t="inlineStr">
        <is>
          <t>48100</t>
        </is>
      </c>
      <c r="H744" s="38" t="inlineStr">
        <is>
          <t>12</t>
        </is>
      </c>
    </row>
    <row r="745" ht="15" customHeight="1" s="39">
      <c r="A745" s="42" t="inlineStr">
        <is>
          <t>431397</t>
        </is>
      </c>
      <c r="B745" s="38" t="inlineStr">
        <is>
          <t>Santa Coloma de Queralt</t>
        </is>
      </c>
      <c r="C745" s="38" t="inlineStr">
        <is>
          <t>1039</t>
        </is>
      </c>
      <c r="D745" s="38" t="inlineStr">
        <is>
          <t>545</t>
        </is>
      </c>
      <c r="E745" s="38" t="inlineStr">
        <is>
          <t>1584</t>
        </is>
      </c>
      <c r="F745" s="38" t="inlineStr">
        <is>
          <t>0</t>
        </is>
      </c>
      <c r="G745" s="38" t="inlineStr">
        <is>
          <t>1584</t>
        </is>
      </c>
      <c r="H745" s="38" t="inlineStr">
        <is>
          <t>2</t>
        </is>
      </c>
    </row>
    <row r="746" ht="15" customHeight="1" s="39">
      <c r="A746" s="42" t="inlineStr">
        <is>
          <t>171812</t>
        </is>
      </c>
      <c r="B746" s="38" t="inlineStr">
        <is>
          <t>Santa Cristina d'Aro</t>
        </is>
      </c>
      <c r="C746" s="38" t="inlineStr">
        <is>
          <t>2110</t>
        </is>
      </c>
      <c r="D746" s="38" t="inlineStr">
        <is>
          <t>1804</t>
        </is>
      </c>
      <c r="E746" s="38" t="inlineStr">
        <is>
          <t>3914</t>
        </is>
      </c>
      <c r="F746" s="38" t="inlineStr">
        <is>
          <t>0</t>
        </is>
      </c>
      <c r="G746" s="38" t="inlineStr">
        <is>
          <t>3914</t>
        </is>
      </c>
      <c r="H746" s="38" t="inlineStr">
        <is>
          <t>2</t>
        </is>
      </c>
    </row>
    <row r="747" ht="15" customHeight="1" s="39">
      <c r="A747" s="42" t="inlineStr">
        <is>
          <t>082460</t>
        </is>
      </c>
      <c r="B747" s="38" t="inlineStr">
        <is>
          <t>Santa Eugènia de Berga</t>
        </is>
      </c>
      <c r="C747" s="38" t="inlineStr">
        <is>
          <t>840</t>
        </is>
      </c>
      <c r="D747" s="38" t="inlineStr">
        <is>
          <t>124</t>
        </is>
      </c>
      <c r="E747" s="38" t="inlineStr">
        <is>
          <t>964</t>
        </is>
      </c>
      <c r="F747" s="38" t="inlineStr">
        <is>
          <t>0</t>
        </is>
      </c>
      <c r="G747" s="38" t="inlineStr">
        <is>
          <t>964</t>
        </is>
      </c>
      <c r="H747" s="38" t="inlineStr">
        <is>
          <t>0</t>
        </is>
      </c>
    </row>
    <row r="748" ht="15" customHeight="1" s="39">
      <c r="A748" s="42" t="inlineStr">
        <is>
          <t>082476</t>
        </is>
      </c>
      <c r="B748" s="38" t="inlineStr">
        <is>
          <t>Santa Eulàlia de Riuprimer</t>
        </is>
      </c>
      <c r="C748" s="38" t="inlineStr">
        <is>
          <t>498</t>
        </is>
      </c>
      <c r="D748" s="38" t="inlineStr">
        <is>
          <t>67</t>
        </is>
      </c>
      <c r="E748" s="38" t="inlineStr">
        <is>
          <t>565</t>
        </is>
      </c>
      <c r="F748" s="38" t="inlineStr">
        <is>
          <t>0</t>
        </is>
      </c>
      <c r="G748" s="38" t="inlineStr">
        <is>
          <t>565</t>
        </is>
      </c>
      <c r="H748" s="38" t="inlineStr">
        <is>
          <t>0</t>
        </is>
      </c>
    </row>
    <row r="749" ht="15" customHeight="1" s="39">
      <c r="A749" s="42" t="inlineStr">
        <is>
          <t>082482</t>
        </is>
      </c>
      <c r="B749" s="38" t="inlineStr">
        <is>
          <t>Santa Eulàlia de Ronçana</t>
        </is>
      </c>
      <c r="C749" s="38" t="inlineStr">
        <is>
          <t>2665</t>
        </is>
      </c>
      <c r="D749" s="38" t="inlineStr">
        <is>
          <t>553</t>
        </is>
      </c>
      <c r="E749" s="38" t="inlineStr">
        <is>
          <t>3218</t>
        </is>
      </c>
      <c r="F749" s="38" t="inlineStr">
        <is>
          <t>0</t>
        </is>
      </c>
      <c r="G749" s="38" t="inlineStr">
        <is>
          <t>3218</t>
        </is>
      </c>
      <c r="H749" s="38" t="inlineStr">
        <is>
          <t>3</t>
        </is>
      </c>
    </row>
    <row r="750" ht="15" customHeight="1" s="39">
      <c r="A750" s="42" t="inlineStr">
        <is>
          <t>082495</t>
        </is>
      </c>
      <c r="B750" s="38" t="inlineStr">
        <is>
          <t>Santa Fe del Penedès</t>
        </is>
      </c>
      <c r="C750" s="38" t="inlineStr">
        <is>
          <t>127</t>
        </is>
      </c>
      <c r="D750" s="38" t="inlineStr">
        <is>
          <t>19</t>
        </is>
      </c>
      <c r="E750" s="38" t="inlineStr">
        <is>
          <t>146</t>
        </is>
      </c>
      <c r="F750" s="38" t="inlineStr">
        <is>
          <t>0</t>
        </is>
      </c>
      <c r="G750" s="38" t="inlineStr">
        <is>
          <t>146</t>
        </is>
      </c>
      <c r="H750" s="38" t="inlineStr">
        <is>
          <t>0</t>
        </is>
      </c>
    </row>
    <row r="751" ht="15" customHeight="1" s="39">
      <c r="A751" s="42" t="inlineStr">
        <is>
          <t>171827</t>
        </is>
      </c>
      <c r="B751" s="38" t="inlineStr">
        <is>
          <t>Santa Llogaia d'Àlguema</t>
        </is>
      </c>
      <c r="C751" s="38" t="inlineStr">
        <is>
          <t>126</t>
        </is>
      </c>
      <c r="D751" s="38" t="inlineStr">
        <is>
          <t>25</t>
        </is>
      </c>
      <c r="E751" s="38" t="inlineStr">
        <is>
          <t>151</t>
        </is>
      </c>
      <c r="F751" s="38" t="inlineStr">
        <is>
          <t>0</t>
        </is>
      </c>
      <c r="G751" s="38" t="inlineStr">
        <is>
          <t>151</t>
        </is>
      </c>
      <c r="H751" s="38" t="inlineStr">
        <is>
          <t>0</t>
        </is>
      </c>
    </row>
    <row r="752" ht="15" customHeight="1" s="39">
      <c r="A752" s="42" t="inlineStr">
        <is>
          <t>082508</t>
        </is>
      </c>
      <c r="B752" s="38" t="inlineStr">
        <is>
          <t>Santa Margarida de Montbui</t>
        </is>
      </c>
      <c r="C752" s="38" t="inlineStr">
        <is>
          <t>3723</t>
        </is>
      </c>
      <c r="D752" s="38" t="inlineStr">
        <is>
          <t>750</t>
        </is>
      </c>
      <c r="E752" s="38" t="inlineStr">
        <is>
          <t>4473</t>
        </is>
      </c>
      <c r="F752" s="38" t="inlineStr">
        <is>
          <t>0</t>
        </is>
      </c>
      <c r="G752" s="38" t="inlineStr">
        <is>
          <t>4473</t>
        </is>
      </c>
      <c r="H752" s="38" t="inlineStr">
        <is>
          <t>0</t>
        </is>
      </c>
    </row>
    <row r="753" ht="15" customHeight="1" s="39">
      <c r="A753" s="42" t="inlineStr">
        <is>
          <t>082515</t>
        </is>
      </c>
      <c r="B753" s="38" t="inlineStr">
        <is>
          <t>Santa Margarida i els Monjos</t>
        </is>
      </c>
      <c r="C753" s="38" t="inlineStr">
        <is>
          <t>2787</t>
        </is>
      </c>
      <c r="D753" s="38" t="inlineStr">
        <is>
          <t>444</t>
        </is>
      </c>
      <c r="E753" s="38" t="inlineStr">
        <is>
          <t>3231</t>
        </is>
      </c>
      <c r="F753" s="38" t="inlineStr">
        <is>
          <t>0</t>
        </is>
      </c>
      <c r="G753" s="38" t="inlineStr">
        <is>
          <t>3231</t>
        </is>
      </c>
      <c r="H753" s="38" t="inlineStr">
        <is>
          <t>1</t>
        </is>
      </c>
    </row>
    <row r="754" ht="15" customHeight="1" s="39">
      <c r="A754" s="42" t="inlineStr">
        <is>
          <t>082589</t>
        </is>
      </c>
      <c r="B754" s="38" t="inlineStr">
        <is>
          <t>Santa Maria d'Oló</t>
        </is>
      </c>
      <c r="C754" s="38" t="inlineStr">
        <is>
          <t>418</t>
        </is>
      </c>
      <c r="D754" s="38" t="inlineStr">
        <is>
          <t>275</t>
        </is>
      </c>
      <c r="E754" s="38" t="inlineStr">
        <is>
          <t>693</t>
        </is>
      </c>
      <c r="F754" s="38" t="inlineStr">
        <is>
          <t>0</t>
        </is>
      </c>
      <c r="G754" s="38" t="inlineStr">
        <is>
          <t>693</t>
        </is>
      </c>
      <c r="H754" s="38" t="inlineStr">
        <is>
          <t>2</t>
        </is>
      </c>
    </row>
    <row r="755" ht="15" customHeight="1" s="39">
      <c r="A755" s="42" t="inlineStr">
        <is>
          <t>082536</t>
        </is>
      </c>
      <c r="B755" s="38" t="inlineStr">
        <is>
          <t>Santa Maria de Besora</t>
        </is>
      </c>
      <c r="C755" s="38" t="inlineStr">
        <is>
          <t>70</t>
        </is>
      </c>
      <c r="D755" s="38" t="inlineStr">
        <is>
          <t>39</t>
        </is>
      </c>
      <c r="E755" s="38" t="inlineStr">
        <is>
          <t>109</t>
        </is>
      </c>
      <c r="F755" s="38" t="inlineStr">
        <is>
          <t>0</t>
        </is>
      </c>
      <c r="G755" s="38" t="inlineStr">
        <is>
          <t>109</t>
        </is>
      </c>
      <c r="H755" s="38" t="inlineStr">
        <is>
          <t>0</t>
        </is>
      </c>
    </row>
    <row r="756" ht="15" customHeight="1" s="39">
      <c r="A756" s="42" t="inlineStr">
        <is>
          <t>082567</t>
        </is>
      </c>
      <c r="B756" s="38" t="inlineStr">
        <is>
          <t>Santa Maria de Martorelles</t>
        </is>
      </c>
      <c r="C756" s="38" t="inlineStr">
        <is>
          <t>308</t>
        </is>
      </c>
      <c r="D756" s="38" t="inlineStr">
        <is>
          <t>80</t>
        </is>
      </c>
      <c r="E756" s="38" t="inlineStr">
        <is>
          <t>388</t>
        </is>
      </c>
      <c r="F756" s="38" t="inlineStr">
        <is>
          <t>0</t>
        </is>
      </c>
      <c r="G756" s="38" t="inlineStr">
        <is>
          <t>388</t>
        </is>
      </c>
      <c r="H756" s="38" t="inlineStr">
        <is>
          <t>2</t>
        </is>
      </c>
    </row>
    <row r="757" ht="15" customHeight="1" s="39">
      <c r="A757" s="42" t="inlineStr">
        <is>
          <t>082554</t>
        </is>
      </c>
      <c r="B757" s="38" t="inlineStr">
        <is>
          <t>Santa Maria de Merlès</t>
        </is>
      </c>
      <c r="C757" s="38" t="inlineStr">
        <is>
          <t>59</t>
        </is>
      </c>
      <c r="D757" s="38" t="inlineStr">
        <is>
          <t>52</t>
        </is>
      </c>
      <c r="E757" s="38" t="inlineStr">
        <is>
          <t>111</t>
        </is>
      </c>
      <c r="F757" s="38" t="inlineStr">
        <is>
          <t>0</t>
        </is>
      </c>
      <c r="G757" s="38" t="inlineStr">
        <is>
          <t>111</t>
        </is>
      </c>
      <c r="H757" s="38" t="inlineStr">
        <is>
          <t>0</t>
        </is>
      </c>
    </row>
    <row r="758" ht="15" customHeight="1" s="39">
      <c r="A758" s="42" t="inlineStr">
        <is>
          <t>082573</t>
        </is>
      </c>
      <c r="B758" s="38" t="inlineStr">
        <is>
          <t>Santa Maria de Miralles</t>
        </is>
      </c>
      <c r="C758" s="38" t="inlineStr">
        <is>
          <t>55</t>
        </is>
      </c>
      <c r="D758" s="38" t="inlineStr">
        <is>
          <t>50</t>
        </is>
      </c>
      <c r="E758" s="38" t="inlineStr">
        <is>
          <t>105</t>
        </is>
      </c>
      <c r="F758" s="38" t="inlineStr">
        <is>
          <t>0</t>
        </is>
      </c>
      <c r="G758" s="38" t="inlineStr">
        <is>
          <t>105</t>
        </is>
      </c>
      <c r="H758" s="38" t="inlineStr">
        <is>
          <t>0</t>
        </is>
      </c>
    </row>
    <row r="759" ht="15" customHeight="1" s="39">
      <c r="A759" s="42" t="inlineStr">
        <is>
          <t>082592</t>
        </is>
      </c>
      <c r="B759" s="38" t="inlineStr">
        <is>
          <t>Santa Maria de Palautordera</t>
        </is>
      </c>
      <c r="C759" s="38" t="inlineStr">
        <is>
          <t>3581</t>
        </is>
      </c>
      <c r="D759" s="38" t="inlineStr">
        <is>
          <t>635</t>
        </is>
      </c>
      <c r="E759" s="38" t="inlineStr">
        <is>
          <t>4216</t>
        </is>
      </c>
      <c r="F759" s="38" t="inlineStr">
        <is>
          <t>0</t>
        </is>
      </c>
      <c r="G759" s="38" t="inlineStr">
        <is>
          <t>4216</t>
        </is>
      </c>
      <c r="H759" s="38" t="inlineStr">
        <is>
          <t>1</t>
        </is>
      </c>
    </row>
    <row r="760" ht="15" customHeight="1" s="39">
      <c r="A760" s="42" t="inlineStr">
        <is>
          <t>431401</t>
        </is>
      </c>
      <c r="B760" s="38" t="inlineStr">
        <is>
          <t>Santa Oliva</t>
        </is>
      </c>
      <c r="C760" s="38" t="inlineStr">
        <is>
          <t>1269</t>
        </is>
      </c>
      <c r="D760" s="38" t="inlineStr">
        <is>
          <t>460</t>
        </is>
      </c>
      <c r="E760" s="38" t="inlineStr">
        <is>
          <t>1729</t>
        </is>
      </c>
      <c r="F760" s="38" t="inlineStr">
        <is>
          <t>0</t>
        </is>
      </c>
      <c r="G760" s="38" t="inlineStr">
        <is>
          <t>1729</t>
        </is>
      </c>
      <c r="H760" s="38" t="inlineStr">
        <is>
          <t>5</t>
        </is>
      </c>
    </row>
    <row r="761" ht="15" customHeight="1" s="39">
      <c r="A761" s="42" t="inlineStr">
        <is>
          <t>171848</t>
        </is>
      </c>
      <c r="B761" s="38" t="inlineStr">
        <is>
          <t>Santa Pau</t>
        </is>
      </c>
      <c r="C761" s="38" t="inlineStr">
        <is>
          <t>599</t>
        </is>
      </c>
      <c r="D761" s="38" t="inlineStr">
        <is>
          <t>227</t>
        </is>
      </c>
      <c r="E761" s="38" t="inlineStr">
        <is>
          <t>826</t>
        </is>
      </c>
      <c r="F761" s="38" t="inlineStr">
        <is>
          <t>0</t>
        </is>
      </c>
      <c r="G761" s="38" t="inlineStr">
        <is>
          <t>826</t>
        </is>
      </c>
      <c r="H761" s="38" t="inlineStr">
        <is>
          <t>1</t>
        </is>
      </c>
    </row>
    <row r="762" ht="15" customHeight="1" s="39">
      <c r="A762" s="42" t="inlineStr">
        <is>
          <t>082606</t>
        </is>
      </c>
      <c r="B762" s="38" t="inlineStr">
        <is>
          <t>Santa Perpètua de Mogoda</t>
        </is>
      </c>
      <c r="C762" s="38" t="inlineStr">
        <is>
          <t>9369</t>
        </is>
      </c>
      <c r="D762" s="38" t="inlineStr">
        <is>
          <t>676</t>
        </is>
      </c>
      <c r="E762" s="38" t="inlineStr">
        <is>
          <t>10045</t>
        </is>
      </c>
      <c r="F762" s="38" t="inlineStr">
        <is>
          <t>0</t>
        </is>
      </c>
      <c r="G762" s="38" t="inlineStr">
        <is>
          <t>10045</t>
        </is>
      </c>
      <c r="H762" s="38" t="inlineStr">
        <is>
          <t>3</t>
        </is>
      </c>
    </row>
    <row r="763" ht="15" customHeight="1" s="39">
      <c r="A763" s="42" t="inlineStr">
        <is>
          <t>082613</t>
        </is>
      </c>
      <c r="B763" s="38" t="inlineStr">
        <is>
          <t>Santa Susanna</t>
        </is>
      </c>
      <c r="C763" s="38" t="inlineStr">
        <is>
          <t>1324</t>
        </is>
      </c>
      <c r="D763" s="38" t="inlineStr">
        <is>
          <t>901</t>
        </is>
      </c>
      <c r="E763" s="38" t="inlineStr">
        <is>
          <t>2225</t>
        </is>
      </c>
      <c r="F763" s="38" t="inlineStr">
        <is>
          <t>0</t>
        </is>
      </c>
      <c r="G763" s="38" t="inlineStr">
        <is>
          <t>2225</t>
        </is>
      </c>
      <c r="H763" s="38" t="inlineStr">
        <is>
          <t>1</t>
        </is>
      </c>
    </row>
    <row r="764" ht="15" customHeight="1" s="39">
      <c r="A764" s="42" t="inlineStr">
        <is>
          <t>081923</t>
        </is>
      </c>
      <c r="B764" s="38" t="inlineStr">
        <is>
          <t>Santpedor</t>
        </is>
      </c>
      <c r="C764" s="38" t="inlineStr">
        <is>
          <t>2751</t>
        </is>
      </c>
      <c r="D764" s="38" t="inlineStr">
        <is>
          <t>531</t>
        </is>
      </c>
      <c r="E764" s="38" t="inlineStr">
        <is>
          <t>3282</t>
        </is>
      </c>
      <c r="F764" s="38" t="inlineStr">
        <is>
          <t>0</t>
        </is>
      </c>
      <c r="G764" s="38" t="inlineStr">
        <is>
          <t>3282</t>
        </is>
      </c>
      <c r="H764" s="38" t="inlineStr">
        <is>
          <t>3</t>
        </is>
      </c>
    </row>
    <row r="765" ht="15" customHeight="1" s="39">
      <c r="A765" s="42" t="inlineStr">
        <is>
          <t>431423</t>
        </is>
      </c>
      <c r="B765" s="38" t="inlineStr">
        <is>
          <t>Sarral</t>
        </is>
      </c>
      <c r="C765" s="38" t="inlineStr">
        <is>
          <t>566</t>
        </is>
      </c>
      <c r="D765" s="38" t="inlineStr">
        <is>
          <t>417</t>
        </is>
      </c>
      <c r="E765" s="38" t="inlineStr">
        <is>
          <t>983</t>
        </is>
      </c>
      <c r="F765" s="38" t="inlineStr">
        <is>
          <t>0</t>
        </is>
      </c>
      <c r="G765" s="38" t="inlineStr">
        <is>
          <t>983</t>
        </is>
      </c>
      <c r="H765" s="38" t="inlineStr">
        <is>
          <t>0</t>
        </is>
      </c>
    </row>
    <row r="766" ht="15" customHeight="1" s="39">
      <c r="A766" s="42" t="inlineStr">
        <is>
          <t>171864</t>
        </is>
      </c>
      <c r="B766" s="38" t="inlineStr">
        <is>
          <t>Sarrià de Ter</t>
        </is>
      </c>
      <c r="C766" s="38" t="inlineStr">
        <is>
          <t>1947</t>
        </is>
      </c>
      <c r="D766" s="38" t="inlineStr">
        <is>
          <t>231</t>
        </is>
      </c>
      <c r="E766" s="38" t="inlineStr">
        <is>
          <t>2178</t>
        </is>
      </c>
      <c r="F766" s="38" t="inlineStr">
        <is>
          <t>0</t>
        </is>
      </c>
      <c r="G766" s="38" t="inlineStr">
        <is>
          <t>2178</t>
        </is>
      </c>
      <c r="H766" s="38" t="inlineStr">
        <is>
          <t>0</t>
        </is>
      </c>
    </row>
    <row r="767" ht="15" customHeight="1" s="39">
      <c r="A767" s="42" t="inlineStr">
        <is>
          <t>252017</t>
        </is>
      </c>
      <c r="B767" s="38" t="inlineStr">
        <is>
          <t>Sarroca de Bellera</t>
        </is>
      </c>
      <c r="C767" s="38" t="inlineStr">
        <is>
          <t>53</t>
        </is>
      </c>
      <c r="D767" s="38" t="inlineStr">
        <is>
          <t>237</t>
        </is>
      </c>
      <c r="E767" s="38" t="inlineStr">
        <is>
          <t>290</t>
        </is>
      </c>
      <c r="F767" s="38" t="inlineStr">
        <is>
          <t>0</t>
        </is>
      </c>
      <c r="G767" s="38" t="inlineStr">
        <is>
          <t>290</t>
        </is>
      </c>
      <c r="H767" s="38" t="inlineStr">
        <is>
          <t>0</t>
        </is>
      </c>
    </row>
    <row r="768" ht="15" customHeight="1" s="39">
      <c r="A768" s="42" t="inlineStr">
        <is>
          <t>252000</t>
        </is>
      </c>
      <c r="B768" s="38" t="inlineStr">
        <is>
          <t>Sarroca de Lleida</t>
        </is>
      </c>
      <c r="C768" s="38" t="inlineStr">
        <is>
          <t>151</t>
        </is>
      </c>
      <c r="D768" s="38" t="inlineStr">
        <is>
          <t>97</t>
        </is>
      </c>
      <c r="E768" s="38" t="inlineStr">
        <is>
          <t>248</t>
        </is>
      </c>
      <c r="F768" s="38" t="inlineStr">
        <is>
          <t>0</t>
        </is>
      </c>
      <c r="G768" s="38" t="inlineStr">
        <is>
          <t>248</t>
        </is>
      </c>
      <c r="H768" s="38" t="inlineStr">
        <is>
          <t>0</t>
        </is>
      </c>
    </row>
    <row r="769" ht="15" customHeight="1" s="39">
      <c r="A769" s="42" t="inlineStr">
        <is>
          <t>171870</t>
        </is>
      </c>
      <c r="B769" s="38" t="inlineStr">
        <is>
          <t>Saus, Camallera i Llampaies</t>
        </is>
      </c>
      <c r="C769" s="38" t="inlineStr">
        <is>
          <t>332</t>
        </is>
      </c>
      <c r="D769" s="38" t="inlineStr">
        <is>
          <t>185</t>
        </is>
      </c>
      <c r="E769" s="38" t="inlineStr">
        <is>
          <t>517</t>
        </is>
      </c>
      <c r="F769" s="38" t="inlineStr">
        <is>
          <t>0</t>
        </is>
      </c>
      <c r="G769" s="38" t="inlineStr">
        <is>
          <t>517</t>
        </is>
      </c>
      <c r="H769" s="38" t="inlineStr">
        <is>
          <t>0</t>
        </is>
      </c>
    </row>
    <row r="770" ht="15" customHeight="1" s="39">
      <c r="A770" s="42" t="inlineStr">
        <is>
          <t>431439</t>
        </is>
      </c>
      <c r="B770" s="38" t="inlineStr">
        <is>
          <t>Savallà del Comtat</t>
        </is>
      </c>
      <c r="C770" s="38" t="inlineStr">
        <is>
          <t>24</t>
        </is>
      </c>
      <c r="D770" s="38" t="inlineStr">
        <is>
          <t>63</t>
        </is>
      </c>
      <c r="E770" s="38" t="inlineStr">
        <is>
          <t>87</t>
        </is>
      </c>
      <c r="F770" s="38" t="inlineStr">
        <is>
          <t>0</t>
        </is>
      </c>
      <c r="G770" s="38" t="inlineStr">
        <is>
          <t>87</t>
        </is>
      </c>
      <c r="H770" s="38" t="inlineStr">
        <is>
          <t>0</t>
        </is>
      </c>
    </row>
    <row r="771" ht="15" customHeight="1" s="39">
      <c r="A771" s="42" t="inlineStr">
        <is>
          <t>431444</t>
        </is>
      </c>
      <c r="B771" s="38" t="inlineStr">
        <is>
          <t>Secuita, la</t>
        </is>
      </c>
      <c r="C771" s="38" t="inlineStr">
        <is>
          <t>651</t>
        </is>
      </c>
      <c r="D771" s="38" t="inlineStr">
        <is>
          <t>330</t>
        </is>
      </c>
      <c r="E771" s="38" t="inlineStr">
        <is>
          <t>981</t>
        </is>
      </c>
      <c r="F771" s="38" t="inlineStr">
        <is>
          <t>0</t>
        </is>
      </c>
      <c r="G771" s="38" t="inlineStr">
        <is>
          <t>981</t>
        </is>
      </c>
      <c r="H771" s="38" t="inlineStr">
        <is>
          <t>0</t>
        </is>
      </c>
    </row>
    <row r="772" ht="15" customHeight="1" s="39">
      <c r="A772" s="42" t="inlineStr">
        <is>
          <t>171886</t>
        </is>
      </c>
      <c r="B772" s="38" t="inlineStr">
        <is>
          <t>Selva de Mar, la</t>
        </is>
      </c>
      <c r="C772" s="38" t="inlineStr">
        <is>
          <t>93</t>
        </is>
      </c>
      <c r="D772" s="38" t="inlineStr">
        <is>
          <t>178</t>
        </is>
      </c>
      <c r="E772" s="38" t="inlineStr">
        <is>
          <t>271</t>
        </is>
      </c>
      <c r="F772" s="38" t="inlineStr">
        <is>
          <t>0</t>
        </is>
      </c>
      <c r="G772" s="38" t="inlineStr">
        <is>
          <t>271</t>
        </is>
      </c>
      <c r="H772" s="38" t="inlineStr">
        <is>
          <t>0</t>
        </is>
      </c>
    </row>
    <row r="773" ht="15" customHeight="1" s="39">
      <c r="A773" s="42" t="inlineStr">
        <is>
          <t>431457</t>
        </is>
      </c>
      <c r="B773" s="38" t="inlineStr">
        <is>
          <t>Selva del Camp, la</t>
        </is>
      </c>
      <c r="C773" s="38" t="inlineStr">
        <is>
          <t>2036</t>
        </is>
      </c>
      <c r="D773" s="38" t="inlineStr">
        <is>
          <t>660</t>
        </is>
      </c>
      <c r="E773" s="38" t="inlineStr">
        <is>
          <t>2696</t>
        </is>
      </c>
      <c r="F773" s="38" t="inlineStr">
        <is>
          <t>0</t>
        </is>
      </c>
      <c r="G773" s="38" t="inlineStr">
        <is>
          <t>2696</t>
        </is>
      </c>
      <c r="H773" s="38" t="inlineStr">
        <is>
          <t>2</t>
        </is>
      </c>
    </row>
    <row r="774" ht="15" customHeight="1" s="39">
      <c r="A774" s="42" t="inlineStr">
        <is>
          <t>431460</t>
        </is>
      </c>
      <c r="B774" s="38" t="inlineStr">
        <is>
          <t>Senan</t>
        </is>
      </c>
      <c r="C774" s="38" t="inlineStr">
        <is>
          <t>22</t>
        </is>
      </c>
      <c r="D774" s="38" t="inlineStr">
        <is>
          <t>40</t>
        </is>
      </c>
      <c r="E774" s="38" t="inlineStr">
        <is>
          <t>62</t>
        </is>
      </c>
      <c r="F774" s="38" t="inlineStr">
        <is>
          <t>0</t>
        </is>
      </c>
      <c r="G774" s="38" t="inlineStr">
        <is>
          <t>62</t>
        </is>
      </c>
      <c r="H774" s="38" t="inlineStr">
        <is>
          <t>0</t>
        </is>
      </c>
    </row>
    <row r="775" ht="15" customHeight="1" s="39">
      <c r="A775" s="42" t="inlineStr">
        <is>
          <t>430445</t>
        </is>
      </c>
      <c r="B775" s="38" t="inlineStr">
        <is>
          <t>Sénia, la</t>
        </is>
      </c>
      <c r="C775" s="38" t="inlineStr">
        <is>
          <t>2169</t>
        </is>
      </c>
      <c r="D775" s="38" t="inlineStr">
        <is>
          <t>886</t>
        </is>
      </c>
      <c r="E775" s="38" t="inlineStr">
        <is>
          <t>3055</t>
        </is>
      </c>
      <c r="F775" s="38" t="inlineStr">
        <is>
          <t>0</t>
        </is>
      </c>
      <c r="G775" s="38" t="inlineStr">
        <is>
          <t>3055</t>
        </is>
      </c>
      <c r="H775" s="38" t="inlineStr">
        <is>
          <t>1</t>
        </is>
      </c>
    </row>
    <row r="776" ht="15" customHeight="1" s="39">
      <c r="A776" s="42" t="inlineStr">
        <is>
          <t>252022</t>
        </is>
      </c>
      <c r="B776" s="38" t="inlineStr">
        <is>
          <t>Senterada</t>
        </is>
      </c>
      <c r="C776" s="38" t="inlineStr">
        <is>
          <t>66</t>
        </is>
      </c>
      <c r="D776" s="38" t="inlineStr">
        <is>
          <t>284</t>
        </is>
      </c>
      <c r="E776" s="38" t="inlineStr">
        <is>
          <t>350</t>
        </is>
      </c>
      <c r="F776" s="38" t="inlineStr">
        <is>
          <t>0</t>
        </is>
      </c>
      <c r="G776" s="38" t="inlineStr">
        <is>
          <t>350</t>
        </is>
      </c>
      <c r="H776" s="38" t="inlineStr">
        <is>
          <t>0</t>
        </is>
      </c>
    </row>
    <row r="777" ht="15" customHeight="1" s="39">
      <c r="A777" s="42" t="inlineStr">
        <is>
          <t>250352</t>
        </is>
      </c>
      <c r="B777" s="38" t="inlineStr">
        <is>
          <t>Sentiu de Sió, la</t>
        </is>
      </c>
      <c r="C777" s="38" t="inlineStr">
        <is>
          <t>177</t>
        </is>
      </c>
      <c r="D777" s="38" t="inlineStr">
        <is>
          <t>107</t>
        </is>
      </c>
      <c r="E777" s="38" t="inlineStr">
        <is>
          <t>284</t>
        </is>
      </c>
      <c r="F777" s="38" t="inlineStr">
        <is>
          <t>0</t>
        </is>
      </c>
      <c r="G777" s="38" t="inlineStr">
        <is>
          <t>284</t>
        </is>
      </c>
      <c r="H777" s="38" t="inlineStr">
        <is>
          <t>0</t>
        </is>
      </c>
    </row>
    <row r="778" ht="15" customHeight="1" s="39">
      <c r="A778" s="42" t="inlineStr">
        <is>
          <t>082671</t>
        </is>
      </c>
      <c r="B778" s="38" t="inlineStr">
        <is>
          <t>Sentmenat</t>
        </is>
      </c>
      <c r="C778" s="38" t="inlineStr">
        <is>
          <t>3350</t>
        </is>
      </c>
      <c r="D778" s="38" t="inlineStr">
        <is>
          <t>640</t>
        </is>
      </c>
      <c r="E778" s="38" t="inlineStr">
        <is>
          <t>3990</t>
        </is>
      </c>
      <c r="F778" s="38" t="inlineStr">
        <is>
          <t>0</t>
        </is>
      </c>
      <c r="G778" s="38" t="inlineStr">
        <is>
          <t>3990</t>
        </is>
      </c>
      <c r="H778" s="38" t="inlineStr">
        <is>
          <t>2</t>
        </is>
      </c>
    </row>
    <row r="779" ht="15" customHeight="1" s="39">
      <c r="A779" s="42" t="inlineStr">
        <is>
          <t>171903</t>
        </is>
      </c>
      <c r="B779" s="38" t="inlineStr">
        <is>
          <t>Serinyà</t>
        </is>
      </c>
      <c r="C779" s="38" t="inlineStr">
        <is>
          <t>410</t>
        </is>
      </c>
      <c r="D779" s="38" t="inlineStr">
        <is>
          <t>110</t>
        </is>
      </c>
      <c r="E779" s="38" t="inlineStr">
        <is>
          <t>520</t>
        </is>
      </c>
      <c r="F779" s="38" t="inlineStr">
        <is>
          <t>0</t>
        </is>
      </c>
      <c r="G779" s="38" t="inlineStr">
        <is>
          <t>520</t>
        </is>
      </c>
      <c r="H779" s="38" t="inlineStr">
        <is>
          <t>1</t>
        </is>
      </c>
    </row>
    <row r="780" ht="15" customHeight="1" s="39">
      <c r="A780" s="42" t="inlineStr">
        <is>
          <t>252043</t>
        </is>
      </c>
      <c r="B780" s="38" t="inlineStr">
        <is>
          <t>Seròs</t>
        </is>
      </c>
      <c r="C780" s="38" t="inlineStr">
        <is>
          <t>674</t>
        </is>
      </c>
      <c r="D780" s="38" t="inlineStr">
        <is>
          <t>277</t>
        </is>
      </c>
      <c r="E780" s="38" t="inlineStr">
        <is>
          <t>951</t>
        </is>
      </c>
      <c r="F780" s="38" t="inlineStr">
        <is>
          <t>0</t>
        </is>
      </c>
      <c r="G780" s="38" t="inlineStr">
        <is>
          <t>951</t>
        </is>
      </c>
      <c r="H780" s="38" t="inlineStr">
        <is>
          <t>0</t>
        </is>
      </c>
    </row>
    <row r="781" ht="15" customHeight="1" s="39">
      <c r="A781" s="42" t="inlineStr">
        <is>
          <t>171910</t>
        </is>
      </c>
      <c r="B781" s="38" t="inlineStr">
        <is>
          <t>Serra de Daró</t>
        </is>
      </c>
      <c r="C781" s="38" t="inlineStr">
        <is>
          <t>77</t>
        </is>
      </c>
      <c r="D781" s="38" t="inlineStr">
        <is>
          <t>73</t>
        </is>
      </c>
      <c r="E781" s="38" t="inlineStr">
        <is>
          <t>150</t>
        </is>
      </c>
      <c r="F781" s="38" t="inlineStr">
        <is>
          <t>0</t>
        </is>
      </c>
      <c r="G781" s="38" t="inlineStr">
        <is>
          <t>150</t>
        </is>
      </c>
      <c r="H781" s="38" t="inlineStr">
        <is>
          <t>0</t>
        </is>
      </c>
    </row>
    <row r="782" ht="15" customHeight="1" s="39">
      <c r="A782" s="42" t="inlineStr">
        <is>
          <t>171925</t>
        </is>
      </c>
      <c r="B782" s="38" t="inlineStr">
        <is>
          <t>Setcases</t>
        </is>
      </c>
      <c r="C782" s="38" t="inlineStr">
        <is>
          <t>80</t>
        </is>
      </c>
      <c r="D782" s="38" t="inlineStr">
        <is>
          <t>332</t>
        </is>
      </c>
      <c r="E782" s="38" t="inlineStr">
        <is>
          <t>412</t>
        </is>
      </c>
      <c r="F782" s="38" t="inlineStr">
        <is>
          <t>0</t>
        </is>
      </c>
      <c r="G782" s="38" t="inlineStr">
        <is>
          <t>412</t>
        </is>
      </c>
      <c r="H782" s="38" t="inlineStr">
        <is>
          <t>0</t>
        </is>
      </c>
    </row>
    <row r="783" ht="15" customHeight="1" s="39">
      <c r="A783" s="42" t="inlineStr">
        <is>
          <t>252038</t>
        </is>
      </c>
      <c r="B783" s="38" t="inlineStr">
        <is>
          <t>Seu d'Urgell, la</t>
        </is>
      </c>
      <c r="C783" s="38" t="inlineStr">
        <is>
          <t>5075</t>
        </is>
      </c>
      <c r="D783" s="38" t="inlineStr">
        <is>
          <t>2407</t>
        </is>
      </c>
      <c r="E783" s="38" t="inlineStr">
        <is>
          <t>7482</t>
        </is>
      </c>
      <c r="F783" s="38" t="inlineStr">
        <is>
          <t>0</t>
        </is>
      </c>
      <c r="G783" s="38" t="inlineStr">
        <is>
          <t>7482</t>
        </is>
      </c>
      <c r="H783" s="38" t="inlineStr">
        <is>
          <t>3</t>
        </is>
      </c>
    </row>
    <row r="784" ht="15" customHeight="1" s="39">
      <c r="A784" s="42" t="inlineStr">
        <is>
          <t>082690</t>
        </is>
      </c>
      <c r="B784" s="38" t="inlineStr">
        <is>
          <t>Seva</t>
        </is>
      </c>
      <c r="C784" s="38" t="inlineStr">
        <is>
          <t>1407</t>
        </is>
      </c>
      <c r="D784" s="38" t="inlineStr">
        <is>
          <t>505</t>
        </is>
      </c>
      <c r="E784" s="38" t="inlineStr">
        <is>
          <t>1912</t>
        </is>
      </c>
      <c r="F784" s="38" t="inlineStr">
        <is>
          <t>0</t>
        </is>
      </c>
      <c r="G784" s="38" t="inlineStr">
        <is>
          <t>1912</t>
        </is>
      </c>
      <c r="H784" s="38" t="inlineStr">
        <is>
          <t>1</t>
        </is>
      </c>
    </row>
    <row r="785" ht="15" customHeight="1" s="39">
      <c r="A785" s="42" t="inlineStr">
        <is>
          <t>252056</t>
        </is>
      </c>
      <c r="B785" s="38" t="inlineStr">
        <is>
          <t>Sidamon</t>
        </is>
      </c>
      <c r="C785" s="38" t="inlineStr">
        <is>
          <t>277</t>
        </is>
      </c>
      <c r="D785" s="38" t="inlineStr">
        <is>
          <t>85</t>
        </is>
      </c>
      <c r="E785" s="38" t="inlineStr">
        <is>
          <t>362</t>
        </is>
      </c>
      <c r="F785" s="38" t="inlineStr">
        <is>
          <t>0</t>
        </is>
      </c>
      <c r="G785" s="38" t="inlineStr">
        <is>
          <t>362</t>
        </is>
      </c>
      <c r="H785" s="38" t="inlineStr">
        <is>
          <t>1</t>
        </is>
      </c>
    </row>
    <row r="786" ht="15" customHeight="1" s="39">
      <c r="A786" s="42" t="inlineStr">
        <is>
          <t>171931</t>
        </is>
      </c>
      <c r="B786" s="38" t="inlineStr">
        <is>
          <t>Sils</t>
        </is>
      </c>
      <c r="C786" s="38" t="inlineStr">
        <is>
          <t>2349</t>
        </is>
      </c>
      <c r="D786" s="38" t="inlineStr">
        <is>
          <t>750</t>
        </is>
      </c>
      <c r="E786" s="38" t="inlineStr">
        <is>
          <t>3099</t>
        </is>
      </c>
      <c r="F786" s="38" t="inlineStr">
        <is>
          <t>0</t>
        </is>
      </c>
      <c r="G786" s="38" t="inlineStr">
        <is>
          <t>3099</t>
        </is>
      </c>
      <c r="H786" s="38" t="inlineStr">
        <is>
          <t>1</t>
        </is>
      </c>
    </row>
    <row r="787" ht="15" customHeight="1" s="39">
      <c r="A787" s="42" t="inlineStr">
        <is>
          <t>082704</t>
        </is>
      </c>
      <c r="B787" s="38" t="inlineStr">
        <is>
          <t>Sitges</t>
        </is>
      </c>
      <c r="C787" s="38" t="inlineStr">
        <is>
          <t>12862</t>
        </is>
      </c>
      <c r="D787" s="38" t="inlineStr">
        <is>
          <t>6368</t>
        </is>
      </c>
      <c r="E787" s="38" t="inlineStr">
        <is>
          <t>19230</t>
        </is>
      </c>
      <c r="F787" s="38" t="inlineStr">
        <is>
          <t>0</t>
        </is>
      </c>
      <c r="G787" s="38" t="inlineStr">
        <is>
          <t>19230</t>
        </is>
      </c>
      <c r="H787" s="38" t="inlineStr">
        <is>
          <t>6</t>
        </is>
      </c>
    </row>
    <row r="788" ht="15" customHeight="1" s="39">
      <c r="A788" s="42" t="inlineStr">
        <is>
          <t>170524</t>
        </is>
      </c>
      <c r="B788" s="38" t="inlineStr">
        <is>
          <t>Siurana</t>
        </is>
      </c>
      <c r="C788" s="38" t="inlineStr">
        <is>
          <t>62</t>
        </is>
      </c>
      <c r="D788" s="38" t="inlineStr">
        <is>
          <t>27</t>
        </is>
      </c>
      <c r="E788" s="38" t="inlineStr">
        <is>
          <t>89</t>
        </is>
      </c>
      <c r="F788" s="38" t="inlineStr">
        <is>
          <t>0</t>
        </is>
      </c>
      <c r="G788" s="38" t="inlineStr">
        <is>
          <t>89</t>
        </is>
      </c>
      <c r="H788" s="38" t="inlineStr">
        <is>
          <t>0</t>
        </is>
      </c>
    </row>
    <row r="789" ht="15" customHeight="1" s="39">
      <c r="A789" s="42" t="inlineStr">
        <is>
          <t>082711</t>
        </is>
      </c>
      <c r="B789" s="38" t="inlineStr">
        <is>
          <t>Sobremunt</t>
        </is>
      </c>
      <c r="C789" s="38" t="inlineStr">
        <is>
          <t>28</t>
        </is>
      </c>
      <c r="D789" s="38" t="inlineStr">
        <is>
          <t>30</t>
        </is>
      </c>
      <c r="E789" s="38" t="inlineStr">
        <is>
          <t>58</t>
        </is>
      </c>
      <c r="F789" s="38" t="inlineStr">
        <is>
          <t>0</t>
        </is>
      </c>
      <c r="G789" s="38" t="inlineStr">
        <is>
          <t>58</t>
        </is>
      </c>
      <c r="H789" s="38" t="inlineStr">
        <is>
          <t>0</t>
        </is>
      </c>
    </row>
    <row r="790" ht="15" customHeight="1" s="39">
      <c r="A790" s="42" t="inlineStr">
        <is>
          <t>252069</t>
        </is>
      </c>
      <c r="B790" s="38" t="inlineStr">
        <is>
          <t>Soleràs, el</t>
        </is>
      </c>
      <c r="C790" s="38" t="inlineStr">
        <is>
          <t>139</t>
        </is>
      </c>
      <c r="D790" s="38" t="inlineStr">
        <is>
          <t>83</t>
        </is>
      </c>
      <c r="E790" s="38" t="inlineStr">
        <is>
          <t>222</t>
        </is>
      </c>
      <c r="F790" s="38" t="inlineStr">
        <is>
          <t>0</t>
        </is>
      </c>
      <c r="G790" s="38" t="inlineStr">
        <is>
          <t>222</t>
        </is>
      </c>
      <c r="H790" s="38" t="inlineStr">
        <is>
          <t>0</t>
        </is>
      </c>
    </row>
    <row r="791" ht="15" customHeight="1" s="39">
      <c r="A791" s="42" t="inlineStr">
        <is>
          <t>431476</t>
        </is>
      </c>
      <c r="B791" s="38" t="inlineStr">
        <is>
          <t>Solivella</t>
        </is>
      </c>
      <c r="C791" s="38" t="inlineStr">
        <is>
          <t>258</t>
        </is>
      </c>
      <c r="D791" s="38" t="inlineStr">
        <is>
          <t>234</t>
        </is>
      </c>
      <c r="E791" s="38" t="inlineStr">
        <is>
          <t>492</t>
        </is>
      </c>
      <c r="F791" s="38" t="inlineStr">
        <is>
          <t>0</t>
        </is>
      </c>
      <c r="G791" s="38" t="inlineStr">
        <is>
          <t>492</t>
        </is>
      </c>
      <c r="H791" s="38" t="inlineStr">
        <is>
          <t>0</t>
        </is>
      </c>
    </row>
    <row r="792" ht="15" customHeight="1" s="39">
      <c r="A792" s="42" t="inlineStr">
        <is>
          <t>252075</t>
        </is>
      </c>
      <c r="B792" s="38" t="inlineStr">
        <is>
          <t>Solsona</t>
        </is>
      </c>
      <c r="C792" s="38" t="inlineStr">
        <is>
          <t>3693</t>
        </is>
      </c>
      <c r="D792" s="38" t="inlineStr">
        <is>
          <t>1453</t>
        </is>
      </c>
      <c r="E792" s="38" t="inlineStr">
        <is>
          <t>5146</t>
        </is>
      </c>
      <c r="F792" s="38" t="inlineStr">
        <is>
          <t>0</t>
        </is>
      </c>
      <c r="G792" s="38" t="inlineStr">
        <is>
          <t>5146</t>
        </is>
      </c>
      <c r="H792" s="38" t="inlineStr">
        <is>
          <t>2</t>
        </is>
      </c>
    </row>
    <row r="793" ht="15" customHeight="1" s="39">
      <c r="A793" s="42" t="inlineStr">
        <is>
          <t>082726</t>
        </is>
      </c>
      <c r="B793" s="38" t="inlineStr">
        <is>
          <t>Sora</t>
        </is>
      </c>
      <c r="C793" s="38" t="inlineStr">
        <is>
          <t>79</t>
        </is>
      </c>
      <c r="D793" s="38" t="inlineStr">
        <is>
          <t>64</t>
        </is>
      </c>
      <c r="E793" s="38" t="inlineStr">
        <is>
          <t>143</t>
        </is>
      </c>
      <c r="F793" s="38" t="inlineStr">
        <is>
          <t>0</t>
        </is>
      </c>
      <c r="G793" s="38" t="inlineStr">
        <is>
          <t>143</t>
        </is>
      </c>
      <c r="H793" s="38" t="inlineStr">
        <is>
          <t>0</t>
        </is>
      </c>
    </row>
    <row r="794" ht="15" customHeight="1" s="39">
      <c r="A794" s="42" t="inlineStr">
        <is>
          <t>252081</t>
        </is>
      </c>
      <c r="B794" s="38" t="inlineStr">
        <is>
          <t>Soriguera</t>
        </is>
      </c>
      <c r="C794" s="38" t="inlineStr">
        <is>
          <t>188</t>
        </is>
      </c>
      <c r="D794" s="38" t="inlineStr">
        <is>
          <t>190</t>
        </is>
      </c>
      <c r="E794" s="38" t="inlineStr">
        <is>
          <t>378</t>
        </is>
      </c>
      <c r="F794" s="38" t="inlineStr">
        <is>
          <t>0</t>
        </is>
      </c>
      <c r="G794" s="38" t="inlineStr">
        <is>
          <t>378</t>
        </is>
      </c>
      <c r="H794" s="38" t="inlineStr">
        <is>
          <t>0</t>
        </is>
      </c>
    </row>
    <row r="795" ht="15" customHeight="1" s="39">
      <c r="A795" s="42" t="inlineStr">
        <is>
          <t>252094</t>
        </is>
      </c>
      <c r="B795" s="38" t="inlineStr">
        <is>
          <t>Sort</t>
        </is>
      </c>
      <c r="C795" s="38" t="inlineStr">
        <is>
          <t>979</t>
        </is>
      </c>
      <c r="D795" s="38" t="inlineStr">
        <is>
          <t>1218</t>
        </is>
      </c>
      <c r="E795" s="38" t="inlineStr">
        <is>
          <t>2197</t>
        </is>
      </c>
      <c r="F795" s="38" t="inlineStr">
        <is>
          <t>0</t>
        </is>
      </c>
      <c r="G795" s="38" t="inlineStr">
        <is>
          <t>2197</t>
        </is>
      </c>
      <c r="H795" s="38" t="inlineStr">
        <is>
          <t>1</t>
        </is>
      </c>
    </row>
    <row r="796" ht="15" customHeight="1" s="39">
      <c r="A796" s="42" t="inlineStr">
        <is>
          <t>252108</t>
        </is>
      </c>
      <c r="B796" s="38" t="inlineStr">
        <is>
          <t>Soses</t>
        </is>
      </c>
      <c r="C796" s="38" t="inlineStr">
        <is>
          <t>612</t>
        </is>
      </c>
      <c r="D796" s="38" t="inlineStr">
        <is>
          <t>167</t>
        </is>
      </c>
      <c r="E796" s="38" t="inlineStr">
        <is>
          <t>779</t>
        </is>
      </c>
      <c r="F796" s="38" t="inlineStr">
        <is>
          <t>0</t>
        </is>
      </c>
      <c r="G796" s="38" t="inlineStr">
        <is>
          <t>779</t>
        </is>
      </c>
      <c r="H796" s="38" t="inlineStr">
        <is>
          <t>0</t>
        </is>
      </c>
    </row>
    <row r="797" ht="15" customHeight="1" s="39">
      <c r="A797" s="42" t="inlineStr">
        <is>
          <t>082732</t>
        </is>
      </c>
      <c r="B797" s="38" t="inlineStr">
        <is>
          <t>Subirats</t>
        </is>
      </c>
      <c r="C797" s="38" t="inlineStr">
        <is>
          <t>1167</t>
        </is>
      </c>
      <c r="D797" s="38" t="inlineStr">
        <is>
          <t>513</t>
        </is>
      </c>
      <c r="E797" s="38" t="inlineStr">
        <is>
          <t>1680</t>
        </is>
      </c>
      <c r="F797" s="38" t="inlineStr">
        <is>
          <t>0</t>
        </is>
      </c>
      <c r="G797" s="38" t="inlineStr">
        <is>
          <t>1680</t>
        </is>
      </c>
      <c r="H797" s="38" t="inlineStr">
        <is>
          <t>2</t>
        </is>
      </c>
    </row>
    <row r="798" ht="15" customHeight="1" s="39">
      <c r="A798" s="42" t="inlineStr">
        <is>
          <t>252115</t>
        </is>
      </c>
      <c r="B798" s="38" t="inlineStr">
        <is>
          <t>Sudanell</t>
        </is>
      </c>
      <c r="C798" s="38" t="inlineStr">
        <is>
          <t>316</t>
        </is>
      </c>
      <c r="D798" s="38" t="inlineStr">
        <is>
          <t>177</t>
        </is>
      </c>
      <c r="E798" s="38" t="inlineStr">
        <is>
          <t>493</t>
        </is>
      </c>
      <c r="F798" s="38" t="inlineStr">
        <is>
          <t>0</t>
        </is>
      </c>
      <c r="G798" s="38" t="inlineStr">
        <is>
          <t>493</t>
        </is>
      </c>
      <c r="H798" s="38" t="inlineStr">
        <is>
          <t>2</t>
        </is>
      </c>
    </row>
    <row r="799" ht="15" customHeight="1" s="39">
      <c r="A799" s="42" t="inlineStr">
        <is>
          <t>252120</t>
        </is>
      </c>
      <c r="B799" s="38" t="inlineStr">
        <is>
          <t>Sunyer</t>
        </is>
      </c>
      <c r="C799" s="38" t="inlineStr">
        <is>
          <t>128</t>
        </is>
      </c>
      <c r="D799" s="38" t="inlineStr">
        <is>
          <t>55</t>
        </is>
      </c>
      <c r="E799" s="38" t="inlineStr">
        <is>
          <t>183</t>
        </is>
      </c>
      <c r="F799" s="38" t="inlineStr">
        <is>
          <t>0</t>
        </is>
      </c>
      <c r="G799" s="38" t="inlineStr">
        <is>
          <t>183</t>
        </is>
      </c>
      <c r="H799" s="38" t="inlineStr">
        <is>
          <t>0</t>
        </is>
      </c>
    </row>
    <row r="800" ht="15" customHeight="1" s="39">
      <c r="A800" s="42" t="inlineStr">
        <is>
          <t>082747</t>
        </is>
      </c>
      <c r="B800" s="38" t="inlineStr">
        <is>
          <t>Súria</t>
        </is>
      </c>
      <c r="C800" s="38" t="inlineStr">
        <is>
          <t>2328</t>
        </is>
      </c>
      <c r="D800" s="38" t="inlineStr">
        <is>
          <t>577</t>
        </is>
      </c>
      <c r="E800" s="38" t="inlineStr">
        <is>
          <t>2905</t>
        </is>
      </c>
      <c r="F800" s="38" t="inlineStr">
        <is>
          <t>0</t>
        </is>
      </c>
      <c r="G800" s="38" t="inlineStr">
        <is>
          <t>2905</t>
        </is>
      </c>
      <c r="H800" s="38" t="inlineStr">
        <is>
          <t>3</t>
        </is>
      </c>
    </row>
    <row r="801" ht="15" customHeight="1" s="39">
      <c r="A801" s="42" t="inlineStr">
        <is>
          <t>171946</t>
        </is>
      </c>
      <c r="B801" s="38" t="inlineStr">
        <is>
          <t>Susqueda</t>
        </is>
      </c>
      <c r="C801" s="38" t="inlineStr">
        <is>
          <t>43</t>
        </is>
      </c>
      <c r="D801" s="38" t="inlineStr">
        <is>
          <t>74</t>
        </is>
      </c>
      <c r="E801" s="38" t="inlineStr">
        <is>
          <t>117</t>
        </is>
      </c>
      <c r="F801" s="38" t="inlineStr">
        <is>
          <t>0</t>
        </is>
      </c>
      <c r="G801" s="38" t="inlineStr">
        <is>
          <t>117</t>
        </is>
      </c>
      <c r="H801" s="38" t="inlineStr">
        <is>
          <t>0</t>
        </is>
      </c>
    </row>
    <row r="802" ht="15" customHeight="1" s="39">
      <c r="A802" s="42" t="inlineStr">
        <is>
          <t>082763</t>
        </is>
      </c>
      <c r="B802" s="38" t="inlineStr">
        <is>
          <t>Tagamanent</t>
        </is>
      </c>
      <c r="C802" s="38" t="inlineStr">
        <is>
          <t>125</t>
        </is>
      </c>
      <c r="D802" s="38" t="inlineStr">
        <is>
          <t>56</t>
        </is>
      </c>
      <c r="E802" s="38" t="inlineStr">
        <is>
          <t>181</t>
        </is>
      </c>
      <c r="F802" s="38" t="inlineStr">
        <is>
          <t>0</t>
        </is>
      </c>
      <c r="G802" s="38" t="inlineStr">
        <is>
          <t>181</t>
        </is>
      </c>
      <c r="H802" s="38" t="inlineStr">
        <is>
          <t>0</t>
        </is>
      </c>
    </row>
    <row r="803" ht="15" customHeight="1" s="39">
      <c r="A803" s="42" t="inlineStr">
        <is>
          <t>082779</t>
        </is>
      </c>
      <c r="B803" s="38" t="inlineStr">
        <is>
          <t>Talamanca</t>
        </is>
      </c>
      <c r="C803" s="38" t="inlineStr">
        <is>
          <t>95</t>
        </is>
      </c>
      <c r="D803" s="38" t="inlineStr">
        <is>
          <t>149</t>
        </is>
      </c>
      <c r="E803" s="38" t="inlineStr">
        <is>
          <t>244</t>
        </is>
      </c>
      <c r="F803" s="38" t="inlineStr">
        <is>
          <t>0</t>
        </is>
      </c>
      <c r="G803" s="38" t="inlineStr">
        <is>
          <t>244</t>
        </is>
      </c>
      <c r="H803" s="38" t="inlineStr">
        <is>
          <t>0</t>
        </is>
      </c>
    </row>
    <row r="804" ht="15" customHeight="1" s="39">
      <c r="A804" s="42" t="inlineStr">
        <is>
          <t>252154</t>
        </is>
      </c>
      <c r="B804" s="38" t="inlineStr">
        <is>
          <t>Talarn</t>
        </is>
      </c>
      <c r="C804" s="38" t="inlineStr">
        <is>
          <t>157</t>
        </is>
      </c>
      <c r="D804" s="38" t="inlineStr">
        <is>
          <t>192</t>
        </is>
      </c>
      <c r="E804" s="38" t="inlineStr">
        <is>
          <t>349</t>
        </is>
      </c>
      <c r="F804" s="38" t="inlineStr">
        <is>
          <t>0</t>
        </is>
      </c>
      <c r="G804" s="38" t="inlineStr">
        <is>
          <t>349</t>
        </is>
      </c>
      <c r="H804" s="38" t="inlineStr">
        <is>
          <t>11</t>
        </is>
      </c>
    </row>
    <row r="805" ht="15" customHeight="1" s="39">
      <c r="A805" s="42" t="inlineStr">
        <is>
          <t>252167</t>
        </is>
      </c>
      <c r="B805" s="38" t="inlineStr">
        <is>
          <t>Talavera</t>
        </is>
      </c>
      <c r="C805" s="38" t="inlineStr">
        <is>
          <t>96</t>
        </is>
      </c>
      <c r="D805" s="38" t="inlineStr">
        <is>
          <t>83</t>
        </is>
      </c>
      <c r="E805" s="38" t="inlineStr">
        <is>
          <t>179</t>
        </is>
      </c>
      <c r="F805" s="38" t="inlineStr">
        <is>
          <t>0</t>
        </is>
      </c>
      <c r="G805" s="38" t="inlineStr">
        <is>
          <t>179</t>
        </is>
      </c>
      <c r="H805" s="38" t="inlineStr">
        <is>
          <t>0</t>
        </is>
      </c>
    </row>
    <row r="806" ht="15" customHeight="1" s="39">
      <c r="A806" s="42" t="inlineStr">
        <is>
          <t>171959</t>
        </is>
      </c>
      <c r="B806" s="38" t="inlineStr">
        <is>
          <t>Tallada d'Empordà, la</t>
        </is>
      </c>
      <c r="C806" s="38" t="inlineStr">
        <is>
          <t>186</t>
        </is>
      </c>
      <c r="D806" s="38" t="inlineStr">
        <is>
          <t>120</t>
        </is>
      </c>
      <c r="E806" s="38" t="inlineStr">
        <is>
          <t>306</t>
        </is>
      </c>
      <c r="F806" s="38" t="inlineStr">
        <is>
          <t>0</t>
        </is>
      </c>
      <c r="G806" s="38" t="inlineStr">
        <is>
          <t>306</t>
        </is>
      </c>
      <c r="H806" s="38" t="inlineStr">
        <is>
          <t>0</t>
        </is>
      </c>
    </row>
    <row r="807" ht="15" customHeight="1" s="39">
      <c r="A807" s="42" t="inlineStr">
        <is>
          <t>082785</t>
        </is>
      </c>
      <c r="B807" s="38" t="inlineStr">
        <is>
          <t>Taradell</t>
        </is>
      </c>
      <c r="C807" s="38" t="inlineStr">
        <is>
          <t>2431</t>
        </is>
      </c>
      <c r="D807" s="38" t="inlineStr">
        <is>
          <t>517</t>
        </is>
      </c>
      <c r="E807" s="38" t="inlineStr">
        <is>
          <t>2948</t>
        </is>
      </c>
      <c r="F807" s="38" t="inlineStr">
        <is>
          <t>0</t>
        </is>
      </c>
      <c r="G807" s="38" t="inlineStr">
        <is>
          <t>2948</t>
        </is>
      </c>
      <c r="H807" s="38" t="inlineStr">
        <is>
          <t>3</t>
        </is>
      </c>
    </row>
    <row r="808" ht="15" customHeight="1" s="39">
      <c r="A808" s="42" t="inlineStr">
        <is>
          <t>431482</t>
        </is>
      </c>
      <c r="B808" s="38" t="inlineStr">
        <is>
          <t>Tarragona</t>
        </is>
      </c>
      <c r="C808" s="38" t="inlineStr">
        <is>
          <t>53551</t>
        </is>
      </c>
      <c r="D808" s="38" t="inlineStr">
        <is>
          <t>13649</t>
        </is>
      </c>
      <c r="E808" s="38" t="inlineStr">
        <is>
          <t>67200</t>
        </is>
      </c>
      <c r="F808" s="38" t="inlineStr">
        <is>
          <t>0</t>
        </is>
      </c>
      <c r="G808" s="38" t="inlineStr">
        <is>
          <t>67200</t>
        </is>
      </c>
      <c r="H808" s="38" t="inlineStr">
        <is>
          <t>172</t>
        </is>
      </c>
    </row>
    <row r="809" ht="15" customHeight="1" s="39">
      <c r="A809" s="42" t="inlineStr">
        <is>
          <t>252173</t>
        </is>
      </c>
      <c r="B809" s="38" t="inlineStr">
        <is>
          <t>Tàrrega</t>
        </is>
      </c>
      <c r="C809" s="38" t="inlineStr">
        <is>
          <t>6612</t>
        </is>
      </c>
      <c r="D809" s="38" t="inlineStr">
        <is>
          <t>2220</t>
        </is>
      </c>
      <c r="E809" s="38" t="inlineStr">
        <is>
          <t>8832</t>
        </is>
      </c>
      <c r="F809" s="38" t="inlineStr">
        <is>
          <t>0</t>
        </is>
      </c>
      <c r="G809" s="38" t="inlineStr">
        <is>
          <t>8832</t>
        </is>
      </c>
      <c r="H809" s="38" t="inlineStr">
        <is>
          <t>6</t>
        </is>
      </c>
    </row>
    <row r="810" ht="15" customHeight="1" s="39">
      <c r="A810" s="42" t="inlineStr">
        <is>
          <t>252189</t>
        </is>
      </c>
      <c r="B810" s="38" t="inlineStr">
        <is>
          <t>Tarrés</t>
        </is>
      </c>
      <c r="C810" s="38" t="inlineStr">
        <is>
          <t>46</t>
        </is>
      </c>
      <c r="D810" s="38" t="inlineStr">
        <is>
          <t>64</t>
        </is>
      </c>
      <c r="E810" s="38" t="inlineStr">
        <is>
          <t>110</t>
        </is>
      </c>
      <c r="F810" s="38" t="inlineStr">
        <is>
          <t>0</t>
        </is>
      </c>
      <c r="G810" s="38" t="inlineStr">
        <is>
          <t>110</t>
        </is>
      </c>
      <c r="H810" s="38" t="inlineStr">
        <is>
          <t>0</t>
        </is>
      </c>
    </row>
    <row r="811" ht="15" customHeight="1" s="39">
      <c r="A811" s="42" t="inlineStr">
        <is>
          <t>252192</t>
        </is>
      </c>
      <c r="B811" s="38" t="inlineStr">
        <is>
          <t>Tarroja de Segarra</t>
        </is>
      </c>
      <c r="C811" s="38" t="inlineStr">
        <is>
          <t>72</t>
        </is>
      </c>
      <c r="D811" s="38" t="inlineStr">
        <is>
          <t>57</t>
        </is>
      </c>
      <c r="E811" s="38" t="inlineStr">
        <is>
          <t>129</t>
        </is>
      </c>
      <c r="F811" s="38" t="inlineStr">
        <is>
          <t>0</t>
        </is>
      </c>
      <c r="G811" s="38" t="inlineStr">
        <is>
          <t>129</t>
        </is>
      </c>
      <c r="H811" s="38" t="inlineStr">
        <is>
          <t>0</t>
        </is>
      </c>
    </row>
    <row r="812" ht="15" customHeight="1" s="39">
      <c r="A812" s="42" t="inlineStr">
        <is>
          <t>082750</t>
        </is>
      </c>
      <c r="B812" s="38" t="inlineStr">
        <is>
          <t>Tavèrnoles</t>
        </is>
      </c>
      <c r="C812" s="38" t="inlineStr">
        <is>
          <t>115</t>
        </is>
      </c>
      <c r="D812" s="38" t="inlineStr">
        <is>
          <t>58</t>
        </is>
      </c>
      <c r="E812" s="38" t="inlineStr">
        <is>
          <t>173</t>
        </is>
      </c>
      <c r="F812" s="38" t="inlineStr">
        <is>
          <t>0</t>
        </is>
      </c>
      <c r="G812" s="38" t="inlineStr">
        <is>
          <t>173</t>
        </is>
      </c>
      <c r="H812" s="38" t="inlineStr">
        <is>
          <t>0</t>
        </is>
      </c>
    </row>
    <row r="813" ht="15" customHeight="1" s="39">
      <c r="A813" s="42" t="inlineStr">
        <is>
          <t>082802</t>
        </is>
      </c>
      <c r="B813" s="38" t="inlineStr">
        <is>
          <t>Tavertet</t>
        </is>
      </c>
      <c r="C813" s="38" t="inlineStr">
        <is>
          <t>55</t>
        </is>
      </c>
      <c r="D813" s="38" t="inlineStr">
        <is>
          <t>139</t>
        </is>
      </c>
      <c r="E813" s="38" t="inlineStr">
        <is>
          <t>194</t>
        </is>
      </c>
      <c r="F813" s="38" t="inlineStr">
        <is>
          <t>0</t>
        </is>
      </c>
      <c r="G813" s="38" t="inlineStr">
        <is>
          <t>194</t>
        </is>
      </c>
      <c r="H813" s="38" t="inlineStr">
        <is>
          <t>0</t>
        </is>
      </c>
    </row>
    <row r="814" ht="15" customHeight="1" s="39">
      <c r="A814" s="42" t="inlineStr">
        <is>
          <t>082819</t>
        </is>
      </c>
      <c r="B814" s="38" t="inlineStr">
        <is>
          <t>Teià</t>
        </is>
      </c>
      <c r="C814" s="38" t="inlineStr">
        <is>
          <t>2325</t>
        </is>
      </c>
      <c r="D814" s="38" t="inlineStr">
        <is>
          <t>368</t>
        </is>
      </c>
      <c r="E814" s="38" t="inlineStr">
        <is>
          <t>2693</t>
        </is>
      </c>
      <c r="F814" s="38" t="inlineStr">
        <is>
          <t>0</t>
        </is>
      </c>
      <c r="G814" s="38" t="inlineStr">
        <is>
          <t>2693</t>
        </is>
      </c>
      <c r="H814" s="38" t="inlineStr">
        <is>
          <t>2</t>
        </is>
      </c>
    </row>
    <row r="815" ht="15" customHeight="1" s="39">
      <c r="A815" s="42" t="inlineStr">
        <is>
          <t>252206</t>
        </is>
      </c>
      <c r="B815" s="38" t="inlineStr">
        <is>
          <t>Térmens</t>
        </is>
      </c>
      <c r="C815" s="38" t="inlineStr">
        <is>
          <t>476</t>
        </is>
      </c>
      <c r="D815" s="38" t="inlineStr">
        <is>
          <t>226</t>
        </is>
      </c>
      <c r="E815" s="38" t="inlineStr">
        <is>
          <t>702</t>
        </is>
      </c>
      <c r="F815" s="38" t="inlineStr">
        <is>
          <t>0</t>
        </is>
      </c>
      <c r="G815" s="38" t="inlineStr">
        <is>
          <t>702</t>
        </is>
      </c>
      <c r="H815" s="38" t="inlineStr">
        <is>
          <t>0</t>
        </is>
      </c>
    </row>
    <row r="816" ht="15" customHeight="1" s="39">
      <c r="A816" s="42" t="inlineStr">
        <is>
          <t>171962</t>
        </is>
      </c>
      <c r="B816" s="38" t="inlineStr">
        <is>
          <t>Terrades</t>
        </is>
      </c>
      <c r="C816" s="38" t="inlineStr">
        <is>
          <t>109</t>
        </is>
      </c>
      <c r="D816" s="38" t="inlineStr">
        <is>
          <t>77</t>
        </is>
      </c>
      <c r="E816" s="38" t="inlineStr">
        <is>
          <t>186</t>
        </is>
      </c>
      <c r="F816" s="38" t="inlineStr">
        <is>
          <t>0</t>
        </is>
      </c>
      <c r="G816" s="38" t="inlineStr">
        <is>
          <t>186</t>
        </is>
      </c>
      <c r="H816" s="38" t="inlineStr">
        <is>
          <t>1</t>
        </is>
      </c>
    </row>
    <row r="817" ht="15" customHeight="1" s="39">
      <c r="A817" s="42" t="inlineStr">
        <is>
          <t>082798</t>
        </is>
      </c>
      <c r="B817" s="38" t="inlineStr">
        <is>
          <t>Terrassa</t>
        </is>
      </c>
      <c r="C817" s="38" t="inlineStr">
        <is>
          <t>84791</t>
        </is>
      </c>
      <c r="D817" s="38" t="inlineStr">
        <is>
          <t>16343</t>
        </is>
      </c>
      <c r="E817" s="38" t="inlineStr">
        <is>
          <t>101134</t>
        </is>
      </c>
      <c r="F817" s="38" t="inlineStr">
        <is>
          <t>0</t>
        </is>
      </c>
      <c r="G817" s="38" t="inlineStr">
        <is>
          <t>101134</t>
        </is>
      </c>
      <c r="H817" s="38" t="inlineStr">
        <is>
          <t>51</t>
        </is>
      </c>
    </row>
    <row r="818" ht="15" customHeight="1" s="39">
      <c r="A818" s="42" t="inlineStr">
        <is>
          <t>082824</t>
        </is>
      </c>
      <c r="B818" s="38" t="inlineStr">
        <is>
          <t>Tiana</t>
        </is>
      </c>
      <c r="C818" s="38" t="inlineStr">
        <is>
          <t>3110</t>
        </is>
      </c>
      <c r="D818" s="38" t="inlineStr">
        <is>
          <t>326</t>
        </is>
      </c>
      <c r="E818" s="38" t="inlineStr">
        <is>
          <t>3436</t>
        </is>
      </c>
      <c r="F818" s="38" t="inlineStr">
        <is>
          <t>0</t>
        </is>
      </c>
      <c r="G818" s="38" t="inlineStr">
        <is>
          <t>3436</t>
        </is>
      </c>
      <c r="H818" s="38" t="inlineStr">
        <is>
          <t>3</t>
        </is>
      </c>
    </row>
    <row r="819" ht="15" customHeight="1" s="39">
      <c r="A819" s="42" t="inlineStr">
        <is>
          <t>252213</t>
        </is>
      </c>
      <c r="B819" s="38" t="inlineStr">
        <is>
          <t>Tírvia</t>
        </is>
      </c>
      <c r="C819" s="38" t="inlineStr">
        <is>
          <t>61</t>
        </is>
      </c>
      <c r="D819" s="38" t="inlineStr">
        <is>
          <t>82</t>
        </is>
      </c>
      <c r="E819" s="38" t="inlineStr">
        <is>
          <t>143</t>
        </is>
      </c>
      <c r="F819" s="38" t="inlineStr">
        <is>
          <t>0</t>
        </is>
      </c>
      <c r="G819" s="38" t="inlineStr">
        <is>
          <t>143</t>
        </is>
      </c>
      <c r="H819" s="38" t="inlineStr">
        <is>
          <t>0</t>
        </is>
      </c>
    </row>
    <row r="820" ht="15" customHeight="1" s="39">
      <c r="A820" s="42" t="inlineStr">
        <is>
          <t>252228</t>
        </is>
      </c>
      <c r="B820" s="38" t="inlineStr">
        <is>
          <t>Tiurana</t>
        </is>
      </c>
      <c r="C820" s="38" t="inlineStr">
        <is>
          <t>29</t>
        </is>
      </c>
      <c r="D820" s="38" t="inlineStr">
        <is>
          <t>3</t>
        </is>
      </c>
      <c r="E820" s="38" t="inlineStr">
        <is>
          <t>32</t>
        </is>
      </c>
      <c r="F820" s="38" t="inlineStr">
        <is>
          <t>0</t>
        </is>
      </c>
      <c r="G820" s="38" t="inlineStr">
        <is>
          <t>32</t>
        </is>
      </c>
      <c r="H820" s="38" t="inlineStr">
        <is>
          <t>0</t>
        </is>
      </c>
    </row>
    <row r="821" ht="15" customHeight="1" s="39">
      <c r="A821" s="42" t="inlineStr">
        <is>
          <t>431495</t>
        </is>
      </c>
      <c r="B821" s="38" t="inlineStr">
        <is>
          <t>Tivenys</t>
        </is>
      </c>
      <c r="C821" s="38" t="inlineStr">
        <is>
          <t>367</t>
        </is>
      </c>
      <c r="D821" s="38" t="inlineStr">
        <is>
          <t>301</t>
        </is>
      </c>
      <c r="E821" s="38" t="inlineStr">
        <is>
          <t>668</t>
        </is>
      </c>
      <c r="F821" s="38" t="inlineStr">
        <is>
          <t>0</t>
        </is>
      </c>
      <c r="G821" s="38" t="inlineStr">
        <is>
          <t>668</t>
        </is>
      </c>
      <c r="H821" s="38" t="inlineStr">
        <is>
          <t>0</t>
        </is>
      </c>
    </row>
    <row r="822" ht="15" customHeight="1" s="39">
      <c r="A822" s="42" t="inlineStr">
        <is>
          <t>431508</t>
        </is>
      </c>
      <c r="B822" s="38" t="inlineStr">
        <is>
          <t>Tivissa</t>
        </is>
      </c>
      <c r="C822" s="38" t="inlineStr">
        <is>
          <t>661</t>
        </is>
      </c>
      <c r="D822" s="38" t="inlineStr">
        <is>
          <t>578</t>
        </is>
      </c>
      <c r="E822" s="38" t="inlineStr">
        <is>
          <t>1239</t>
        </is>
      </c>
      <c r="F822" s="38" t="inlineStr">
        <is>
          <t>0</t>
        </is>
      </c>
      <c r="G822" s="38" t="inlineStr">
        <is>
          <t>1239</t>
        </is>
      </c>
      <c r="H822" s="38" t="inlineStr">
        <is>
          <t>0</t>
        </is>
      </c>
    </row>
    <row r="823" ht="15" customHeight="1" s="39">
      <c r="A823" s="42" t="inlineStr">
        <is>
          <t>082830</t>
        </is>
      </c>
      <c r="B823" s="38" t="inlineStr">
        <is>
          <t>Tona</t>
        </is>
      </c>
      <c r="C823" s="38" t="inlineStr">
        <is>
          <t>3036</t>
        </is>
      </c>
      <c r="D823" s="38" t="inlineStr">
        <is>
          <t>569</t>
        </is>
      </c>
      <c r="E823" s="38" t="inlineStr">
        <is>
          <t>3605</t>
        </is>
      </c>
      <c r="F823" s="38" t="inlineStr">
        <is>
          <t>0</t>
        </is>
      </c>
      <c r="G823" s="38" t="inlineStr">
        <is>
          <t>3605</t>
        </is>
      </c>
      <c r="H823" s="38" t="inlineStr">
        <is>
          <t>16</t>
        </is>
      </c>
    </row>
    <row r="824" ht="15" customHeight="1" s="39">
      <c r="A824" s="42" t="inlineStr">
        <is>
          <t>252234</t>
        </is>
      </c>
      <c r="B824" s="38" t="inlineStr">
        <is>
          <t>Torà</t>
        </is>
      </c>
      <c r="C824" s="38" t="inlineStr">
        <is>
          <t>491</t>
        </is>
      </c>
      <c r="D824" s="38" t="inlineStr">
        <is>
          <t>274</t>
        </is>
      </c>
      <c r="E824" s="38" t="inlineStr">
        <is>
          <t>765</t>
        </is>
      </c>
      <c r="F824" s="38" t="inlineStr">
        <is>
          <t>0</t>
        </is>
      </c>
      <c r="G824" s="38" t="inlineStr">
        <is>
          <t>765</t>
        </is>
      </c>
      <c r="H824" s="38" t="inlineStr">
        <is>
          <t>1</t>
        </is>
      </c>
    </row>
    <row r="825" ht="15" customHeight="1" s="39">
      <c r="A825" s="42" t="inlineStr">
        <is>
          <t>082845</t>
        </is>
      </c>
      <c r="B825" s="38" t="inlineStr">
        <is>
          <t>Tordera</t>
        </is>
      </c>
      <c r="C825" s="38" t="inlineStr">
        <is>
          <t>6841</t>
        </is>
      </c>
      <c r="D825" s="38" t="inlineStr">
        <is>
          <t>2787</t>
        </is>
      </c>
      <c r="E825" s="38" t="inlineStr">
        <is>
          <t>9628</t>
        </is>
      </c>
      <c r="F825" s="38" t="inlineStr">
        <is>
          <t>0</t>
        </is>
      </c>
      <c r="G825" s="38" t="inlineStr">
        <is>
          <t>9628</t>
        </is>
      </c>
      <c r="H825" s="38" t="inlineStr">
        <is>
          <t>5</t>
        </is>
      </c>
    </row>
    <row r="826" ht="15" customHeight="1" s="39">
      <c r="A826" s="42" t="inlineStr">
        <is>
          <t>082858</t>
        </is>
      </c>
      <c r="B826" s="38" t="inlineStr">
        <is>
          <t>Torelló</t>
        </is>
      </c>
      <c r="C826" s="38" t="inlineStr">
        <is>
          <t>5612</t>
        </is>
      </c>
      <c r="D826" s="38" t="inlineStr">
        <is>
          <t>975</t>
        </is>
      </c>
      <c r="E826" s="38" t="inlineStr">
        <is>
          <t>6587</t>
        </is>
      </c>
      <c r="F826" s="38" t="inlineStr">
        <is>
          <t>0</t>
        </is>
      </c>
      <c r="G826" s="38" t="inlineStr">
        <is>
          <t>6587</t>
        </is>
      </c>
      <c r="H826" s="38" t="inlineStr">
        <is>
          <t>2</t>
        </is>
      </c>
    </row>
    <row r="827" ht="15" customHeight="1" s="39">
      <c r="A827" s="42" t="inlineStr">
        <is>
          <t>252249</t>
        </is>
      </c>
      <c r="B827" s="38" t="inlineStr">
        <is>
          <t>Torms, els</t>
        </is>
      </c>
      <c r="C827" s="38" t="inlineStr">
        <is>
          <t>66</t>
        </is>
      </c>
      <c r="D827" s="38" t="inlineStr">
        <is>
          <t>53</t>
        </is>
      </c>
      <c r="E827" s="38" t="inlineStr">
        <is>
          <t>119</t>
        </is>
      </c>
      <c r="F827" s="38" t="inlineStr">
        <is>
          <t>0</t>
        </is>
      </c>
      <c r="G827" s="38" t="inlineStr">
        <is>
          <t>119</t>
        </is>
      </c>
      <c r="H827" s="38" t="inlineStr">
        <is>
          <t>0</t>
        </is>
      </c>
    </row>
    <row r="828" ht="15" customHeight="1" s="39">
      <c r="A828" s="42" t="inlineStr">
        <is>
          <t>252252</t>
        </is>
      </c>
      <c r="B828" s="38" t="inlineStr">
        <is>
          <t>Tornabous</t>
        </is>
      </c>
      <c r="C828" s="38" t="inlineStr">
        <is>
          <t>302</t>
        </is>
      </c>
      <c r="D828" s="38" t="inlineStr">
        <is>
          <t>196</t>
        </is>
      </c>
      <c r="E828" s="38" t="inlineStr">
        <is>
          <t>498</t>
        </is>
      </c>
      <c r="F828" s="38" t="inlineStr">
        <is>
          <t>0</t>
        </is>
      </c>
      <c r="G828" s="38" t="inlineStr">
        <is>
          <t>498</t>
        </is>
      </c>
      <c r="H828" s="38" t="inlineStr">
        <is>
          <t>0</t>
        </is>
      </c>
    </row>
    <row r="829" ht="15" customHeight="1" s="39">
      <c r="A829" s="42" t="inlineStr">
        <is>
          <t>252271</t>
        </is>
      </c>
      <c r="B829" s="38" t="inlineStr">
        <is>
          <t>Torre de Cabdella, la</t>
        </is>
      </c>
      <c r="C829" s="38" t="inlineStr">
        <is>
          <t>401</t>
        </is>
      </c>
      <c r="D829" s="38" t="inlineStr">
        <is>
          <t>350</t>
        </is>
      </c>
      <c r="E829" s="38" t="inlineStr">
        <is>
          <t>751</t>
        </is>
      </c>
      <c r="F829" s="38" t="inlineStr">
        <is>
          <t>0</t>
        </is>
      </c>
      <c r="G829" s="38" t="inlineStr">
        <is>
          <t>751</t>
        </is>
      </c>
      <c r="H829" s="38" t="inlineStr">
        <is>
          <t>0</t>
        </is>
      </c>
    </row>
    <row r="830" ht="15" customHeight="1" s="39">
      <c r="A830" s="42" t="inlineStr">
        <is>
          <t>082861</t>
        </is>
      </c>
      <c r="B830" s="38" t="inlineStr">
        <is>
          <t>Torre de Claramunt, la</t>
        </is>
      </c>
      <c r="C830" s="38" t="inlineStr">
        <is>
          <t>1488</t>
        </is>
      </c>
      <c r="D830" s="38" t="inlineStr">
        <is>
          <t>789</t>
        </is>
      </c>
      <c r="E830" s="38" t="inlineStr">
        <is>
          <t>2277</t>
        </is>
      </c>
      <c r="F830" s="38" t="inlineStr">
        <is>
          <t>0</t>
        </is>
      </c>
      <c r="G830" s="38" t="inlineStr">
        <is>
          <t>2277</t>
        </is>
      </c>
      <c r="H830" s="38" t="inlineStr">
        <is>
          <t>1</t>
        </is>
      </c>
    </row>
    <row r="831" ht="15" customHeight="1" s="39">
      <c r="A831" s="42" t="inlineStr">
        <is>
          <t>431515</t>
        </is>
      </c>
      <c r="B831" s="38" t="inlineStr">
        <is>
          <t>Torre de Fontaubella, la</t>
        </is>
      </c>
      <c r="C831" s="38" t="inlineStr">
        <is>
          <t>55</t>
        </is>
      </c>
      <c r="D831" s="38" t="inlineStr">
        <is>
          <t>51</t>
        </is>
      </c>
      <c r="E831" s="38" t="inlineStr">
        <is>
          <t>106</t>
        </is>
      </c>
      <c r="F831" s="38" t="inlineStr">
        <is>
          <t>0</t>
        </is>
      </c>
      <c r="G831" s="38" t="inlineStr">
        <is>
          <t>106</t>
        </is>
      </c>
      <c r="H831" s="38" t="inlineStr">
        <is>
          <t>0</t>
        </is>
      </c>
    </row>
    <row r="832" ht="15" customHeight="1" s="39">
      <c r="A832" s="42" t="inlineStr">
        <is>
          <t>431520</t>
        </is>
      </c>
      <c r="B832" s="38" t="inlineStr">
        <is>
          <t>Torre de l'Espanyol, la</t>
        </is>
      </c>
      <c r="C832" s="38" t="inlineStr">
        <is>
          <t>236</t>
        </is>
      </c>
      <c r="D832" s="38" t="inlineStr">
        <is>
          <t>163</t>
        </is>
      </c>
      <c r="E832" s="38" t="inlineStr">
        <is>
          <t>399</t>
        </is>
      </c>
      <c r="F832" s="38" t="inlineStr">
        <is>
          <t>0</t>
        </is>
      </c>
      <c r="G832" s="38" t="inlineStr">
        <is>
          <t>399</t>
        </is>
      </c>
      <c r="H832" s="38" t="inlineStr">
        <is>
          <t>0</t>
        </is>
      </c>
    </row>
    <row r="833" ht="15" customHeight="1" s="39">
      <c r="A833" s="42" t="inlineStr">
        <is>
          <t>252265</t>
        </is>
      </c>
      <c r="B833" s="38" t="inlineStr">
        <is>
          <t>Torrebesses</t>
        </is>
      </c>
      <c r="C833" s="38" t="inlineStr">
        <is>
          <t>121</t>
        </is>
      </c>
      <c r="D833" s="38" t="inlineStr">
        <is>
          <t>106</t>
        </is>
      </c>
      <c r="E833" s="38" t="inlineStr">
        <is>
          <t>227</t>
        </is>
      </c>
      <c r="F833" s="38" t="inlineStr">
        <is>
          <t>0</t>
        </is>
      </c>
      <c r="G833" s="38" t="inlineStr">
        <is>
          <t>227</t>
        </is>
      </c>
      <c r="H833" s="38" t="inlineStr">
        <is>
          <t>0</t>
        </is>
      </c>
    </row>
    <row r="834" ht="15" customHeight="1" s="39">
      <c r="A834" s="42" t="inlineStr">
        <is>
          <t>431536</t>
        </is>
      </c>
      <c r="B834" s="38" t="inlineStr">
        <is>
          <t>Torredembarra</t>
        </is>
      </c>
      <c r="C834" s="38" t="inlineStr">
        <is>
          <t>6954</t>
        </is>
      </c>
      <c r="D834" s="38" t="inlineStr">
        <is>
          <t>7599</t>
        </is>
      </c>
      <c r="E834" s="38" t="inlineStr">
        <is>
          <t>14553</t>
        </is>
      </c>
      <c r="F834" s="38" t="inlineStr">
        <is>
          <t>0</t>
        </is>
      </c>
      <c r="G834" s="38" t="inlineStr">
        <is>
          <t>14553</t>
        </is>
      </c>
      <c r="H834" s="38" t="inlineStr">
        <is>
          <t>2</t>
        </is>
      </c>
    </row>
    <row r="835" ht="15" customHeight="1" s="39">
      <c r="A835" s="42" t="inlineStr">
        <is>
          <t>252287</t>
        </is>
      </c>
      <c r="B835" s="38" t="inlineStr">
        <is>
          <t>Torrefarrera</t>
        </is>
      </c>
      <c r="C835" s="38" t="inlineStr">
        <is>
          <t>1677</t>
        </is>
      </c>
      <c r="D835" s="38" t="inlineStr">
        <is>
          <t>457</t>
        </is>
      </c>
      <c r="E835" s="38" t="inlineStr">
        <is>
          <t>2134</t>
        </is>
      </c>
      <c r="F835" s="38" t="inlineStr">
        <is>
          <t>0</t>
        </is>
      </c>
      <c r="G835" s="38" t="inlineStr">
        <is>
          <t>2134</t>
        </is>
      </c>
      <c r="H835" s="38" t="inlineStr">
        <is>
          <t>2</t>
        </is>
      </c>
    </row>
    <row r="836" ht="15" customHeight="1" s="39">
      <c r="A836" s="42" t="inlineStr">
        <is>
          <t>259078</t>
        </is>
      </c>
      <c r="B836" s="38" t="inlineStr">
        <is>
          <t>Torrefeta i Florejacs</t>
        </is>
      </c>
      <c r="C836" s="38" t="inlineStr">
        <is>
          <t>246</t>
        </is>
      </c>
      <c r="D836" s="38" t="inlineStr">
        <is>
          <t>195</t>
        </is>
      </c>
      <c r="E836" s="38" t="inlineStr">
        <is>
          <t>441</t>
        </is>
      </c>
      <c r="F836" s="38" t="inlineStr">
        <is>
          <t>0</t>
        </is>
      </c>
      <c r="G836" s="38" t="inlineStr">
        <is>
          <t>441</t>
        </is>
      </c>
      <c r="H836" s="38" t="inlineStr">
        <is>
          <t>0</t>
        </is>
      </c>
    </row>
    <row r="837" ht="15" customHeight="1" s="39">
      <c r="A837" s="42" t="inlineStr">
        <is>
          <t>252304</t>
        </is>
      </c>
      <c r="B837" s="38" t="inlineStr">
        <is>
          <t>Torregrossa</t>
        </is>
      </c>
      <c r="C837" s="38" t="inlineStr">
        <is>
          <t>812</t>
        </is>
      </c>
      <c r="D837" s="38" t="inlineStr">
        <is>
          <t>295</t>
        </is>
      </c>
      <c r="E837" s="38" t="inlineStr">
        <is>
          <t>1107</t>
        </is>
      </c>
      <c r="F837" s="38" t="inlineStr">
        <is>
          <t>0</t>
        </is>
      </c>
      <c r="G837" s="38" t="inlineStr">
        <is>
          <t>1107</t>
        </is>
      </c>
      <c r="H837" s="38" t="inlineStr">
        <is>
          <t>0</t>
        </is>
      </c>
    </row>
    <row r="838" ht="15" customHeight="1" s="39">
      <c r="A838" s="42" t="inlineStr">
        <is>
          <t>252311</t>
        </is>
      </c>
      <c r="B838" s="38" t="inlineStr">
        <is>
          <t>Torrelameu</t>
        </is>
      </c>
      <c r="C838" s="38" t="inlineStr">
        <is>
          <t>258</t>
        </is>
      </c>
      <c r="D838" s="38" t="inlineStr">
        <is>
          <t>52</t>
        </is>
      </c>
      <c r="E838" s="38" t="inlineStr">
        <is>
          <t>310</t>
        </is>
      </c>
      <c r="F838" s="38" t="inlineStr">
        <is>
          <t>0</t>
        </is>
      </c>
      <c r="G838" s="38" t="inlineStr">
        <is>
          <t>310</t>
        </is>
      </c>
      <c r="H838" s="38" t="inlineStr">
        <is>
          <t>1</t>
        </is>
      </c>
    </row>
    <row r="839" ht="15" customHeight="1" s="39">
      <c r="A839" s="42" t="inlineStr">
        <is>
          <t>082877</t>
        </is>
      </c>
      <c r="B839" s="38" t="inlineStr">
        <is>
          <t>Torrelavit</t>
        </is>
      </c>
      <c r="C839" s="38" t="inlineStr">
        <is>
          <t>548</t>
        </is>
      </c>
      <c r="D839" s="38" t="inlineStr">
        <is>
          <t>191</t>
        </is>
      </c>
      <c r="E839" s="38" t="inlineStr">
        <is>
          <t>739</t>
        </is>
      </c>
      <c r="F839" s="38" t="inlineStr">
        <is>
          <t>0</t>
        </is>
      </c>
      <c r="G839" s="38" t="inlineStr">
        <is>
          <t>739</t>
        </is>
      </c>
      <c r="H839" s="38" t="inlineStr">
        <is>
          <t>0</t>
        </is>
      </c>
    </row>
    <row r="840" ht="15" customHeight="1" s="39">
      <c r="A840" s="42" t="inlineStr">
        <is>
          <t>082883</t>
        </is>
      </c>
      <c r="B840" s="38" t="inlineStr">
        <is>
          <t>Torrelles de Foix</t>
        </is>
      </c>
      <c r="C840" s="38" t="inlineStr">
        <is>
          <t>963</t>
        </is>
      </c>
      <c r="D840" s="38" t="inlineStr">
        <is>
          <t>875</t>
        </is>
      </c>
      <c r="E840" s="38" t="inlineStr">
        <is>
          <t>1838</t>
        </is>
      </c>
      <c r="F840" s="38" t="inlineStr">
        <is>
          <t>0</t>
        </is>
      </c>
      <c r="G840" s="38" t="inlineStr">
        <is>
          <t>1838</t>
        </is>
      </c>
      <c r="H840" s="38" t="inlineStr">
        <is>
          <t>2</t>
        </is>
      </c>
    </row>
    <row r="841" ht="15" customHeight="1" s="39">
      <c r="A841" s="42" t="inlineStr">
        <is>
          <t>082896</t>
        </is>
      </c>
      <c r="B841" s="38" t="inlineStr">
        <is>
          <t>Torrelles de Llobregat</t>
        </is>
      </c>
      <c r="C841" s="38" t="inlineStr">
        <is>
          <t>2182</t>
        </is>
      </c>
      <c r="D841" s="38" t="inlineStr">
        <is>
          <t>411</t>
        </is>
      </c>
      <c r="E841" s="38" t="inlineStr">
        <is>
          <t>2593</t>
        </is>
      </c>
      <c r="F841" s="38" t="inlineStr">
        <is>
          <t>0</t>
        </is>
      </c>
      <c r="G841" s="38" t="inlineStr">
        <is>
          <t>2593</t>
        </is>
      </c>
      <c r="H841" s="38" t="inlineStr">
        <is>
          <t>2</t>
        </is>
      </c>
    </row>
    <row r="842" ht="15" customHeight="1" s="39">
      <c r="A842" s="42" t="inlineStr">
        <is>
          <t>171978</t>
        </is>
      </c>
      <c r="B842" s="38" t="inlineStr">
        <is>
          <t>Torrent</t>
        </is>
      </c>
      <c r="C842" s="38" t="inlineStr">
        <is>
          <t>63</t>
        </is>
      </c>
      <c r="D842" s="38" t="inlineStr">
        <is>
          <t>113</t>
        </is>
      </c>
      <c r="E842" s="38" t="inlineStr">
        <is>
          <t>176</t>
        </is>
      </c>
      <c r="F842" s="38" t="inlineStr">
        <is>
          <t>0</t>
        </is>
      </c>
      <c r="G842" s="38" t="inlineStr">
        <is>
          <t>176</t>
        </is>
      </c>
      <c r="H842" s="38" t="inlineStr">
        <is>
          <t>0</t>
        </is>
      </c>
    </row>
    <row r="843" ht="15" customHeight="1" s="39">
      <c r="A843" s="42" t="inlineStr">
        <is>
          <t>252326</t>
        </is>
      </c>
      <c r="B843" s="38" t="inlineStr">
        <is>
          <t>Torres de Segre</t>
        </is>
      </c>
      <c r="C843" s="38" t="inlineStr">
        <is>
          <t>815</t>
        </is>
      </c>
      <c r="D843" s="38" t="inlineStr">
        <is>
          <t>309</t>
        </is>
      </c>
      <c r="E843" s="38" t="inlineStr">
        <is>
          <t>1124</t>
        </is>
      </c>
      <c r="F843" s="38" t="inlineStr">
        <is>
          <t>0</t>
        </is>
      </c>
      <c r="G843" s="38" t="inlineStr">
        <is>
          <t>1124</t>
        </is>
      </c>
      <c r="H843" s="38" t="inlineStr">
        <is>
          <t>4</t>
        </is>
      </c>
    </row>
    <row r="844" ht="15" customHeight="1" s="39">
      <c r="A844" s="42" t="inlineStr">
        <is>
          <t>252332</t>
        </is>
      </c>
      <c r="B844" s="38" t="inlineStr">
        <is>
          <t>Torre-serona</t>
        </is>
      </c>
      <c r="C844" s="38" t="inlineStr">
        <is>
          <t>140</t>
        </is>
      </c>
      <c r="D844" s="38" t="inlineStr">
        <is>
          <t>24</t>
        </is>
      </c>
      <c r="E844" s="38" t="inlineStr">
        <is>
          <t>164</t>
        </is>
      </c>
      <c r="F844" s="38" t="inlineStr">
        <is>
          <t>0</t>
        </is>
      </c>
      <c r="G844" s="38" t="inlineStr">
        <is>
          <t>164</t>
        </is>
      </c>
      <c r="H844" s="38" t="inlineStr">
        <is>
          <t>2</t>
        </is>
      </c>
    </row>
    <row r="845" ht="15" customHeight="1" s="39">
      <c r="A845" s="42" t="inlineStr">
        <is>
          <t>171984</t>
        </is>
      </c>
      <c r="B845" s="38" t="inlineStr">
        <is>
          <t>Torroella de Fluvià</t>
        </is>
      </c>
      <c r="C845" s="38" t="inlineStr">
        <is>
          <t>301</t>
        </is>
      </c>
      <c r="D845" s="38" t="inlineStr">
        <is>
          <t>163</t>
        </is>
      </c>
      <c r="E845" s="38" t="inlineStr">
        <is>
          <t>464</t>
        </is>
      </c>
      <c r="F845" s="38" t="inlineStr">
        <is>
          <t>0</t>
        </is>
      </c>
      <c r="G845" s="38" t="inlineStr">
        <is>
          <t>464</t>
        </is>
      </c>
      <c r="H845" s="38" t="inlineStr">
        <is>
          <t>0</t>
        </is>
      </c>
    </row>
    <row r="846" ht="15" customHeight="1" s="39">
      <c r="A846" s="42" t="inlineStr">
        <is>
          <t>171997</t>
        </is>
      </c>
      <c r="B846" s="38" t="inlineStr">
        <is>
          <t>Torroella de Montgrí</t>
        </is>
      </c>
      <c r="C846" s="38" t="inlineStr">
        <is>
          <t>4569</t>
        </is>
      </c>
      <c r="D846" s="38" t="inlineStr">
        <is>
          <t>7161</t>
        </is>
      </c>
      <c r="E846" s="38" t="inlineStr">
        <is>
          <t>11730</t>
        </is>
      </c>
      <c r="F846" s="38" t="inlineStr">
        <is>
          <t>0</t>
        </is>
      </c>
      <c r="G846" s="38" t="inlineStr">
        <is>
          <t>11730</t>
        </is>
      </c>
      <c r="H846" s="38" t="inlineStr">
        <is>
          <t>4</t>
        </is>
      </c>
    </row>
    <row r="847" ht="15" customHeight="1" s="39">
      <c r="A847" s="42" t="inlineStr">
        <is>
          <t>431541</t>
        </is>
      </c>
      <c r="B847" s="38" t="inlineStr">
        <is>
          <t>Torroja del Priorat</t>
        </is>
      </c>
      <c r="C847" s="38" t="inlineStr">
        <is>
          <t>71</t>
        </is>
      </c>
      <c r="D847" s="38" t="inlineStr">
        <is>
          <t>104</t>
        </is>
      </c>
      <c r="E847" s="38" t="inlineStr">
        <is>
          <t>175</t>
        </is>
      </c>
      <c r="F847" s="38" t="inlineStr">
        <is>
          <t>0</t>
        </is>
      </c>
      <c r="G847" s="38" t="inlineStr">
        <is>
          <t>175</t>
        </is>
      </c>
      <c r="H847" s="38" t="inlineStr">
        <is>
          <t>0</t>
        </is>
      </c>
    </row>
    <row r="848" ht="15" customHeight="1" s="39">
      <c r="A848" s="42" t="inlineStr">
        <is>
          <t>172001</t>
        </is>
      </c>
      <c r="B848" s="38" t="inlineStr">
        <is>
          <t>Tortellà</t>
        </is>
      </c>
      <c r="C848" s="38" t="inlineStr">
        <is>
          <t>315</t>
        </is>
      </c>
      <c r="D848" s="38" t="inlineStr">
        <is>
          <t>110</t>
        </is>
      </c>
      <c r="E848" s="38" t="inlineStr">
        <is>
          <t>425</t>
        </is>
      </c>
      <c r="F848" s="38" t="inlineStr">
        <is>
          <t>0</t>
        </is>
      </c>
      <c r="G848" s="38" t="inlineStr">
        <is>
          <t>425</t>
        </is>
      </c>
      <c r="H848" s="38" t="inlineStr">
        <is>
          <t>0</t>
        </is>
      </c>
    </row>
    <row r="849" ht="15" customHeight="1" s="39">
      <c r="A849" s="42" t="inlineStr">
        <is>
          <t>431554</t>
        </is>
      </c>
      <c r="B849" s="38" t="inlineStr">
        <is>
          <t>Tortosa</t>
        </is>
      </c>
      <c r="C849" s="38" t="inlineStr">
        <is>
          <t>12778</t>
        </is>
      </c>
      <c r="D849" s="38" t="inlineStr">
        <is>
          <t>6876</t>
        </is>
      </c>
      <c r="E849" s="38" t="inlineStr">
        <is>
          <t>19654</t>
        </is>
      </c>
      <c r="F849" s="38" t="inlineStr">
        <is>
          <t>0</t>
        </is>
      </c>
      <c r="G849" s="38" t="inlineStr">
        <is>
          <t>19654</t>
        </is>
      </c>
      <c r="H849" s="38" t="inlineStr">
        <is>
          <t>12</t>
        </is>
      </c>
    </row>
    <row r="850" ht="15" customHeight="1" s="39">
      <c r="A850" s="42" t="inlineStr">
        <is>
          <t>172018</t>
        </is>
      </c>
      <c r="B850" s="38" t="inlineStr">
        <is>
          <t>Toses</t>
        </is>
      </c>
      <c r="C850" s="38" t="inlineStr">
        <is>
          <t>70</t>
        </is>
      </c>
      <c r="D850" s="38" t="inlineStr">
        <is>
          <t>176</t>
        </is>
      </c>
      <c r="E850" s="38" t="inlineStr">
        <is>
          <t>246</t>
        </is>
      </c>
      <c r="F850" s="38" t="inlineStr">
        <is>
          <t>0</t>
        </is>
      </c>
      <c r="G850" s="38" t="inlineStr">
        <is>
          <t>246</t>
        </is>
      </c>
      <c r="H850" s="38" t="inlineStr">
        <is>
          <t>0</t>
        </is>
      </c>
    </row>
    <row r="851" ht="15" customHeight="1" s="39">
      <c r="A851" s="42" t="inlineStr">
        <is>
          <t>172023</t>
        </is>
      </c>
      <c r="B851" s="38" t="inlineStr">
        <is>
          <t>Tossa de Mar</t>
        </is>
      </c>
      <c r="C851" s="38" t="inlineStr">
        <is>
          <t>2520</t>
        </is>
      </c>
      <c r="D851" s="38" t="inlineStr">
        <is>
          <t>4585</t>
        </is>
      </c>
      <c r="E851" s="38" t="inlineStr">
        <is>
          <t>7105</t>
        </is>
      </c>
      <c r="F851" s="38" t="inlineStr">
        <is>
          <t>0</t>
        </is>
      </c>
      <c r="G851" s="38" t="inlineStr">
        <is>
          <t>7105</t>
        </is>
      </c>
      <c r="H851" s="38" t="inlineStr">
        <is>
          <t>2</t>
        </is>
      </c>
    </row>
    <row r="852" ht="15" customHeight="1" s="39">
      <c r="A852" s="42" t="inlineStr">
        <is>
          <t>252347</t>
        </is>
      </c>
      <c r="B852" s="38" t="inlineStr">
        <is>
          <t>Tremp</t>
        </is>
      </c>
      <c r="C852" s="38" t="inlineStr">
        <is>
          <t>2497</t>
        </is>
      </c>
      <c r="D852" s="38" t="inlineStr">
        <is>
          <t>2232</t>
        </is>
      </c>
      <c r="E852" s="38" t="inlineStr">
        <is>
          <t>4729</t>
        </is>
      </c>
      <c r="F852" s="38" t="inlineStr">
        <is>
          <t>0</t>
        </is>
      </c>
      <c r="G852" s="38" t="inlineStr">
        <is>
          <t>4729</t>
        </is>
      </c>
      <c r="H852" s="38" t="inlineStr">
        <is>
          <t>3</t>
        </is>
      </c>
    </row>
    <row r="853" ht="15" customHeight="1" s="39">
      <c r="A853" s="42" t="inlineStr">
        <is>
          <t>172044</t>
        </is>
      </c>
      <c r="B853" s="38" t="inlineStr">
        <is>
          <t>Ullà</t>
        </is>
      </c>
      <c r="C853" s="38" t="inlineStr">
        <is>
          <t>385</t>
        </is>
      </c>
      <c r="D853" s="38" t="inlineStr">
        <is>
          <t>140</t>
        </is>
      </c>
      <c r="E853" s="38" t="inlineStr">
        <is>
          <t>525</t>
        </is>
      </c>
      <c r="F853" s="38" t="inlineStr">
        <is>
          <t>0</t>
        </is>
      </c>
      <c r="G853" s="38" t="inlineStr">
        <is>
          <t>525</t>
        </is>
      </c>
      <c r="H853" s="38" t="inlineStr">
        <is>
          <t>0</t>
        </is>
      </c>
    </row>
    <row r="854" ht="15" customHeight="1" s="39">
      <c r="A854" s="42" t="inlineStr">
        <is>
          <t>082900</t>
        </is>
      </c>
      <c r="B854" s="38" t="inlineStr">
        <is>
          <t>Ullastrell</t>
        </is>
      </c>
      <c r="C854" s="38" t="inlineStr">
        <is>
          <t>727</t>
        </is>
      </c>
      <c r="D854" s="38" t="inlineStr">
        <is>
          <t>93</t>
        </is>
      </c>
      <c r="E854" s="38" t="inlineStr">
        <is>
          <t>820</t>
        </is>
      </c>
      <c r="F854" s="38" t="inlineStr">
        <is>
          <t>0</t>
        </is>
      </c>
      <c r="G854" s="38" t="inlineStr">
        <is>
          <t>820</t>
        </is>
      </c>
      <c r="H854" s="38" t="inlineStr">
        <is>
          <t>1</t>
        </is>
      </c>
    </row>
    <row r="855" ht="15" customHeight="1" s="39">
      <c r="A855" s="42" t="inlineStr">
        <is>
          <t>172057</t>
        </is>
      </c>
      <c r="B855" s="38" t="inlineStr">
        <is>
          <t>Ullastret</t>
        </is>
      </c>
      <c r="C855" s="38" t="inlineStr">
        <is>
          <t>95</t>
        </is>
      </c>
      <c r="D855" s="38" t="inlineStr">
        <is>
          <t>102</t>
        </is>
      </c>
      <c r="E855" s="38" t="inlineStr">
        <is>
          <t>197</t>
        </is>
      </c>
      <c r="F855" s="38" t="inlineStr">
        <is>
          <t>0</t>
        </is>
      </c>
      <c r="G855" s="38" t="inlineStr">
        <is>
          <t>197</t>
        </is>
      </c>
      <c r="H855" s="38" t="inlineStr">
        <is>
          <t>0</t>
        </is>
      </c>
    </row>
    <row r="856" ht="15" customHeight="1" s="39">
      <c r="A856" s="42" t="inlineStr">
        <is>
          <t>431567</t>
        </is>
      </c>
      <c r="B856" s="38" t="inlineStr">
        <is>
          <t>Ulldecona</t>
        </is>
      </c>
      <c r="C856" s="38" t="inlineStr">
        <is>
          <t>2429</t>
        </is>
      </c>
      <c r="D856" s="38" t="inlineStr">
        <is>
          <t>1497</t>
        </is>
      </c>
      <c r="E856" s="38" t="inlineStr">
        <is>
          <t>3926</t>
        </is>
      </c>
      <c r="F856" s="38" t="inlineStr">
        <is>
          <t>0</t>
        </is>
      </c>
      <c r="G856" s="38" t="inlineStr">
        <is>
          <t>3926</t>
        </is>
      </c>
      <c r="H856" s="38" t="inlineStr">
        <is>
          <t>3</t>
        </is>
      </c>
    </row>
    <row r="857" ht="15" customHeight="1" s="39">
      <c r="A857" s="42" t="inlineStr">
        <is>
          <t>431573</t>
        </is>
      </c>
      <c r="B857" s="38" t="inlineStr">
        <is>
          <t>Ulldemolins</t>
        </is>
      </c>
      <c r="C857" s="38" t="inlineStr">
        <is>
          <t>190</t>
        </is>
      </c>
      <c r="D857" s="38" t="inlineStr">
        <is>
          <t>244</t>
        </is>
      </c>
      <c r="E857" s="38" t="inlineStr">
        <is>
          <t>434</t>
        </is>
      </c>
      <c r="F857" s="38" t="inlineStr">
        <is>
          <t>0</t>
        </is>
      </c>
      <c r="G857" s="38" t="inlineStr">
        <is>
          <t>434</t>
        </is>
      </c>
      <c r="H857" s="38" t="inlineStr">
        <is>
          <t>0</t>
        </is>
      </c>
    </row>
    <row r="858" ht="15" customHeight="1" s="39">
      <c r="A858" s="42" t="inlineStr">
        <is>
          <t>172039</t>
        </is>
      </c>
      <c r="B858" s="38" t="inlineStr">
        <is>
          <t>Ultramort</t>
        </is>
      </c>
      <c r="C858" s="38" t="inlineStr">
        <is>
          <t>76</t>
        </is>
      </c>
      <c r="D858" s="38" t="inlineStr">
        <is>
          <t>48</t>
        </is>
      </c>
      <c r="E858" s="38" t="inlineStr">
        <is>
          <t>124</t>
        </is>
      </c>
      <c r="F858" s="38" t="inlineStr">
        <is>
          <t>0</t>
        </is>
      </c>
      <c r="G858" s="38" t="inlineStr">
        <is>
          <t>124</t>
        </is>
      </c>
      <c r="H858" s="38" t="inlineStr">
        <is>
          <t>0</t>
        </is>
      </c>
    </row>
    <row r="859" ht="15" customHeight="1" s="39">
      <c r="A859" s="42" t="inlineStr">
        <is>
          <t>172060</t>
        </is>
      </c>
      <c r="B859" s="38" t="inlineStr">
        <is>
          <t>Urús</t>
        </is>
      </c>
      <c r="C859" s="38" t="inlineStr">
        <is>
          <t>82</t>
        </is>
      </c>
      <c r="D859" s="38" t="inlineStr">
        <is>
          <t>268</t>
        </is>
      </c>
      <c r="E859" s="38" t="inlineStr">
        <is>
          <t>350</t>
        </is>
      </c>
      <c r="F859" s="38" t="inlineStr">
        <is>
          <t>0</t>
        </is>
      </c>
      <c r="G859" s="38" t="inlineStr">
        <is>
          <t>350</t>
        </is>
      </c>
      <c r="H859" s="38" t="inlineStr">
        <is>
          <t>0</t>
        </is>
      </c>
    </row>
    <row r="860" ht="15" customHeight="1" s="39">
      <c r="A860" s="42" t="inlineStr">
        <is>
          <t>082917</t>
        </is>
      </c>
      <c r="B860" s="38" t="inlineStr">
        <is>
          <t>Vacarisses</t>
        </is>
      </c>
      <c r="C860" s="38" t="inlineStr">
        <is>
          <t>2517</t>
        </is>
      </c>
      <c r="D860" s="38" t="inlineStr">
        <is>
          <t>1190</t>
        </is>
      </c>
      <c r="E860" s="38" t="inlineStr">
        <is>
          <t>3707</t>
        </is>
      </c>
      <c r="F860" s="38" t="inlineStr">
        <is>
          <t>0</t>
        </is>
      </c>
      <c r="G860" s="38" t="inlineStr">
        <is>
          <t>3707</t>
        </is>
      </c>
      <c r="H860" s="38" t="inlineStr">
        <is>
          <t>3</t>
        </is>
      </c>
    </row>
    <row r="861" ht="15" customHeight="1" s="39">
      <c r="A861" s="42" t="inlineStr">
        <is>
          <t>170144</t>
        </is>
      </c>
      <c r="B861" s="38" t="inlineStr">
        <is>
          <t>Vajol, la</t>
        </is>
      </c>
      <c r="C861" s="38" t="inlineStr">
        <is>
          <t>35</t>
        </is>
      </c>
      <c r="D861" s="38" t="inlineStr">
        <is>
          <t>50</t>
        </is>
      </c>
      <c r="E861" s="38" t="inlineStr">
        <is>
          <t>85</t>
        </is>
      </c>
      <c r="F861" s="38" t="inlineStr">
        <is>
          <t>0</t>
        </is>
      </c>
      <c r="G861" s="38" t="inlineStr">
        <is>
          <t>85</t>
        </is>
      </c>
      <c r="H861" s="38" t="inlineStr">
        <is>
          <t>0</t>
        </is>
      </c>
    </row>
    <row r="862" ht="15" customHeight="1" s="39">
      <c r="A862" s="42" t="inlineStr">
        <is>
          <t>172076</t>
        </is>
      </c>
      <c r="B862" s="38" t="inlineStr">
        <is>
          <t>Vall d'en Bas, la</t>
        </is>
      </c>
      <c r="C862" s="38" t="inlineStr">
        <is>
          <t>1145</t>
        </is>
      </c>
      <c r="D862" s="38" t="inlineStr">
        <is>
          <t>440</t>
        </is>
      </c>
      <c r="E862" s="38" t="inlineStr">
        <is>
          <t>1585</t>
        </is>
      </c>
      <c r="F862" s="38" t="inlineStr">
        <is>
          <t>0</t>
        </is>
      </c>
      <c r="G862" s="38" t="inlineStr">
        <is>
          <t>1585</t>
        </is>
      </c>
      <c r="H862" s="38" t="inlineStr">
        <is>
          <t>1</t>
        </is>
      </c>
    </row>
    <row r="863" ht="15" customHeight="1" s="39">
      <c r="A863" s="42" t="inlineStr">
        <is>
          <t>172082</t>
        </is>
      </c>
      <c r="B863" s="38" t="inlineStr">
        <is>
          <t>Vall de Bianya, la</t>
        </is>
      </c>
      <c r="C863" s="38" t="inlineStr">
        <is>
          <t>475</t>
        </is>
      </c>
      <c r="D863" s="38" t="inlineStr">
        <is>
          <t>169</t>
        </is>
      </c>
      <c r="E863" s="38" t="inlineStr">
        <is>
          <t>644</t>
        </is>
      </c>
      <c r="F863" s="38" t="inlineStr">
        <is>
          <t>0</t>
        </is>
      </c>
      <c r="G863" s="38" t="inlineStr">
        <is>
          <t>644</t>
        </is>
      </c>
      <c r="H863" s="38" t="inlineStr">
        <is>
          <t>0</t>
        </is>
      </c>
    </row>
    <row r="864" ht="15" customHeight="1" s="39">
      <c r="A864" s="42" t="inlineStr">
        <is>
          <t>250432</t>
        </is>
      </c>
      <c r="B864" s="38" t="inlineStr">
        <is>
          <t>Vall de Boí, la</t>
        </is>
      </c>
      <c r="C864" s="38" t="inlineStr">
        <is>
          <t>482</t>
        </is>
      </c>
      <c r="D864" s="38" t="inlineStr">
        <is>
          <t>1428</t>
        </is>
      </c>
      <c r="E864" s="38" t="inlineStr">
        <is>
          <t>1910</t>
        </is>
      </c>
      <c r="F864" s="38" t="inlineStr">
        <is>
          <t>0</t>
        </is>
      </c>
      <c r="G864" s="38" t="inlineStr">
        <is>
          <t>1910</t>
        </is>
      </c>
      <c r="H864" s="38" t="inlineStr">
        <is>
          <t>0</t>
        </is>
      </c>
    </row>
    <row r="865" ht="15" customHeight="1" s="39">
      <c r="A865" s="42" t="inlineStr">
        <is>
          <t>259010</t>
        </is>
      </c>
      <c r="B865" s="38" t="inlineStr">
        <is>
          <t>Vall de Cardós</t>
        </is>
      </c>
      <c r="C865" s="38" t="inlineStr">
        <is>
          <t>185</t>
        </is>
      </c>
      <c r="D865" s="38" t="inlineStr">
        <is>
          <t>365</t>
        </is>
      </c>
      <c r="E865" s="38" t="inlineStr">
        <is>
          <t>550</t>
        </is>
      </c>
      <c r="F865" s="38" t="inlineStr">
        <is>
          <t>0</t>
        </is>
      </c>
      <c r="G865" s="38" t="inlineStr">
        <is>
          <t>550</t>
        </is>
      </c>
      <c r="H865" s="38" t="inlineStr">
        <is>
          <t>0</t>
        </is>
      </c>
    </row>
    <row r="866" ht="15" customHeight="1" s="39">
      <c r="A866" s="42" t="inlineStr">
        <is>
          <t>082922</t>
        </is>
      </c>
      <c r="B866" s="38" t="inlineStr">
        <is>
          <t>Vallbona d'Anoia</t>
        </is>
      </c>
      <c r="C866" s="38" t="inlineStr">
        <is>
          <t>522</t>
        </is>
      </c>
      <c r="D866" s="38" t="inlineStr">
        <is>
          <t>148</t>
        </is>
      </c>
      <c r="E866" s="38" t="inlineStr">
        <is>
          <t>670</t>
        </is>
      </c>
      <c r="F866" s="38" t="inlineStr">
        <is>
          <t>0</t>
        </is>
      </c>
      <c r="G866" s="38" t="inlineStr">
        <is>
          <t>670</t>
        </is>
      </c>
      <c r="H866" s="38" t="inlineStr">
        <is>
          <t>0</t>
        </is>
      </c>
    </row>
    <row r="867" ht="15" customHeight="1" s="39">
      <c r="A867" s="42" t="inlineStr">
        <is>
          <t>252385</t>
        </is>
      </c>
      <c r="B867" s="38" t="inlineStr">
        <is>
          <t>Vallbona de les Monges</t>
        </is>
      </c>
      <c r="C867" s="38" t="inlineStr">
        <is>
          <t>98</t>
        </is>
      </c>
      <c r="D867" s="38" t="inlineStr">
        <is>
          <t>197</t>
        </is>
      </c>
      <c r="E867" s="38" t="inlineStr">
        <is>
          <t>295</t>
        </is>
      </c>
      <c r="F867" s="38" t="inlineStr">
        <is>
          <t>0</t>
        </is>
      </c>
      <c r="G867" s="38" t="inlineStr">
        <is>
          <t>295</t>
        </is>
      </c>
      <c r="H867" s="38" t="inlineStr">
        <is>
          <t>2</t>
        </is>
      </c>
    </row>
    <row r="868" ht="15" customHeight="1" s="39">
      <c r="A868" s="42" t="inlineStr">
        <is>
          <t>082938</t>
        </is>
      </c>
      <c r="B868" s="38" t="inlineStr">
        <is>
          <t>Vallcebre</t>
        </is>
      </c>
      <c r="C868" s="38" t="inlineStr">
        <is>
          <t>122</t>
        </is>
      </c>
      <c r="D868" s="38" t="inlineStr">
        <is>
          <t>138</t>
        </is>
      </c>
      <c r="E868" s="38" t="inlineStr">
        <is>
          <t>260</t>
        </is>
      </c>
      <c r="F868" s="38" t="inlineStr">
        <is>
          <t>0</t>
        </is>
      </c>
      <c r="G868" s="38" t="inlineStr">
        <is>
          <t>260</t>
        </is>
      </c>
      <c r="H868" s="38" t="inlineStr">
        <is>
          <t>0</t>
        </is>
      </c>
    </row>
    <row r="869" ht="15" customHeight="1" s="39">
      <c r="A869" s="42" t="inlineStr">
        <is>
          <t>431589</t>
        </is>
      </c>
      <c r="B869" s="38" t="inlineStr">
        <is>
          <t>Vallclara</t>
        </is>
      </c>
      <c r="C869" s="38" t="inlineStr">
        <is>
          <t>44</t>
        </is>
      </c>
      <c r="D869" s="38" t="inlineStr">
        <is>
          <t>95</t>
        </is>
      </c>
      <c r="E869" s="38" t="inlineStr">
        <is>
          <t>139</t>
        </is>
      </c>
      <c r="F869" s="38" t="inlineStr">
        <is>
          <t>0</t>
        </is>
      </c>
      <c r="G869" s="38" t="inlineStr">
        <is>
          <t>139</t>
        </is>
      </c>
      <c r="H869" s="38" t="inlineStr">
        <is>
          <t>0</t>
        </is>
      </c>
    </row>
    <row r="870" ht="15" customHeight="1" s="39">
      <c r="A870" s="42" t="inlineStr">
        <is>
          <t>252402</t>
        </is>
      </c>
      <c r="B870" s="38" t="inlineStr">
        <is>
          <t>Vallfogona de Balaguer</t>
        </is>
      </c>
      <c r="C870" s="38" t="inlineStr">
        <is>
          <t>690</t>
        </is>
      </c>
      <c r="D870" s="38" t="inlineStr">
        <is>
          <t>235</t>
        </is>
      </c>
      <c r="E870" s="38" t="inlineStr">
        <is>
          <t>925</t>
        </is>
      </c>
      <c r="F870" s="38" t="inlineStr">
        <is>
          <t>0</t>
        </is>
      </c>
      <c r="G870" s="38" t="inlineStr">
        <is>
          <t>925</t>
        </is>
      </c>
      <c r="H870" s="38" t="inlineStr">
        <is>
          <t>0</t>
        </is>
      </c>
    </row>
    <row r="871" ht="15" customHeight="1" s="39">
      <c r="A871" s="42" t="inlineStr">
        <is>
          <t>171707</t>
        </is>
      </c>
      <c r="B871" s="38" t="inlineStr">
        <is>
          <t>Vallfogona de Ripollès</t>
        </is>
      </c>
      <c r="C871" s="38" t="inlineStr">
        <is>
          <t>94</t>
        </is>
      </c>
      <c r="D871" s="38" t="inlineStr">
        <is>
          <t>103</t>
        </is>
      </c>
      <c r="E871" s="38" t="inlineStr">
        <is>
          <t>197</t>
        </is>
      </c>
      <c r="F871" s="38" t="inlineStr">
        <is>
          <t>0</t>
        </is>
      </c>
      <c r="G871" s="38" t="inlineStr">
        <is>
          <t>197</t>
        </is>
      </c>
      <c r="H871" s="38" t="inlineStr">
        <is>
          <t>0</t>
        </is>
      </c>
    </row>
    <row r="872" ht="15" customHeight="1" s="39">
      <c r="A872" s="42" t="inlineStr">
        <is>
          <t>431592</t>
        </is>
      </c>
      <c r="B872" s="38" t="inlineStr">
        <is>
          <t>Vallfogona de Riucorb</t>
        </is>
      </c>
      <c r="C872" s="38" t="inlineStr">
        <is>
          <t>48</t>
        </is>
      </c>
      <c r="D872" s="38" t="inlineStr">
        <is>
          <t>144</t>
        </is>
      </c>
      <c r="E872" s="38" t="inlineStr">
        <is>
          <t>192</t>
        </is>
      </c>
      <c r="F872" s="38" t="inlineStr">
        <is>
          <t>0</t>
        </is>
      </c>
      <c r="G872" s="38" t="inlineStr">
        <is>
          <t>192</t>
        </is>
      </c>
      <c r="H872" s="38" t="inlineStr">
        <is>
          <t>0</t>
        </is>
      </c>
    </row>
    <row r="873" ht="15" customHeight="1" s="39">
      <c r="A873" s="42" t="inlineStr">
        <is>
          <t>082943</t>
        </is>
      </c>
      <c r="B873" s="38" t="inlineStr">
        <is>
          <t>Vallgorguina</t>
        </is>
      </c>
      <c r="C873" s="38" t="inlineStr">
        <is>
          <t>1166</t>
        </is>
      </c>
      <c r="D873" s="38" t="inlineStr">
        <is>
          <t>474</t>
        </is>
      </c>
      <c r="E873" s="38" t="inlineStr">
        <is>
          <t>1640</t>
        </is>
      </c>
      <c r="F873" s="38" t="inlineStr">
        <is>
          <t>0</t>
        </is>
      </c>
      <c r="G873" s="38" t="inlineStr">
        <is>
          <t>1640</t>
        </is>
      </c>
      <c r="H873" s="38" t="inlineStr">
        <is>
          <t>0</t>
        </is>
      </c>
    </row>
    <row r="874" ht="15" customHeight="1" s="39">
      <c r="A874" s="42" t="inlineStr">
        <is>
          <t>082956</t>
        </is>
      </c>
      <c r="B874" s="38" t="inlineStr">
        <is>
          <t>Vallirana</t>
        </is>
      </c>
      <c r="C874" s="38" t="inlineStr">
        <is>
          <t>5431</t>
        </is>
      </c>
      <c r="D874" s="38" t="inlineStr">
        <is>
          <t>1518</t>
        </is>
      </c>
      <c r="E874" s="38" t="inlineStr">
        <is>
          <t>6949</t>
        </is>
      </c>
      <c r="F874" s="38" t="inlineStr">
        <is>
          <t>0</t>
        </is>
      </c>
      <c r="G874" s="38" t="inlineStr">
        <is>
          <t>6949</t>
        </is>
      </c>
      <c r="H874" s="38" t="inlineStr">
        <is>
          <t>8</t>
        </is>
      </c>
    </row>
    <row r="875" ht="15" customHeight="1" s="39">
      <c r="A875" s="42" t="inlineStr">
        <is>
          <t>172095</t>
        </is>
      </c>
      <c r="B875" s="38" t="inlineStr">
        <is>
          <t>Vall-llobrega</t>
        </is>
      </c>
      <c r="C875" s="38" t="inlineStr">
        <is>
          <t>329</t>
        </is>
      </c>
      <c r="D875" s="38" t="inlineStr">
        <is>
          <t>135</t>
        </is>
      </c>
      <c r="E875" s="38" t="inlineStr">
        <is>
          <t>464</t>
        </is>
      </c>
      <c r="F875" s="38" t="inlineStr">
        <is>
          <t>0</t>
        </is>
      </c>
      <c r="G875" s="38" t="inlineStr">
        <is>
          <t>464</t>
        </is>
      </c>
      <c r="H875" s="38" t="inlineStr">
        <is>
          <t>0</t>
        </is>
      </c>
    </row>
    <row r="876" ht="15" customHeight="1" s="39">
      <c r="A876" s="42" t="inlineStr">
        <is>
          <t>431606</t>
        </is>
      </c>
      <c r="B876" s="38" t="inlineStr">
        <is>
          <t>Vallmoll</t>
        </is>
      </c>
      <c r="C876" s="38" t="inlineStr">
        <is>
          <t>672</t>
        </is>
      </c>
      <c r="D876" s="38" t="inlineStr">
        <is>
          <t>366</t>
        </is>
      </c>
      <c r="E876" s="38" t="inlineStr">
        <is>
          <t>1038</t>
        </is>
      </c>
      <c r="F876" s="38" t="inlineStr">
        <is>
          <t>0</t>
        </is>
      </c>
      <c r="G876" s="38" t="inlineStr">
        <is>
          <t>1038</t>
        </is>
      </c>
      <c r="H876" s="38" t="inlineStr">
        <is>
          <t>0</t>
        </is>
      </c>
    </row>
    <row r="877" ht="15" customHeight="1" s="39">
      <c r="A877" s="42" t="inlineStr">
        <is>
          <t>082969</t>
        </is>
      </c>
      <c r="B877" s="38" t="inlineStr">
        <is>
          <t>Vallromanes</t>
        </is>
      </c>
      <c r="C877" s="38" t="inlineStr">
        <is>
          <t>908</t>
        </is>
      </c>
      <c r="D877" s="38" t="inlineStr">
        <is>
          <t>249</t>
        </is>
      </c>
      <c r="E877" s="38" t="inlineStr">
        <is>
          <t>1157</t>
        </is>
      </c>
      <c r="F877" s="38" t="inlineStr">
        <is>
          <t>0</t>
        </is>
      </c>
      <c r="G877" s="38" t="inlineStr">
        <is>
          <t>1157</t>
        </is>
      </c>
      <c r="H877" s="38" t="inlineStr">
        <is>
          <t>0</t>
        </is>
      </c>
    </row>
    <row r="878" ht="15" customHeight="1" s="39">
      <c r="A878" s="42" t="inlineStr">
        <is>
          <t>431613</t>
        </is>
      </c>
      <c r="B878" s="38" t="inlineStr">
        <is>
          <t>Valls</t>
        </is>
      </c>
      <c r="C878" s="38" t="inlineStr">
        <is>
          <t>9347</t>
        </is>
      </c>
      <c r="D878" s="38" t="inlineStr">
        <is>
          <t>4021</t>
        </is>
      </c>
      <c r="E878" s="38" t="inlineStr">
        <is>
          <t>13368</t>
        </is>
      </c>
      <c r="F878" s="38" t="inlineStr">
        <is>
          <t>0</t>
        </is>
      </c>
      <c r="G878" s="38" t="inlineStr">
        <is>
          <t>13368</t>
        </is>
      </c>
      <c r="H878" s="38" t="inlineStr">
        <is>
          <t>12</t>
        </is>
      </c>
    </row>
    <row r="879" ht="15" customHeight="1" s="39">
      <c r="A879" s="42" t="inlineStr">
        <is>
          <t>259062</t>
        </is>
      </c>
      <c r="B879" s="38" t="inlineStr">
        <is>
          <t>Valls d'Aguilar, les</t>
        </is>
      </c>
      <c r="C879" s="38" t="inlineStr">
        <is>
          <t>126</t>
        </is>
      </c>
      <c r="D879" s="38" t="inlineStr">
        <is>
          <t>163</t>
        </is>
      </c>
      <c r="E879" s="38" t="inlineStr">
        <is>
          <t>289</t>
        </is>
      </c>
      <c r="F879" s="38" t="inlineStr">
        <is>
          <t>0</t>
        </is>
      </c>
      <c r="G879" s="38" t="inlineStr">
        <is>
          <t>289</t>
        </is>
      </c>
      <c r="H879" s="38" t="inlineStr">
        <is>
          <t>0</t>
        </is>
      </c>
    </row>
    <row r="880" ht="15" customHeight="1" s="39">
      <c r="A880" s="42" t="inlineStr">
        <is>
          <t>252398</t>
        </is>
      </c>
      <c r="B880" s="38" t="inlineStr">
        <is>
          <t>Valls de Valira, les</t>
        </is>
      </c>
      <c r="C880" s="38" t="inlineStr">
        <is>
          <t>315</t>
        </is>
      </c>
      <c r="D880" s="38" t="inlineStr">
        <is>
          <t>346</t>
        </is>
      </c>
      <c r="E880" s="38" t="inlineStr">
        <is>
          <t>661</t>
        </is>
      </c>
      <c r="F880" s="38" t="inlineStr">
        <is>
          <t>0</t>
        </is>
      </c>
      <c r="G880" s="38" t="inlineStr">
        <is>
          <t>661</t>
        </is>
      </c>
      <c r="H880" s="38" t="inlineStr">
        <is>
          <t>1</t>
        </is>
      </c>
    </row>
    <row r="881" ht="15" customHeight="1" s="39">
      <c r="A881" s="42" t="inlineStr">
        <is>
          <t>431628</t>
        </is>
      </c>
      <c r="B881" s="38" t="inlineStr">
        <is>
          <t>Vandellòs i l'Hospitalet de l'Infant</t>
        </is>
      </c>
      <c r="C881" s="38" t="inlineStr">
        <is>
          <t>2572</t>
        </is>
      </c>
      <c r="D881" s="38" t="inlineStr">
        <is>
          <t>3341</t>
        </is>
      </c>
      <c r="E881" s="38" t="inlineStr">
        <is>
          <t>5913</t>
        </is>
      </c>
      <c r="F881" s="38" t="inlineStr">
        <is>
          <t>0</t>
        </is>
      </c>
      <c r="G881" s="38" t="inlineStr">
        <is>
          <t>5913</t>
        </is>
      </c>
      <c r="H881" s="38" t="inlineStr">
        <is>
          <t>1</t>
        </is>
      </c>
    </row>
    <row r="882" ht="15" customHeight="1" s="39">
      <c r="A882" s="42" t="inlineStr">
        <is>
          <t>259097</t>
        </is>
      </c>
      <c r="B882" s="38" t="inlineStr">
        <is>
          <t>Vansa i Fórnols, la</t>
        </is>
      </c>
      <c r="C882" s="38" t="inlineStr">
        <is>
          <t>76</t>
        </is>
      </c>
      <c r="D882" s="38" t="inlineStr">
        <is>
          <t>150</t>
        </is>
      </c>
      <c r="E882" s="38" t="inlineStr">
        <is>
          <t>226</t>
        </is>
      </c>
      <c r="F882" s="38" t="inlineStr">
        <is>
          <t>0</t>
        </is>
      </c>
      <c r="G882" s="38" t="inlineStr">
        <is>
          <t>226</t>
        </is>
      </c>
      <c r="H882" s="38" t="inlineStr">
        <is>
          <t>0</t>
        </is>
      </c>
    </row>
    <row r="883" ht="15" customHeight="1" s="39">
      <c r="A883" s="42" t="inlineStr">
        <is>
          <t>082975</t>
        </is>
      </c>
      <c r="B883" s="38" t="inlineStr">
        <is>
          <t>Veciana</t>
        </is>
      </c>
      <c r="C883" s="38" t="inlineStr">
        <is>
          <t>59</t>
        </is>
      </c>
      <c r="D883" s="38" t="inlineStr">
        <is>
          <t>68</t>
        </is>
      </c>
      <c r="E883" s="38" t="inlineStr">
        <is>
          <t>127</t>
        </is>
      </c>
      <c r="F883" s="38" t="inlineStr">
        <is>
          <t>0</t>
        </is>
      </c>
      <c r="G883" s="38" t="inlineStr">
        <is>
          <t>127</t>
        </is>
      </c>
      <c r="H883" s="38" t="inlineStr">
        <is>
          <t>1</t>
        </is>
      </c>
    </row>
    <row r="884" ht="15" customHeight="1" s="39">
      <c r="A884" s="42" t="inlineStr">
        <is>
          <t>431634</t>
        </is>
      </c>
      <c r="B884" s="38" t="inlineStr">
        <is>
          <t>Vendrell, el</t>
        </is>
      </c>
      <c r="C884" s="38" t="inlineStr">
        <is>
          <t>15625</t>
        </is>
      </c>
      <c r="D884" s="38" t="inlineStr">
        <is>
          <t>15438</t>
        </is>
      </c>
      <c r="E884" s="38" t="inlineStr">
        <is>
          <t>31063</t>
        </is>
      </c>
      <c r="F884" s="38" t="inlineStr">
        <is>
          <t>0</t>
        </is>
      </c>
      <c r="G884" s="38" t="inlineStr">
        <is>
          <t>31063</t>
        </is>
      </c>
      <c r="H884" s="38" t="inlineStr">
        <is>
          <t>4</t>
        </is>
      </c>
    </row>
    <row r="885" ht="15" customHeight="1" s="39">
      <c r="A885" s="42" t="inlineStr">
        <is>
          <t>172109</t>
        </is>
      </c>
      <c r="B885" s="38" t="inlineStr">
        <is>
          <t>Ventalló</t>
        </is>
      </c>
      <c r="C885" s="38" t="inlineStr">
        <is>
          <t>346</t>
        </is>
      </c>
      <c r="D885" s="38" t="inlineStr">
        <is>
          <t>274</t>
        </is>
      </c>
      <c r="E885" s="38" t="inlineStr">
        <is>
          <t>620</t>
        </is>
      </c>
      <c r="F885" s="38" t="inlineStr">
        <is>
          <t>0</t>
        </is>
      </c>
      <c r="G885" s="38" t="inlineStr">
        <is>
          <t>620</t>
        </is>
      </c>
      <c r="H885" s="38" t="inlineStr">
        <is>
          <t>0</t>
        </is>
      </c>
    </row>
    <row r="886" ht="15" customHeight="1" s="39">
      <c r="A886" s="42" t="inlineStr">
        <is>
          <t>252424</t>
        </is>
      </c>
      <c r="B886" s="38" t="inlineStr">
        <is>
          <t>Verdú</t>
        </is>
      </c>
      <c r="C886" s="38" t="inlineStr">
        <is>
          <t>337</t>
        </is>
      </c>
      <c r="D886" s="38" t="inlineStr">
        <is>
          <t>305</t>
        </is>
      </c>
      <c r="E886" s="38" t="inlineStr">
        <is>
          <t>642</t>
        </is>
      </c>
      <c r="F886" s="38" t="inlineStr">
        <is>
          <t>0</t>
        </is>
      </c>
      <c r="G886" s="38" t="inlineStr">
        <is>
          <t>642</t>
        </is>
      </c>
      <c r="H886" s="38" t="inlineStr">
        <is>
          <t>4</t>
        </is>
      </c>
    </row>
    <row r="887" ht="15" customHeight="1" s="39">
      <c r="A887" s="42" t="inlineStr">
        <is>
          <t>172116</t>
        </is>
      </c>
      <c r="B887" s="38" t="inlineStr">
        <is>
          <t>Verges</t>
        </is>
      </c>
      <c r="C887" s="38" t="inlineStr">
        <is>
          <t>436</t>
        </is>
      </c>
      <c r="D887" s="38" t="inlineStr">
        <is>
          <t>203</t>
        </is>
      </c>
      <c r="E887" s="38" t="inlineStr">
        <is>
          <t>639</t>
        </is>
      </c>
      <c r="F887" s="38" t="inlineStr">
        <is>
          <t>0</t>
        </is>
      </c>
      <c r="G887" s="38" t="inlineStr">
        <is>
          <t>639</t>
        </is>
      </c>
      <c r="H887" s="38" t="inlineStr">
        <is>
          <t>0</t>
        </is>
      </c>
    </row>
    <row r="888" ht="15" customHeight="1" s="39">
      <c r="A888" s="42" t="inlineStr">
        <is>
          <t>431649</t>
        </is>
      </c>
      <c r="B888" s="38" t="inlineStr">
        <is>
          <t>Vespella de Gaià</t>
        </is>
      </c>
      <c r="C888" s="38" t="inlineStr">
        <is>
          <t>194</t>
        </is>
      </c>
      <c r="D888" s="38" t="inlineStr">
        <is>
          <t>239</t>
        </is>
      </c>
      <c r="E888" s="38" t="inlineStr">
        <is>
          <t>433</t>
        </is>
      </c>
      <c r="F888" s="38" t="inlineStr">
        <is>
          <t>0</t>
        </is>
      </c>
      <c r="G888" s="38" t="inlineStr">
        <is>
          <t>433</t>
        </is>
      </c>
      <c r="H888" s="38" t="inlineStr">
        <is>
          <t>0</t>
        </is>
      </c>
    </row>
    <row r="889" ht="15" customHeight="1" s="39">
      <c r="A889" s="42" t="inlineStr">
        <is>
          <t>082981</t>
        </is>
      </c>
      <c r="B889" s="38" t="inlineStr">
        <is>
          <t>Vic</t>
        </is>
      </c>
      <c r="C889" s="38" t="inlineStr">
        <is>
          <t>16979</t>
        </is>
      </c>
      <c r="D889" s="38" t="inlineStr">
        <is>
          <t>2857</t>
        </is>
      </c>
      <c r="E889" s="38" t="inlineStr">
        <is>
          <t>19836</t>
        </is>
      </c>
      <c r="F889" s="38" t="inlineStr">
        <is>
          <t>0</t>
        </is>
      </c>
      <c r="G889" s="38" t="inlineStr">
        <is>
          <t>19836</t>
        </is>
      </c>
      <c r="H889" s="38" t="inlineStr">
        <is>
          <t>33</t>
        </is>
      </c>
    </row>
    <row r="890" ht="15" customHeight="1" s="39">
      <c r="A890" s="42" t="inlineStr">
        <is>
          <t>172121</t>
        </is>
      </c>
      <c r="B890" s="38" t="inlineStr">
        <is>
          <t>Vidrà</t>
        </is>
      </c>
      <c r="C890" s="38" t="inlineStr">
        <is>
          <t>73</t>
        </is>
      </c>
      <c r="D890" s="38" t="inlineStr">
        <is>
          <t>50</t>
        </is>
      </c>
      <c r="E890" s="38" t="inlineStr">
        <is>
          <t>123</t>
        </is>
      </c>
      <c r="F890" s="38" t="inlineStr">
        <is>
          <t>0</t>
        </is>
      </c>
      <c r="G890" s="38" t="inlineStr">
        <is>
          <t>123</t>
        </is>
      </c>
      <c r="H890" s="38" t="inlineStr">
        <is>
          <t>0</t>
        </is>
      </c>
    </row>
    <row r="891" ht="15" customHeight="1" s="39">
      <c r="A891" s="42" t="inlineStr">
        <is>
          <t>172137</t>
        </is>
      </c>
      <c r="B891" s="38" t="inlineStr">
        <is>
          <t>Vidreres</t>
        </is>
      </c>
      <c r="C891" s="38" t="inlineStr">
        <is>
          <t>3036</t>
        </is>
      </c>
      <c r="D891" s="38" t="inlineStr">
        <is>
          <t>1312</t>
        </is>
      </c>
      <c r="E891" s="38" t="inlineStr">
        <is>
          <t>4348</t>
        </is>
      </c>
      <c r="F891" s="38" t="inlineStr">
        <is>
          <t>0</t>
        </is>
      </c>
      <c r="G891" s="38" t="inlineStr">
        <is>
          <t>4348</t>
        </is>
      </c>
      <c r="H891" s="38" t="inlineStr">
        <is>
          <t>2</t>
        </is>
      </c>
    </row>
    <row r="892" ht="15" customHeight="1" s="39">
      <c r="A892" s="42" t="inlineStr">
        <is>
          <t>252430</t>
        </is>
      </c>
      <c r="B892" s="38" t="inlineStr">
        <is>
          <t>Vielha e Mijaran</t>
        </is>
      </c>
      <c r="C892" s="38" t="inlineStr">
        <is>
          <t>2395</t>
        </is>
      </c>
      <c r="D892" s="38" t="inlineStr">
        <is>
          <t>2917</t>
        </is>
      </c>
      <c r="E892" s="38" t="inlineStr">
        <is>
          <t>5312</t>
        </is>
      </c>
      <c r="F892" s="38" t="inlineStr">
        <is>
          <t>0</t>
        </is>
      </c>
      <c r="G892" s="38" t="inlineStr">
        <is>
          <t>5312</t>
        </is>
      </c>
      <c r="H892" s="38" t="inlineStr">
        <is>
          <t>4</t>
        </is>
      </c>
    </row>
    <row r="893" ht="15" customHeight="1" s="39">
      <c r="A893" s="42" t="inlineStr">
        <is>
          <t>431652</t>
        </is>
      </c>
      <c r="B893" s="38" t="inlineStr">
        <is>
          <t>Vilabella</t>
        </is>
      </c>
      <c r="C893" s="38" t="inlineStr">
        <is>
          <t>274</t>
        </is>
      </c>
      <c r="D893" s="38" t="inlineStr">
        <is>
          <t>137</t>
        </is>
      </c>
      <c r="E893" s="38" t="inlineStr">
        <is>
          <t>411</t>
        </is>
      </c>
      <c r="F893" s="38" t="inlineStr">
        <is>
          <t>0</t>
        </is>
      </c>
      <c r="G893" s="38" t="inlineStr">
        <is>
          <t>411</t>
        </is>
      </c>
      <c r="H893" s="38" t="inlineStr">
        <is>
          <t>0</t>
        </is>
      </c>
    </row>
    <row r="894" ht="15" customHeight="1" s="39">
      <c r="A894" s="42" t="inlineStr">
        <is>
          <t>172142</t>
        </is>
      </c>
      <c r="B894" s="38" t="inlineStr">
        <is>
          <t>Vilabertran</t>
        </is>
      </c>
      <c r="C894" s="38" t="inlineStr">
        <is>
          <t>325</t>
        </is>
      </c>
      <c r="D894" s="38" t="inlineStr">
        <is>
          <t>73</t>
        </is>
      </c>
      <c r="E894" s="38" t="inlineStr">
        <is>
          <t>398</t>
        </is>
      </c>
      <c r="F894" s="38" t="inlineStr">
        <is>
          <t>0</t>
        </is>
      </c>
      <c r="G894" s="38" t="inlineStr">
        <is>
          <t>398</t>
        </is>
      </c>
      <c r="H894" s="38" t="inlineStr">
        <is>
          <t>0</t>
        </is>
      </c>
    </row>
    <row r="895" ht="15" customHeight="1" s="39">
      <c r="A895" s="42" t="inlineStr">
        <is>
          <t>172155</t>
        </is>
      </c>
      <c r="B895" s="38" t="inlineStr">
        <is>
          <t>Vilablareix</t>
        </is>
      </c>
      <c r="C895" s="38" t="inlineStr">
        <is>
          <t>1078</t>
        </is>
      </c>
      <c r="D895" s="38" t="inlineStr">
        <is>
          <t>102</t>
        </is>
      </c>
      <c r="E895" s="38" t="inlineStr">
        <is>
          <t>1180</t>
        </is>
      </c>
      <c r="F895" s="38" t="inlineStr">
        <is>
          <t>0</t>
        </is>
      </c>
      <c r="G895" s="38" t="inlineStr">
        <is>
          <t>1180</t>
        </is>
      </c>
      <c r="H895" s="38" t="inlineStr">
        <is>
          <t>0</t>
        </is>
      </c>
    </row>
    <row r="896" ht="15" customHeight="1" s="39">
      <c r="A896" s="42" t="inlineStr">
        <is>
          <t>082994</t>
        </is>
      </c>
      <c r="B896" s="38" t="inlineStr">
        <is>
          <t>Vilada</t>
        </is>
      </c>
      <c r="C896" s="38" t="inlineStr">
        <is>
          <t>181</t>
        </is>
      </c>
      <c r="D896" s="38" t="inlineStr">
        <is>
          <t>144</t>
        </is>
      </c>
      <c r="E896" s="38" t="inlineStr">
        <is>
          <t>325</t>
        </is>
      </c>
      <c r="F896" s="38" t="inlineStr">
        <is>
          <t>0</t>
        </is>
      </c>
      <c r="G896" s="38" t="inlineStr">
        <is>
          <t>325</t>
        </is>
      </c>
      <c r="H896" s="38" t="inlineStr">
        <is>
          <t>0</t>
        </is>
      </c>
    </row>
    <row r="897" ht="15" customHeight="1" s="39">
      <c r="A897" s="42" t="inlineStr">
        <is>
          <t>172174</t>
        </is>
      </c>
      <c r="B897" s="38" t="inlineStr">
        <is>
          <t>Viladamat</t>
        </is>
      </c>
      <c r="C897" s="38" t="inlineStr">
        <is>
          <t>182</t>
        </is>
      </c>
      <c r="D897" s="38" t="inlineStr">
        <is>
          <t>92</t>
        </is>
      </c>
      <c r="E897" s="38" t="inlineStr">
        <is>
          <t>274</t>
        </is>
      </c>
      <c r="F897" s="38" t="inlineStr">
        <is>
          <t>0</t>
        </is>
      </c>
      <c r="G897" s="38" t="inlineStr">
        <is>
          <t>274</t>
        </is>
      </c>
      <c r="H897" s="38" t="inlineStr">
        <is>
          <t>0</t>
        </is>
      </c>
    </row>
    <row r="898" ht="15" customHeight="1" s="39">
      <c r="A898" s="42" t="inlineStr">
        <is>
          <t>172168</t>
        </is>
      </c>
      <c r="B898" s="38" t="inlineStr">
        <is>
          <t>Viladasens</t>
        </is>
      </c>
      <c r="C898" s="38" t="inlineStr">
        <is>
          <t>78</t>
        </is>
      </c>
      <c r="D898" s="38" t="inlineStr">
        <is>
          <t>36</t>
        </is>
      </c>
      <c r="E898" s="38" t="inlineStr">
        <is>
          <t>114</t>
        </is>
      </c>
      <c r="F898" s="38" t="inlineStr">
        <is>
          <t>0</t>
        </is>
      </c>
      <c r="G898" s="38" t="inlineStr">
        <is>
          <t>114</t>
        </is>
      </c>
      <c r="H898" s="38" t="inlineStr">
        <is>
          <t>0</t>
        </is>
      </c>
    </row>
    <row r="899" ht="15" customHeight="1" s="39">
      <c r="A899" s="42" t="inlineStr">
        <is>
          <t>083015</t>
        </is>
      </c>
      <c r="B899" s="38" t="inlineStr">
        <is>
          <t>Viladecans</t>
        </is>
      </c>
      <c r="C899" s="38" t="inlineStr">
        <is>
          <t>24405</t>
        </is>
      </c>
      <c r="D899" s="38" t="inlineStr">
        <is>
          <t>2181</t>
        </is>
      </c>
      <c r="E899" s="38" t="inlineStr">
        <is>
          <t>26586</t>
        </is>
      </c>
      <c r="F899" s="38" t="inlineStr">
        <is>
          <t>0</t>
        </is>
      </c>
      <c r="G899" s="38" t="inlineStr">
        <is>
          <t>26586</t>
        </is>
      </c>
      <c r="H899" s="38" t="inlineStr">
        <is>
          <t>7</t>
        </is>
      </c>
    </row>
    <row r="900" ht="15" customHeight="1" s="39">
      <c r="A900" s="42" t="inlineStr">
        <is>
          <t>083008</t>
        </is>
      </c>
      <c r="B900" s="38" t="inlineStr">
        <is>
          <t>Viladecavalls</t>
        </is>
      </c>
      <c r="C900" s="38" t="inlineStr">
        <is>
          <t>2565</t>
        </is>
      </c>
      <c r="D900" s="38" t="inlineStr">
        <is>
          <t>401</t>
        </is>
      </c>
      <c r="E900" s="38" t="inlineStr">
        <is>
          <t>2966</t>
        </is>
      </c>
      <c r="F900" s="38" t="inlineStr">
        <is>
          <t>0</t>
        </is>
      </c>
      <c r="G900" s="38" t="inlineStr">
        <is>
          <t>2966</t>
        </is>
      </c>
      <c r="H900" s="38" t="inlineStr">
        <is>
          <t>3</t>
        </is>
      </c>
    </row>
    <row r="901" ht="15" customHeight="1" s="39">
      <c r="A901" s="42" t="inlineStr">
        <is>
          <t>172180</t>
        </is>
      </c>
      <c r="B901" s="38" t="inlineStr">
        <is>
          <t>Vilademuls</t>
        </is>
      </c>
      <c r="C901" s="38" t="inlineStr">
        <is>
          <t>284</t>
        </is>
      </c>
      <c r="D901" s="38" t="inlineStr">
        <is>
          <t>152</t>
        </is>
      </c>
      <c r="E901" s="38" t="inlineStr">
        <is>
          <t>436</t>
        </is>
      </c>
      <c r="F901" s="38" t="inlineStr">
        <is>
          <t>0</t>
        </is>
      </c>
      <c r="G901" s="38" t="inlineStr">
        <is>
          <t>436</t>
        </is>
      </c>
      <c r="H901" s="38" t="inlineStr">
        <is>
          <t>1</t>
        </is>
      </c>
    </row>
    <row r="902" ht="15" customHeight="1" s="39">
      <c r="A902" s="42" t="inlineStr">
        <is>
          <t>172207</t>
        </is>
      </c>
      <c r="B902" s="38" t="inlineStr">
        <is>
          <t>Viladrau</t>
        </is>
      </c>
      <c r="C902" s="38" t="inlineStr">
        <is>
          <t>443</t>
        </is>
      </c>
      <c r="D902" s="38" t="inlineStr">
        <is>
          <t>544</t>
        </is>
      </c>
      <c r="E902" s="38" t="inlineStr">
        <is>
          <t>987</t>
        </is>
      </c>
      <c r="F902" s="38" t="inlineStr">
        <is>
          <t>0</t>
        </is>
      </c>
      <c r="G902" s="38" t="inlineStr">
        <is>
          <t>987</t>
        </is>
      </c>
      <c r="H902" s="38" t="inlineStr">
        <is>
          <t>0</t>
        </is>
      </c>
    </row>
    <row r="903" ht="15" customHeight="1" s="39">
      <c r="A903" s="42" t="inlineStr">
        <is>
          <t>172214</t>
        </is>
      </c>
      <c r="B903" s="38" t="inlineStr">
        <is>
          <t>Vilafant</t>
        </is>
      </c>
      <c r="C903" s="38" t="inlineStr">
        <is>
          <t>1835</t>
        </is>
      </c>
      <c r="D903" s="38" t="inlineStr">
        <is>
          <t>179</t>
        </is>
      </c>
      <c r="E903" s="38" t="inlineStr">
        <is>
          <t>2014</t>
        </is>
      </c>
      <c r="F903" s="38" t="inlineStr">
        <is>
          <t>0</t>
        </is>
      </c>
      <c r="G903" s="38" t="inlineStr">
        <is>
          <t>2014</t>
        </is>
      </c>
      <c r="H903" s="38" t="inlineStr">
        <is>
          <t>1</t>
        </is>
      </c>
    </row>
    <row r="904" ht="15" customHeight="1" s="39">
      <c r="A904" s="42" t="inlineStr">
        <is>
          <t>083054</t>
        </is>
      </c>
      <c r="B904" s="38" t="inlineStr">
        <is>
          <t>Vilafranca del Penedès</t>
        </is>
      </c>
      <c r="C904" s="38" t="inlineStr">
        <is>
          <t>15485</t>
        </is>
      </c>
      <c r="D904" s="38" t="inlineStr">
        <is>
          <t>2779</t>
        </is>
      </c>
      <c r="E904" s="38" t="inlineStr">
        <is>
          <t>18264</t>
        </is>
      </c>
      <c r="F904" s="38" t="inlineStr">
        <is>
          <t>0</t>
        </is>
      </c>
      <c r="G904" s="38" t="inlineStr">
        <is>
          <t>18264</t>
        </is>
      </c>
      <c r="H904" s="38" t="inlineStr">
        <is>
          <t>12</t>
        </is>
      </c>
    </row>
    <row r="905" ht="15" customHeight="1" s="39">
      <c r="A905" s="42" t="inlineStr">
        <is>
          <t>252445</t>
        </is>
      </c>
      <c r="B905" s="38" t="inlineStr">
        <is>
          <t>Vilagrassa</t>
        </is>
      </c>
      <c r="C905" s="38" t="inlineStr">
        <is>
          <t>215</t>
        </is>
      </c>
      <c r="D905" s="38" t="inlineStr">
        <is>
          <t>198</t>
        </is>
      </c>
      <c r="E905" s="38" t="inlineStr">
        <is>
          <t>413</t>
        </is>
      </c>
      <c r="F905" s="38" t="inlineStr">
        <is>
          <t>0</t>
        </is>
      </c>
      <c r="G905" s="38" t="inlineStr">
        <is>
          <t>413</t>
        </is>
      </c>
      <c r="H905" s="38" t="inlineStr">
        <is>
          <t>0</t>
        </is>
      </c>
    </row>
    <row r="906" ht="15" customHeight="1" s="39">
      <c r="A906" s="42" t="inlineStr">
        <is>
          <t>172235</t>
        </is>
      </c>
      <c r="B906" s="38" t="inlineStr">
        <is>
          <t>Vilajuïga</t>
        </is>
      </c>
      <c r="C906" s="38" t="inlineStr">
        <is>
          <t>436</t>
        </is>
      </c>
      <c r="D906" s="38" t="inlineStr">
        <is>
          <t>137</t>
        </is>
      </c>
      <c r="E906" s="38" t="inlineStr">
        <is>
          <t>573</t>
        </is>
      </c>
      <c r="F906" s="38" t="inlineStr">
        <is>
          <t>0</t>
        </is>
      </c>
      <c r="G906" s="38" t="inlineStr">
        <is>
          <t>573</t>
        </is>
      </c>
      <c r="H906" s="38" t="inlineStr">
        <is>
          <t>0</t>
        </is>
      </c>
    </row>
    <row r="907" ht="15" customHeight="1" s="39">
      <c r="A907" s="42" t="inlineStr">
        <is>
          <t>431750</t>
        </is>
      </c>
      <c r="B907" s="38" t="inlineStr">
        <is>
          <t>Vilalba dels Arcs</t>
        </is>
      </c>
      <c r="C907" s="38" t="inlineStr">
        <is>
          <t>246</t>
        </is>
      </c>
      <c r="D907" s="38" t="inlineStr">
        <is>
          <t>180</t>
        </is>
      </c>
      <c r="E907" s="38" t="inlineStr">
        <is>
          <t>426</t>
        </is>
      </c>
      <c r="F907" s="38" t="inlineStr">
        <is>
          <t>0</t>
        </is>
      </c>
      <c r="G907" s="38" t="inlineStr">
        <is>
          <t>426</t>
        </is>
      </c>
      <c r="H907" s="38" t="inlineStr">
        <is>
          <t>0</t>
        </is>
      </c>
    </row>
    <row r="908" ht="15" customHeight="1" s="39">
      <c r="A908" s="42" t="inlineStr">
        <is>
          <t>083067</t>
        </is>
      </c>
      <c r="B908" s="38" t="inlineStr">
        <is>
          <t>Vilalba Sasserra</t>
        </is>
      </c>
      <c r="C908" s="38" t="inlineStr">
        <is>
          <t>282</t>
        </is>
      </c>
      <c r="D908" s="38" t="inlineStr">
        <is>
          <t>44</t>
        </is>
      </c>
      <c r="E908" s="38" t="inlineStr">
        <is>
          <t>326</t>
        </is>
      </c>
      <c r="F908" s="38" t="inlineStr">
        <is>
          <t>0</t>
        </is>
      </c>
      <c r="G908" s="38" t="inlineStr">
        <is>
          <t>326</t>
        </is>
      </c>
      <c r="H908" s="38" t="inlineStr">
        <is>
          <t>1</t>
        </is>
      </c>
    </row>
    <row r="909" ht="15" customHeight="1" s="39">
      <c r="A909" s="42" t="inlineStr">
        <is>
          <t>252458</t>
        </is>
      </c>
      <c r="B909" s="38" t="inlineStr">
        <is>
          <t>Vilaller</t>
        </is>
      </c>
      <c r="C909" s="38" t="inlineStr">
        <is>
          <t>247</t>
        </is>
      </c>
      <c r="D909" s="38" t="inlineStr">
        <is>
          <t>327</t>
        </is>
      </c>
      <c r="E909" s="38" t="inlineStr">
        <is>
          <t>574</t>
        </is>
      </c>
      <c r="F909" s="38" t="inlineStr">
        <is>
          <t>0</t>
        </is>
      </c>
      <c r="G909" s="38" t="inlineStr">
        <is>
          <t>574</t>
        </is>
      </c>
      <c r="H909" s="38" t="inlineStr">
        <is>
          <t>0</t>
        </is>
      </c>
    </row>
    <row r="910" ht="15" customHeight="1" s="39">
      <c r="A910" s="42" t="inlineStr">
        <is>
          <t>172240</t>
        </is>
      </c>
      <c r="B910" s="38" t="inlineStr">
        <is>
          <t>Vilallonga de Ter</t>
        </is>
      </c>
      <c r="C910" s="38" t="inlineStr">
        <is>
          <t>176</t>
        </is>
      </c>
      <c r="D910" s="38" t="inlineStr">
        <is>
          <t>582</t>
        </is>
      </c>
      <c r="E910" s="38" t="inlineStr">
        <is>
          <t>758</t>
        </is>
      </c>
      <c r="F910" s="38" t="inlineStr">
        <is>
          <t>0</t>
        </is>
      </c>
      <c r="G910" s="38" t="inlineStr">
        <is>
          <t>758</t>
        </is>
      </c>
      <c r="H910" s="38" t="inlineStr">
        <is>
          <t>0</t>
        </is>
      </c>
    </row>
    <row r="911" ht="15" customHeight="1" s="39">
      <c r="A911" s="42" t="inlineStr">
        <is>
          <t>431665</t>
        </is>
      </c>
      <c r="B911" s="38" t="inlineStr">
        <is>
          <t>Vilallonga del Camp</t>
        </is>
      </c>
      <c r="C911" s="38" t="inlineStr">
        <is>
          <t>897</t>
        </is>
      </c>
      <c r="D911" s="38" t="inlineStr">
        <is>
          <t>292</t>
        </is>
      </c>
      <c r="E911" s="38" t="inlineStr">
        <is>
          <t>1189</t>
        </is>
      </c>
      <c r="F911" s="38" t="inlineStr">
        <is>
          <t>0</t>
        </is>
      </c>
      <c r="G911" s="38" t="inlineStr">
        <is>
          <t>1189</t>
        </is>
      </c>
      <c r="H911" s="38" t="inlineStr">
        <is>
          <t>0</t>
        </is>
      </c>
    </row>
    <row r="912" ht="15" customHeight="1" s="39">
      <c r="A912" s="42" t="inlineStr">
        <is>
          <t>172253</t>
        </is>
      </c>
      <c r="B912" s="38" t="inlineStr">
        <is>
          <t>Vilamacolum</t>
        </is>
      </c>
      <c r="C912" s="38" t="inlineStr">
        <is>
          <t>125</t>
        </is>
      </c>
      <c r="D912" s="38" t="inlineStr">
        <is>
          <t>60</t>
        </is>
      </c>
      <c r="E912" s="38" t="inlineStr">
        <is>
          <t>185</t>
        </is>
      </c>
      <c r="F912" s="38" t="inlineStr">
        <is>
          <t>0</t>
        </is>
      </c>
      <c r="G912" s="38" t="inlineStr">
        <is>
          <t>185</t>
        </is>
      </c>
      <c r="H912" s="38" t="inlineStr">
        <is>
          <t>0</t>
        </is>
      </c>
    </row>
    <row r="913" ht="15" customHeight="1" s="39">
      <c r="A913" s="42" t="inlineStr">
        <is>
          <t>172266</t>
        </is>
      </c>
      <c r="B913" s="38" t="inlineStr">
        <is>
          <t>Vilamalla</t>
        </is>
      </c>
      <c r="C913" s="38" t="inlineStr">
        <is>
          <t>377</t>
        </is>
      </c>
      <c r="D913" s="38" t="inlineStr">
        <is>
          <t>76</t>
        </is>
      </c>
      <c r="E913" s="38" t="inlineStr">
        <is>
          <t>453</t>
        </is>
      </c>
      <c r="F913" s="38" t="inlineStr">
        <is>
          <t>0</t>
        </is>
      </c>
      <c r="G913" s="38" t="inlineStr">
        <is>
          <t>453</t>
        </is>
      </c>
      <c r="H913" s="38" t="inlineStr">
        <is>
          <t>1</t>
        </is>
      </c>
    </row>
    <row r="914" ht="15" customHeight="1" s="39">
      <c r="A914" s="42" t="inlineStr">
        <is>
          <t>172272</t>
        </is>
      </c>
      <c r="B914" s="38" t="inlineStr">
        <is>
          <t>Vilamaniscle</t>
        </is>
      </c>
      <c r="C914" s="38" t="inlineStr">
        <is>
          <t>86</t>
        </is>
      </c>
      <c r="D914" s="38" t="inlineStr">
        <is>
          <t>72</t>
        </is>
      </c>
      <c r="E914" s="38" t="inlineStr">
        <is>
          <t>158</t>
        </is>
      </c>
      <c r="F914" s="38" t="inlineStr">
        <is>
          <t>0</t>
        </is>
      </c>
      <c r="G914" s="38" t="inlineStr">
        <is>
          <t>158</t>
        </is>
      </c>
      <c r="H914" s="38" t="inlineStr">
        <is>
          <t>0</t>
        </is>
      </c>
    </row>
    <row r="915" ht="15" customHeight="1" s="39">
      <c r="A915" s="42" t="inlineStr">
        <is>
          <t>252477</t>
        </is>
      </c>
      <c r="B915" s="38" t="inlineStr">
        <is>
          <t>Vilamòs</t>
        </is>
      </c>
      <c r="C915" s="38" t="inlineStr">
        <is>
          <t>73</t>
        </is>
      </c>
      <c r="D915" s="38" t="inlineStr">
        <is>
          <t>94</t>
        </is>
      </c>
      <c r="E915" s="38" t="inlineStr">
        <is>
          <t>167</t>
        </is>
      </c>
      <c r="F915" s="38" t="inlineStr">
        <is>
          <t>0</t>
        </is>
      </c>
      <c r="G915" s="38" t="inlineStr">
        <is>
          <t>167</t>
        </is>
      </c>
      <c r="H915" s="38" t="inlineStr">
        <is>
          <t>0</t>
        </is>
      </c>
    </row>
    <row r="916" ht="15" customHeight="1" s="39">
      <c r="A916" s="42" t="inlineStr">
        <is>
          <t>172288</t>
        </is>
      </c>
      <c r="B916" s="38" t="inlineStr">
        <is>
          <t>Vilanant</t>
        </is>
      </c>
      <c r="C916" s="38" t="inlineStr">
        <is>
          <t>141</t>
        </is>
      </c>
      <c r="D916" s="38" t="inlineStr">
        <is>
          <t>65</t>
        </is>
      </c>
      <c r="E916" s="38" t="inlineStr">
        <is>
          <t>206</t>
        </is>
      </c>
      <c r="F916" s="38" t="inlineStr">
        <is>
          <t>0</t>
        </is>
      </c>
      <c r="G916" s="38" t="inlineStr">
        <is>
          <t>206</t>
        </is>
      </c>
      <c r="H916" s="38" t="inlineStr">
        <is>
          <t>0</t>
        </is>
      </c>
    </row>
    <row r="917" ht="15" customHeight="1" s="39">
      <c r="A917" s="42" t="inlineStr">
        <is>
          <t>431671</t>
        </is>
      </c>
      <c r="B917" s="38" t="inlineStr">
        <is>
          <t>Vilanova d'Escornalbou</t>
        </is>
      </c>
      <c r="C917" s="38" t="inlineStr">
        <is>
          <t>227</t>
        </is>
      </c>
      <c r="D917" s="38" t="inlineStr">
        <is>
          <t>160</t>
        </is>
      </c>
      <c r="E917" s="38" t="inlineStr">
        <is>
          <t>387</t>
        </is>
      </c>
      <c r="F917" s="38" t="inlineStr">
        <is>
          <t>0</t>
        </is>
      </c>
      <c r="G917" s="38" t="inlineStr">
        <is>
          <t>387</t>
        </is>
      </c>
      <c r="H917" s="38" t="inlineStr">
        <is>
          <t>0</t>
        </is>
      </c>
    </row>
    <row r="918" ht="15" customHeight="1" s="39">
      <c r="A918" s="42" t="inlineStr">
        <is>
          <t>252483</t>
        </is>
      </c>
      <c r="B918" s="38" t="inlineStr">
        <is>
          <t>Vilanova de Bellpuig</t>
        </is>
      </c>
      <c r="C918" s="38" t="inlineStr">
        <is>
          <t>414</t>
        </is>
      </c>
      <c r="D918" s="38" t="inlineStr">
        <is>
          <t>140</t>
        </is>
      </c>
      <c r="E918" s="38" t="inlineStr">
        <is>
          <t>554</t>
        </is>
      </c>
      <c r="F918" s="38" t="inlineStr">
        <is>
          <t>0</t>
        </is>
      </c>
      <c r="G918" s="38" t="inlineStr">
        <is>
          <t>554</t>
        </is>
      </c>
      <c r="H918" s="38" t="inlineStr">
        <is>
          <t>2</t>
        </is>
      </c>
    </row>
    <row r="919" ht="15" customHeight="1" s="39">
      <c r="A919" s="42" t="inlineStr">
        <is>
          <t>252496</t>
        </is>
      </c>
      <c r="B919" s="38" t="inlineStr">
        <is>
          <t>Vilanova de l'Aguda</t>
        </is>
      </c>
      <c r="C919" s="38" t="inlineStr">
        <is>
          <t>72</t>
        </is>
      </c>
      <c r="D919" s="38" t="inlineStr">
        <is>
          <t>56</t>
        </is>
      </c>
      <c r="E919" s="38" t="inlineStr">
        <is>
          <t>128</t>
        </is>
      </c>
      <c r="F919" s="38" t="inlineStr">
        <is>
          <t>0</t>
        </is>
      </c>
      <c r="G919" s="38" t="inlineStr">
        <is>
          <t>128</t>
        </is>
      </c>
      <c r="H919" s="38" t="inlineStr">
        <is>
          <t>0</t>
        </is>
      </c>
    </row>
    <row r="920" ht="15" customHeight="1" s="39">
      <c r="A920" s="42" t="inlineStr">
        <is>
          <t>252542</t>
        </is>
      </c>
      <c r="B920" s="38" t="inlineStr">
        <is>
          <t>Vilanova de la Barca</t>
        </is>
      </c>
      <c r="C920" s="38" t="inlineStr">
        <is>
          <t>392</t>
        </is>
      </c>
      <c r="D920" s="38" t="inlineStr">
        <is>
          <t>182</t>
        </is>
      </c>
      <c r="E920" s="38" t="inlineStr">
        <is>
          <t>574</t>
        </is>
      </c>
      <c r="F920" s="38" t="inlineStr">
        <is>
          <t>0</t>
        </is>
      </c>
      <c r="G920" s="38" t="inlineStr">
        <is>
          <t>574</t>
        </is>
      </c>
      <c r="H920" s="38" t="inlineStr">
        <is>
          <t>4</t>
        </is>
      </c>
    </row>
    <row r="921" ht="15" customHeight="1" s="39">
      <c r="A921" s="42" t="inlineStr">
        <is>
          <t>252509</t>
        </is>
      </c>
      <c r="B921" s="38" t="inlineStr">
        <is>
          <t>Vilanova de Meià</t>
        </is>
      </c>
      <c r="C921" s="38" t="inlineStr">
        <is>
          <t>179</t>
        </is>
      </c>
      <c r="D921" s="38" t="inlineStr">
        <is>
          <t>337</t>
        </is>
      </c>
      <c r="E921" s="38" t="inlineStr">
        <is>
          <t>516</t>
        </is>
      </c>
      <c r="F921" s="38" t="inlineStr">
        <is>
          <t>0</t>
        </is>
      </c>
      <c r="G921" s="38" t="inlineStr">
        <is>
          <t>516</t>
        </is>
      </c>
      <c r="H921" s="38" t="inlineStr">
        <is>
          <t>1</t>
        </is>
      </c>
    </row>
    <row r="922" ht="15" customHeight="1" s="39">
      <c r="A922" s="42" t="inlineStr">
        <is>
          <t>431687</t>
        </is>
      </c>
      <c r="B922" s="38" t="inlineStr">
        <is>
          <t>Vilanova de Prades</t>
        </is>
      </c>
      <c r="C922" s="38" t="inlineStr">
        <is>
          <t>48</t>
        </is>
      </c>
      <c r="D922" s="38" t="inlineStr">
        <is>
          <t>84</t>
        </is>
      </c>
      <c r="E922" s="38" t="inlineStr">
        <is>
          <t>132</t>
        </is>
      </c>
      <c r="F922" s="38" t="inlineStr">
        <is>
          <t>0</t>
        </is>
      </c>
      <c r="G922" s="38" t="inlineStr">
        <is>
          <t>132</t>
        </is>
      </c>
      <c r="H922" s="38" t="inlineStr">
        <is>
          <t>1</t>
        </is>
      </c>
    </row>
    <row r="923" ht="15" customHeight="1" s="39">
      <c r="A923" s="42" t="inlineStr">
        <is>
          <t>083036</t>
        </is>
      </c>
      <c r="B923" s="38" t="inlineStr">
        <is>
          <t>Vilanova de Sau</t>
        </is>
      </c>
      <c r="C923" s="38" t="inlineStr">
        <is>
          <t>134</t>
        </is>
      </c>
      <c r="D923" s="38" t="inlineStr">
        <is>
          <t>124</t>
        </is>
      </c>
      <c r="E923" s="38" t="inlineStr">
        <is>
          <t>258</t>
        </is>
      </c>
      <c r="F923" s="38" t="inlineStr">
        <is>
          <t>0</t>
        </is>
      </c>
      <c r="G923" s="38" t="inlineStr">
        <is>
          <t>258</t>
        </is>
      </c>
      <c r="H923" s="38" t="inlineStr">
        <is>
          <t>0</t>
        </is>
      </c>
    </row>
    <row r="924" ht="15" customHeight="1" s="39">
      <c r="A924" s="42" t="inlineStr">
        <is>
          <t>252516</t>
        </is>
      </c>
      <c r="B924" s="38" t="inlineStr">
        <is>
          <t>Vilanova de Segrià</t>
        </is>
      </c>
      <c r="C924" s="38" t="inlineStr">
        <is>
          <t>387</t>
        </is>
      </c>
      <c r="D924" s="38" t="inlineStr">
        <is>
          <t>198</t>
        </is>
      </c>
      <c r="E924" s="38" t="inlineStr">
        <is>
          <t>585</t>
        </is>
      </c>
      <c r="F924" s="38" t="inlineStr">
        <is>
          <t>0</t>
        </is>
      </c>
      <c r="G924" s="38" t="inlineStr">
        <is>
          <t>585</t>
        </is>
      </c>
      <c r="H924" s="38" t="inlineStr">
        <is>
          <t>0</t>
        </is>
      </c>
    </row>
    <row r="925" ht="15" customHeight="1" s="39">
      <c r="A925" s="42" t="inlineStr">
        <is>
          <t>083020</t>
        </is>
      </c>
      <c r="B925" s="38" t="inlineStr">
        <is>
          <t>Vilanova del Camí</t>
        </is>
      </c>
      <c r="C925" s="38" t="inlineStr">
        <is>
          <t>4716</t>
        </is>
      </c>
      <c r="D925" s="38" t="inlineStr">
        <is>
          <t>623</t>
        </is>
      </c>
      <c r="E925" s="38" t="inlineStr">
        <is>
          <t>5339</t>
        </is>
      </c>
      <c r="F925" s="38" t="inlineStr">
        <is>
          <t>0</t>
        </is>
      </c>
      <c r="G925" s="38" t="inlineStr">
        <is>
          <t>5339</t>
        </is>
      </c>
      <c r="H925" s="38" t="inlineStr">
        <is>
          <t>1</t>
        </is>
      </c>
    </row>
    <row r="926" ht="15" customHeight="1" s="39">
      <c r="A926" s="42" t="inlineStr">
        <is>
          <t>089024</t>
        </is>
      </c>
      <c r="B926" s="38" t="inlineStr">
        <is>
          <t>Vilanova del Vallès</t>
        </is>
      </c>
      <c r="C926" s="38" t="inlineStr">
        <is>
          <t>1885</t>
        </is>
      </c>
      <c r="D926" s="38" t="inlineStr">
        <is>
          <t>392</t>
        </is>
      </c>
      <c r="E926" s="38" t="inlineStr">
        <is>
          <t>2277</t>
        </is>
      </c>
      <c r="F926" s="38" t="inlineStr">
        <is>
          <t>0</t>
        </is>
      </c>
      <c r="G926" s="38" t="inlineStr">
        <is>
          <t>2277</t>
        </is>
      </c>
      <c r="H926" s="38" t="inlineStr">
        <is>
          <t>1</t>
        </is>
      </c>
    </row>
    <row r="927" ht="15" customHeight="1" s="39">
      <c r="A927" s="42" t="inlineStr">
        <is>
          <t>083073</t>
        </is>
      </c>
      <c r="B927" s="38" t="inlineStr">
        <is>
          <t>Vilanova i la Geltrú</t>
        </is>
      </c>
      <c r="C927" s="38" t="inlineStr">
        <is>
          <t>26067</t>
        </is>
      </c>
      <c r="D927" s="38" t="inlineStr">
        <is>
          <t>7088</t>
        </is>
      </c>
      <c r="E927" s="38" t="inlineStr">
        <is>
          <t>33155</t>
        </is>
      </c>
      <c r="F927" s="38" t="inlineStr">
        <is>
          <t>0</t>
        </is>
      </c>
      <c r="G927" s="38" t="inlineStr">
        <is>
          <t>33155</t>
        </is>
      </c>
      <c r="H927" s="38" t="inlineStr">
        <is>
          <t>39</t>
        </is>
      </c>
    </row>
    <row r="928" ht="15" customHeight="1" s="39">
      <c r="A928" s="42" t="inlineStr">
        <is>
          <t>431690</t>
        </is>
      </c>
      <c r="B928" s="38" t="inlineStr">
        <is>
          <t>Vilaplana</t>
        </is>
      </c>
      <c r="C928" s="38" t="inlineStr">
        <is>
          <t>218</t>
        </is>
      </c>
      <c r="D928" s="38" t="inlineStr">
        <is>
          <t>114</t>
        </is>
      </c>
      <c r="E928" s="38" t="inlineStr">
        <is>
          <t>332</t>
        </is>
      </c>
      <c r="F928" s="38" t="inlineStr">
        <is>
          <t>0</t>
        </is>
      </c>
      <c r="G928" s="38" t="inlineStr">
        <is>
          <t>332</t>
        </is>
      </c>
      <c r="H928" s="38" t="inlineStr">
        <is>
          <t>0</t>
        </is>
      </c>
    </row>
    <row r="929" ht="15" customHeight="1" s="39">
      <c r="A929" s="42" t="inlineStr">
        <is>
          <t>431704</t>
        </is>
      </c>
      <c r="B929" s="38" t="inlineStr">
        <is>
          <t>Vila-rodona</t>
        </is>
      </c>
      <c r="C929" s="38" t="inlineStr">
        <is>
          <t>519</t>
        </is>
      </c>
      <c r="D929" s="38" t="inlineStr">
        <is>
          <t>326</t>
        </is>
      </c>
      <c r="E929" s="38" t="inlineStr">
        <is>
          <t>845</t>
        </is>
      </c>
      <c r="F929" s="38" t="inlineStr">
        <is>
          <t>0</t>
        </is>
      </c>
      <c r="G929" s="38" t="inlineStr">
        <is>
          <t>845</t>
        </is>
      </c>
      <c r="H929" s="38" t="inlineStr">
        <is>
          <t>0</t>
        </is>
      </c>
    </row>
    <row r="930" ht="15" customHeight="1" s="39">
      <c r="A930" s="42" t="inlineStr">
        <is>
          <t>172305</t>
        </is>
      </c>
      <c r="B930" s="38" t="inlineStr">
        <is>
          <t>Vila-sacra</t>
        </is>
      </c>
      <c r="C930" s="38" t="inlineStr">
        <is>
          <t>278</t>
        </is>
      </c>
      <c r="D930" s="38" t="inlineStr">
        <is>
          <t>21</t>
        </is>
      </c>
      <c r="E930" s="38" t="inlineStr">
        <is>
          <t>299</t>
        </is>
      </c>
      <c r="F930" s="38" t="inlineStr">
        <is>
          <t>0</t>
        </is>
      </c>
      <c r="G930" s="38" t="inlineStr">
        <is>
          <t>299</t>
        </is>
      </c>
      <c r="H930" s="38" t="inlineStr">
        <is>
          <t>0</t>
        </is>
      </c>
    </row>
    <row r="931" ht="15" customHeight="1" s="39">
      <c r="A931" s="42" t="inlineStr">
        <is>
          <t>252521</t>
        </is>
      </c>
      <c r="B931" s="38" t="inlineStr">
        <is>
          <t>Vila-sana</t>
        </is>
      </c>
      <c r="C931" s="38" t="inlineStr">
        <is>
          <t>281</t>
        </is>
      </c>
      <c r="D931" s="38" t="inlineStr">
        <is>
          <t>60</t>
        </is>
      </c>
      <c r="E931" s="38" t="inlineStr">
        <is>
          <t>341</t>
        </is>
      </c>
      <c r="F931" s="38" t="inlineStr">
        <is>
          <t>0</t>
        </is>
      </c>
      <c r="G931" s="38" t="inlineStr">
        <is>
          <t>341</t>
        </is>
      </c>
      <c r="H931" s="38" t="inlineStr">
        <is>
          <t>0</t>
        </is>
      </c>
    </row>
    <row r="932" ht="15" customHeight="1" s="39">
      <c r="A932" s="42" t="inlineStr">
        <is>
          <t>431711</t>
        </is>
      </c>
      <c r="B932" s="38" t="inlineStr">
        <is>
          <t>Vila-seca</t>
        </is>
      </c>
      <c r="C932" s="38" t="inlineStr">
        <is>
          <t>8725</t>
        </is>
      </c>
      <c r="D932" s="38" t="inlineStr">
        <is>
          <t>8692</t>
        </is>
      </c>
      <c r="E932" s="38" t="inlineStr">
        <is>
          <t>17417</t>
        </is>
      </c>
      <c r="F932" s="38" t="inlineStr">
        <is>
          <t>0</t>
        </is>
      </c>
      <c r="G932" s="38" t="inlineStr">
        <is>
          <t>17417</t>
        </is>
      </c>
      <c r="H932" s="38" t="inlineStr">
        <is>
          <t>2</t>
        </is>
      </c>
    </row>
    <row r="933" ht="15" customHeight="1" s="39">
      <c r="A933" s="42" t="inlineStr">
        <is>
          <t>082140</t>
        </is>
      </c>
      <c r="B933" s="38" t="inlineStr">
        <is>
          <t>Vilassar de Dalt</t>
        </is>
      </c>
      <c r="C933" s="38" t="inlineStr">
        <is>
          <t>3334</t>
        </is>
      </c>
      <c r="D933" s="38" t="inlineStr">
        <is>
          <t>724</t>
        </is>
      </c>
      <c r="E933" s="38" t="inlineStr">
        <is>
          <t>4058</t>
        </is>
      </c>
      <c r="F933" s="38" t="inlineStr">
        <is>
          <t>0</t>
        </is>
      </c>
      <c r="G933" s="38" t="inlineStr">
        <is>
          <t>4058</t>
        </is>
      </c>
      <c r="H933" s="38" t="inlineStr">
        <is>
          <t>4</t>
        </is>
      </c>
    </row>
    <row r="934" ht="15" customHeight="1" s="39">
      <c r="A934" s="42" t="inlineStr">
        <is>
          <t>082191</t>
        </is>
      </c>
      <c r="B934" s="38" t="inlineStr">
        <is>
          <t>Vilassar de Mar</t>
        </is>
      </c>
      <c r="C934" s="38" t="inlineStr">
        <is>
          <t>7998</t>
        </is>
      </c>
      <c r="D934" s="38" t="inlineStr">
        <is>
          <t>2188</t>
        </is>
      </c>
      <c r="E934" s="38" t="inlineStr">
        <is>
          <t>10186</t>
        </is>
      </c>
      <c r="F934" s="38" t="inlineStr">
        <is>
          <t>0</t>
        </is>
      </c>
      <c r="G934" s="38" t="inlineStr">
        <is>
          <t>10186</t>
        </is>
      </c>
      <c r="H934" s="38" t="inlineStr">
        <is>
          <t>8</t>
        </is>
      </c>
    </row>
    <row r="935" ht="15" customHeight="1" s="39">
      <c r="A935" s="42" t="inlineStr">
        <is>
          <t>172229</t>
        </is>
      </c>
      <c r="B935" s="38" t="inlineStr">
        <is>
          <t>Vilaür</t>
        </is>
      </c>
      <c r="C935" s="38" t="inlineStr">
        <is>
          <t>58</t>
        </is>
      </c>
      <c r="D935" s="38" t="inlineStr">
        <is>
          <t>54</t>
        </is>
      </c>
      <c r="E935" s="38" t="inlineStr">
        <is>
          <t>112</t>
        </is>
      </c>
      <c r="F935" s="38" t="inlineStr">
        <is>
          <t>0</t>
        </is>
      </c>
      <c r="G935" s="38" t="inlineStr">
        <is>
          <t>112</t>
        </is>
      </c>
      <c r="H935" s="38" t="inlineStr">
        <is>
          <t>0</t>
        </is>
      </c>
    </row>
    <row r="936" ht="15" customHeight="1" s="39">
      <c r="A936" s="42" t="inlineStr">
        <is>
          <t>431726</t>
        </is>
      </c>
      <c r="B936" s="38" t="inlineStr">
        <is>
          <t>Vilaverd</t>
        </is>
      </c>
      <c r="C936" s="38" t="inlineStr">
        <is>
          <t>181</t>
        </is>
      </c>
      <c r="D936" s="38" t="inlineStr">
        <is>
          <t>151</t>
        </is>
      </c>
      <c r="E936" s="38" t="inlineStr">
        <is>
          <t>332</t>
        </is>
      </c>
      <c r="F936" s="38" t="inlineStr">
        <is>
          <t>0</t>
        </is>
      </c>
      <c r="G936" s="38" t="inlineStr">
        <is>
          <t>332</t>
        </is>
      </c>
      <c r="H936" s="38" t="inlineStr">
        <is>
          <t>0</t>
        </is>
      </c>
    </row>
    <row r="937" ht="15" customHeight="1" s="39">
      <c r="A937" s="42" t="inlineStr">
        <is>
          <t>431732</t>
        </is>
      </c>
      <c r="B937" s="38" t="inlineStr">
        <is>
          <t>Vilella Alta, la</t>
        </is>
      </c>
      <c r="C937" s="38" t="inlineStr">
        <is>
          <t>50</t>
        </is>
      </c>
      <c r="D937" s="38" t="inlineStr">
        <is>
          <t>66</t>
        </is>
      </c>
      <c r="E937" s="38" t="inlineStr">
        <is>
          <t>116</t>
        </is>
      </c>
      <c r="F937" s="38" t="inlineStr">
        <is>
          <t>0</t>
        </is>
      </c>
      <c r="G937" s="38" t="inlineStr">
        <is>
          <t>116</t>
        </is>
      </c>
      <c r="H937" s="38" t="inlineStr">
        <is>
          <t>0</t>
        </is>
      </c>
    </row>
    <row r="938" ht="15" customHeight="1" s="39">
      <c r="A938" s="42" t="inlineStr">
        <is>
          <t>431747</t>
        </is>
      </c>
      <c r="B938" s="38" t="inlineStr">
        <is>
          <t>Vilella Baixa, la</t>
        </is>
      </c>
      <c r="C938" s="38" t="inlineStr">
        <is>
          <t>95</t>
        </is>
      </c>
      <c r="D938" s="38" t="inlineStr">
        <is>
          <t>131</t>
        </is>
      </c>
      <c r="E938" s="38" t="inlineStr">
        <is>
          <t>226</t>
        </is>
      </c>
      <c r="F938" s="38" t="inlineStr">
        <is>
          <t>0</t>
        </is>
      </c>
      <c r="G938" s="38" t="inlineStr">
        <is>
          <t>226</t>
        </is>
      </c>
      <c r="H938" s="38" t="inlineStr">
        <is>
          <t>0</t>
        </is>
      </c>
    </row>
    <row r="939" ht="15" customHeight="1" s="39">
      <c r="A939" s="42" t="inlineStr">
        <is>
          <t>172333</t>
        </is>
      </c>
      <c r="B939" s="38" t="inlineStr">
        <is>
          <t>Vilobí d'Onyar</t>
        </is>
      </c>
      <c r="C939" s="38" t="inlineStr">
        <is>
          <t>1161</t>
        </is>
      </c>
      <c r="D939" s="38" t="inlineStr">
        <is>
          <t>185</t>
        </is>
      </c>
      <c r="E939" s="38" t="inlineStr">
        <is>
          <t>1346</t>
        </is>
      </c>
      <c r="F939" s="38" t="inlineStr">
        <is>
          <t>0</t>
        </is>
      </c>
      <c r="G939" s="38" t="inlineStr">
        <is>
          <t>1346</t>
        </is>
      </c>
      <c r="H939" s="38" t="inlineStr">
        <is>
          <t>0</t>
        </is>
      </c>
    </row>
    <row r="940" ht="15" customHeight="1" s="39">
      <c r="A940" s="42" t="inlineStr">
        <is>
          <t>083041</t>
        </is>
      </c>
      <c r="B940" s="38" t="inlineStr">
        <is>
          <t>Vilobí del Penedès</t>
        </is>
      </c>
      <c r="C940" s="38" t="inlineStr">
        <is>
          <t>388</t>
        </is>
      </c>
      <c r="D940" s="38" t="inlineStr">
        <is>
          <t>104</t>
        </is>
      </c>
      <c r="E940" s="38" t="inlineStr">
        <is>
          <t>492</t>
        </is>
      </c>
      <c r="F940" s="38" t="inlineStr">
        <is>
          <t>0</t>
        </is>
      </c>
      <c r="G940" s="38" t="inlineStr">
        <is>
          <t>492</t>
        </is>
      </c>
      <c r="H940" s="38" t="inlineStr">
        <is>
          <t>1</t>
        </is>
      </c>
    </row>
    <row r="941" ht="15" customHeight="1" s="39">
      <c r="A941" s="42" t="inlineStr">
        <is>
          <t>172327</t>
        </is>
      </c>
      <c r="B941" s="38" t="inlineStr">
        <is>
          <t>Vilopriu</t>
        </is>
      </c>
      <c r="C941" s="38" t="inlineStr">
        <is>
          <t>96</t>
        </is>
      </c>
      <c r="D941" s="38" t="inlineStr">
        <is>
          <t>120</t>
        </is>
      </c>
      <c r="E941" s="38" t="inlineStr">
        <is>
          <t>216</t>
        </is>
      </c>
      <c r="F941" s="38" t="inlineStr">
        <is>
          <t>0</t>
        </is>
      </c>
      <c r="G941" s="38" t="inlineStr">
        <is>
          <t>216</t>
        </is>
      </c>
      <c r="H941" s="38" t="inlineStr">
        <is>
          <t>0</t>
        </is>
      </c>
    </row>
    <row r="942" ht="15" customHeight="1" s="39">
      <c r="A942" s="42" t="inlineStr">
        <is>
          <t>252537</t>
        </is>
      </c>
      <c r="B942" s="38" t="inlineStr">
        <is>
          <t>Vilosell, el</t>
        </is>
      </c>
      <c r="C942" s="38" t="inlineStr">
        <is>
          <t>90</t>
        </is>
      </c>
      <c r="D942" s="38" t="inlineStr">
        <is>
          <t>149</t>
        </is>
      </c>
      <c r="E942" s="38" t="inlineStr">
        <is>
          <t>239</t>
        </is>
      </c>
      <c r="F942" s="38" t="inlineStr">
        <is>
          <t>0</t>
        </is>
      </c>
      <c r="G942" s="38" t="inlineStr">
        <is>
          <t>239</t>
        </is>
      </c>
      <c r="H942" s="38" t="inlineStr">
        <is>
          <t>0</t>
        </is>
      </c>
    </row>
    <row r="943" ht="15" customHeight="1" s="39">
      <c r="A943" s="42" t="inlineStr">
        <is>
          <t>431763</t>
        </is>
      </c>
      <c r="B943" s="38" t="inlineStr">
        <is>
          <t>Vimbodí i Poblet</t>
        </is>
      </c>
      <c r="C943" s="38" t="inlineStr">
        <is>
          <t>362</t>
        </is>
      </c>
      <c r="D943" s="38" t="inlineStr">
        <is>
          <t>360</t>
        </is>
      </c>
      <c r="E943" s="38" t="inlineStr">
        <is>
          <t>722</t>
        </is>
      </c>
      <c r="F943" s="38" t="inlineStr">
        <is>
          <t>0</t>
        </is>
      </c>
      <c r="G943" s="38" t="inlineStr">
        <is>
          <t>722</t>
        </is>
      </c>
      <c r="H943" s="38" t="inlineStr">
        <is>
          <t>1</t>
        </is>
      </c>
    </row>
    <row r="944" ht="15" customHeight="1" s="39">
      <c r="A944" s="42" t="inlineStr">
        <is>
          <t>252555</t>
        </is>
      </c>
      <c r="B944" s="38" t="inlineStr">
        <is>
          <t>Vinaixa</t>
        </is>
      </c>
      <c r="C944" s="38" t="inlineStr">
        <is>
          <t>198</t>
        </is>
      </c>
      <c r="D944" s="38" t="inlineStr">
        <is>
          <t>183</t>
        </is>
      </c>
      <c r="E944" s="38" t="inlineStr">
        <is>
          <t>381</t>
        </is>
      </c>
      <c r="F944" s="38" t="inlineStr">
        <is>
          <t>0</t>
        </is>
      </c>
      <c r="G944" s="38" t="inlineStr">
        <is>
          <t>381</t>
        </is>
      </c>
      <c r="H944" s="38" t="inlineStr">
        <is>
          <t>0</t>
        </is>
      </c>
    </row>
    <row r="945" ht="15" customHeight="1" s="39">
      <c r="A945" s="42" t="inlineStr">
        <is>
          <t>431779</t>
        </is>
      </c>
      <c r="B945" s="38" t="inlineStr">
        <is>
          <t>Vinebre</t>
        </is>
      </c>
      <c r="C945" s="38" t="inlineStr">
        <is>
          <t>171</t>
        </is>
      </c>
      <c r="D945" s="38" t="inlineStr">
        <is>
          <t>153</t>
        </is>
      </c>
      <c r="E945" s="38" t="inlineStr">
        <is>
          <t>324</t>
        </is>
      </c>
      <c r="F945" s="38" t="inlineStr">
        <is>
          <t>0</t>
        </is>
      </c>
      <c r="G945" s="38" t="inlineStr">
        <is>
          <t>324</t>
        </is>
      </c>
      <c r="H945" s="38" t="inlineStr">
        <is>
          <t>0</t>
        </is>
      </c>
    </row>
    <row r="946" ht="15" customHeight="1" s="39">
      <c r="A946" s="42" t="inlineStr">
        <is>
          <t>431785</t>
        </is>
      </c>
      <c r="B946" s="38" t="inlineStr">
        <is>
          <t>Vinyols i els Arcs</t>
        </is>
      </c>
      <c r="C946" s="38" t="inlineStr">
        <is>
          <t>844</t>
        </is>
      </c>
      <c r="D946" s="38" t="inlineStr">
        <is>
          <t>686</t>
        </is>
      </c>
      <c r="E946" s="38" t="inlineStr">
        <is>
          <t>1530</t>
        </is>
      </c>
      <c r="F946" s="38" t="inlineStr">
        <is>
          <t>0</t>
        </is>
      </c>
      <c r="G946" s="38" t="inlineStr">
        <is>
          <t>1530</t>
        </is>
      </c>
      <c r="H946" s="38" t="inlineStr">
        <is>
          <t>1</t>
        </is>
      </c>
    </row>
    <row r="947" ht="15" customHeight="1" s="39">
      <c r="A947" s="42" t="inlineStr">
        <is>
          <t>083089</t>
        </is>
      </c>
      <c r="B947" s="38" t="inlineStr">
        <is>
          <t>Viver i Serrateix</t>
        </is>
      </c>
      <c r="C947" s="38" t="inlineStr">
        <is>
          <t>55</t>
        </is>
      </c>
      <c r="D947" s="38" t="inlineStr">
        <is>
          <t>40</t>
        </is>
      </c>
      <c r="E947" s="38" t="inlineStr">
        <is>
          <t>95</t>
        </is>
      </c>
      <c r="F947" s="38" t="inlineStr">
        <is>
          <t>0</t>
        </is>
      </c>
      <c r="G947" s="38" t="inlineStr">
        <is>
          <t>95</t>
        </is>
      </c>
      <c r="H947" s="38" t="inlineStr">
        <is>
          <t>0</t>
        </is>
      </c>
    </row>
    <row r="948" ht="15" customHeight="1" s="39">
      <c r="A948" s="42" t="inlineStr">
        <is>
          <t>430521</t>
        </is>
      </c>
      <c r="B948" s="38" t="inlineStr">
        <is>
          <t>Xerta</t>
        </is>
      </c>
      <c r="C948" s="38" t="inlineStr">
        <is>
          <t>486</t>
        </is>
      </c>
      <c r="D948" s="38" t="inlineStr">
        <is>
          <t>369</t>
        </is>
      </c>
      <c r="E948" s="38" t="inlineStr">
        <is>
          <t>855</t>
        </is>
      </c>
      <c r="F948" s="38" t="inlineStr">
        <is>
          <t>0</t>
        </is>
      </c>
      <c r="G948" s="38" t="inlineStr">
        <is>
          <t>855</t>
        </is>
      </c>
      <c r="H948" s="38" t="inlineStr">
        <is>
          <t>0</t>
        </is>
      </c>
    </row>
  </sheetData>
  <autoFilter ref="A1:H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42" customWidth="1" style="38" min="1" max="1"/>
    <col width="19" customWidth="1" style="38" min="2" max="2"/>
    <col width="39" customWidth="1" style="38" min="3" max="3"/>
    <col width="13" customWidth="1" style="38" min="4" max="4"/>
    <col width="19" customWidth="1" style="38" min="5" max="5"/>
    <col width="14" customWidth="1" style="38" min="6" max="6"/>
  </cols>
  <sheetData>
    <row r="1" ht="30.75" customHeight="1" s="39">
      <c r="A1" s="40" t="inlineStr">
        <is>
          <t>raw_municipality</t>
        </is>
      </c>
      <c r="B1" s="41" t="inlineStr">
        <is>
          <t>municipality_code</t>
        </is>
      </c>
      <c r="C1" s="40" t="inlineStr">
        <is>
          <t>municipality_name</t>
        </is>
      </c>
      <c r="D1" s="41" t="inlineStr">
        <is>
          <t>county_code</t>
        </is>
      </c>
      <c r="E1" s="40" t="inlineStr">
        <is>
          <t>county_name</t>
        </is>
      </c>
      <c r="F1" s="40" t="inlineStr">
        <is>
          <t>import_notes</t>
        </is>
      </c>
    </row>
    <row r="2" ht="15" customHeight="1" s="39">
      <c r="A2" s="38" t="inlineStr">
        <is>
          <t>[250019] Abella de la Conca</t>
        </is>
      </c>
      <c r="B2" s="42" t="inlineStr">
        <is>
          <t>250019</t>
        </is>
      </c>
      <c r="C2" s="38" t="inlineStr">
        <is>
          <t>Abella de la Conca</t>
        </is>
      </c>
      <c r="D2" s="42" t="inlineStr">
        <is>
          <t>25</t>
        </is>
      </c>
      <c r="E2" s="38" t="inlineStr">
        <is>
          <t>Pallars Jussà</t>
        </is>
      </c>
    </row>
    <row r="3" ht="15" customHeight="1" s="39">
      <c r="A3" s="38" t="inlineStr">
        <is>
          <t>[080018] Abrera</t>
        </is>
      </c>
      <c r="B3" s="42" t="inlineStr">
        <is>
          <t>080018</t>
        </is>
      </c>
      <c r="C3" s="38" t="inlineStr">
        <is>
          <t>Abrera</t>
        </is>
      </c>
      <c r="D3" s="42" t="inlineStr">
        <is>
          <t>11</t>
        </is>
      </c>
      <c r="E3" s="38" t="inlineStr">
        <is>
          <t>Baix Llobregat</t>
        </is>
      </c>
    </row>
    <row r="4" ht="15" customHeight="1" s="39">
      <c r="A4" s="38" t="inlineStr">
        <is>
          <t>[250024] Àger</t>
        </is>
      </c>
      <c r="B4" s="42" t="inlineStr">
        <is>
          <t>250024</t>
        </is>
      </c>
      <c r="C4" s="38" t="inlineStr">
        <is>
          <t>Àger</t>
        </is>
      </c>
      <c r="D4" s="42" t="inlineStr">
        <is>
          <t>23</t>
        </is>
      </c>
      <c r="E4" s="38" t="inlineStr">
        <is>
          <t>Noguera</t>
        </is>
      </c>
    </row>
    <row r="5" ht="15" customHeight="1" s="39">
      <c r="A5" s="38" t="inlineStr">
        <is>
          <t>[250030] Agramunt</t>
        </is>
      </c>
      <c r="B5" s="42" t="inlineStr">
        <is>
          <t>250030</t>
        </is>
      </c>
      <c r="C5" s="38" t="inlineStr">
        <is>
          <t>Agramunt</t>
        </is>
      </c>
      <c r="D5" s="42" t="inlineStr">
        <is>
          <t>38</t>
        </is>
      </c>
      <c r="E5" s="38" t="inlineStr">
        <is>
          <t>Urgell</t>
        </is>
      </c>
    </row>
    <row r="6" ht="15" customHeight="1" s="39">
      <c r="A6" s="38" t="inlineStr">
        <is>
          <t>[080023] Aguilar de Segarra</t>
        </is>
      </c>
      <c r="B6" s="42" t="inlineStr">
        <is>
          <t>080023</t>
        </is>
      </c>
      <c r="C6" s="38" t="inlineStr">
        <is>
          <t>Aguilar de Segarra</t>
        </is>
      </c>
      <c r="D6" s="42" t="inlineStr">
        <is>
          <t>07</t>
        </is>
      </c>
      <c r="E6" s="38" t="inlineStr">
        <is>
          <t>Bages</t>
        </is>
      </c>
    </row>
    <row r="7" ht="15" customHeight="1" s="39">
      <c r="A7" s="38" t="inlineStr">
        <is>
          <t>[170010] Agullana</t>
        </is>
      </c>
      <c r="B7" s="42" t="inlineStr">
        <is>
          <t>170010</t>
        </is>
      </c>
      <c r="C7" s="38" t="inlineStr">
        <is>
          <t>Agullana</t>
        </is>
      </c>
      <c r="D7" s="42" t="inlineStr">
        <is>
          <t>02</t>
        </is>
      </c>
      <c r="E7" s="38" t="inlineStr">
        <is>
          <t>Alt Empordà</t>
        </is>
      </c>
    </row>
    <row r="8" ht="15" customHeight="1" s="39">
      <c r="A8" s="38" t="inlineStr">
        <is>
          <t>[080142] Aiguafreda</t>
        </is>
      </c>
      <c r="B8" s="42" t="inlineStr">
        <is>
          <t>080142</t>
        </is>
      </c>
      <c r="C8" s="38" t="inlineStr">
        <is>
          <t>Aiguafreda</t>
        </is>
      </c>
      <c r="D8" s="42" t="inlineStr">
        <is>
          <t>24</t>
        </is>
      </c>
      <c r="E8" s="38" t="inlineStr">
        <is>
          <t>Osona</t>
        </is>
      </c>
    </row>
    <row r="9" ht="15" customHeight="1" s="39">
      <c r="A9" s="38" t="inlineStr">
        <is>
          <t>[430017] Aiguamúrcia</t>
        </is>
      </c>
      <c r="B9" s="42" t="inlineStr">
        <is>
          <t>430017</t>
        </is>
      </c>
      <c r="C9" s="38" t="inlineStr">
        <is>
          <t>Aiguamúrcia</t>
        </is>
      </c>
      <c r="D9" s="42" t="inlineStr">
        <is>
          <t>01</t>
        </is>
      </c>
      <c r="E9" s="38" t="inlineStr">
        <is>
          <t>Alt Camp</t>
        </is>
      </c>
    </row>
    <row r="10" ht="15" customHeight="1" s="39">
      <c r="A10" s="38" t="inlineStr">
        <is>
          <t>[170025] Aiguaviva</t>
        </is>
      </c>
      <c r="B10" s="42" t="inlineStr">
        <is>
          <t>170025</t>
        </is>
      </c>
      <c r="C10" s="38" t="inlineStr">
        <is>
          <t>Aiguaviva</t>
        </is>
      </c>
      <c r="D10" s="42" t="inlineStr">
        <is>
          <t>20</t>
        </is>
      </c>
      <c r="E10" s="38" t="inlineStr">
        <is>
          <t>Gironès</t>
        </is>
      </c>
    </row>
    <row r="11" ht="15" customHeight="1" s="39">
      <c r="A11" s="38" t="inlineStr">
        <is>
          <t>[250387] Aitona</t>
        </is>
      </c>
      <c r="B11" s="42" t="inlineStr">
        <is>
          <t>250387</t>
        </is>
      </c>
      <c r="C11" s="38" t="inlineStr">
        <is>
          <t>Aitona</t>
        </is>
      </c>
      <c r="D11" s="42" t="inlineStr">
        <is>
          <t>33</t>
        </is>
      </c>
      <c r="E11" s="38" t="inlineStr">
        <is>
          <t>Segrià</t>
        </is>
      </c>
    </row>
    <row r="12" ht="15" customHeight="1" s="39">
      <c r="A12" s="38" t="inlineStr">
        <is>
          <t>[250045] Alamús, els</t>
        </is>
      </c>
      <c r="B12" s="42" t="inlineStr">
        <is>
          <t>250045</t>
        </is>
      </c>
      <c r="C12" s="38" t="inlineStr">
        <is>
          <t>Alamús, els</t>
        </is>
      </c>
      <c r="D12" s="42" t="inlineStr">
        <is>
          <t>33</t>
        </is>
      </c>
      <c r="E12" s="38" t="inlineStr">
        <is>
          <t>Segrià</t>
        </is>
      </c>
    </row>
    <row r="13" ht="15" customHeight="1" s="39">
      <c r="A13" s="38" t="inlineStr">
        <is>
          <t>[250058] Alàs i Cerc</t>
        </is>
      </c>
      <c r="B13" s="42" t="inlineStr">
        <is>
          <t>250058</t>
        </is>
      </c>
      <c r="C13" s="38" t="inlineStr">
        <is>
          <t>Alàs i Cerc</t>
        </is>
      </c>
      <c r="D13" s="42" t="inlineStr">
        <is>
          <t>04</t>
        </is>
      </c>
      <c r="E13" s="38" t="inlineStr">
        <is>
          <t>Alt Urgell</t>
        </is>
      </c>
    </row>
    <row r="14" ht="15" customHeight="1" s="39">
      <c r="A14" s="38" t="inlineStr">
        <is>
          <t>[250061] Albagés, l'</t>
        </is>
      </c>
      <c r="B14" s="42" t="inlineStr">
        <is>
          <t>250061</t>
        </is>
      </c>
      <c r="C14" s="38" t="inlineStr">
        <is>
          <t>Albagés, l'</t>
        </is>
      </c>
      <c r="D14" s="42" t="inlineStr">
        <is>
          <t>18</t>
        </is>
      </c>
      <c r="E14" s="38" t="inlineStr">
        <is>
          <t>Garrigues</t>
        </is>
      </c>
    </row>
    <row r="15" ht="15" customHeight="1" s="39">
      <c r="A15" s="38" t="inlineStr">
        <is>
          <t>[170031] Albanyà</t>
        </is>
      </c>
      <c r="B15" s="42" t="inlineStr">
        <is>
          <t>170031</t>
        </is>
      </c>
      <c r="C15" s="38" t="inlineStr">
        <is>
          <t>Albanyà</t>
        </is>
      </c>
      <c r="D15" s="42" t="inlineStr">
        <is>
          <t>02</t>
        </is>
      </c>
      <c r="E15" s="38" t="inlineStr">
        <is>
          <t>Alt Empordà</t>
        </is>
      </c>
    </row>
    <row r="16" ht="15" customHeight="1" s="39">
      <c r="A16" s="38" t="inlineStr">
        <is>
          <t>[250077] Albatàrrec</t>
        </is>
      </c>
      <c r="B16" s="42" t="inlineStr">
        <is>
          <t>250077</t>
        </is>
      </c>
      <c r="C16" s="38" t="inlineStr">
        <is>
          <t>Albatàrrec</t>
        </is>
      </c>
      <c r="D16" s="42" t="inlineStr">
        <is>
          <t>33</t>
        </is>
      </c>
      <c r="E16" s="38" t="inlineStr">
        <is>
          <t>Segrià</t>
        </is>
      </c>
    </row>
    <row r="17" ht="15" customHeight="1" s="39">
      <c r="A17" s="38" t="inlineStr">
        <is>
          <t>[250083] Albesa</t>
        </is>
      </c>
      <c r="B17" s="42" t="inlineStr">
        <is>
          <t>250083</t>
        </is>
      </c>
      <c r="C17" s="38" t="inlineStr">
        <is>
          <t>Albesa</t>
        </is>
      </c>
      <c r="D17" s="42" t="inlineStr">
        <is>
          <t>23</t>
        </is>
      </c>
      <c r="E17" s="38" t="inlineStr">
        <is>
          <t>Noguera</t>
        </is>
      </c>
    </row>
    <row r="18" ht="15" customHeight="1" s="39">
      <c r="A18" s="38" t="inlineStr">
        <is>
          <t>[250096] Albi, l'</t>
        </is>
      </c>
      <c r="B18" s="42" t="inlineStr">
        <is>
          <t>250096</t>
        </is>
      </c>
      <c r="C18" s="38" t="inlineStr">
        <is>
          <t>Albi, l'</t>
        </is>
      </c>
      <c r="D18" s="42" t="inlineStr">
        <is>
          <t>18</t>
        </is>
      </c>
      <c r="E18" s="38" t="inlineStr">
        <is>
          <t>Garrigues</t>
        </is>
      </c>
    </row>
    <row r="19" ht="15" customHeight="1" s="39">
      <c r="A19" s="38" t="inlineStr">
        <is>
          <t>[430022] Albinyana</t>
        </is>
      </c>
      <c r="B19" s="42" t="inlineStr">
        <is>
          <t>430022</t>
        </is>
      </c>
      <c r="C19" s="38" t="inlineStr">
        <is>
          <t>Albinyana</t>
        </is>
      </c>
      <c r="D19" s="42" t="inlineStr">
        <is>
          <t>12</t>
        </is>
      </c>
      <c r="E19" s="38" t="inlineStr">
        <is>
          <t>Baix Penedès</t>
        </is>
      </c>
    </row>
    <row r="20" ht="15" customHeight="1" s="39">
      <c r="A20" s="38" t="inlineStr">
        <is>
          <t>[430038] Albiol, l'</t>
        </is>
      </c>
      <c r="B20" s="42" t="inlineStr">
        <is>
          <t>430038</t>
        </is>
      </c>
      <c r="C20" s="38" t="inlineStr">
        <is>
          <t>Albiol, l'</t>
        </is>
      </c>
      <c r="D20" s="42" t="inlineStr">
        <is>
          <t>08</t>
        </is>
      </c>
      <c r="E20" s="38" t="inlineStr">
        <is>
          <t>Baix Camp</t>
        </is>
      </c>
    </row>
    <row r="21" ht="15" customHeight="1" s="39">
      <c r="A21" s="38" t="inlineStr">
        <is>
          <t>[170046] Albons</t>
        </is>
      </c>
      <c r="B21" s="42" t="inlineStr">
        <is>
          <t>170046</t>
        </is>
      </c>
      <c r="C21" s="38" t="inlineStr">
        <is>
          <t>Albons</t>
        </is>
      </c>
      <c r="D21" s="42" t="inlineStr">
        <is>
          <t>10</t>
        </is>
      </c>
      <c r="E21" s="38" t="inlineStr">
        <is>
          <t>Baix Empordà</t>
        </is>
      </c>
    </row>
    <row r="22" ht="15" customHeight="1" s="39">
      <c r="A22" s="38" t="inlineStr">
        <is>
          <t>[430043] Alcanar</t>
        </is>
      </c>
      <c r="B22" s="42" t="inlineStr">
        <is>
          <t>430043</t>
        </is>
      </c>
      <c r="C22" s="38" t="inlineStr">
        <is>
          <t>Alcanar</t>
        </is>
      </c>
      <c r="D22" s="42" t="inlineStr">
        <is>
          <t>22</t>
        </is>
      </c>
      <c r="E22" s="38" t="inlineStr">
        <is>
          <t>Montsià</t>
        </is>
      </c>
    </row>
    <row r="23" ht="15" customHeight="1" s="39">
      <c r="A23" s="38" t="inlineStr">
        <is>
          <t>[250100] Alcanó</t>
        </is>
      </c>
      <c r="B23" s="42" t="inlineStr">
        <is>
          <t>250100</t>
        </is>
      </c>
      <c r="C23" s="38" t="inlineStr">
        <is>
          <t>Alcanó</t>
        </is>
      </c>
      <c r="D23" s="42" t="inlineStr">
        <is>
          <t>33</t>
        </is>
      </c>
      <c r="E23" s="38" t="inlineStr">
        <is>
          <t>Segrià</t>
        </is>
      </c>
    </row>
    <row r="24" ht="15" customHeight="1" s="39">
      <c r="A24" s="38" t="inlineStr">
        <is>
          <t>[250117] Alcarràs</t>
        </is>
      </c>
      <c r="B24" s="42" t="inlineStr">
        <is>
          <t>250117</t>
        </is>
      </c>
      <c r="C24" s="38" t="inlineStr">
        <is>
          <t>Alcarràs</t>
        </is>
      </c>
      <c r="D24" s="42" t="inlineStr">
        <is>
          <t>33</t>
        </is>
      </c>
      <c r="E24" s="38" t="inlineStr">
        <is>
          <t>Segrià</t>
        </is>
      </c>
    </row>
    <row r="25" ht="15" customHeight="1" s="39">
      <c r="A25" s="38" t="inlineStr">
        <is>
          <t>[250122] Alcoletge</t>
        </is>
      </c>
      <c r="B25" s="42" t="inlineStr">
        <is>
          <t>250122</t>
        </is>
      </c>
      <c r="C25" s="38" t="inlineStr">
        <is>
          <t>Alcoletge</t>
        </is>
      </c>
      <c r="D25" s="42" t="inlineStr">
        <is>
          <t>33</t>
        </is>
      </c>
      <c r="E25" s="38" t="inlineStr">
        <is>
          <t>Segrià</t>
        </is>
      </c>
    </row>
    <row r="26" ht="15" customHeight="1" s="39">
      <c r="A26" s="38" t="inlineStr">
        <is>
          <t>[430056] Alcover</t>
        </is>
      </c>
      <c r="B26" s="42" t="inlineStr">
        <is>
          <t>430056</t>
        </is>
      </c>
      <c r="C26" s="38" t="inlineStr">
        <is>
          <t>Alcover</t>
        </is>
      </c>
      <c r="D26" s="42" t="inlineStr">
        <is>
          <t>01</t>
        </is>
      </c>
      <c r="E26" s="38" t="inlineStr">
        <is>
          <t>Alt Camp</t>
        </is>
      </c>
    </row>
    <row r="27" ht="15" customHeight="1" s="39">
      <c r="A27" s="38" t="inlineStr">
        <is>
          <t>[439044] Aldea, l'</t>
        </is>
      </c>
      <c r="B27" s="42" t="inlineStr">
        <is>
          <t>439044</t>
        </is>
      </c>
      <c r="C27" s="38" t="inlineStr">
        <is>
          <t>Aldea, l'</t>
        </is>
      </c>
      <c r="D27" s="42" t="inlineStr">
        <is>
          <t>09</t>
        </is>
      </c>
      <c r="E27" s="38" t="inlineStr">
        <is>
          <t>Baix Ebre</t>
        </is>
      </c>
    </row>
    <row r="28" ht="15" customHeight="1" s="39">
      <c r="A28" s="38" t="inlineStr">
        <is>
          <t>[430069] Aldover</t>
        </is>
      </c>
      <c r="B28" s="42" t="inlineStr">
        <is>
          <t>430069</t>
        </is>
      </c>
      <c r="C28" s="38" t="inlineStr">
        <is>
          <t>Aldover</t>
        </is>
      </c>
      <c r="D28" s="42" t="inlineStr">
        <is>
          <t>09</t>
        </is>
      </c>
      <c r="E28" s="38" t="inlineStr">
        <is>
          <t>Baix Ebre</t>
        </is>
      </c>
    </row>
    <row r="29" ht="15" customHeight="1" s="39">
      <c r="A29" s="38" t="inlineStr">
        <is>
          <t>[430075] Aleixar, l'</t>
        </is>
      </c>
      <c r="B29" s="42" t="inlineStr">
        <is>
          <t>430075</t>
        </is>
      </c>
      <c r="C29" s="38" t="inlineStr">
        <is>
          <t>Aleixar, l'</t>
        </is>
      </c>
      <c r="D29" s="42" t="inlineStr">
        <is>
          <t>08</t>
        </is>
      </c>
      <c r="E29" s="38" t="inlineStr">
        <is>
          <t>Baix Camp</t>
        </is>
      </c>
    </row>
    <row r="30" ht="15" customHeight="1" s="39">
      <c r="A30" s="38" t="inlineStr">
        <is>
          <t>[080039] Alella</t>
        </is>
      </c>
      <c r="B30" s="42" t="inlineStr">
        <is>
          <t>080039</t>
        </is>
      </c>
      <c r="C30" s="38" t="inlineStr">
        <is>
          <t>Alella</t>
        </is>
      </c>
      <c r="D30" s="42" t="inlineStr">
        <is>
          <t>21</t>
        </is>
      </c>
      <c r="E30" s="38" t="inlineStr">
        <is>
          <t>Maresme</t>
        </is>
      </c>
    </row>
    <row r="31" ht="15" customHeight="1" s="39">
      <c r="A31" s="38" t="inlineStr">
        <is>
          <t>[430081] Alfara de Carles</t>
        </is>
      </c>
      <c r="B31" s="42" t="inlineStr">
        <is>
          <t>430081</t>
        </is>
      </c>
      <c r="C31" s="38" t="inlineStr">
        <is>
          <t>Alfara de Carles</t>
        </is>
      </c>
      <c r="D31" s="42" t="inlineStr">
        <is>
          <t>09</t>
        </is>
      </c>
      <c r="E31" s="38" t="inlineStr">
        <is>
          <t>Baix Ebre</t>
        </is>
      </c>
    </row>
    <row r="32" ht="15" customHeight="1" s="39">
      <c r="A32" s="38" t="inlineStr">
        <is>
          <t>[250138] Alfarràs</t>
        </is>
      </c>
      <c r="B32" s="42" t="inlineStr">
        <is>
          <t>250138</t>
        </is>
      </c>
      <c r="C32" s="38" t="inlineStr">
        <is>
          <t>Alfarràs</t>
        </is>
      </c>
      <c r="D32" s="42" t="inlineStr">
        <is>
          <t>33</t>
        </is>
      </c>
      <c r="E32" s="38" t="inlineStr">
        <is>
          <t>Segrià</t>
        </is>
      </c>
    </row>
    <row r="33" ht="15" customHeight="1" s="39">
      <c r="A33" s="38" t="inlineStr">
        <is>
          <t>[250143] Alfés</t>
        </is>
      </c>
      <c r="B33" s="42" t="inlineStr">
        <is>
          <t>250143</t>
        </is>
      </c>
      <c r="C33" s="38" t="inlineStr">
        <is>
          <t>Alfés</t>
        </is>
      </c>
      <c r="D33" s="42" t="inlineStr">
        <is>
          <t>33</t>
        </is>
      </c>
      <c r="E33" s="38" t="inlineStr">
        <is>
          <t>Segrià</t>
        </is>
      </c>
    </row>
    <row r="34" ht="15" customHeight="1" s="39">
      <c r="A34" s="38" t="inlineStr">
        <is>
          <t>[430094] Alforja</t>
        </is>
      </c>
      <c r="B34" s="42" t="inlineStr">
        <is>
          <t>430094</t>
        </is>
      </c>
      <c r="C34" s="38" t="inlineStr">
        <is>
          <t>Alforja</t>
        </is>
      </c>
      <c r="D34" s="42" t="inlineStr">
        <is>
          <t>08</t>
        </is>
      </c>
      <c r="E34" s="38" t="inlineStr">
        <is>
          <t>Baix Camp</t>
        </is>
      </c>
    </row>
    <row r="35" ht="15" customHeight="1" s="39">
      <c r="A35" s="38" t="inlineStr">
        <is>
          <t>[250156] Algerri</t>
        </is>
      </c>
      <c r="B35" s="42" t="inlineStr">
        <is>
          <t>250156</t>
        </is>
      </c>
      <c r="C35" s="38" t="inlineStr">
        <is>
          <t>Algerri</t>
        </is>
      </c>
      <c r="D35" s="42" t="inlineStr">
        <is>
          <t>23</t>
        </is>
      </c>
      <c r="E35" s="38" t="inlineStr">
        <is>
          <t>Noguera</t>
        </is>
      </c>
    </row>
    <row r="36" ht="15" customHeight="1" s="39">
      <c r="A36" s="38" t="inlineStr">
        <is>
          <t>[250169] Alguaire</t>
        </is>
      </c>
      <c r="B36" s="42" t="inlineStr">
        <is>
          <t>250169</t>
        </is>
      </c>
      <c r="C36" s="38" t="inlineStr">
        <is>
          <t>Alguaire</t>
        </is>
      </c>
      <c r="D36" s="42" t="inlineStr">
        <is>
          <t>33</t>
        </is>
      </c>
      <c r="E36" s="38" t="inlineStr">
        <is>
          <t>Segrià</t>
        </is>
      </c>
    </row>
    <row r="37" ht="15" customHeight="1" s="39">
      <c r="A37" s="38" t="inlineStr">
        <is>
          <t>[250175] Alins</t>
        </is>
      </c>
      <c r="B37" s="42" t="inlineStr">
        <is>
          <t>250175</t>
        </is>
      </c>
      <c r="C37" s="38" t="inlineStr">
        <is>
          <t>Alins</t>
        </is>
      </c>
      <c r="D37" s="42" t="inlineStr">
        <is>
          <t>26</t>
        </is>
      </c>
      <c r="E37" s="38" t="inlineStr">
        <is>
          <t>Pallars Sobirà</t>
        </is>
      </c>
    </row>
    <row r="38" ht="15" customHeight="1" s="39">
      <c r="A38" s="38" t="inlineStr">
        <is>
          <t>[430108] Alió</t>
        </is>
      </c>
      <c r="B38" s="42" t="inlineStr">
        <is>
          <t>430108</t>
        </is>
      </c>
      <c r="C38" s="38" t="inlineStr">
        <is>
          <t>Alió</t>
        </is>
      </c>
      <c r="D38" s="42" t="inlineStr">
        <is>
          <t>01</t>
        </is>
      </c>
      <c r="E38" s="38" t="inlineStr">
        <is>
          <t>Alt Camp</t>
        </is>
      </c>
    </row>
    <row r="39" ht="15" customHeight="1" s="39">
      <c r="A39" s="38" t="inlineStr">
        <is>
          <t>[250194] Almacelles</t>
        </is>
      </c>
      <c r="B39" s="42" t="inlineStr">
        <is>
          <t>250194</t>
        </is>
      </c>
      <c r="C39" s="38" t="inlineStr">
        <is>
          <t>Almacelles</t>
        </is>
      </c>
      <c r="D39" s="42" t="inlineStr">
        <is>
          <t>33</t>
        </is>
      </c>
      <c r="E39" s="38" t="inlineStr">
        <is>
          <t>Segrià</t>
        </is>
      </c>
    </row>
    <row r="40" ht="15" customHeight="1" s="39">
      <c r="A40" s="38" t="inlineStr">
        <is>
          <t>[250208] Almatret</t>
        </is>
      </c>
      <c r="B40" s="42" t="inlineStr">
        <is>
          <t>250208</t>
        </is>
      </c>
      <c r="C40" s="38" t="inlineStr">
        <is>
          <t>Almatret</t>
        </is>
      </c>
      <c r="D40" s="42" t="inlineStr">
        <is>
          <t>33</t>
        </is>
      </c>
      <c r="E40" s="38" t="inlineStr">
        <is>
          <t>Segrià</t>
        </is>
      </c>
    </row>
    <row r="41" ht="15" customHeight="1" s="39">
      <c r="A41" s="38" t="inlineStr">
        <is>
          <t>[250215] Almenar</t>
        </is>
      </c>
      <c r="B41" s="42" t="inlineStr">
        <is>
          <t>250215</t>
        </is>
      </c>
      <c r="C41" s="38" t="inlineStr">
        <is>
          <t>Almenar</t>
        </is>
      </c>
      <c r="D41" s="42" t="inlineStr">
        <is>
          <t>33</t>
        </is>
      </c>
      <c r="E41" s="38" t="inlineStr">
        <is>
          <t>Segrià</t>
        </is>
      </c>
    </row>
    <row r="42" ht="15" customHeight="1" s="39">
      <c r="A42" s="38" t="inlineStr">
        <is>
          <t>[430115] Almoster</t>
        </is>
      </c>
      <c r="B42" s="42" t="inlineStr">
        <is>
          <t>430115</t>
        </is>
      </c>
      <c r="C42" s="38" t="inlineStr">
        <is>
          <t>Almoster</t>
        </is>
      </c>
      <c r="D42" s="42" t="inlineStr">
        <is>
          <t>08</t>
        </is>
      </c>
      <c r="E42" s="38" t="inlineStr">
        <is>
          <t>Baix Camp</t>
        </is>
      </c>
    </row>
    <row r="43" ht="15" customHeight="1" s="39">
      <c r="A43" s="38" t="inlineStr">
        <is>
          <t>[250220] Alòs de Balaguer</t>
        </is>
      </c>
      <c r="B43" s="42" t="inlineStr">
        <is>
          <t>250220</t>
        </is>
      </c>
      <c r="C43" s="38" t="inlineStr">
        <is>
          <t>Alòs de Balaguer</t>
        </is>
      </c>
      <c r="D43" s="42" t="inlineStr">
        <is>
          <t>23</t>
        </is>
      </c>
      <c r="E43" s="38" t="inlineStr">
        <is>
          <t>Noguera</t>
        </is>
      </c>
    </row>
    <row r="44" ht="15" customHeight="1" s="39">
      <c r="A44" s="38" t="inlineStr">
        <is>
          <t>[170062] Alp</t>
        </is>
      </c>
      <c r="B44" s="42" t="inlineStr">
        <is>
          <t>170062</t>
        </is>
      </c>
      <c r="C44" s="38" t="inlineStr">
        <is>
          <t>Alp</t>
        </is>
      </c>
      <c r="D44" s="42" t="inlineStr">
        <is>
          <t>15</t>
        </is>
      </c>
      <c r="E44" s="38" t="inlineStr">
        <is>
          <t>Cerdanya</t>
        </is>
      </c>
    </row>
    <row r="45" ht="15" customHeight="1" s="39">
      <c r="A45" s="38" t="inlineStr">
        <is>
          <t>[080044] Alpens</t>
        </is>
      </c>
      <c r="B45" s="42" t="inlineStr">
        <is>
          <t>080044</t>
        </is>
      </c>
      <c r="C45" s="38" t="inlineStr">
        <is>
          <t>Alpens</t>
        </is>
      </c>
      <c r="D45" s="42" t="inlineStr">
        <is>
          <t>43</t>
        </is>
      </c>
      <c r="E45" s="38" t="inlineStr">
        <is>
          <t>Lluçanès</t>
        </is>
      </c>
    </row>
    <row r="46" ht="15" customHeight="1" s="39">
      <c r="A46" s="38" t="inlineStr">
        <is>
          <t>[250236] Alpicat</t>
        </is>
      </c>
      <c r="B46" s="42" t="inlineStr">
        <is>
          <t>250236</t>
        </is>
      </c>
      <c r="C46" s="38" t="inlineStr">
        <is>
          <t>Alpicat</t>
        </is>
      </c>
      <c r="D46" s="42" t="inlineStr">
        <is>
          <t>33</t>
        </is>
      </c>
      <c r="E46" s="38" t="inlineStr">
        <is>
          <t>Segrià</t>
        </is>
      </c>
    </row>
    <row r="47" ht="15" customHeight="1" s="39">
      <c r="A47" s="38" t="inlineStr">
        <is>
          <t>[250241] Alt Àneu</t>
        </is>
      </c>
      <c r="B47" s="42" t="inlineStr">
        <is>
          <t>250241</t>
        </is>
      </c>
      <c r="C47" s="38" t="inlineStr">
        <is>
          <t>Alt Àneu</t>
        </is>
      </c>
      <c r="D47" s="42" t="inlineStr">
        <is>
          <t>26</t>
        </is>
      </c>
      <c r="E47" s="38" t="inlineStr">
        <is>
          <t>Pallars Sobirà</t>
        </is>
      </c>
    </row>
    <row r="48" ht="15" customHeight="1" s="39">
      <c r="A48" s="38" t="inlineStr">
        <is>
          <t>[430120] Altafulla</t>
        </is>
      </c>
      <c r="B48" s="42" t="inlineStr">
        <is>
          <t>430120</t>
        </is>
      </c>
      <c r="C48" s="38" t="inlineStr">
        <is>
          <t>Altafulla</t>
        </is>
      </c>
      <c r="D48" s="42" t="inlineStr">
        <is>
          <t>36</t>
        </is>
      </c>
      <c r="E48" s="38" t="inlineStr">
        <is>
          <t>Tarragonès</t>
        </is>
      </c>
    </row>
    <row r="49" ht="15" customHeight="1" s="39">
      <c r="A49" s="38" t="inlineStr">
        <is>
          <t>[170078] Amer</t>
        </is>
      </c>
      <c r="B49" s="42" t="inlineStr">
        <is>
          <t>170078</t>
        </is>
      </c>
      <c r="C49" s="38" t="inlineStr">
        <is>
          <t>Amer</t>
        </is>
      </c>
      <c r="D49" s="42" t="inlineStr">
        <is>
          <t>34</t>
        </is>
      </c>
      <c r="E49" s="38" t="inlineStr">
        <is>
          <t>Selva</t>
        </is>
      </c>
    </row>
    <row r="50" ht="15" customHeight="1" s="39">
      <c r="A50" s="38" t="inlineStr">
        <is>
          <t>[430136] Ametlla de Mar, l'</t>
        </is>
      </c>
      <c r="B50" s="42" t="inlineStr">
        <is>
          <t>430136</t>
        </is>
      </c>
      <c r="C50" s="38" t="inlineStr">
        <is>
          <t>Ametlla de Mar, l'</t>
        </is>
      </c>
      <c r="D50" s="42" t="inlineStr">
        <is>
          <t>09</t>
        </is>
      </c>
      <c r="E50" s="38" t="inlineStr">
        <is>
          <t>Baix Ebre</t>
        </is>
      </c>
    </row>
    <row r="51" ht="15" customHeight="1" s="39">
      <c r="A51" s="38" t="inlineStr">
        <is>
          <t>[080057] Ametlla del Vallès, l'</t>
        </is>
      </c>
      <c r="B51" s="42" t="inlineStr">
        <is>
          <t>080057</t>
        </is>
      </c>
      <c r="C51" s="38" t="inlineStr">
        <is>
          <t>Ametlla del Vallès, l'</t>
        </is>
      </c>
      <c r="D51" s="42" t="inlineStr">
        <is>
          <t>41</t>
        </is>
      </c>
      <c r="E51" s="38" t="inlineStr">
        <is>
          <t>Vallès Oriental</t>
        </is>
      </c>
    </row>
    <row r="52" ht="15" customHeight="1" s="39">
      <c r="A52" s="38" t="inlineStr">
        <is>
          <t>[439060] Ampolla, l'</t>
        </is>
      </c>
      <c r="B52" s="42" t="inlineStr">
        <is>
          <t>439060</t>
        </is>
      </c>
      <c r="C52" s="38" t="inlineStr">
        <is>
          <t>Ampolla, l'</t>
        </is>
      </c>
      <c r="D52" s="42" t="inlineStr">
        <is>
          <t>09</t>
        </is>
      </c>
      <c r="E52" s="38" t="inlineStr">
        <is>
          <t>Baix Ebre</t>
        </is>
      </c>
    </row>
    <row r="53" ht="15" customHeight="1" s="39">
      <c r="A53" s="38" t="inlineStr">
        <is>
          <t>[430141] Amposta</t>
        </is>
      </c>
      <c r="B53" s="42" t="inlineStr">
        <is>
          <t>430141</t>
        </is>
      </c>
      <c r="C53" s="38" t="inlineStr">
        <is>
          <t>Amposta</t>
        </is>
      </c>
      <c r="D53" s="42" t="inlineStr">
        <is>
          <t>22</t>
        </is>
      </c>
      <c r="E53" s="38" t="inlineStr">
        <is>
          <t>Montsià</t>
        </is>
      </c>
    </row>
    <row r="54" ht="15" customHeight="1" s="39">
      <c r="A54" s="38" t="inlineStr">
        <is>
          <t>[170084] Anglès</t>
        </is>
      </c>
      <c r="B54" s="42" t="inlineStr">
        <is>
          <t>170084</t>
        </is>
      </c>
      <c r="C54" s="38" t="inlineStr">
        <is>
          <t>Anglès</t>
        </is>
      </c>
      <c r="D54" s="42" t="inlineStr">
        <is>
          <t>34</t>
        </is>
      </c>
      <c r="E54" s="38" t="inlineStr">
        <is>
          <t>Selva</t>
        </is>
      </c>
    </row>
    <row r="55" ht="15" customHeight="1" s="39">
      <c r="A55" s="38" t="inlineStr">
        <is>
          <t>[250273] Anglesola</t>
        </is>
      </c>
      <c r="B55" s="42" t="inlineStr">
        <is>
          <t>250273</t>
        </is>
      </c>
      <c r="C55" s="38" t="inlineStr">
        <is>
          <t>Anglesola</t>
        </is>
      </c>
      <c r="D55" s="42" t="inlineStr">
        <is>
          <t>38</t>
        </is>
      </c>
      <c r="E55" s="38" t="inlineStr">
        <is>
          <t>Urgell</t>
        </is>
      </c>
    </row>
    <row r="56" ht="15" customHeight="1" s="39">
      <c r="A56" s="38" t="inlineStr">
        <is>
          <t>[250292] Arbeca</t>
        </is>
      </c>
      <c r="B56" s="42" t="inlineStr">
        <is>
          <t>250292</t>
        </is>
      </c>
      <c r="C56" s="38" t="inlineStr">
        <is>
          <t>Arbeca</t>
        </is>
      </c>
      <c r="D56" s="42" t="inlineStr">
        <is>
          <t>18</t>
        </is>
      </c>
      <c r="E56" s="38" t="inlineStr">
        <is>
          <t>Garrigues</t>
        </is>
      </c>
    </row>
    <row r="57" ht="15" customHeight="1" s="39">
      <c r="A57" s="38" t="inlineStr">
        <is>
          <t>[430167] Arboç, l'</t>
        </is>
      </c>
      <c r="B57" s="42" t="inlineStr">
        <is>
          <t>430167</t>
        </is>
      </c>
      <c r="C57" s="38" t="inlineStr">
        <is>
          <t>Arboç, l'</t>
        </is>
      </c>
      <c r="D57" s="42" t="inlineStr">
        <is>
          <t>12</t>
        </is>
      </c>
      <c r="E57" s="38" t="inlineStr">
        <is>
          <t>Baix Penedès</t>
        </is>
      </c>
    </row>
    <row r="58" ht="15" customHeight="1" s="39">
      <c r="A58" s="38" t="inlineStr">
        <is>
          <t>[430154] Arbolí</t>
        </is>
      </c>
      <c r="B58" s="42" t="inlineStr">
        <is>
          <t>430154</t>
        </is>
      </c>
      <c r="C58" s="38" t="inlineStr">
        <is>
          <t>Arbolí</t>
        </is>
      </c>
      <c r="D58" s="42" t="inlineStr">
        <is>
          <t>08</t>
        </is>
      </c>
      <c r="E58" s="38" t="inlineStr">
        <is>
          <t>Baix Camp</t>
        </is>
      </c>
    </row>
    <row r="59" ht="15" customHeight="1" s="39">
      <c r="A59" s="38" t="inlineStr">
        <is>
          <t>[170097] Arbúcies</t>
        </is>
      </c>
      <c r="B59" s="42" t="inlineStr">
        <is>
          <t>170097</t>
        </is>
      </c>
      <c r="C59" s="38" t="inlineStr">
        <is>
          <t>Arbúcies</t>
        </is>
      </c>
      <c r="D59" s="42" t="inlineStr">
        <is>
          <t>34</t>
        </is>
      </c>
      <c r="E59" s="38" t="inlineStr">
        <is>
          <t>Selva</t>
        </is>
      </c>
    </row>
    <row r="60" ht="15" customHeight="1" s="39">
      <c r="A60" s="38" t="inlineStr">
        <is>
          <t>[080060] Arenys de Mar</t>
        </is>
      </c>
      <c r="B60" s="42" t="inlineStr">
        <is>
          <t>080060</t>
        </is>
      </c>
      <c r="C60" s="38" t="inlineStr">
        <is>
          <t>Arenys de Mar</t>
        </is>
      </c>
      <c r="D60" s="42" t="inlineStr">
        <is>
          <t>21</t>
        </is>
      </c>
      <c r="E60" s="38" t="inlineStr">
        <is>
          <t>Maresme</t>
        </is>
      </c>
    </row>
    <row r="61" ht="15" customHeight="1" s="39">
      <c r="A61" s="38" t="inlineStr">
        <is>
          <t>[080076] Arenys de Munt</t>
        </is>
      </c>
      <c r="B61" s="42" t="inlineStr">
        <is>
          <t>080076</t>
        </is>
      </c>
      <c r="C61" s="38" t="inlineStr">
        <is>
          <t>Arenys de Munt</t>
        </is>
      </c>
      <c r="D61" s="42" t="inlineStr">
        <is>
          <t>21</t>
        </is>
      </c>
      <c r="E61" s="38" t="inlineStr">
        <is>
          <t>Maresme</t>
        </is>
      </c>
    </row>
    <row r="62" ht="15" customHeight="1" s="39">
      <c r="A62" s="38" t="inlineStr">
        <is>
          <t>[170101] Argelaguer</t>
        </is>
      </c>
      <c r="B62" s="42" t="inlineStr">
        <is>
          <t>170101</t>
        </is>
      </c>
      <c r="C62" s="38" t="inlineStr">
        <is>
          <t>Argelaguer</t>
        </is>
      </c>
      <c r="D62" s="42" t="inlineStr">
        <is>
          <t>19</t>
        </is>
      </c>
      <c r="E62" s="38" t="inlineStr">
        <is>
          <t>Garrotxa</t>
        </is>
      </c>
    </row>
    <row r="63" ht="15" customHeight="1" s="39">
      <c r="A63" s="38" t="inlineStr">
        <is>
          <t>[080082] Argençola</t>
        </is>
      </c>
      <c r="B63" s="42" t="inlineStr">
        <is>
          <t>080082</t>
        </is>
      </c>
      <c r="C63" s="38" t="inlineStr">
        <is>
          <t>Argençola</t>
        </is>
      </c>
      <c r="D63" s="42" t="inlineStr">
        <is>
          <t>06</t>
        </is>
      </c>
      <c r="E63" s="38" t="inlineStr">
        <is>
          <t>Anoia</t>
        </is>
      </c>
    </row>
    <row r="64" ht="15" customHeight="1" s="39">
      <c r="A64" s="38" t="inlineStr">
        <is>
          <t>[430173] Argentera, l'</t>
        </is>
      </c>
      <c r="B64" s="42" t="inlineStr">
        <is>
          <t>430173</t>
        </is>
      </c>
      <c r="C64" s="38" t="inlineStr">
        <is>
          <t>Argentera, l'</t>
        </is>
      </c>
      <c r="D64" s="42" t="inlineStr">
        <is>
          <t>08</t>
        </is>
      </c>
      <c r="E64" s="38" t="inlineStr">
        <is>
          <t>Baix Camp</t>
        </is>
      </c>
    </row>
    <row r="65" ht="15" customHeight="1" s="39">
      <c r="A65" s="38" t="inlineStr">
        <is>
          <t>[080095] Argentona</t>
        </is>
      </c>
      <c r="B65" s="42" t="inlineStr">
        <is>
          <t>080095</t>
        </is>
      </c>
      <c r="C65" s="38" t="inlineStr">
        <is>
          <t>Argentona</t>
        </is>
      </c>
      <c r="D65" s="42" t="inlineStr">
        <is>
          <t>21</t>
        </is>
      </c>
      <c r="E65" s="38" t="inlineStr">
        <is>
          <t>Maresme</t>
        </is>
      </c>
    </row>
    <row r="66" ht="15" customHeight="1" s="39">
      <c r="A66" s="38" t="inlineStr">
        <is>
          <t>[170118] Armentera, l'</t>
        </is>
      </c>
      <c r="B66" s="42" t="inlineStr">
        <is>
          <t>170118</t>
        </is>
      </c>
      <c r="C66" s="38" t="inlineStr">
        <is>
          <t>Armentera, l'</t>
        </is>
      </c>
      <c r="D66" s="42" t="inlineStr">
        <is>
          <t>02</t>
        </is>
      </c>
      <c r="E66" s="38" t="inlineStr">
        <is>
          <t>Alt Empordà</t>
        </is>
      </c>
    </row>
    <row r="67" ht="15" customHeight="1" s="39">
      <c r="A67" s="38" t="inlineStr">
        <is>
          <t>[430189] Arnes</t>
        </is>
      </c>
      <c r="B67" s="42" t="inlineStr">
        <is>
          <t>430189</t>
        </is>
      </c>
      <c r="C67" s="38" t="inlineStr">
        <is>
          <t>Arnes</t>
        </is>
      </c>
      <c r="D67" s="42" t="inlineStr">
        <is>
          <t>37</t>
        </is>
      </c>
      <c r="E67" s="38" t="inlineStr">
        <is>
          <t>Terra Alta</t>
        </is>
      </c>
    </row>
    <row r="68" ht="15" customHeight="1" s="39">
      <c r="A68" s="38" t="inlineStr">
        <is>
          <t>[250313] Arres</t>
        </is>
      </c>
      <c r="B68" s="42" t="inlineStr">
        <is>
          <t>250313</t>
        </is>
      </c>
      <c r="C68" s="38" t="inlineStr">
        <is>
          <t>Arres</t>
        </is>
      </c>
      <c r="D68" s="42" t="inlineStr">
        <is>
          <t>39</t>
        </is>
      </c>
      <c r="E68" s="38" t="inlineStr">
        <is>
          <t>Aran</t>
        </is>
      </c>
    </row>
    <row r="69" ht="15" customHeight="1" s="39">
      <c r="A69" s="38" t="inlineStr">
        <is>
          <t>[250328] Arsèguel</t>
        </is>
      </c>
      <c r="B69" s="42" t="inlineStr">
        <is>
          <t>250328</t>
        </is>
      </c>
      <c r="C69" s="38" t="inlineStr">
        <is>
          <t>Arsèguel</t>
        </is>
      </c>
      <c r="D69" s="42" t="inlineStr">
        <is>
          <t>04</t>
        </is>
      </c>
      <c r="E69" s="38" t="inlineStr">
        <is>
          <t>Alt Urgell</t>
        </is>
      </c>
    </row>
    <row r="70" ht="15" customHeight="1" s="39">
      <c r="A70" s="38" t="inlineStr">
        <is>
          <t>[080109] Artés</t>
        </is>
      </c>
      <c r="B70" s="42" t="inlineStr">
        <is>
          <t>080109</t>
        </is>
      </c>
      <c r="C70" s="38" t="inlineStr">
        <is>
          <t>Artés</t>
        </is>
      </c>
      <c r="D70" s="42" t="inlineStr">
        <is>
          <t>07</t>
        </is>
      </c>
      <c r="E70" s="38" t="inlineStr">
        <is>
          <t>Bages</t>
        </is>
      </c>
    </row>
    <row r="71" ht="15" customHeight="1" s="39">
      <c r="A71" s="38" t="inlineStr">
        <is>
          <t>[250334] Artesa de Lleida</t>
        </is>
      </c>
      <c r="B71" s="42" t="inlineStr">
        <is>
          <t>250334</t>
        </is>
      </c>
      <c r="C71" s="38" t="inlineStr">
        <is>
          <t>Artesa de Lleida</t>
        </is>
      </c>
      <c r="D71" s="42" t="inlineStr">
        <is>
          <t>33</t>
        </is>
      </c>
      <c r="E71" s="38" t="inlineStr">
        <is>
          <t>Segrià</t>
        </is>
      </c>
    </row>
    <row r="72" ht="15" customHeight="1" s="39">
      <c r="A72" s="38" t="inlineStr">
        <is>
          <t>[250349] Artesa de Segre</t>
        </is>
      </c>
      <c r="B72" s="42" t="inlineStr">
        <is>
          <t>250349</t>
        </is>
      </c>
      <c r="C72" s="38" t="inlineStr">
        <is>
          <t>Artesa de Segre</t>
        </is>
      </c>
      <c r="D72" s="42" t="inlineStr">
        <is>
          <t>23</t>
        </is>
      </c>
      <c r="E72" s="38" t="inlineStr">
        <is>
          <t>Noguera</t>
        </is>
      </c>
    </row>
    <row r="73" ht="15" customHeight="1" s="39">
      <c r="A73" s="38" t="inlineStr">
        <is>
          <t>[430192] Ascó</t>
        </is>
      </c>
      <c r="B73" s="42" t="inlineStr">
        <is>
          <t>430192</t>
        </is>
      </c>
      <c r="C73" s="38" t="inlineStr">
        <is>
          <t>Ascó</t>
        </is>
      </c>
      <c r="D73" s="42" t="inlineStr">
        <is>
          <t>30</t>
        </is>
      </c>
      <c r="E73" s="38" t="inlineStr">
        <is>
          <t>Ribera d'Ebre</t>
        </is>
      </c>
    </row>
    <row r="74" ht="15" customHeight="1" s="39">
      <c r="A74" s="38" t="inlineStr">
        <is>
          <t>[250365] Aspa</t>
        </is>
      </c>
      <c r="B74" s="42" t="inlineStr">
        <is>
          <t>250365</t>
        </is>
      </c>
      <c r="C74" s="38" t="inlineStr">
        <is>
          <t>Aspa</t>
        </is>
      </c>
      <c r="D74" s="42" t="inlineStr">
        <is>
          <t>33</t>
        </is>
      </c>
      <c r="E74" s="38" t="inlineStr">
        <is>
          <t>Segrià</t>
        </is>
      </c>
    </row>
    <row r="75" ht="15" customHeight="1" s="39">
      <c r="A75" s="38" t="inlineStr">
        <is>
          <t>[250371] Avellanes i Santa Linya, les</t>
        </is>
      </c>
      <c r="B75" s="42" t="inlineStr">
        <is>
          <t>250371</t>
        </is>
      </c>
      <c r="C75" s="38" t="inlineStr">
        <is>
          <t>Avellanes i Santa Linya, les</t>
        </is>
      </c>
      <c r="D75" s="42" t="inlineStr">
        <is>
          <t>23</t>
        </is>
      </c>
      <c r="E75" s="38" t="inlineStr">
        <is>
          <t>Noguera</t>
        </is>
      </c>
    </row>
    <row r="76" ht="15" customHeight="1" s="39">
      <c r="A76" s="38" t="inlineStr">
        <is>
          <t>[080116] Avià</t>
        </is>
      </c>
      <c r="B76" s="42" t="inlineStr">
        <is>
          <t>080116</t>
        </is>
      </c>
      <c r="C76" s="38" t="inlineStr">
        <is>
          <t>Avià</t>
        </is>
      </c>
      <c r="D76" s="42" t="inlineStr">
        <is>
          <t>14</t>
        </is>
      </c>
      <c r="E76" s="38" t="inlineStr">
        <is>
          <t>Berguedà</t>
        </is>
      </c>
    </row>
    <row r="77" ht="15" customHeight="1" s="39">
      <c r="A77" s="38" t="inlineStr">
        <is>
          <t>[080121] Avinyó</t>
        </is>
      </c>
      <c r="B77" s="42" t="inlineStr">
        <is>
          <t>080121</t>
        </is>
      </c>
      <c r="C77" s="38" t="inlineStr">
        <is>
          <t>Avinyó</t>
        </is>
      </c>
      <c r="D77" s="42" t="inlineStr">
        <is>
          <t>07</t>
        </is>
      </c>
      <c r="E77" s="38" t="inlineStr">
        <is>
          <t>Bages</t>
        </is>
      </c>
    </row>
    <row r="78" ht="15" customHeight="1" s="39">
      <c r="A78" s="38" t="inlineStr">
        <is>
          <t>[170123] Avinyonet de Puigventós</t>
        </is>
      </c>
      <c r="B78" s="42" t="inlineStr">
        <is>
          <t>170123</t>
        </is>
      </c>
      <c r="C78" s="38" t="inlineStr">
        <is>
          <t>Avinyonet de Puigventós</t>
        </is>
      </c>
      <c r="D78" s="42" t="inlineStr">
        <is>
          <t>02</t>
        </is>
      </c>
      <c r="E78" s="38" t="inlineStr">
        <is>
          <t>Alt Empordà</t>
        </is>
      </c>
    </row>
    <row r="79" ht="15" customHeight="1" s="39">
      <c r="A79" s="38" t="inlineStr">
        <is>
          <t>[080137] Avinyonet del Penedès</t>
        </is>
      </c>
      <c r="B79" s="42" t="inlineStr">
        <is>
          <t>080137</t>
        </is>
      </c>
      <c r="C79" s="38" t="inlineStr">
        <is>
          <t>Avinyonet del Penedès</t>
        </is>
      </c>
      <c r="D79" s="42" t="inlineStr">
        <is>
          <t>03</t>
        </is>
      </c>
      <c r="E79" s="38" t="inlineStr">
        <is>
          <t>Alt Penedès</t>
        </is>
      </c>
    </row>
    <row r="80" ht="15" customHeight="1" s="39">
      <c r="A80" s="38" t="inlineStr">
        <is>
          <t>[080155] Badalona</t>
        </is>
      </c>
      <c r="B80" s="42" t="inlineStr">
        <is>
          <t>080155</t>
        </is>
      </c>
      <c r="C80" s="38" t="inlineStr">
        <is>
          <t>Badalona</t>
        </is>
      </c>
      <c r="D80" s="42" t="inlineStr">
        <is>
          <t>13</t>
        </is>
      </c>
      <c r="E80" s="38" t="inlineStr">
        <is>
          <t>Barcelonès</t>
        </is>
      </c>
    </row>
    <row r="81" ht="15" customHeight="1" s="39">
      <c r="A81" s="38" t="inlineStr">
        <is>
          <t>[089045] Badia del Vallès</t>
        </is>
      </c>
      <c r="B81" s="42" t="inlineStr">
        <is>
          <t>089045</t>
        </is>
      </c>
      <c r="C81" s="38" t="inlineStr">
        <is>
          <t>Badia del Vallès</t>
        </is>
      </c>
      <c r="D81" s="42" t="inlineStr">
        <is>
          <t>40</t>
        </is>
      </c>
      <c r="E81" s="38" t="inlineStr">
        <is>
          <t>Vallès Occidental</t>
        </is>
      </c>
    </row>
    <row r="82" ht="15" customHeight="1" s="39">
      <c r="A82" s="38" t="inlineStr">
        <is>
          <t>[080168] Bagà</t>
        </is>
      </c>
      <c r="B82" s="42" t="inlineStr">
        <is>
          <t>080168</t>
        </is>
      </c>
      <c r="C82" s="38" t="inlineStr">
        <is>
          <t>Bagà</t>
        </is>
      </c>
      <c r="D82" s="42" t="inlineStr">
        <is>
          <t>14</t>
        </is>
      </c>
      <c r="E82" s="38" t="inlineStr">
        <is>
          <t>Berguedà</t>
        </is>
      </c>
    </row>
    <row r="83" ht="15" customHeight="1" s="39">
      <c r="A83" s="38" t="inlineStr">
        <is>
          <t>[250390] Baix Pallars</t>
        </is>
      </c>
      <c r="B83" s="42" t="inlineStr">
        <is>
          <t>250390</t>
        </is>
      </c>
      <c r="C83" s="38" t="inlineStr">
        <is>
          <t>Baix Pallars</t>
        </is>
      </c>
      <c r="D83" s="42" t="inlineStr">
        <is>
          <t>26</t>
        </is>
      </c>
      <c r="E83" s="38" t="inlineStr">
        <is>
          <t>Pallars Sobirà</t>
        </is>
      </c>
    </row>
    <row r="84" ht="15" customHeight="1" s="39">
      <c r="A84" s="38" t="inlineStr">
        <is>
          <t>[250404] Balaguer</t>
        </is>
      </c>
      <c r="B84" s="42" t="inlineStr">
        <is>
          <t>250404</t>
        </is>
      </c>
      <c r="C84" s="38" t="inlineStr">
        <is>
          <t>Balaguer</t>
        </is>
      </c>
      <c r="D84" s="42" t="inlineStr">
        <is>
          <t>23</t>
        </is>
      </c>
      <c r="E84" s="38" t="inlineStr">
        <is>
          <t>Noguera</t>
        </is>
      </c>
    </row>
    <row r="85" ht="15" customHeight="1" s="39">
      <c r="A85" s="38" t="inlineStr">
        <is>
          <t>[080174] Balenyà</t>
        </is>
      </c>
      <c r="B85" s="42" t="inlineStr">
        <is>
          <t>080174</t>
        </is>
      </c>
      <c r="C85" s="38" t="inlineStr">
        <is>
          <t>Balenyà</t>
        </is>
      </c>
      <c r="D85" s="42" t="inlineStr">
        <is>
          <t>24</t>
        </is>
      </c>
      <c r="E85" s="38" t="inlineStr">
        <is>
          <t>Osona</t>
        </is>
      </c>
    </row>
    <row r="86" ht="15" customHeight="1" s="39">
      <c r="A86" s="38" t="inlineStr">
        <is>
          <t>[080180] Balsareny</t>
        </is>
      </c>
      <c r="B86" s="42" t="inlineStr">
        <is>
          <t>080180</t>
        </is>
      </c>
      <c r="C86" s="38" t="inlineStr">
        <is>
          <t>Balsareny</t>
        </is>
      </c>
      <c r="D86" s="42" t="inlineStr">
        <is>
          <t>07</t>
        </is>
      </c>
      <c r="E86" s="38" t="inlineStr">
        <is>
          <t>Bages</t>
        </is>
      </c>
    </row>
    <row r="87" ht="15" customHeight="1" s="39">
      <c r="A87" s="38" t="inlineStr">
        <is>
          <t>[430206] Banyeres del Penedès</t>
        </is>
      </c>
      <c r="B87" s="42" t="inlineStr">
        <is>
          <t>430206</t>
        </is>
      </c>
      <c r="C87" s="38" t="inlineStr">
        <is>
          <t>Banyeres del Penedès</t>
        </is>
      </c>
      <c r="D87" s="42" t="inlineStr">
        <is>
          <t>12</t>
        </is>
      </c>
      <c r="E87" s="38" t="inlineStr">
        <is>
          <t>Baix Penedès</t>
        </is>
      </c>
    </row>
    <row r="88" ht="15" customHeight="1" s="39">
      <c r="A88" s="38" t="inlineStr">
        <is>
          <t>[170157] Banyoles</t>
        </is>
      </c>
      <c r="B88" s="42" t="inlineStr">
        <is>
          <t>170157</t>
        </is>
      </c>
      <c r="C88" s="38" t="inlineStr">
        <is>
          <t>Banyoles</t>
        </is>
      </c>
      <c r="D88" s="42" t="inlineStr">
        <is>
          <t>28</t>
        </is>
      </c>
      <c r="E88" s="38" t="inlineStr">
        <is>
          <t>Pla de l'Estany</t>
        </is>
      </c>
    </row>
    <row r="89" ht="15" customHeight="1" s="39">
      <c r="A89" s="38" t="inlineStr">
        <is>
          <t>[250411] Barbens</t>
        </is>
      </c>
      <c r="B89" s="42" t="inlineStr">
        <is>
          <t>250411</t>
        </is>
      </c>
      <c r="C89" s="38" t="inlineStr">
        <is>
          <t>Barbens</t>
        </is>
      </c>
      <c r="D89" s="42" t="inlineStr">
        <is>
          <t>27</t>
        </is>
      </c>
      <c r="E89" s="38" t="inlineStr">
        <is>
          <t>Pla d'Urgell</t>
        </is>
      </c>
    </row>
    <row r="90" ht="15" customHeight="1" s="39">
      <c r="A90" s="38" t="inlineStr">
        <is>
          <t>[430213] Barberà de la Conca</t>
        </is>
      </c>
      <c r="B90" s="42" t="inlineStr">
        <is>
          <t>430213</t>
        </is>
      </c>
      <c r="C90" s="38" t="inlineStr">
        <is>
          <t>Barberà de la Conca</t>
        </is>
      </c>
      <c r="D90" s="42" t="inlineStr">
        <is>
          <t>16</t>
        </is>
      </c>
      <c r="E90" s="38" t="inlineStr">
        <is>
          <t>Conca de Barberà</t>
        </is>
      </c>
    </row>
    <row r="91" ht="15" customHeight="1" s="39">
      <c r="A91" s="38" t="inlineStr">
        <is>
          <t>[082520] Barberà del Vallès</t>
        </is>
      </c>
      <c r="B91" s="42" t="inlineStr">
        <is>
          <t>082520</t>
        </is>
      </c>
      <c r="C91" s="38" t="inlineStr">
        <is>
          <t>Barberà del Vallès</t>
        </is>
      </c>
      <c r="D91" s="42" t="inlineStr">
        <is>
          <t>40</t>
        </is>
      </c>
      <c r="E91" s="38" t="inlineStr">
        <is>
          <t>Vallès Occidental</t>
        </is>
      </c>
    </row>
    <row r="92" ht="15" customHeight="1" s="39">
      <c r="A92" s="38" t="inlineStr">
        <is>
          <t>[080193] Barcelona</t>
        </is>
      </c>
      <c r="B92" s="42" t="inlineStr">
        <is>
          <t>080193</t>
        </is>
      </c>
      <c r="C92" s="38" t="inlineStr">
        <is>
          <t>Barcelona</t>
        </is>
      </c>
      <c r="D92" s="42" t="inlineStr">
        <is>
          <t>13</t>
        </is>
      </c>
      <c r="E92" s="38" t="inlineStr">
        <is>
          <t>Barcelonès</t>
        </is>
      </c>
    </row>
    <row r="93" ht="15" customHeight="1" s="39">
      <c r="A93" s="38" t="inlineStr">
        <is>
          <t>[250426] Baronia de Rialb, la</t>
        </is>
      </c>
      <c r="B93" s="42" t="inlineStr">
        <is>
          <t>250426</t>
        </is>
      </c>
      <c r="C93" s="38" t="inlineStr">
        <is>
          <t>Baronia de Rialb, la</t>
        </is>
      </c>
      <c r="D93" s="42" t="inlineStr">
        <is>
          <t>23</t>
        </is>
      </c>
      <c r="E93" s="38" t="inlineStr">
        <is>
          <t>Noguera</t>
        </is>
      </c>
    </row>
    <row r="94" ht="15" customHeight="1" s="39">
      <c r="A94" s="38" t="inlineStr">
        <is>
          <t>[170160] Bàscara</t>
        </is>
      </c>
      <c r="B94" s="42" t="inlineStr">
        <is>
          <t>170160</t>
        </is>
      </c>
      <c r="C94" s="38" t="inlineStr">
        <is>
          <t>Bàscara</t>
        </is>
      </c>
      <c r="D94" s="42" t="inlineStr">
        <is>
          <t>02</t>
        </is>
      </c>
      <c r="E94" s="38" t="inlineStr">
        <is>
          <t>Alt Empordà</t>
        </is>
      </c>
    </row>
    <row r="95" ht="15" customHeight="1" s="39">
      <c r="A95" s="38" t="inlineStr">
        <is>
          <t>[250447] Bassella</t>
        </is>
      </c>
      <c r="B95" s="42" t="inlineStr">
        <is>
          <t>250447</t>
        </is>
      </c>
      <c r="C95" s="38" t="inlineStr">
        <is>
          <t>Bassella</t>
        </is>
      </c>
      <c r="D95" s="42" t="inlineStr">
        <is>
          <t>04</t>
        </is>
      </c>
      <c r="E95" s="38" t="inlineStr">
        <is>
          <t>Alt Urgell</t>
        </is>
      </c>
    </row>
    <row r="96" ht="15" customHeight="1" s="39">
      <c r="A96" s="38" t="inlineStr">
        <is>
          <t>[430228] Batea</t>
        </is>
      </c>
      <c r="B96" s="42" t="inlineStr">
        <is>
          <t>430228</t>
        </is>
      </c>
      <c r="C96" s="38" t="inlineStr">
        <is>
          <t>Batea</t>
        </is>
      </c>
      <c r="D96" s="42" t="inlineStr">
        <is>
          <t>37</t>
        </is>
      </c>
      <c r="E96" s="38" t="inlineStr">
        <is>
          <t>Terra Alta</t>
        </is>
      </c>
    </row>
    <row r="97" ht="15" customHeight="1" s="39">
      <c r="A97" s="38" t="inlineStr">
        <is>
          <t>[250450] Bausen</t>
        </is>
      </c>
      <c r="B97" s="42" t="inlineStr">
        <is>
          <t>250450</t>
        </is>
      </c>
      <c r="C97" s="38" t="inlineStr">
        <is>
          <t>Bausen</t>
        </is>
      </c>
      <c r="D97" s="42" t="inlineStr">
        <is>
          <t>39</t>
        </is>
      </c>
      <c r="E97" s="38" t="inlineStr">
        <is>
          <t>Aran</t>
        </is>
      </c>
    </row>
    <row r="98" ht="15" customHeight="1" s="39">
      <c r="A98" s="38" t="inlineStr">
        <is>
          <t>[080207] Begues</t>
        </is>
      </c>
      <c r="B98" s="42" t="inlineStr">
        <is>
          <t>080207</t>
        </is>
      </c>
      <c r="C98" s="38" t="inlineStr">
        <is>
          <t>Begues</t>
        </is>
      </c>
      <c r="D98" s="42" t="inlineStr">
        <is>
          <t>11</t>
        </is>
      </c>
      <c r="E98" s="38" t="inlineStr">
        <is>
          <t>Baix Llobregat</t>
        </is>
      </c>
    </row>
    <row r="99" ht="15" customHeight="1" s="39">
      <c r="A99" s="38" t="inlineStr">
        <is>
          <t>[170139] Begur</t>
        </is>
      </c>
      <c r="B99" s="42" t="inlineStr">
        <is>
          <t>170139</t>
        </is>
      </c>
      <c r="C99" s="38" t="inlineStr">
        <is>
          <t>Begur</t>
        </is>
      </c>
      <c r="D99" s="42" t="inlineStr">
        <is>
          <t>10</t>
        </is>
      </c>
      <c r="E99" s="38" t="inlineStr">
        <is>
          <t>Baix Empordà</t>
        </is>
      </c>
    </row>
    <row r="100" ht="15" customHeight="1" s="39">
      <c r="A100" s="38" t="inlineStr">
        <is>
          <t>[250463] Belianes</t>
        </is>
      </c>
      <c r="B100" s="42" t="inlineStr">
        <is>
          <t>250463</t>
        </is>
      </c>
      <c r="C100" s="38" t="inlineStr">
        <is>
          <t>Belianes</t>
        </is>
      </c>
      <c r="D100" s="42" t="inlineStr">
        <is>
          <t>38</t>
        </is>
      </c>
      <c r="E100" s="38" t="inlineStr">
        <is>
          <t>Urgell</t>
        </is>
      </c>
    </row>
    <row r="101" ht="15" customHeight="1" s="39">
      <c r="A101" s="38" t="inlineStr">
        <is>
          <t>[250485] Bell-lloc d'Urgell</t>
        </is>
      </c>
      <c r="B101" s="42" t="inlineStr">
        <is>
          <t>250485</t>
        </is>
      </c>
      <c r="C101" s="38" t="inlineStr">
        <is>
          <t>Bell-lloc d'Urgell</t>
        </is>
      </c>
      <c r="D101" s="42" t="inlineStr">
        <is>
          <t>27</t>
        </is>
      </c>
      <c r="E101" s="38" t="inlineStr">
        <is>
          <t>Pla d'Urgell</t>
        </is>
      </c>
    </row>
    <row r="102" ht="15" customHeight="1" s="39">
      <c r="A102" s="38" t="inlineStr">
        <is>
          <t>[251706] Bellaguarda</t>
        </is>
      </c>
      <c r="B102" s="42" t="inlineStr">
        <is>
          <t>251706</t>
        </is>
      </c>
      <c r="C102" s="38" t="inlineStr">
        <is>
          <t>Bellaguarda</t>
        </is>
      </c>
      <c r="D102" s="42" t="inlineStr">
        <is>
          <t>18</t>
        </is>
      </c>
      <c r="E102" s="38" t="inlineStr">
        <is>
          <t>Garrigues</t>
        </is>
      </c>
    </row>
    <row r="103" ht="15" customHeight="1" s="39">
      <c r="A103" s="38" t="inlineStr">
        <is>
          <t>[170182] Bellcaire d'Empordà</t>
        </is>
      </c>
      <c r="B103" s="42" t="inlineStr">
        <is>
          <t>170182</t>
        </is>
      </c>
      <c r="C103" s="38" t="inlineStr">
        <is>
          <t>Bellcaire d'Empordà</t>
        </is>
      </c>
      <c r="D103" s="42" t="inlineStr">
        <is>
          <t>10</t>
        </is>
      </c>
      <c r="E103" s="38" t="inlineStr">
        <is>
          <t>Baix Empordà</t>
        </is>
      </c>
    </row>
    <row r="104" ht="15" customHeight="1" s="39">
      <c r="A104" s="38" t="inlineStr">
        <is>
          <t>[250479] Bellcaire d'Urgell</t>
        </is>
      </c>
      <c r="B104" s="42" t="inlineStr">
        <is>
          <t>250479</t>
        </is>
      </c>
      <c r="C104" s="38" t="inlineStr">
        <is>
          <t>Bellcaire d'Urgell</t>
        </is>
      </c>
      <c r="D104" s="42" t="inlineStr">
        <is>
          <t>23</t>
        </is>
      </c>
      <c r="E104" s="38" t="inlineStr">
        <is>
          <t>Noguera</t>
        </is>
      </c>
    </row>
    <row r="105" ht="15" customHeight="1" s="39">
      <c r="A105" s="38" t="inlineStr">
        <is>
          <t>[250498] Bellmunt d'Urgell</t>
        </is>
      </c>
      <c r="B105" s="42" t="inlineStr">
        <is>
          <t>250498</t>
        </is>
      </c>
      <c r="C105" s="38" t="inlineStr">
        <is>
          <t>Bellmunt d'Urgell</t>
        </is>
      </c>
      <c r="D105" s="42" t="inlineStr">
        <is>
          <t>23</t>
        </is>
      </c>
      <c r="E105" s="38" t="inlineStr">
        <is>
          <t>Noguera</t>
        </is>
      </c>
    </row>
    <row r="106" ht="15" customHeight="1" s="39">
      <c r="A106" s="38" t="inlineStr">
        <is>
          <t>[430234] Bellmunt del Priorat</t>
        </is>
      </c>
      <c r="B106" s="42" t="inlineStr">
        <is>
          <t>430234</t>
        </is>
      </c>
      <c r="C106" s="38" t="inlineStr">
        <is>
          <t>Bellmunt del Priorat</t>
        </is>
      </c>
      <c r="D106" s="42" t="inlineStr">
        <is>
          <t>29</t>
        </is>
      </c>
      <c r="E106" s="38" t="inlineStr">
        <is>
          <t>Priorat</t>
        </is>
      </c>
    </row>
    <row r="107" ht="15" customHeight="1" s="39">
      <c r="A107" s="38" t="inlineStr">
        <is>
          <t>[080214] Bellprat</t>
        </is>
      </c>
      <c r="B107" s="42" t="inlineStr">
        <is>
          <t>080214</t>
        </is>
      </c>
      <c r="C107" s="38" t="inlineStr">
        <is>
          <t>Bellprat</t>
        </is>
      </c>
      <c r="D107" s="42" t="inlineStr">
        <is>
          <t>06</t>
        </is>
      </c>
      <c r="E107" s="38" t="inlineStr">
        <is>
          <t>Anoia</t>
        </is>
      </c>
    </row>
    <row r="108" ht="15" customHeight="1" s="39">
      <c r="A108" s="38" t="inlineStr">
        <is>
          <t>[250501] Bellpuig</t>
        </is>
      </c>
      <c r="B108" s="42" t="inlineStr">
        <is>
          <t>250501</t>
        </is>
      </c>
      <c r="C108" s="38" t="inlineStr">
        <is>
          <t>Bellpuig</t>
        </is>
      </c>
      <c r="D108" s="42" t="inlineStr">
        <is>
          <t>38</t>
        </is>
      </c>
      <c r="E108" s="38" t="inlineStr">
        <is>
          <t>Urgell</t>
        </is>
      </c>
    </row>
    <row r="109" ht="15" customHeight="1" s="39">
      <c r="A109" s="38" t="inlineStr">
        <is>
          <t>[430249] Bellvei</t>
        </is>
      </c>
      <c r="B109" s="42" t="inlineStr">
        <is>
          <t>430249</t>
        </is>
      </c>
      <c r="C109" s="38" t="inlineStr">
        <is>
          <t>Bellvei</t>
        </is>
      </c>
      <c r="D109" s="42" t="inlineStr">
        <is>
          <t>12</t>
        </is>
      </c>
      <c r="E109" s="38" t="inlineStr">
        <is>
          <t>Baix Penedès</t>
        </is>
      </c>
    </row>
    <row r="110" ht="15" customHeight="1" s="39">
      <c r="A110" s="38" t="inlineStr">
        <is>
          <t>[250518] Bellver de Cerdanya</t>
        </is>
      </c>
      <c r="B110" s="42" t="inlineStr">
        <is>
          <t>250518</t>
        </is>
      </c>
      <c r="C110" s="38" t="inlineStr">
        <is>
          <t>Bellver de Cerdanya</t>
        </is>
      </c>
      <c r="D110" s="42" t="inlineStr">
        <is>
          <t>15</t>
        </is>
      </c>
      <c r="E110" s="38" t="inlineStr">
        <is>
          <t>Cerdanya</t>
        </is>
      </c>
    </row>
    <row r="111" ht="15" customHeight="1" s="39">
      <c r="A111" s="38" t="inlineStr">
        <is>
          <t>[250523] Bellvís</t>
        </is>
      </c>
      <c r="B111" s="42" t="inlineStr">
        <is>
          <t>250523</t>
        </is>
      </c>
      <c r="C111" s="38" t="inlineStr">
        <is>
          <t>Bellvís</t>
        </is>
      </c>
      <c r="D111" s="42" t="inlineStr">
        <is>
          <t>27</t>
        </is>
      </c>
      <c r="E111" s="38" t="inlineStr">
        <is>
          <t>Pla d'Urgell</t>
        </is>
      </c>
    </row>
    <row r="112" ht="15" customHeight="1" s="39">
      <c r="A112" s="38" t="inlineStr">
        <is>
          <t>[250539] Benavent de Segrià</t>
        </is>
      </c>
      <c r="B112" s="42" t="inlineStr">
        <is>
          <t>250539</t>
        </is>
      </c>
      <c r="C112" s="38" t="inlineStr">
        <is>
          <t>Benavent de Segrià</t>
        </is>
      </c>
      <c r="D112" s="42" t="inlineStr">
        <is>
          <t>33</t>
        </is>
      </c>
      <c r="E112" s="38" t="inlineStr">
        <is>
          <t>Segrià</t>
        </is>
      </c>
    </row>
    <row r="113" ht="15" customHeight="1" s="39">
      <c r="A113" s="38" t="inlineStr">
        <is>
          <t>[430252] Benifallet</t>
        </is>
      </c>
      <c r="B113" s="42" t="inlineStr">
        <is>
          <t>430252</t>
        </is>
      </c>
      <c r="C113" s="38" t="inlineStr">
        <is>
          <t>Benifallet</t>
        </is>
      </c>
      <c r="D113" s="42" t="inlineStr">
        <is>
          <t>09</t>
        </is>
      </c>
      <c r="E113" s="38" t="inlineStr">
        <is>
          <t>Baix Ebre</t>
        </is>
      </c>
    </row>
    <row r="114" ht="15" customHeight="1" s="39">
      <c r="A114" s="38" t="inlineStr">
        <is>
          <t>[430265] Benissanet</t>
        </is>
      </c>
      <c r="B114" s="42" t="inlineStr">
        <is>
          <t>430265</t>
        </is>
      </c>
      <c r="C114" s="38" t="inlineStr">
        <is>
          <t>Benissanet</t>
        </is>
      </c>
      <c r="D114" s="42" t="inlineStr">
        <is>
          <t>30</t>
        </is>
      </c>
      <c r="E114" s="38" t="inlineStr">
        <is>
          <t>Ribera d'Ebre</t>
        </is>
      </c>
    </row>
    <row r="115" ht="15" customHeight="1" s="39">
      <c r="A115" s="38" t="inlineStr">
        <is>
          <t>[080229] Berga</t>
        </is>
      </c>
      <c r="B115" s="42" t="inlineStr">
        <is>
          <t>080229</t>
        </is>
      </c>
      <c r="C115" s="38" t="inlineStr">
        <is>
          <t>Berga</t>
        </is>
      </c>
      <c r="D115" s="42" t="inlineStr">
        <is>
          <t>14</t>
        </is>
      </c>
      <c r="E115" s="38" t="inlineStr">
        <is>
          <t>Berguedà</t>
        </is>
      </c>
    </row>
    <row r="116" ht="15" customHeight="1" s="39">
      <c r="A116" s="38" t="inlineStr">
        <is>
          <t>[170195] Besalú</t>
        </is>
      </c>
      <c r="B116" s="42" t="inlineStr">
        <is>
          <t>170195</t>
        </is>
      </c>
      <c r="C116" s="38" t="inlineStr">
        <is>
          <t>Besalú</t>
        </is>
      </c>
      <c r="D116" s="42" t="inlineStr">
        <is>
          <t>19</t>
        </is>
      </c>
      <c r="E116" s="38" t="inlineStr">
        <is>
          <t>Garrotxa</t>
        </is>
      </c>
    </row>
    <row r="117" ht="15" customHeight="1" s="39">
      <c r="A117" s="38" t="inlineStr">
        <is>
          <t>[170209] Bescanó</t>
        </is>
      </c>
      <c r="B117" s="42" t="inlineStr">
        <is>
          <t>170209</t>
        </is>
      </c>
      <c r="C117" s="38" t="inlineStr">
        <is>
          <t>Bescanó</t>
        </is>
      </c>
      <c r="D117" s="42" t="inlineStr">
        <is>
          <t>20</t>
        </is>
      </c>
      <c r="E117" s="38" t="inlineStr">
        <is>
          <t>Gironès</t>
        </is>
      </c>
    </row>
    <row r="118" ht="15" customHeight="1" s="39">
      <c r="A118" s="38" t="inlineStr">
        <is>
          <t>[170216] Beuda</t>
        </is>
      </c>
      <c r="B118" s="42" t="inlineStr">
        <is>
          <t>170216</t>
        </is>
      </c>
      <c r="C118" s="38" t="inlineStr">
        <is>
          <t>Beuda</t>
        </is>
      </c>
      <c r="D118" s="42" t="inlineStr">
        <is>
          <t>19</t>
        </is>
      </c>
      <c r="E118" s="38" t="inlineStr">
        <is>
          <t>Garrotxa</t>
        </is>
      </c>
    </row>
    <row r="119" ht="15" customHeight="1" s="39">
      <c r="A119" s="38" t="inlineStr">
        <is>
          <t>[080235] Bigues i Riells del Fai</t>
        </is>
      </c>
      <c r="B119" s="42" t="inlineStr">
        <is>
          <t>080235</t>
        </is>
      </c>
      <c r="C119" s="38" t="inlineStr">
        <is>
          <t>Bigues i Riells del Fai</t>
        </is>
      </c>
      <c r="D119" s="42" t="inlineStr">
        <is>
          <t>41</t>
        </is>
      </c>
      <c r="E119" s="38" t="inlineStr">
        <is>
          <t>Vallès Oriental</t>
        </is>
      </c>
    </row>
    <row r="120" ht="15" customHeight="1" s="39">
      <c r="A120" s="38" t="inlineStr">
        <is>
          <t>[250557] Biosca</t>
        </is>
      </c>
      <c r="B120" s="42" t="inlineStr">
        <is>
          <t>250557</t>
        </is>
      </c>
      <c r="C120" s="38" t="inlineStr">
        <is>
          <t>Biosca</t>
        </is>
      </c>
      <c r="D120" s="42" t="inlineStr">
        <is>
          <t>35</t>
        </is>
      </c>
      <c r="E120" s="38" t="inlineStr">
        <is>
          <t>Solsonès</t>
        </is>
      </c>
    </row>
    <row r="121" ht="15" customHeight="1" s="39">
      <c r="A121" s="38" t="inlineStr">
        <is>
          <t>[170221] Bisbal d'Empordà, la</t>
        </is>
      </c>
      <c r="B121" s="42" t="inlineStr">
        <is>
          <t>170221</t>
        </is>
      </c>
      <c r="C121" s="38" t="inlineStr">
        <is>
          <t>Bisbal d'Empordà, la</t>
        </is>
      </c>
      <c r="D121" s="42" t="inlineStr">
        <is>
          <t>10</t>
        </is>
      </c>
      <c r="E121" s="38" t="inlineStr">
        <is>
          <t>Baix Empordà</t>
        </is>
      </c>
    </row>
    <row r="122" ht="15" customHeight="1" s="39">
      <c r="A122" s="38" t="inlineStr">
        <is>
          <t>[430271] Bisbal de Montsant, la</t>
        </is>
      </c>
      <c r="B122" s="42" t="inlineStr">
        <is>
          <t>430271</t>
        </is>
      </c>
      <c r="C122" s="38" t="inlineStr">
        <is>
          <t>Bisbal de Montsant, la</t>
        </is>
      </c>
      <c r="D122" s="42" t="inlineStr">
        <is>
          <t>29</t>
        </is>
      </c>
      <c r="E122" s="38" t="inlineStr">
        <is>
          <t>Priorat</t>
        </is>
      </c>
    </row>
    <row r="123" ht="15" customHeight="1" s="39">
      <c r="A123" s="38" t="inlineStr">
        <is>
          <t>[430287] Bisbal del Penedès, la</t>
        </is>
      </c>
      <c r="B123" s="42" t="inlineStr">
        <is>
          <t>430287</t>
        </is>
      </c>
      <c r="C123" s="38" t="inlineStr">
        <is>
          <t>Bisbal del Penedès, la</t>
        </is>
      </c>
      <c r="D123" s="42" t="inlineStr">
        <is>
          <t>12</t>
        </is>
      </c>
      <c r="E123" s="38" t="inlineStr">
        <is>
          <t>Baix Penedès</t>
        </is>
      </c>
    </row>
    <row r="124" ht="15" customHeight="1" s="39">
      <c r="A124" s="38" t="inlineStr">
        <is>
          <t>[172348] Biure</t>
        </is>
      </c>
      <c r="B124" s="42" t="inlineStr">
        <is>
          <t>172348</t>
        </is>
      </c>
      <c r="C124" s="38" t="inlineStr">
        <is>
          <t>Biure</t>
        </is>
      </c>
      <c r="D124" s="42" t="inlineStr">
        <is>
          <t>02</t>
        </is>
      </c>
      <c r="E124" s="38" t="inlineStr">
        <is>
          <t>Alt Empordà</t>
        </is>
      </c>
    </row>
    <row r="125" ht="15" customHeight="1" s="39">
      <c r="A125" s="38" t="inlineStr">
        <is>
          <t>[430290] Blancafort</t>
        </is>
      </c>
      <c r="B125" s="42" t="inlineStr">
        <is>
          <t>430290</t>
        </is>
      </c>
      <c r="C125" s="38" t="inlineStr">
        <is>
          <t>Blancafort</t>
        </is>
      </c>
      <c r="D125" s="42" t="inlineStr">
        <is>
          <t>16</t>
        </is>
      </c>
      <c r="E125" s="38" t="inlineStr">
        <is>
          <t>Conca de Barberà</t>
        </is>
      </c>
    </row>
    <row r="126" ht="15" customHeight="1" s="39">
      <c r="A126" s="38" t="inlineStr">
        <is>
          <t>[170237] Blanes</t>
        </is>
      </c>
      <c r="B126" s="42" t="inlineStr">
        <is>
          <t>170237</t>
        </is>
      </c>
      <c r="C126" s="38" t="inlineStr">
        <is>
          <t>Blanes</t>
        </is>
      </c>
      <c r="D126" s="42" t="inlineStr">
        <is>
          <t>34</t>
        </is>
      </c>
      <c r="E126" s="38" t="inlineStr">
        <is>
          <t>Selva</t>
        </is>
      </c>
    </row>
    <row r="127" ht="15" customHeight="1" s="39">
      <c r="A127" s="38" t="inlineStr">
        <is>
          <t>[170293] Boadella i les Escaules</t>
        </is>
      </c>
      <c r="B127" s="42" t="inlineStr">
        <is>
          <t>170293</t>
        </is>
      </c>
      <c r="C127" s="38" t="inlineStr">
        <is>
          <t>Boadella i les Escaules</t>
        </is>
      </c>
      <c r="D127" s="42" t="inlineStr">
        <is>
          <t>02</t>
        </is>
      </c>
      <c r="E127" s="38" t="inlineStr">
        <is>
          <t>Alt Empordà</t>
        </is>
      </c>
    </row>
    <row r="128" ht="15" customHeight="1" s="39">
      <c r="A128" s="38" t="inlineStr">
        <is>
          <t>[170242] Bolvir</t>
        </is>
      </c>
      <c r="B128" s="42" t="inlineStr">
        <is>
          <t>170242</t>
        </is>
      </c>
      <c r="C128" s="38" t="inlineStr">
        <is>
          <t>Bolvir</t>
        </is>
      </c>
      <c r="D128" s="42" t="inlineStr">
        <is>
          <t>15</t>
        </is>
      </c>
      <c r="E128" s="38" t="inlineStr">
        <is>
          <t>Cerdanya</t>
        </is>
      </c>
    </row>
    <row r="129" ht="15" customHeight="1" s="39">
      <c r="A129" s="38" t="inlineStr">
        <is>
          <t>[430304] Bonastre</t>
        </is>
      </c>
      <c r="B129" s="42" t="inlineStr">
        <is>
          <t>430304</t>
        </is>
      </c>
      <c r="C129" s="38" t="inlineStr">
        <is>
          <t>Bonastre</t>
        </is>
      </c>
      <c r="D129" s="42" t="inlineStr">
        <is>
          <t>12</t>
        </is>
      </c>
      <c r="E129" s="38" t="inlineStr">
        <is>
          <t>Baix Penedès</t>
        </is>
      </c>
    </row>
    <row r="130" ht="15" customHeight="1" s="39">
      <c r="A130" s="38" t="inlineStr">
        <is>
          <t>[250576] Bòrdes, Es</t>
        </is>
      </c>
      <c r="B130" s="42" t="inlineStr">
        <is>
          <t>250576</t>
        </is>
      </c>
      <c r="C130" s="38" t="inlineStr">
        <is>
          <t>Bòrdes, Es</t>
        </is>
      </c>
      <c r="D130" s="42" t="inlineStr">
        <is>
          <t>39</t>
        </is>
      </c>
      <c r="E130" s="38" t="inlineStr">
        <is>
          <t>Aran</t>
        </is>
      </c>
    </row>
    <row r="131" ht="15" customHeight="1" s="39">
      <c r="A131" s="38" t="inlineStr">
        <is>
          <t>[170255] Bordils</t>
        </is>
      </c>
      <c r="B131" s="42" t="inlineStr">
        <is>
          <t>170255</t>
        </is>
      </c>
      <c r="C131" s="38" t="inlineStr">
        <is>
          <t>Bordils</t>
        </is>
      </c>
      <c r="D131" s="42" t="inlineStr">
        <is>
          <t>20</t>
        </is>
      </c>
      <c r="E131" s="38" t="inlineStr">
        <is>
          <t>Gironès</t>
        </is>
      </c>
    </row>
    <row r="132" ht="15" customHeight="1" s="39">
      <c r="A132" s="38" t="inlineStr">
        <is>
          <t>[250582] Borges Blanques, les</t>
        </is>
      </c>
      <c r="B132" s="42" t="inlineStr">
        <is>
          <t>250582</t>
        </is>
      </c>
      <c r="C132" s="38" t="inlineStr">
        <is>
          <t>Borges Blanques, les</t>
        </is>
      </c>
      <c r="D132" s="42" t="inlineStr">
        <is>
          <t>18</t>
        </is>
      </c>
      <c r="E132" s="38" t="inlineStr">
        <is>
          <t>Garrigues</t>
        </is>
      </c>
    </row>
    <row r="133" ht="15" customHeight="1" s="39">
      <c r="A133" s="38" t="inlineStr">
        <is>
          <t>[430311] Borges del Camp, les</t>
        </is>
      </c>
      <c r="B133" s="42" t="inlineStr">
        <is>
          <t>430311</t>
        </is>
      </c>
      <c r="C133" s="38" t="inlineStr">
        <is>
          <t>Borges del Camp, les</t>
        </is>
      </c>
      <c r="D133" s="42" t="inlineStr">
        <is>
          <t>08</t>
        </is>
      </c>
      <c r="E133" s="38" t="inlineStr">
        <is>
          <t>Baix Camp</t>
        </is>
      </c>
    </row>
    <row r="134" ht="15" customHeight="1" s="39">
      <c r="A134" s="38" t="inlineStr">
        <is>
          <t>[170268] Borrassà</t>
        </is>
      </c>
      <c r="B134" s="42" t="inlineStr">
        <is>
          <t>170268</t>
        </is>
      </c>
      <c r="C134" s="38" t="inlineStr">
        <is>
          <t>Borrassà</t>
        </is>
      </c>
      <c r="D134" s="42" t="inlineStr">
        <is>
          <t>02</t>
        </is>
      </c>
      <c r="E134" s="38" t="inlineStr">
        <is>
          <t>Alt Empordà</t>
        </is>
      </c>
    </row>
    <row r="135" ht="15" customHeight="1" s="39">
      <c r="A135" s="38" t="inlineStr">
        <is>
          <t>[080240] Borredà</t>
        </is>
      </c>
      <c r="B135" s="42" t="inlineStr">
        <is>
          <t>080240</t>
        </is>
      </c>
      <c r="C135" s="38" t="inlineStr">
        <is>
          <t>Borredà</t>
        </is>
      </c>
      <c r="D135" s="42" t="inlineStr">
        <is>
          <t>14</t>
        </is>
      </c>
      <c r="E135" s="38" t="inlineStr">
        <is>
          <t>Berguedà</t>
        </is>
      </c>
    </row>
    <row r="136" ht="15" customHeight="1" s="39">
      <c r="A136" s="38" t="inlineStr">
        <is>
          <t>[250595] Bossòst</t>
        </is>
      </c>
      <c r="B136" s="42" t="inlineStr">
        <is>
          <t>250595</t>
        </is>
      </c>
      <c r="C136" s="38" t="inlineStr">
        <is>
          <t>Bossòst</t>
        </is>
      </c>
      <c r="D136" s="42" t="inlineStr">
        <is>
          <t>39</t>
        </is>
      </c>
      <c r="E136" s="38" t="inlineStr">
        <is>
          <t>Aran</t>
        </is>
      </c>
    </row>
    <row r="137" ht="15" customHeight="1" s="39">
      <c r="A137" s="38" t="inlineStr">
        <is>
          <t>[430326] Bot</t>
        </is>
      </c>
      <c r="B137" s="42" t="inlineStr">
        <is>
          <t>430326</t>
        </is>
      </c>
      <c r="C137" s="38" t="inlineStr">
        <is>
          <t>Bot</t>
        </is>
      </c>
      <c r="D137" s="42" t="inlineStr">
        <is>
          <t>37</t>
        </is>
      </c>
      <c r="E137" s="38" t="inlineStr">
        <is>
          <t>Terra Alta</t>
        </is>
      </c>
    </row>
    <row r="138" ht="15" customHeight="1" s="39">
      <c r="A138" s="38" t="inlineStr">
        <is>
          <t>[430332] Botarell</t>
        </is>
      </c>
      <c r="B138" s="42" t="inlineStr">
        <is>
          <t>430332</t>
        </is>
      </c>
      <c r="C138" s="38" t="inlineStr">
        <is>
          <t>Botarell</t>
        </is>
      </c>
      <c r="D138" s="42" t="inlineStr">
        <is>
          <t>08</t>
        </is>
      </c>
      <c r="E138" s="38" t="inlineStr">
        <is>
          <t>Baix Camp</t>
        </is>
      </c>
    </row>
    <row r="139" ht="15" customHeight="1" s="39">
      <c r="A139" s="38" t="inlineStr">
        <is>
          <t>[250560] Bovera</t>
        </is>
      </c>
      <c r="B139" s="42" t="inlineStr">
        <is>
          <t>250560</t>
        </is>
      </c>
      <c r="C139" s="38" t="inlineStr">
        <is>
          <t>Bovera</t>
        </is>
      </c>
      <c r="D139" s="42" t="inlineStr">
        <is>
          <t>18</t>
        </is>
      </c>
      <c r="E139" s="38" t="inlineStr">
        <is>
          <t>Garrigues</t>
        </is>
      </c>
    </row>
    <row r="140" ht="15" customHeight="1" s="39">
      <c r="A140" s="38" t="inlineStr">
        <is>
          <t>[430347] Bràfim</t>
        </is>
      </c>
      <c r="B140" s="42" t="inlineStr">
        <is>
          <t>430347</t>
        </is>
      </c>
      <c r="C140" s="38" t="inlineStr">
        <is>
          <t>Bràfim</t>
        </is>
      </c>
      <c r="D140" s="42" t="inlineStr">
        <is>
          <t>01</t>
        </is>
      </c>
      <c r="E140" s="38" t="inlineStr">
        <is>
          <t>Alt Camp</t>
        </is>
      </c>
    </row>
    <row r="141" ht="15" customHeight="1" s="39">
      <c r="A141" s="38" t="inlineStr">
        <is>
          <t>[170274] Breda</t>
        </is>
      </c>
      <c r="B141" s="42" t="inlineStr">
        <is>
          <t>170274</t>
        </is>
      </c>
      <c r="C141" s="38" t="inlineStr">
        <is>
          <t>Breda</t>
        </is>
      </c>
      <c r="D141" s="42" t="inlineStr">
        <is>
          <t>34</t>
        </is>
      </c>
      <c r="E141" s="38" t="inlineStr">
        <is>
          <t>Selva</t>
        </is>
      </c>
    </row>
    <row r="142" ht="15" customHeight="1" s="39">
      <c r="A142" s="38" t="inlineStr">
        <is>
          <t>[080253] Bruc, el</t>
        </is>
      </c>
      <c r="B142" s="42" t="inlineStr">
        <is>
          <t>080253</t>
        </is>
      </c>
      <c r="C142" s="38" t="inlineStr">
        <is>
          <t>Bruc, el</t>
        </is>
      </c>
      <c r="D142" s="42" t="inlineStr">
        <is>
          <t>06</t>
        </is>
      </c>
      <c r="E142" s="38" t="inlineStr">
        <is>
          <t>Anoia</t>
        </is>
      </c>
    </row>
    <row r="143" ht="15" customHeight="1" s="39">
      <c r="A143" s="38" t="inlineStr">
        <is>
          <t>[080266] Brull, el</t>
        </is>
      </c>
      <c r="B143" s="42" t="inlineStr">
        <is>
          <t>080266</t>
        </is>
      </c>
      <c r="C143" s="38" t="inlineStr">
        <is>
          <t>Brull, el</t>
        </is>
      </c>
      <c r="D143" s="42" t="inlineStr">
        <is>
          <t>24</t>
        </is>
      </c>
      <c r="E143" s="38" t="inlineStr">
        <is>
          <t>Osona</t>
        </is>
      </c>
    </row>
    <row r="144" ht="15" customHeight="1" s="39">
      <c r="A144" s="38" t="inlineStr">
        <is>
          <t>[170280] Brunyola i Sant Martí Sapresa</t>
        </is>
      </c>
      <c r="B144" s="42" t="inlineStr">
        <is>
          <t>170280</t>
        </is>
      </c>
      <c r="C144" s="38" t="inlineStr">
        <is>
          <t>Brunyola i Sant Martí Sapresa</t>
        </is>
      </c>
      <c r="D144" s="42" t="inlineStr">
        <is>
          <t>34</t>
        </is>
      </c>
      <c r="E144" s="38" t="inlineStr">
        <is>
          <t>Selva</t>
        </is>
      </c>
    </row>
    <row r="145" ht="15" customHeight="1" s="39">
      <c r="A145" s="38" t="inlineStr">
        <is>
          <t>[430350] Cabacés</t>
        </is>
      </c>
      <c r="B145" s="42" t="inlineStr">
        <is>
          <t>430350</t>
        </is>
      </c>
      <c r="C145" s="38" t="inlineStr">
        <is>
          <t>Cabacés</t>
        </is>
      </c>
      <c r="D145" s="42" t="inlineStr">
        <is>
          <t>29</t>
        </is>
      </c>
      <c r="E145" s="38" t="inlineStr">
        <is>
          <t>Priorat</t>
        </is>
      </c>
    </row>
    <row r="146" ht="15" customHeight="1" s="39">
      <c r="A146" s="38" t="inlineStr">
        <is>
          <t>[250609] Cabanabona</t>
        </is>
      </c>
      <c r="B146" s="42" t="inlineStr">
        <is>
          <t>250609</t>
        </is>
      </c>
      <c r="C146" s="38" t="inlineStr">
        <is>
          <t>Cabanabona</t>
        </is>
      </c>
      <c r="D146" s="42" t="inlineStr">
        <is>
          <t>23</t>
        </is>
      </c>
      <c r="E146" s="38" t="inlineStr">
        <is>
          <t>Noguera</t>
        </is>
      </c>
    </row>
    <row r="147" ht="15" customHeight="1" s="39">
      <c r="A147" s="38" t="inlineStr">
        <is>
          <t>[170314] Cabanelles</t>
        </is>
      </c>
      <c r="B147" s="42" t="inlineStr">
        <is>
          <t>170314</t>
        </is>
      </c>
      <c r="C147" s="38" t="inlineStr">
        <is>
          <t>Cabanelles</t>
        </is>
      </c>
      <c r="D147" s="42" t="inlineStr">
        <is>
          <t>02</t>
        </is>
      </c>
      <c r="E147" s="38" t="inlineStr">
        <is>
          <t>Alt Empordà</t>
        </is>
      </c>
    </row>
    <row r="148" ht="15" customHeight="1" s="39">
      <c r="A148" s="38" t="inlineStr">
        <is>
          <t>[170307] Cabanes</t>
        </is>
      </c>
      <c r="B148" s="42" t="inlineStr">
        <is>
          <t>170307</t>
        </is>
      </c>
      <c r="C148" s="38" t="inlineStr">
        <is>
          <t>Cabanes</t>
        </is>
      </c>
      <c r="D148" s="42" t="inlineStr">
        <is>
          <t>02</t>
        </is>
      </c>
      <c r="E148" s="38" t="inlineStr">
        <is>
          <t>Alt Empordà</t>
        </is>
      </c>
    </row>
    <row r="149" ht="15" customHeight="1" s="39">
      <c r="A149" s="38" t="inlineStr">
        <is>
          <t>[080272] Cabanyes, les</t>
        </is>
      </c>
      <c r="B149" s="42" t="inlineStr">
        <is>
          <t>080272</t>
        </is>
      </c>
      <c r="C149" s="38" t="inlineStr">
        <is>
          <t>Cabanyes, les</t>
        </is>
      </c>
      <c r="D149" s="42" t="inlineStr">
        <is>
          <t>03</t>
        </is>
      </c>
      <c r="E149" s="38" t="inlineStr">
        <is>
          <t>Alt Penedès</t>
        </is>
      </c>
    </row>
    <row r="150" ht="15" customHeight="1" s="39">
      <c r="A150" s="38" t="inlineStr">
        <is>
          <t>[250616] Cabó</t>
        </is>
      </c>
      <c r="B150" s="42" t="inlineStr">
        <is>
          <t>250616</t>
        </is>
      </c>
      <c r="C150" s="38" t="inlineStr">
        <is>
          <t>Cabó</t>
        </is>
      </c>
      <c r="D150" s="42" t="inlineStr">
        <is>
          <t>04</t>
        </is>
      </c>
      <c r="E150" s="38" t="inlineStr">
        <is>
          <t>Alt Urgell</t>
        </is>
      </c>
    </row>
    <row r="151" ht="15" customHeight="1" s="39">
      <c r="A151" s="38" t="inlineStr">
        <is>
          <t>[430363] Cabra del Camp</t>
        </is>
      </c>
      <c r="B151" s="42" t="inlineStr">
        <is>
          <t>430363</t>
        </is>
      </c>
      <c r="C151" s="38" t="inlineStr">
        <is>
          <t>Cabra del Camp</t>
        </is>
      </c>
      <c r="D151" s="42" t="inlineStr">
        <is>
          <t>01</t>
        </is>
      </c>
      <c r="E151" s="38" t="inlineStr">
        <is>
          <t>Alt Camp</t>
        </is>
      </c>
    </row>
    <row r="152" ht="15" customHeight="1" s="39">
      <c r="A152" s="38" t="inlineStr">
        <is>
          <t>[080288] Cabrera d'Anoia</t>
        </is>
      </c>
      <c r="B152" s="42" t="inlineStr">
        <is>
          <t>080288</t>
        </is>
      </c>
      <c r="C152" s="38" t="inlineStr">
        <is>
          <t>Cabrera d'Anoia</t>
        </is>
      </c>
      <c r="D152" s="42" t="inlineStr">
        <is>
          <t>06</t>
        </is>
      </c>
      <c r="E152" s="38" t="inlineStr">
        <is>
          <t>Anoia</t>
        </is>
      </c>
    </row>
    <row r="153" ht="15" customHeight="1" s="39">
      <c r="A153" s="38" t="inlineStr">
        <is>
          <t>[080291] Cabrera de Mar</t>
        </is>
      </c>
      <c r="B153" s="42" t="inlineStr">
        <is>
          <t>080291</t>
        </is>
      </c>
      <c r="C153" s="38" t="inlineStr">
        <is>
          <t>Cabrera de Mar</t>
        </is>
      </c>
      <c r="D153" s="42" t="inlineStr">
        <is>
          <t>21</t>
        </is>
      </c>
      <c r="E153" s="38" t="inlineStr">
        <is>
          <t>Maresme</t>
        </is>
      </c>
    </row>
    <row r="154" ht="15" customHeight="1" s="39">
      <c r="A154" s="38" t="inlineStr">
        <is>
          <t>[080305] Cabrils</t>
        </is>
      </c>
      <c r="B154" s="42" t="inlineStr">
        <is>
          <t>080305</t>
        </is>
      </c>
      <c r="C154" s="38" t="inlineStr">
        <is>
          <t>Cabrils</t>
        </is>
      </c>
      <c r="D154" s="42" t="inlineStr">
        <is>
          <t>21</t>
        </is>
      </c>
      <c r="E154" s="38" t="inlineStr">
        <is>
          <t>Maresme</t>
        </is>
      </c>
    </row>
    <row r="155" ht="15" customHeight="1" s="39">
      <c r="A155" s="38" t="inlineStr">
        <is>
          <t>[170329] Cadaqués</t>
        </is>
      </c>
      <c r="B155" s="42" t="inlineStr">
        <is>
          <t>170329</t>
        </is>
      </c>
      <c r="C155" s="38" t="inlineStr">
        <is>
          <t>Cadaqués</t>
        </is>
      </c>
      <c r="D155" s="42" t="inlineStr">
        <is>
          <t>02</t>
        </is>
      </c>
      <c r="E155" s="38" t="inlineStr">
        <is>
          <t>Alt Empordà</t>
        </is>
      </c>
    </row>
    <row r="156" ht="15" customHeight="1" s="39">
      <c r="A156" s="38" t="inlineStr">
        <is>
          <t>[080312] Calaf</t>
        </is>
      </c>
      <c r="B156" s="42" t="inlineStr">
        <is>
          <t>080312</t>
        </is>
      </c>
      <c r="C156" s="38" t="inlineStr">
        <is>
          <t>Calaf</t>
        </is>
      </c>
      <c r="D156" s="42" t="inlineStr">
        <is>
          <t>06</t>
        </is>
      </c>
      <c r="E156" s="38" t="inlineStr">
        <is>
          <t>Anoia</t>
        </is>
      </c>
    </row>
    <row r="157" ht="15" customHeight="1" s="39">
      <c r="A157" s="38" t="inlineStr">
        <is>
          <t>[430379] Calafell</t>
        </is>
      </c>
      <c r="B157" s="42" t="inlineStr">
        <is>
          <t>430379</t>
        </is>
      </c>
      <c r="C157" s="38" t="inlineStr">
        <is>
          <t>Calafell</t>
        </is>
      </c>
      <c r="D157" s="42" t="inlineStr">
        <is>
          <t>12</t>
        </is>
      </c>
      <c r="E157" s="38" t="inlineStr">
        <is>
          <t>Baix Penedès</t>
        </is>
      </c>
    </row>
    <row r="158" ht="15" customHeight="1" s="39">
      <c r="A158" s="38" t="inlineStr">
        <is>
          <t>[080348] Calders</t>
        </is>
      </c>
      <c r="B158" s="42" t="inlineStr">
        <is>
          <t>080348</t>
        </is>
      </c>
      <c r="C158" s="38" t="inlineStr">
        <is>
          <t>Calders</t>
        </is>
      </c>
      <c r="D158" s="42" t="inlineStr">
        <is>
          <t>42</t>
        </is>
      </c>
      <c r="E158" s="38" t="inlineStr">
        <is>
          <t>Moianès</t>
        </is>
      </c>
    </row>
    <row r="159" ht="15" customHeight="1" s="39">
      <c r="A159" s="38" t="inlineStr">
        <is>
          <t>[080327] Caldes d'Estrac</t>
        </is>
      </c>
      <c r="B159" s="42" t="inlineStr">
        <is>
          <t>080327</t>
        </is>
      </c>
      <c r="C159" s="38" t="inlineStr">
        <is>
          <t>Caldes d'Estrac</t>
        </is>
      </c>
      <c r="D159" s="42" t="inlineStr">
        <is>
          <t>21</t>
        </is>
      </c>
      <c r="E159" s="38" t="inlineStr">
        <is>
          <t>Maresme</t>
        </is>
      </c>
    </row>
    <row r="160" ht="15" customHeight="1" s="39">
      <c r="A160" s="38" t="inlineStr">
        <is>
          <t>[170335] Caldes de Malavella</t>
        </is>
      </c>
      <c r="B160" s="42" t="inlineStr">
        <is>
          <t>170335</t>
        </is>
      </c>
      <c r="C160" s="38" t="inlineStr">
        <is>
          <t>Caldes de Malavella</t>
        </is>
      </c>
      <c r="D160" s="42" t="inlineStr">
        <is>
          <t>34</t>
        </is>
      </c>
      <c r="E160" s="38" t="inlineStr">
        <is>
          <t>Selva</t>
        </is>
      </c>
    </row>
    <row r="161" ht="15" customHeight="1" s="39">
      <c r="A161" s="38" t="inlineStr">
        <is>
          <t>[080333] Caldes de Montbui</t>
        </is>
      </c>
      <c r="B161" s="42" t="inlineStr">
        <is>
          <t>080333</t>
        </is>
      </c>
      <c r="C161" s="38" t="inlineStr">
        <is>
          <t>Caldes de Montbui</t>
        </is>
      </c>
      <c r="D161" s="42" t="inlineStr">
        <is>
          <t>41</t>
        </is>
      </c>
      <c r="E161" s="38" t="inlineStr">
        <is>
          <t>Vallès Oriental</t>
        </is>
      </c>
    </row>
    <row r="162" ht="15" customHeight="1" s="39">
      <c r="A162" s="38" t="inlineStr">
        <is>
          <t>[080351] Calella</t>
        </is>
      </c>
      <c r="B162" s="42" t="inlineStr">
        <is>
          <t>080351</t>
        </is>
      </c>
      <c r="C162" s="38" t="inlineStr">
        <is>
          <t>Calella</t>
        </is>
      </c>
      <c r="D162" s="42" t="inlineStr">
        <is>
          <t>21</t>
        </is>
      </c>
      <c r="E162" s="38" t="inlineStr">
        <is>
          <t>Maresme</t>
        </is>
      </c>
    </row>
    <row r="163" ht="15" customHeight="1" s="39">
      <c r="A163" s="38" t="inlineStr">
        <is>
          <t>[080370] Calldetenes</t>
        </is>
      </c>
      <c r="B163" s="42" t="inlineStr">
        <is>
          <t>080370</t>
        </is>
      </c>
      <c r="C163" s="38" t="inlineStr">
        <is>
          <t>Calldetenes</t>
        </is>
      </c>
      <c r="D163" s="42" t="inlineStr">
        <is>
          <t>24</t>
        </is>
      </c>
      <c r="E163" s="38" t="inlineStr">
        <is>
          <t>Osona</t>
        </is>
      </c>
    </row>
    <row r="164" ht="15" customHeight="1" s="39">
      <c r="A164" s="38" t="inlineStr">
        <is>
          <t>[080386] Callús</t>
        </is>
      </c>
      <c r="B164" s="42" t="inlineStr">
        <is>
          <t>080386</t>
        </is>
      </c>
      <c r="C164" s="38" t="inlineStr">
        <is>
          <t>Callús</t>
        </is>
      </c>
      <c r="D164" s="42" t="inlineStr">
        <is>
          <t>07</t>
        </is>
      </c>
      <c r="E164" s="38" t="inlineStr">
        <is>
          <t>Bages</t>
        </is>
      </c>
    </row>
    <row r="165" ht="15" customHeight="1" s="39">
      <c r="A165" s="38" t="inlineStr">
        <is>
          <t>[080364] Calonge de Segarra</t>
        </is>
      </c>
      <c r="B165" s="42" t="inlineStr">
        <is>
          <t>080364</t>
        </is>
      </c>
      <c r="C165" s="38" t="inlineStr">
        <is>
          <t>Calonge de Segarra</t>
        </is>
      </c>
      <c r="D165" s="42" t="inlineStr">
        <is>
          <t>06</t>
        </is>
      </c>
      <c r="E165" s="38" t="inlineStr">
        <is>
          <t>Anoia</t>
        </is>
      </c>
    </row>
    <row r="166" ht="15" customHeight="1" s="39">
      <c r="A166" s="38" t="inlineStr">
        <is>
          <t>[170340] Calonge i Sant Antoni</t>
        </is>
      </c>
      <c r="B166" s="42" t="inlineStr">
        <is>
          <t>170340</t>
        </is>
      </c>
      <c r="C166" s="38" t="inlineStr">
        <is>
          <t>Calonge i Sant Antoni</t>
        </is>
      </c>
      <c r="D166" s="42" t="inlineStr">
        <is>
          <t>10</t>
        </is>
      </c>
      <c r="E166" s="38" t="inlineStr">
        <is>
          <t>Baix Empordà</t>
        </is>
      </c>
    </row>
    <row r="167" ht="15" customHeight="1" s="39">
      <c r="A167" s="38" t="inlineStr">
        <is>
          <t>[250621] Camarasa</t>
        </is>
      </c>
      <c r="B167" s="42" t="inlineStr">
        <is>
          <t>250621</t>
        </is>
      </c>
      <c r="C167" s="38" t="inlineStr">
        <is>
          <t>Camarasa</t>
        </is>
      </c>
      <c r="D167" s="42" t="inlineStr">
        <is>
          <t>23</t>
        </is>
      </c>
      <c r="E167" s="38" t="inlineStr">
        <is>
          <t>Noguera</t>
        </is>
      </c>
    </row>
    <row r="168" ht="15" customHeight="1" s="39">
      <c r="A168" s="38" t="inlineStr">
        <is>
          <t>[439039] Camarles</t>
        </is>
      </c>
      <c r="B168" s="42" t="inlineStr">
        <is>
          <t>439039</t>
        </is>
      </c>
      <c r="C168" s="38" t="inlineStr">
        <is>
          <t>Camarles</t>
        </is>
      </c>
      <c r="D168" s="42" t="inlineStr">
        <is>
          <t>09</t>
        </is>
      </c>
      <c r="E168" s="38" t="inlineStr">
        <is>
          <t>Baix Ebre</t>
        </is>
      </c>
    </row>
    <row r="169" ht="15" customHeight="1" s="39">
      <c r="A169" s="38" t="inlineStr">
        <is>
          <t>[430385] Cambrils</t>
        </is>
      </c>
      <c r="B169" s="42" t="inlineStr">
        <is>
          <t>430385</t>
        </is>
      </c>
      <c r="C169" s="38" t="inlineStr">
        <is>
          <t>Cambrils</t>
        </is>
      </c>
      <c r="D169" s="42" t="inlineStr">
        <is>
          <t>08</t>
        </is>
      </c>
      <c r="E169" s="38" t="inlineStr">
        <is>
          <t>Baix Camp</t>
        </is>
      </c>
    </row>
    <row r="170" ht="15" customHeight="1" s="39">
      <c r="A170" s="38" t="inlineStr">
        <is>
          <t>[170353] Camós</t>
        </is>
      </c>
      <c r="B170" s="42" t="inlineStr">
        <is>
          <t>170353</t>
        </is>
      </c>
      <c r="C170" s="38" t="inlineStr">
        <is>
          <t>Camós</t>
        </is>
      </c>
      <c r="D170" s="42" t="inlineStr">
        <is>
          <t>28</t>
        </is>
      </c>
      <c r="E170" s="38" t="inlineStr">
        <is>
          <t>Pla de l'Estany</t>
        </is>
      </c>
    </row>
    <row r="171" ht="15" customHeight="1" s="39">
      <c r="A171" s="38" t="inlineStr">
        <is>
          <t>[170366] Campdevànol</t>
        </is>
      </c>
      <c r="B171" s="42" t="inlineStr">
        <is>
          <t>170366</t>
        </is>
      </c>
      <c r="C171" s="38" t="inlineStr">
        <is>
          <t>Campdevànol</t>
        </is>
      </c>
      <c r="D171" s="42" t="inlineStr">
        <is>
          <t>31</t>
        </is>
      </c>
      <c r="E171" s="38" t="inlineStr">
        <is>
          <t>Ripollès</t>
        </is>
      </c>
    </row>
    <row r="172" ht="15" customHeight="1" s="39">
      <c r="A172" s="38" t="inlineStr">
        <is>
          <t>[170372] Campelles</t>
        </is>
      </c>
      <c r="B172" s="42" t="inlineStr">
        <is>
          <t>170372</t>
        </is>
      </c>
      <c r="C172" s="38" t="inlineStr">
        <is>
          <t>Campelles</t>
        </is>
      </c>
      <c r="D172" s="42" t="inlineStr">
        <is>
          <t>31</t>
        </is>
      </c>
      <c r="E172" s="38" t="inlineStr">
        <is>
          <t>Ripollès</t>
        </is>
      </c>
    </row>
    <row r="173" ht="15" customHeight="1" s="39">
      <c r="A173" s="38" t="inlineStr">
        <is>
          <t>[080399] Campins</t>
        </is>
      </c>
      <c r="B173" s="42" t="inlineStr">
        <is>
          <t>080399</t>
        </is>
      </c>
      <c r="C173" s="38" t="inlineStr">
        <is>
          <t>Campins</t>
        </is>
      </c>
      <c r="D173" s="42" t="inlineStr">
        <is>
          <t>41</t>
        </is>
      </c>
      <c r="E173" s="38" t="inlineStr">
        <is>
          <t>Vallès Oriental</t>
        </is>
      </c>
    </row>
    <row r="174" ht="15" customHeight="1" s="39">
      <c r="A174" s="38" t="inlineStr">
        <is>
          <t>[170388] Campllong</t>
        </is>
      </c>
      <c r="B174" s="42" t="inlineStr">
        <is>
          <t>170388</t>
        </is>
      </c>
      <c r="C174" s="38" t="inlineStr">
        <is>
          <t>Campllong</t>
        </is>
      </c>
      <c r="D174" s="42" t="inlineStr">
        <is>
          <t>20</t>
        </is>
      </c>
      <c r="E174" s="38" t="inlineStr">
        <is>
          <t>Gironès</t>
        </is>
      </c>
    </row>
    <row r="175" ht="15" customHeight="1" s="39">
      <c r="A175" s="38" t="inlineStr">
        <is>
          <t>[170391] Camprodon</t>
        </is>
      </c>
      <c r="B175" s="42" t="inlineStr">
        <is>
          <t>170391</t>
        </is>
      </c>
      <c r="C175" s="38" t="inlineStr">
        <is>
          <t>Camprodon</t>
        </is>
      </c>
      <c r="D175" s="42" t="inlineStr">
        <is>
          <t>31</t>
        </is>
      </c>
      <c r="E175" s="38" t="inlineStr">
        <is>
          <t>Ripollès</t>
        </is>
      </c>
    </row>
    <row r="176" ht="15" customHeight="1" s="39">
      <c r="A176" s="38" t="inlineStr">
        <is>
          <t>[250637] Canejan</t>
        </is>
      </c>
      <c r="B176" s="42" t="inlineStr">
        <is>
          <t>250637</t>
        </is>
      </c>
      <c r="C176" s="38" t="inlineStr">
        <is>
          <t>Canejan</t>
        </is>
      </c>
      <c r="D176" s="42" t="inlineStr">
        <is>
          <t>39</t>
        </is>
      </c>
      <c r="E176" s="38" t="inlineStr">
        <is>
          <t>Aran</t>
        </is>
      </c>
    </row>
    <row r="177" ht="15" customHeight="1" s="39">
      <c r="A177" s="38" t="inlineStr">
        <is>
          <t>[170405] Canet d'Adri</t>
        </is>
      </c>
      <c r="B177" s="42" t="inlineStr">
        <is>
          <t>170405</t>
        </is>
      </c>
      <c r="C177" s="38" t="inlineStr">
        <is>
          <t>Canet d'Adri</t>
        </is>
      </c>
      <c r="D177" s="42" t="inlineStr">
        <is>
          <t>20</t>
        </is>
      </c>
      <c r="E177" s="38" t="inlineStr">
        <is>
          <t>Gironès</t>
        </is>
      </c>
    </row>
    <row r="178" ht="15" customHeight="1" s="39">
      <c r="A178" s="38" t="inlineStr">
        <is>
          <t>[080403] Canet de Mar</t>
        </is>
      </c>
      <c r="B178" s="42" t="inlineStr">
        <is>
          <t>080403</t>
        </is>
      </c>
      <c r="C178" s="38" t="inlineStr">
        <is>
          <t>Canet de Mar</t>
        </is>
      </c>
      <c r="D178" s="42" t="inlineStr">
        <is>
          <t>21</t>
        </is>
      </c>
      <c r="E178" s="38" t="inlineStr">
        <is>
          <t>Maresme</t>
        </is>
      </c>
    </row>
    <row r="179" ht="15" customHeight="1" s="39">
      <c r="A179" s="38" t="inlineStr">
        <is>
          <t>[439076] Canonja, la</t>
        </is>
      </c>
      <c r="B179" s="42" t="inlineStr">
        <is>
          <t>439076</t>
        </is>
      </c>
      <c r="C179" s="38" t="inlineStr">
        <is>
          <t>Canonja, la</t>
        </is>
      </c>
      <c r="D179" s="42" t="inlineStr">
        <is>
          <t>36</t>
        </is>
      </c>
      <c r="E179" s="38" t="inlineStr">
        <is>
          <t>Tarragonès</t>
        </is>
      </c>
    </row>
    <row r="180" ht="15" customHeight="1" s="39">
      <c r="A180" s="38" t="inlineStr">
        <is>
          <t>[080410] Canovelles</t>
        </is>
      </c>
      <c r="B180" s="42" t="inlineStr">
        <is>
          <t>080410</t>
        </is>
      </c>
      <c r="C180" s="38" t="inlineStr">
        <is>
          <t>Canovelles</t>
        </is>
      </c>
      <c r="D180" s="42" t="inlineStr">
        <is>
          <t>41</t>
        </is>
      </c>
      <c r="E180" s="38" t="inlineStr">
        <is>
          <t>Vallès Oriental</t>
        </is>
      </c>
    </row>
    <row r="181" ht="15" customHeight="1" s="39">
      <c r="A181" s="38" t="inlineStr">
        <is>
          <t>[080425] Cànoves i Samalús</t>
        </is>
      </c>
      <c r="B181" s="42" t="inlineStr">
        <is>
          <t>080425</t>
        </is>
      </c>
      <c r="C181" s="38" t="inlineStr">
        <is>
          <t>Cànoves i Samalús</t>
        </is>
      </c>
      <c r="D181" s="42" t="inlineStr">
        <is>
          <t>41</t>
        </is>
      </c>
      <c r="E181" s="38" t="inlineStr">
        <is>
          <t>Vallès Oriental</t>
        </is>
      </c>
    </row>
    <row r="182" ht="15" customHeight="1" s="39">
      <c r="A182" s="38" t="inlineStr">
        <is>
          <t>[170412] Cantallops</t>
        </is>
      </c>
      <c r="B182" s="42" t="inlineStr">
        <is>
          <t>170412</t>
        </is>
      </c>
      <c r="C182" s="38" t="inlineStr">
        <is>
          <t>Cantallops</t>
        </is>
      </c>
      <c r="D182" s="42" t="inlineStr">
        <is>
          <t>02</t>
        </is>
      </c>
      <c r="E182" s="38" t="inlineStr">
        <is>
          <t>Alt Empordà</t>
        </is>
      </c>
    </row>
    <row r="183" ht="15" customHeight="1" s="39">
      <c r="A183" s="38" t="inlineStr">
        <is>
          <t>[080431] Canyelles</t>
        </is>
      </c>
      <c r="B183" s="42" t="inlineStr">
        <is>
          <t>080431</t>
        </is>
      </c>
      <c r="C183" s="38" t="inlineStr">
        <is>
          <t>Canyelles</t>
        </is>
      </c>
      <c r="D183" s="42" t="inlineStr">
        <is>
          <t>17</t>
        </is>
      </c>
      <c r="E183" s="38" t="inlineStr">
        <is>
          <t>Garraf</t>
        </is>
      </c>
    </row>
    <row r="184" ht="15" customHeight="1" s="39">
      <c r="A184" s="38" t="inlineStr">
        <is>
          <t>[430398] Capafonts</t>
        </is>
      </c>
      <c r="B184" s="42" t="inlineStr">
        <is>
          <t>430398</t>
        </is>
      </c>
      <c r="C184" s="38" t="inlineStr">
        <is>
          <t>Capafonts</t>
        </is>
      </c>
      <c r="D184" s="42" t="inlineStr">
        <is>
          <t>08</t>
        </is>
      </c>
      <c r="E184" s="38" t="inlineStr">
        <is>
          <t>Baix Camp</t>
        </is>
      </c>
    </row>
    <row r="185" ht="15" customHeight="1" s="39">
      <c r="A185" s="38" t="inlineStr">
        <is>
          <t>[430402] Capçanes</t>
        </is>
      </c>
      <c r="B185" s="42" t="inlineStr">
        <is>
          <t>430402</t>
        </is>
      </c>
      <c r="C185" s="38" t="inlineStr">
        <is>
          <t>Capçanes</t>
        </is>
      </c>
      <c r="D185" s="42" t="inlineStr">
        <is>
          <t>29</t>
        </is>
      </c>
      <c r="E185" s="38" t="inlineStr">
        <is>
          <t>Priorat</t>
        </is>
      </c>
    </row>
    <row r="186" ht="15" customHeight="1" s="39">
      <c r="A186" s="38" t="inlineStr">
        <is>
          <t>[080446] Capellades</t>
        </is>
      </c>
      <c r="B186" s="42" t="inlineStr">
        <is>
          <t>080446</t>
        </is>
      </c>
      <c r="C186" s="38" t="inlineStr">
        <is>
          <t>Capellades</t>
        </is>
      </c>
      <c r="D186" s="42" t="inlineStr">
        <is>
          <t>06</t>
        </is>
      </c>
      <c r="E186" s="38" t="inlineStr">
        <is>
          <t>Anoia</t>
        </is>
      </c>
    </row>
    <row r="187" ht="15" customHeight="1" s="39">
      <c r="A187" s="38" t="inlineStr">
        <is>
          <t>[170427] Capmany</t>
        </is>
      </c>
      <c r="B187" s="42" t="inlineStr">
        <is>
          <t>170427</t>
        </is>
      </c>
      <c r="C187" s="38" t="inlineStr">
        <is>
          <t>Capmany</t>
        </is>
      </c>
      <c r="D187" s="42" t="inlineStr">
        <is>
          <t>02</t>
        </is>
      </c>
      <c r="E187" s="38" t="inlineStr">
        <is>
          <t>Alt Empordà</t>
        </is>
      </c>
    </row>
    <row r="188" ht="15" customHeight="1" s="39">
      <c r="A188" s="38" t="inlineStr">
        <is>
          <t>[080459] Capolat</t>
        </is>
      </c>
      <c r="B188" s="42" t="inlineStr">
        <is>
          <t>080459</t>
        </is>
      </c>
      <c r="C188" s="38" t="inlineStr">
        <is>
          <t>Capolat</t>
        </is>
      </c>
      <c r="D188" s="42" t="inlineStr">
        <is>
          <t>14</t>
        </is>
      </c>
      <c r="E188" s="38" t="inlineStr">
        <is>
          <t>Berguedà</t>
        </is>
      </c>
    </row>
    <row r="189" ht="15" customHeight="1" s="39">
      <c r="A189" s="38" t="inlineStr">
        <is>
          <t>[080462] Cardedeu</t>
        </is>
      </c>
      <c r="B189" s="42" t="inlineStr">
        <is>
          <t>080462</t>
        </is>
      </c>
      <c r="C189" s="38" t="inlineStr">
        <is>
          <t>Cardedeu</t>
        </is>
      </c>
      <c r="D189" s="42" t="inlineStr">
        <is>
          <t>41</t>
        </is>
      </c>
      <c r="E189" s="38" t="inlineStr">
        <is>
          <t>Vallès Oriental</t>
        </is>
      </c>
    </row>
    <row r="190" ht="15" customHeight="1" s="39">
      <c r="A190" s="38" t="inlineStr">
        <is>
          <t>[080478] Cardona</t>
        </is>
      </c>
      <c r="B190" s="42" t="inlineStr">
        <is>
          <t>080478</t>
        </is>
      </c>
      <c r="C190" s="38" t="inlineStr">
        <is>
          <t>Cardona</t>
        </is>
      </c>
      <c r="D190" s="42" t="inlineStr">
        <is>
          <t>07</t>
        </is>
      </c>
      <c r="E190" s="38" t="inlineStr">
        <is>
          <t>Bages</t>
        </is>
      </c>
    </row>
    <row r="191" ht="15" customHeight="1" s="39">
      <c r="A191" s="38" t="inlineStr">
        <is>
          <t>[080484] Carme</t>
        </is>
      </c>
      <c r="B191" s="42" t="inlineStr">
        <is>
          <t>080484</t>
        </is>
      </c>
      <c r="C191" s="38" t="inlineStr">
        <is>
          <t>Carme</t>
        </is>
      </c>
      <c r="D191" s="42" t="inlineStr">
        <is>
          <t>06</t>
        </is>
      </c>
      <c r="E191" s="38" t="inlineStr">
        <is>
          <t>Anoia</t>
        </is>
      </c>
    </row>
    <row r="192" ht="15" customHeight="1" s="39">
      <c r="A192" s="38" t="inlineStr">
        <is>
          <t>[430419] Caseres</t>
        </is>
      </c>
      <c r="B192" s="42" t="inlineStr">
        <is>
          <t>430419</t>
        </is>
      </c>
      <c r="C192" s="38" t="inlineStr">
        <is>
          <t>Caseres</t>
        </is>
      </c>
      <c r="D192" s="42" t="inlineStr">
        <is>
          <t>37</t>
        </is>
      </c>
      <c r="E192" s="38" t="inlineStr">
        <is>
          <t>Terra Alta</t>
        </is>
      </c>
    </row>
    <row r="193" ht="15" customHeight="1" s="39">
      <c r="A193" s="38" t="inlineStr">
        <is>
          <t>[170448] Cassà de la Selva</t>
        </is>
      </c>
      <c r="B193" s="42" t="inlineStr">
        <is>
          <t>170448</t>
        </is>
      </c>
      <c r="C193" s="38" t="inlineStr">
        <is>
          <t>Cassà de la Selva</t>
        </is>
      </c>
      <c r="D193" s="42" t="inlineStr">
        <is>
          <t>20</t>
        </is>
      </c>
      <c r="E193" s="38" t="inlineStr">
        <is>
          <t>Gironès</t>
        </is>
      </c>
    </row>
    <row r="194" ht="15" customHeight="1" s="39">
      <c r="A194" s="38" t="inlineStr">
        <is>
          <t>[080497] Casserres</t>
        </is>
      </c>
      <c r="B194" s="42" t="inlineStr">
        <is>
          <t>080497</t>
        </is>
      </c>
      <c r="C194" s="38" t="inlineStr">
        <is>
          <t>Casserres</t>
        </is>
      </c>
      <c r="D194" s="42" t="inlineStr">
        <is>
          <t>14</t>
        </is>
      </c>
      <c r="E194" s="38" t="inlineStr">
        <is>
          <t>Berguedà</t>
        </is>
      </c>
    </row>
    <row r="195" ht="15" customHeight="1" s="39">
      <c r="A195" s="38" t="inlineStr">
        <is>
          <t>[170486] Castell d'Aro, Platja d'Aro i s'Agaró</t>
        </is>
      </c>
      <c r="B195" s="42" t="inlineStr">
        <is>
          <t>170486</t>
        </is>
      </c>
      <c r="C195" s="38" t="inlineStr">
        <is>
          <t>Castell d'Aro, Platja d'Aro i s'Agaró</t>
        </is>
      </c>
      <c r="D195" s="42" t="inlineStr">
        <is>
          <t>10</t>
        </is>
      </c>
      <c r="E195" s="38" t="inlineStr">
        <is>
          <t>Baix Empordà</t>
        </is>
      </c>
    </row>
    <row r="196" ht="15" customHeight="1" s="39">
      <c r="A196" s="38" t="inlineStr">
        <is>
          <t>[080575] Castell de l'Areny</t>
        </is>
      </c>
      <c r="B196" s="42" t="inlineStr">
        <is>
          <t>080575</t>
        </is>
      </c>
      <c r="C196" s="38" t="inlineStr">
        <is>
          <t>Castell de l'Areny</t>
        </is>
      </c>
      <c r="D196" s="42" t="inlineStr">
        <is>
          <t>14</t>
        </is>
      </c>
      <c r="E196" s="38" t="inlineStr">
        <is>
          <t>Berguedà</t>
        </is>
      </c>
    </row>
    <row r="197" ht="15" customHeight="1" s="39">
      <c r="A197" s="38" t="inlineStr">
        <is>
          <t>[259046] Castell de Mur</t>
        </is>
      </c>
      <c r="B197" s="42" t="inlineStr">
        <is>
          <t>259046</t>
        </is>
      </c>
      <c r="C197" s="38" t="inlineStr">
        <is>
          <t>Castell de Mur</t>
        </is>
      </c>
      <c r="D197" s="42" t="inlineStr">
        <is>
          <t>25</t>
        </is>
      </c>
      <c r="E197" s="38" t="inlineStr">
        <is>
          <t>Pallars Jussà</t>
        </is>
      </c>
    </row>
    <row r="198" ht="15" customHeight="1" s="39">
      <c r="A198" s="38" t="inlineStr">
        <is>
          <t>[250642] Castellar de la Ribera</t>
        </is>
      </c>
      <c r="B198" s="42" t="inlineStr">
        <is>
          <t>250642</t>
        </is>
      </c>
      <c r="C198" s="38" t="inlineStr">
        <is>
          <t>Castellar de la Ribera</t>
        </is>
      </c>
      <c r="D198" s="42" t="inlineStr">
        <is>
          <t>35</t>
        </is>
      </c>
      <c r="E198" s="38" t="inlineStr">
        <is>
          <t>Solsonès</t>
        </is>
      </c>
    </row>
    <row r="199" ht="15" customHeight="1" s="39">
      <c r="A199" s="38" t="inlineStr">
        <is>
          <t>[080522] Castellar de n'Hug</t>
        </is>
      </c>
      <c r="B199" s="42" t="inlineStr">
        <is>
          <t>080522</t>
        </is>
      </c>
      <c r="C199" s="38" t="inlineStr">
        <is>
          <t>Castellar de n'Hug</t>
        </is>
      </c>
      <c r="D199" s="42" t="inlineStr">
        <is>
          <t>14</t>
        </is>
      </c>
      <c r="E199" s="38" t="inlineStr">
        <is>
          <t>Berguedà</t>
        </is>
      </c>
    </row>
    <row r="200" ht="15" customHeight="1" s="39">
      <c r="A200" s="38" t="inlineStr">
        <is>
          <t>[080500] Castellar del Riu</t>
        </is>
      </c>
      <c r="B200" s="42" t="inlineStr">
        <is>
          <t>080500</t>
        </is>
      </c>
      <c r="C200" s="38" t="inlineStr">
        <is>
          <t>Castellar del Riu</t>
        </is>
      </c>
      <c r="D200" s="42" t="inlineStr">
        <is>
          <t>14</t>
        </is>
      </c>
      <c r="E200" s="38" t="inlineStr">
        <is>
          <t>Berguedà</t>
        </is>
      </c>
    </row>
    <row r="201" ht="15" customHeight="1" s="39">
      <c r="A201" s="38" t="inlineStr">
        <is>
          <t>[080517] Castellar del Vallès</t>
        </is>
      </c>
      <c r="B201" s="42" t="inlineStr">
        <is>
          <t>080517</t>
        </is>
      </c>
      <c r="C201" s="38" t="inlineStr">
        <is>
          <t>Castellar del Vallès</t>
        </is>
      </c>
      <c r="D201" s="42" t="inlineStr">
        <is>
          <t>40</t>
        </is>
      </c>
      <c r="E201" s="38" t="inlineStr">
        <is>
          <t>Vallès Occidental</t>
        </is>
      </c>
    </row>
    <row r="202" ht="15" customHeight="1" s="39">
      <c r="A202" s="38" t="inlineStr">
        <is>
          <t>[080538] Castellbell i el Vilar</t>
        </is>
      </c>
      <c r="B202" s="42" t="inlineStr">
        <is>
          <t>080538</t>
        </is>
      </c>
      <c r="C202" s="38" t="inlineStr">
        <is>
          <t>Castellbell i el Vilar</t>
        </is>
      </c>
      <c r="D202" s="42" t="inlineStr">
        <is>
          <t>07</t>
        </is>
      </c>
      <c r="E202" s="38" t="inlineStr">
        <is>
          <t>Bages</t>
        </is>
      </c>
    </row>
    <row r="203" ht="15" customHeight="1" s="39">
      <c r="A203" s="38" t="inlineStr">
        <is>
          <t>[080543] Castellbisbal</t>
        </is>
      </c>
      <c r="B203" s="42" t="inlineStr">
        <is>
          <t>080543</t>
        </is>
      </c>
      <c r="C203" s="38" t="inlineStr">
        <is>
          <t>Castellbisbal</t>
        </is>
      </c>
      <c r="D203" s="42" t="inlineStr">
        <is>
          <t>40</t>
        </is>
      </c>
      <c r="E203" s="38" t="inlineStr">
        <is>
          <t>Vallès Occidental</t>
        </is>
      </c>
    </row>
    <row r="204" ht="15" customHeight="1" s="39">
      <c r="A204" s="38" t="inlineStr">
        <is>
          <t>[080556] Castellcir</t>
        </is>
      </c>
      <c r="B204" s="42" t="inlineStr">
        <is>
          <t>080556</t>
        </is>
      </c>
      <c r="C204" s="38" t="inlineStr">
        <is>
          <t>Castellcir</t>
        </is>
      </c>
      <c r="D204" s="42" t="inlineStr">
        <is>
          <t>42</t>
        </is>
      </c>
      <c r="E204" s="38" t="inlineStr">
        <is>
          <t>Moianès</t>
        </is>
      </c>
    </row>
    <row r="205" ht="15" customHeight="1" s="39">
      <c r="A205" s="38" t="inlineStr">
        <is>
          <t>[250674] Castelldans</t>
        </is>
      </c>
      <c r="B205" s="42" t="inlineStr">
        <is>
          <t>250674</t>
        </is>
      </c>
      <c r="C205" s="38" t="inlineStr">
        <is>
          <t>Castelldans</t>
        </is>
      </c>
      <c r="D205" s="42" t="inlineStr">
        <is>
          <t>18</t>
        </is>
      </c>
      <c r="E205" s="38" t="inlineStr">
        <is>
          <t>Garrigues</t>
        </is>
      </c>
    </row>
    <row r="206" ht="15" customHeight="1" s="39">
      <c r="A206" s="38" t="inlineStr">
        <is>
          <t>[080569] Castelldefels</t>
        </is>
      </c>
      <c r="B206" s="42" t="inlineStr">
        <is>
          <t>080569</t>
        </is>
      </c>
      <c r="C206" s="38" t="inlineStr">
        <is>
          <t>Castelldefels</t>
        </is>
      </c>
      <c r="D206" s="42" t="inlineStr">
        <is>
          <t>11</t>
        </is>
      </c>
      <c r="E206" s="38" t="inlineStr">
        <is>
          <t>Baix Llobregat</t>
        </is>
      </c>
    </row>
    <row r="207" ht="15" customHeight="1" s="39">
      <c r="A207" s="38" t="inlineStr">
        <is>
          <t>[080581] Castellet i la Gornal</t>
        </is>
      </c>
      <c r="B207" s="42" t="inlineStr">
        <is>
          <t>080581</t>
        </is>
      </c>
      <c r="C207" s="38" t="inlineStr">
        <is>
          <t>Castellet i la Gornal</t>
        </is>
      </c>
      <c r="D207" s="42" t="inlineStr">
        <is>
          <t>03</t>
        </is>
      </c>
      <c r="E207" s="38" t="inlineStr">
        <is>
          <t>Alt Penedès</t>
        </is>
      </c>
    </row>
    <row r="208" ht="15" customHeight="1" s="39">
      <c r="A208" s="38" t="inlineStr">
        <is>
          <t>[170464] Castellfollit de la Roca</t>
        </is>
      </c>
      <c r="B208" s="42" t="inlineStr">
        <is>
          <t>170464</t>
        </is>
      </c>
      <c r="C208" s="38" t="inlineStr">
        <is>
          <t>Castellfollit de la Roca</t>
        </is>
      </c>
      <c r="D208" s="42" t="inlineStr">
        <is>
          <t>19</t>
        </is>
      </c>
      <c r="E208" s="38" t="inlineStr">
        <is>
          <t>Garrotxa</t>
        </is>
      </c>
    </row>
    <row r="209" ht="15" customHeight="1" s="39">
      <c r="A209" s="38" t="inlineStr">
        <is>
          <t>[080608] Castellfollit de Riubregós</t>
        </is>
      </c>
      <c r="B209" s="42" t="inlineStr">
        <is>
          <t>080608</t>
        </is>
      </c>
      <c r="C209" s="38" t="inlineStr">
        <is>
          <t>Castellfollit de Riubregós</t>
        </is>
      </c>
      <c r="D209" s="42" t="inlineStr">
        <is>
          <t>06</t>
        </is>
      </c>
      <c r="E209" s="38" t="inlineStr">
        <is>
          <t>Anoia</t>
        </is>
      </c>
    </row>
    <row r="210" ht="15" customHeight="1" s="39">
      <c r="A210" s="38" t="inlineStr">
        <is>
          <t>[080594] Castellfollit del Boix</t>
        </is>
      </c>
      <c r="B210" s="42" t="inlineStr">
        <is>
          <t>080594</t>
        </is>
      </c>
      <c r="C210" s="38" t="inlineStr">
        <is>
          <t>Castellfollit del Boix</t>
        </is>
      </c>
      <c r="D210" s="42" t="inlineStr">
        <is>
          <t>07</t>
        </is>
      </c>
      <c r="E210" s="38" t="inlineStr">
        <is>
          <t>Bages</t>
        </is>
      </c>
    </row>
    <row r="211" ht="15" customHeight="1" s="39">
      <c r="A211" s="38" t="inlineStr">
        <is>
          <t>[080615] Castellgalí</t>
        </is>
      </c>
      <c r="B211" s="42" t="inlineStr">
        <is>
          <t>080615</t>
        </is>
      </c>
      <c r="C211" s="38" t="inlineStr">
        <is>
          <t>Castellgalí</t>
        </is>
      </c>
      <c r="D211" s="42" t="inlineStr">
        <is>
          <t>07</t>
        </is>
      </c>
      <c r="E211" s="38" t="inlineStr">
        <is>
          <t>Bages</t>
        </is>
      </c>
    </row>
    <row r="212" ht="15" customHeight="1" s="39">
      <c r="A212" s="38" t="inlineStr">
        <is>
          <t>[080620] Castellnou de Bages</t>
        </is>
      </c>
      <c r="B212" s="42" t="inlineStr">
        <is>
          <t>080620</t>
        </is>
      </c>
      <c r="C212" s="38" t="inlineStr">
        <is>
          <t>Castellnou de Bages</t>
        </is>
      </c>
      <c r="D212" s="42" t="inlineStr">
        <is>
          <t>07</t>
        </is>
      </c>
      <c r="E212" s="38" t="inlineStr">
        <is>
          <t>Bages</t>
        </is>
      </c>
    </row>
    <row r="213" ht="15" customHeight="1" s="39">
      <c r="A213" s="38" t="inlineStr">
        <is>
          <t>[250680] Castellnou de Seana</t>
        </is>
      </c>
      <c r="B213" s="42" t="inlineStr">
        <is>
          <t>250680</t>
        </is>
      </c>
      <c r="C213" s="38" t="inlineStr">
        <is>
          <t>Castellnou de Seana</t>
        </is>
      </c>
      <c r="D213" s="42" t="inlineStr">
        <is>
          <t>27</t>
        </is>
      </c>
      <c r="E213" s="38" t="inlineStr">
        <is>
          <t>Pla d'Urgell</t>
        </is>
      </c>
    </row>
    <row r="214" ht="15" customHeight="1" s="39">
      <c r="A214" s="38" t="inlineStr">
        <is>
          <t>[170470] Castelló d'Empúries</t>
        </is>
      </c>
      <c r="B214" s="42" t="inlineStr">
        <is>
          <t>170470</t>
        </is>
      </c>
      <c r="C214" s="38" t="inlineStr">
        <is>
          <t>Castelló d'Empúries</t>
        </is>
      </c>
      <c r="D214" s="42" t="inlineStr">
        <is>
          <t>02</t>
        </is>
      </c>
      <c r="E214" s="38" t="inlineStr">
        <is>
          <t>Alt Empordà</t>
        </is>
      </c>
    </row>
    <row r="215" ht="15" customHeight="1" s="39">
      <c r="A215" s="38" t="inlineStr">
        <is>
          <t>[250693] Castelló de Farfanya</t>
        </is>
      </c>
      <c r="B215" s="42" t="inlineStr">
        <is>
          <t>250693</t>
        </is>
      </c>
      <c r="C215" s="38" t="inlineStr">
        <is>
          <t>Castelló de Farfanya</t>
        </is>
      </c>
      <c r="D215" s="42" t="inlineStr">
        <is>
          <t>23</t>
        </is>
      </c>
      <c r="E215" s="38" t="inlineStr">
        <is>
          <t>Noguera</t>
        </is>
      </c>
    </row>
    <row r="216" ht="15" customHeight="1" s="39">
      <c r="A216" s="38" t="inlineStr">
        <is>
          <t>[080636] Castellolí</t>
        </is>
      </c>
      <c r="B216" s="42" t="inlineStr">
        <is>
          <t>080636</t>
        </is>
      </c>
      <c r="C216" s="38" t="inlineStr">
        <is>
          <t>Castellolí</t>
        </is>
      </c>
      <c r="D216" s="42" t="inlineStr">
        <is>
          <t>06</t>
        </is>
      </c>
      <c r="E216" s="38" t="inlineStr">
        <is>
          <t>Anoia</t>
        </is>
      </c>
    </row>
    <row r="217" ht="15" customHeight="1" s="39">
      <c r="A217" s="38" t="inlineStr">
        <is>
          <t>[250707] Castellserà</t>
        </is>
      </c>
      <c r="B217" s="42" t="inlineStr">
        <is>
          <t>250707</t>
        </is>
      </c>
      <c r="C217" s="38" t="inlineStr">
        <is>
          <t>Castellserà</t>
        </is>
      </c>
      <c r="D217" s="42" t="inlineStr">
        <is>
          <t>38</t>
        </is>
      </c>
      <c r="E217" s="38" t="inlineStr">
        <is>
          <t>Urgell</t>
        </is>
      </c>
    </row>
    <row r="218" ht="15" customHeight="1" s="39">
      <c r="A218" s="38" t="inlineStr">
        <is>
          <t>[080641] Castellterçol</t>
        </is>
      </c>
      <c r="B218" s="42" t="inlineStr">
        <is>
          <t>080641</t>
        </is>
      </c>
      <c r="C218" s="38" t="inlineStr">
        <is>
          <t>Castellterçol</t>
        </is>
      </c>
      <c r="D218" s="42" t="inlineStr">
        <is>
          <t>42</t>
        </is>
      </c>
      <c r="E218" s="38" t="inlineStr">
        <is>
          <t>Moianès</t>
        </is>
      </c>
    </row>
    <row r="219" ht="15" customHeight="1" s="39">
      <c r="A219" s="38" t="inlineStr">
        <is>
          <t>[430424] Castellvell del Camp</t>
        </is>
      </c>
      <c r="B219" s="42" t="inlineStr">
        <is>
          <t>430424</t>
        </is>
      </c>
      <c r="C219" s="38" t="inlineStr">
        <is>
          <t>Castellvell del Camp</t>
        </is>
      </c>
      <c r="D219" s="42" t="inlineStr">
        <is>
          <t>08</t>
        </is>
      </c>
      <c r="E219" s="38" t="inlineStr">
        <is>
          <t>Baix Camp</t>
        </is>
      </c>
    </row>
    <row r="220" ht="15" customHeight="1" s="39">
      <c r="A220" s="38" t="inlineStr">
        <is>
          <t>[080654] Castellví de la Marca</t>
        </is>
      </c>
      <c r="B220" s="42" t="inlineStr">
        <is>
          <t>080654</t>
        </is>
      </c>
      <c r="C220" s="38" t="inlineStr">
        <is>
          <t>Castellví de la Marca</t>
        </is>
      </c>
      <c r="D220" s="42" t="inlineStr">
        <is>
          <t>03</t>
        </is>
      </c>
      <c r="E220" s="38" t="inlineStr">
        <is>
          <t>Alt Penedès</t>
        </is>
      </c>
    </row>
    <row r="221" ht="15" customHeight="1" s="39">
      <c r="A221" s="38" t="inlineStr">
        <is>
          <t>[080667] Castellví de Rosanes</t>
        </is>
      </c>
      <c r="B221" s="42" t="inlineStr">
        <is>
          <t>080667</t>
        </is>
      </c>
      <c r="C221" s="38" t="inlineStr">
        <is>
          <t>Castellví de Rosanes</t>
        </is>
      </c>
      <c r="D221" s="42" t="inlineStr">
        <is>
          <t>11</t>
        </is>
      </c>
      <c r="E221" s="38" t="inlineStr">
        <is>
          <t>Baix Llobregat</t>
        </is>
      </c>
    </row>
    <row r="222" ht="15" customHeight="1" s="39">
      <c r="A222" s="38" t="inlineStr">
        <is>
          <t>[430430] Catllar, el</t>
        </is>
      </c>
      <c r="B222" s="42" t="inlineStr">
        <is>
          <t>430430</t>
        </is>
      </c>
      <c r="C222" s="38" t="inlineStr">
        <is>
          <t>Catllar, el</t>
        </is>
      </c>
      <c r="D222" s="42" t="inlineStr">
        <is>
          <t>36</t>
        </is>
      </c>
      <c r="E222" s="38" t="inlineStr">
        <is>
          <t>Tarragonès</t>
        </is>
      </c>
    </row>
    <row r="223" ht="15" customHeight="1" s="39">
      <c r="A223" s="38" t="inlineStr">
        <is>
          <t>[250714] Cava</t>
        </is>
      </c>
      <c r="B223" s="42" t="inlineStr">
        <is>
          <t>250714</t>
        </is>
      </c>
      <c r="C223" s="38" t="inlineStr">
        <is>
          <t>Cava</t>
        </is>
      </c>
      <c r="D223" s="42" t="inlineStr">
        <is>
          <t>04</t>
        </is>
      </c>
      <c r="E223" s="38" t="inlineStr">
        <is>
          <t>Alt Urgell</t>
        </is>
      </c>
    </row>
    <row r="224" ht="15" customHeight="1" s="39">
      <c r="A224" s="38" t="inlineStr">
        <is>
          <t>[171899] Cellera de Ter, la</t>
        </is>
      </c>
      <c r="B224" s="42" t="inlineStr">
        <is>
          <t>171899</t>
        </is>
      </c>
      <c r="C224" s="38" t="inlineStr">
        <is>
          <t>Cellera de Ter, la</t>
        </is>
      </c>
      <c r="D224" s="42" t="inlineStr">
        <is>
          <t>34</t>
        </is>
      </c>
      <c r="E224" s="38" t="inlineStr">
        <is>
          <t>Selva</t>
        </is>
      </c>
    </row>
    <row r="225" ht="15" customHeight="1" s="39">
      <c r="A225" s="38" t="inlineStr">
        <is>
          <t>[170499] Celrà</t>
        </is>
      </c>
      <c r="B225" s="42" t="inlineStr">
        <is>
          <t>170499</t>
        </is>
      </c>
      <c r="C225" s="38" t="inlineStr">
        <is>
          <t>Celrà</t>
        </is>
      </c>
      <c r="D225" s="42" t="inlineStr">
        <is>
          <t>20</t>
        </is>
      </c>
      <c r="E225" s="38" t="inlineStr">
        <is>
          <t>Gironès</t>
        </is>
      </c>
    </row>
    <row r="226" ht="15" customHeight="1" s="39">
      <c r="A226" s="38" t="inlineStr">
        <is>
          <t>[080673] Centelles</t>
        </is>
      </c>
      <c r="B226" s="42" t="inlineStr">
        <is>
          <t>080673</t>
        </is>
      </c>
      <c r="C226" s="38" t="inlineStr">
        <is>
          <t>Centelles</t>
        </is>
      </c>
      <c r="D226" s="42" t="inlineStr">
        <is>
          <t>24</t>
        </is>
      </c>
      <c r="E226" s="38" t="inlineStr">
        <is>
          <t>Osona</t>
        </is>
      </c>
    </row>
    <row r="227" ht="15" customHeight="1" s="39">
      <c r="A227" s="38" t="inlineStr">
        <is>
          <t>[082687] Cercs</t>
        </is>
      </c>
      <c r="B227" s="42" t="inlineStr">
        <is>
          <t>082687</t>
        </is>
      </c>
      <c r="C227" s="38" t="inlineStr">
        <is>
          <t>Cercs</t>
        </is>
      </c>
      <c r="D227" s="42" t="inlineStr">
        <is>
          <t>14</t>
        </is>
      </c>
      <c r="E227" s="38" t="inlineStr">
        <is>
          <t>Berguedà</t>
        </is>
      </c>
    </row>
    <row r="228" ht="15" customHeight="1" s="39">
      <c r="A228" s="38" t="inlineStr">
        <is>
          <t>[082665] Cerdanyola del Vallès</t>
        </is>
      </c>
      <c r="B228" s="42" t="inlineStr">
        <is>
          <t>082665</t>
        </is>
      </c>
      <c r="C228" s="38" t="inlineStr">
        <is>
          <t>Cerdanyola del Vallès</t>
        </is>
      </c>
      <c r="D228" s="42" t="inlineStr">
        <is>
          <t>40</t>
        </is>
      </c>
      <c r="E228" s="38" t="inlineStr">
        <is>
          <t>Vallès Occidental</t>
        </is>
      </c>
    </row>
    <row r="229" ht="15" customHeight="1" s="39">
      <c r="A229" s="38" t="inlineStr">
        <is>
          <t>[080689] Cervelló</t>
        </is>
      </c>
      <c r="B229" s="42" t="inlineStr">
        <is>
          <t>080689</t>
        </is>
      </c>
      <c r="C229" s="38" t="inlineStr">
        <is>
          <t>Cervelló</t>
        </is>
      </c>
      <c r="D229" s="42" t="inlineStr">
        <is>
          <t>11</t>
        </is>
      </c>
      <c r="E229" s="38" t="inlineStr">
        <is>
          <t>Baix Llobregat</t>
        </is>
      </c>
    </row>
    <row r="230" ht="15" customHeight="1" s="39">
      <c r="A230" s="38" t="inlineStr">
        <is>
          <t>[250729] Cervera</t>
        </is>
      </c>
      <c r="B230" s="42" t="inlineStr">
        <is>
          <t>250729</t>
        </is>
      </c>
      <c r="C230" s="38" t="inlineStr">
        <is>
          <t>Cervera</t>
        </is>
      </c>
      <c r="D230" s="42" t="inlineStr">
        <is>
          <t>32</t>
        </is>
      </c>
      <c r="E230" s="38" t="inlineStr">
        <is>
          <t>Segarra</t>
        </is>
      </c>
    </row>
    <row r="231" ht="15" customHeight="1" s="39">
      <c r="A231" s="38" t="inlineStr">
        <is>
          <t>[250735] Cervià de les Garrigues</t>
        </is>
      </c>
      <c r="B231" s="42" t="inlineStr">
        <is>
          <t>250735</t>
        </is>
      </c>
      <c r="C231" s="38" t="inlineStr">
        <is>
          <t>Cervià de les Garrigues</t>
        </is>
      </c>
      <c r="D231" s="42" t="inlineStr">
        <is>
          <t>18</t>
        </is>
      </c>
      <c r="E231" s="38" t="inlineStr">
        <is>
          <t>Garrigues</t>
        </is>
      </c>
    </row>
    <row r="232" ht="15" customHeight="1" s="39">
      <c r="A232" s="38" t="inlineStr">
        <is>
          <t>[170502] Cervià de Ter</t>
        </is>
      </c>
      <c r="B232" s="42" t="inlineStr">
        <is>
          <t>170502</t>
        </is>
      </c>
      <c r="C232" s="38" t="inlineStr">
        <is>
          <t>Cervià de Ter</t>
        </is>
      </c>
      <c r="D232" s="42" t="inlineStr">
        <is>
          <t>20</t>
        </is>
      </c>
      <c r="E232" s="38" t="inlineStr">
        <is>
          <t>Gironès</t>
        </is>
      </c>
    </row>
    <row r="233" ht="15" customHeight="1" s="39">
      <c r="A233" s="38" t="inlineStr">
        <is>
          <t>[170519] Cistella</t>
        </is>
      </c>
      <c r="B233" s="42" t="inlineStr">
        <is>
          <t>170519</t>
        </is>
      </c>
      <c r="C233" s="38" t="inlineStr">
        <is>
          <t>Cistella</t>
        </is>
      </c>
      <c r="D233" s="42" t="inlineStr">
        <is>
          <t>02</t>
        </is>
      </c>
      <c r="E233" s="38" t="inlineStr">
        <is>
          <t>Alt Empordà</t>
        </is>
      </c>
    </row>
    <row r="234" ht="15" customHeight="1" s="39">
      <c r="A234" s="38" t="inlineStr">
        <is>
          <t>[250740] Ciutadilla</t>
        </is>
      </c>
      <c r="B234" s="42" t="inlineStr">
        <is>
          <t>250740</t>
        </is>
      </c>
      <c r="C234" s="38" t="inlineStr">
        <is>
          <t>Ciutadilla</t>
        </is>
      </c>
      <c r="D234" s="42" t="inlineStr">
        <is>
          <t>38</t>
        </is>
      </c>
      <c r="E234" s="38" t="inlineStr">
        <is>
          <t>Urgell</t>
        </is>
      </c>
    </row>
    <row r="235" ht="15" customHeight="1" s="39">
      <c r="A235" s="38" t="inlineStr">
        <is>
          <t>[250753] Clariana de Cardener</t>
        </is>
      </c>
      <c r="B235" s="42" t="inlineStr">
        <is>
          <t>250753</t>
        </is>
      </c>
      <c r="C235" s="38" t="inlineStr">
        <is>
          <t>Clariana de Cardener</t>
        </is>
      </c>
      <c r="D235" s="42" t="inlineStr">
        <is>
          <t>35</t>
        </is>
      </c>
      <c r="E235" s="38" t="inlineStr">
        <is>
          <t>Solsonès</t>
        </is>
      </c>
    </row>
    <row r="236" ht="15" customHeight="1" s="39">
      <c r="A236" s="38" t="inlineStr">
        <is>
          <t>[250766] Cogul, el</t>
        </is>
      </c>
      <c r="B236" s="42" t="inlineStr">
        <is>
          <t>250766</t>
        </is>
      </c>
      <c r="C236" s="38" t="inlineStr">
        <is>
          <t>Cogul, el</t>
        </is>
      </c>
      <c r="D236" s="42" t="inlineStr">
        <is>
          <t>18</t>
        </is>
      </c>
      <c r="E236" s="38" t="inlineStr">
        <is>
          <t>Garrigues</t>
        </is>
      </c>
    </row>
    <row r="237" ht="15" customHeight="1" s="39">
      <c r="A237" s="38" t="inlineStr">
        <is>
          <t>[170545] Colera</t>
        </is>
      </c>
      <c r="B237" s="42" t="inlineStr">
        <is>
          <t>170545</t>
        </is>
      </c>
      <c r="C237" s="38" t="inlineStr">
        <is>
          <t>Colera</t>
        </is>
      </c>
      <c r="D237" s="42" t="inlineStr">
        <is>
          <t>02</t>
        </is>
      </c>
      <c r="E237" s="38" t="inlineStr">
        <is>
          <t>Alt Empordà</t>
        </is>
      </c>
    </row>
    <row r="238" ht="15" customHeight="1" s="39">
      <c r="A238" s="38" t="inlineStr">
        <is>
          <t>[250772] Coll de Nargó</t>
        </is>
      </c>
      <c r="B238" s="42" t="inlineStr">
        <is>
          <t>250772</t>
        </is>
      </c>
      <c r="C238" s="38" t="inlineStr">
        <is>
          <t>Coll de Nargó</t>
        </is>
      </c>
      <c r="D238" s="42" t="inlineStr">
        <is>
          <t>04</t>
        </is>
      </c>
      <c r="E238" s="38" t="inlineStr">
        <is>
          <t>Alt Urgell</t>
        </is>
      </c>
    </row>
    <row r="239" ht="15" customHeight="1" s="39">
      <c r="A239" s="38" t="inlineStr">
        <is>
          <t>[080692] Collbató</t>
        </is>
      </c>
      <c r="B239" s="42" t="inlineStr">
        <is>
          <t>080692</t>
        </is>
      </c>
      <c r="C239" s="38" t="inlineStr">
        <is>
          <t>Collbató</t>
        </is>
      </c>
      <c r="D239" s="42" t="inlineStr">
        <is>
          <t>11</t>
        </is>
      </c>
      <c r="E239" s="38" t="inlineStr">
        <is>
          <t>Baix Llobregat</t>
        </is>
      </c>
    </row>
    <row r="240" ht="15" customHeight="1" s="39">
      <c r="A240" s="38" t="inlineStr">
        <is>
          <t>[430458] Colldejou</t>
        </is>
      </c>
      <c r="B240" s="42" t="inlineStr">
        <is>
          <t>430458</t>
        </is>
      </c>
      <c r="C240" s="38" t="inlineStr">
        <is>
          <t>Colldejou</t>
        </is>
      </c>
      <c r="D240" s="42" t="inlineStr">
        <is>
          <t>08</t>
        </is>
      </c>
      <c r="E240" s="38" t="inlineStr">
        <is>
          <t>Baix Camp</t>
        </is>
      </c>
    </row>
    <row r="241" ht="15" customHeight="1" s="39">
      <c r="A241" s="38" t="inlineStr">
        <is>
          <t>[080706] Collsuspina</t>
        </is>
      </c>
      <c r="B241" s="42" t="inlineStr">
        <is>
          <t>080706</t>
        </is>
      </c>
      <c r="C241" s="38" t="inlineStr">
        <is>
          <t>Collsuspina</t>
        </is>
      </c>
      <c r="D241" s="42" t="inlineStr">
        <is>
          <t>42</t>
        </is>
      </c>
      <c r="E241" s="38" t="inlineStr">
        <is>
          <t>Moianès</t>
        </is>
      </c>
    </row>
    <row r="242" ht="15" customHeight="1" s="39">
      <c r="A242" s="38" t="inlineStr">
        <is>
          <t>[170558] Colomers</t>
        </is>
      </c>
      <c r="B242" s="42" t="inlineStr">
        <is>
          <t>170558</t>
        </is>
      </c>
      <c r="C242" s="38" t="inlineStr">
        <is>
          <t>Colomers</t>
        </is>
      </c>
      <c r="D242" s="42" t="inlineStr">
        <is>
          <t>10</t>
        </is>
      </c>
      <c r="E242" s="38" t="inlineStr">
        <is>
          <t>Baix Empordà</t>
        </is>
      </c>
    </row>
    <row r="243" ht="15" customHeight="1" s="39">
      <c r="A243" s="38" t="inlineStr">
        <is>
          <t>[251636] Coma i la Pedra, la</t>
        </is>
      </c>
      <c r="B243" s="42" t="inlineStr">
        <is>
          <t>251636</t>
        </is>
      </c>
      <c r="C243" s="38" t="inlineStr">
        <is>
          <t>Coma i la Pedra, la</t>
        </is>
      </c>
      <c r="D243" s="42" t="inlineStr">
        <is>
          <t>35</t>
        </is>
      </c>
      <c r="E243" s="38" t="inlineStr">
        <is>
          <t>Solsonès</t>
        </is>
      </c>
    </row>
    <row r="244" ht="15" customHeight="1" s="39">
      <c r="A244" s="38" t="inlineStr">
        <is>
          <t>[251615] Conca de Dalt</t>
        </is>
      </c>
      <c r="B244" s="42" t="inlineStr">
        <is>
          <t>251615</t>
        </is>
      </c>
      <c r="C244" s="38" t="inlineStr">
        <is>
          <t>Conca de Dalt</t>
        </is>
      </c>
      <c r="D244" s="42" t="inlineStr">
        <is>
          <t>25</t>
        </is>
      </c>
      <c r="E244" s="38" t="inlineStr">
        <is>
          <t>Pallars Jussà</t>
        </is>
      </c>
    </row>
    <row r="245" ht="15" customHeight="1" s="39">
      <c r="A245" s="38" t="inlineStr">
        <is>
          <t>[430461] Conesa</t>
        </is>
      </c>
      <c r="B245" s="42" t="inlineStr">
        <is>
          <t>430461</t>
        </is>
      </c>
      <c r="C245" s="38" t="inlineStr">
        <is>
          <t>Conesa</t>
        </is>
      </c>
      <c r="D245" s="42" t="inlineStr">
        <is>
          <t>16</t>
        </is>
      </c>
      <c r="E245" s="38" t="inlineStr">
        <is>
          <t>Conca de Barberà</t>
        </is>
      </c>
    </row>
    <row r="246" ht="15" customHeight="1" s="39">
      <c r="A246" s="38" t="inlineStr">
        <is>
          <t>[430477] Constantí</t>
        </is>
      </c>
      <c r="B246" s="42" t="inlineStr">
        <is>
          <t>430477</t>
        </is>
      </c>
      <c r="C246" s="38" t="inlineStr">
        <is>
          <t>Constantí</t>
        </is>
      </c>
      <c r="D246" s="42" t="inlineStr">
        <is>
          <t>36</t>
        </is>
      </c>
      <c r="E246" s="38" t="inlineStr">
        <is>
          <t>Tarragonès</t>
        </is>
      </c>
    </row>
    <row r="247" ht="15" customHeight="1" s="39">
      <c r="A247" s="38" t="inlineStr">
        <is>
          <t>[080713] Copons</t>
        </is>
      </c>
      <c r="B247" s="42" t="inlineStr">
        <is>
          <t>080713</t>
        </is>
      </c>
      <c r="C247" s="38" t="inlineStr">
        <is>
          <t>Copons</t>
        </is>
      </c>
      <c r="D247" s="42" t="inlineStr">
        <is>
          <t>06</t>
        </is>
      </c>
      <c r="E247" s="38" t="inlineStr">
        <is>
          <t>Anoia</t>
        </is>
      </c>
    </row>
    <row r="248" ht="15" customHeight="1" s="39">
      <c r="A248" s="38" t="inlineStr">
        <is>
          <t>[430483] Corbera d'Ebre</t>
        </is>
      </c>
      <c r="B248" s="42" t="inlineStr">
        <is>
          <t>430483</t>
        </is>
      </c>
      <c r="C248" s="38" t="inlineStr">
        <is>
          <t>Corbera d'Ebre</t>
        </is>
      </c>
      <c r="D248" s="42" t="inlineStr">
        <is>
          <t>37</t>
        </is>
      </c>
      <c r="E248" s="38" t="inlineStr">
        <is>
          <t>Terra Alta</t>
        </is>
      </c>
    </row>
    <row r="249" ht="15" customHeight="1" s="39">
      <c r="A249" s="38" t="inlineStr">
        <is>
          <t>[080728] Corbera de Llobregat</t>
        </is>
      </c>
      <c r="B249" s="42" t="inlineStr">
        <is>
          <t>080728</t>
        </is>
      </c>
      <c r="C249" s="38" t="inlineStr">
        <is>
          <t>Corbera de Llobregat</t>
        </is>
      </c>
      <c r="D249" s="42" t="inlineStr">
        <is>
          <t>11</t>
        </is>
      </c>
      <c r="E249" s="38" t="inlineStr">
        <is>
          <t>Baix Llobregat</t>
        </is>
      </c>
    </row>
    <row r="250" ht="15" customHeight="1" s="39">
      <c r="A250" s="38" t="inlineStr">
        <is>
          <t>[250788] Corbins</t>
        </is>
      </c>
      <c r="B250" s="42" t="inlineStr">
        <is>
          <t>250788</t>
        </is>
      </c>
      <c r="C250" s="38" t="inlineStr">
        <is>
          <t>Corbins</t>
        </is>
      </c>
      <c r="D250" s="42" t="inlineStr">
        <is>
          <t>33</t>
        </is>
      </c>
      <c r="E250" s="38" t="inlineStr">
        <is>
          <t>Segrià</t>
        </is>
      </c>
    </row>
    <row r="251" ht="15" customHeight="1" s="39">
      <c r="A251" s="38" t="inlineStr">
        <is>
          <t>[170577] Corçà</t>
        </is>
      </c>
      <c r="B251" s="42" t="inlineStr">
        <is>
          <t>170577</t>
        </is>
      </c>
      <c r="C251" s="38" t="inlineStr">
        <is>
          <t>Corçà</t>
        </is>
      </c>
      <c r="D251" s="42" t="inlineStr">
        <is>
          <t>10</t>
        </is>
      </c>
      <c r="E251" s="38" t="inlineStr">
        <is>
          <t>Baix Empordà</t>
        </is>
      </c>
    </row>
    <row r="252" ht="15" customHeight="1" s="39">
      <c r="A252" s="38" t="inlineStr">
        <is>
          <t>[080734] Cornellà de Llobregat</t>
        </is>
      </c>
      <c r="B252" s="42" t="inlineStr">
        <is>
          <t>080734</t>
        </is>
      </c>
      <c r="C252" s="38" t="inlineStr">
        <is>
          <t>Cornellà de Llobregat</t>
        </is>
      </c>
      <c r="D252" s="42" t="inlineStr">
        <is>
          <t>11</t>
        </is>
      </c>
      <c r="E252" s="38" t="inlineStr">
        <is>
          <t>Baix Llobregat</t>
        </is>
      </c>
    </row>
    <row r="253" ht="15" customHeight="1" s="39">
      <c r="A253" s="38" t="inlineStr">
        <is>
          <t>[170561] Cornellà del Terri</t>
        </is>
      </c>
      <c r="B253" s="42" t="inlineStr">
        <is>
          <t>170561</t>
        </is>
      </c>
      <c r="C253" s="38" t="inlineStr">
        <is>
          <t>Cornellà del Terri</t>
        </is>
      </c>
      <c r="D253" s="42" t="inlineStr">
        <is>
          <t>28</t>
        </is>
      </c>
      <c r="E253" s="38" t="inlineStr">
        <is>
          <t>Pla de l'Estany</t>
        </is>
      </c>
    </row>
    <row r="254" ht="15" customHeight="1" s="39">
      <c r="A254" s="38" t="inlineStr">
        <is>
          <t>[430496] Cornudella de Montsant</t>
        </is>
      </c>
      <c r="B254" s="42" t="inlineStr">
        <is>
          <t>430496</t>
        </is>
      </c>
      <c r="C254" s="38" t="inlineStr">
        <is>
          <t>Cornudella de Montsant</t>
        </is>
      </c>
      <c r="D254" s="42" t="inlineStr">
        <is>
          <t>29</t>
        </is>
      </c>
      <c r="E254" s="38" t="inlineStr">
        <is>
          <t>Priorat</t>
        </is>
      </c>
    </row>
    <row r="255" ht="15" customHeight="1" s="39">
      <c r="A255" s="38" t="inlineStr">
        <is>
          <t>[430509] Creixell</t>
        </is>
      </c>
      <c r="B255" s="42" t="inlineStr">
        <is>
          <t>430509</t>
        </is>
      </c>
      <c r="C255" s="38" t="inlineStr">
        <is>
          <t>Creixell</t>
        </is>
      </c>
      <c r="D255" s="42" t="inlineStr">
        <is>
          <t>36</t>
        </is>
      </c>
      <c r="E255" s="38" t="inlineStr">
        <is>
          <t>Tarragonès</t>
        </is>
      </c>
    </row>
    <row r="256" ht="15" customHeight="1" s="39">
      <c r="A256" s="38" t="inlineStr">
        <is>
          <t>[170583] Crespià</t>
        </is>
      </c>
      <c r="B256" s="42" t="inlineStr">
        <is>
          <t>170583</t>
        </is>
      </c>
      <c r="C256" s="38" t="inlineStr">
        <is>
          <t>Crespià</t>
        </is>
      </c>
      <c r="D256" s="42" t="inlineStr">
        <is>
          <t>28</t>
        </is>
      </c>
      <c r="E256" s="38" t="inlineStr">
        <is>
          <t>Pla de l'Estany</t>
        </is>
      </c>
    </row>
    <row r="257" ht="15" customHeight="1" s="39">
      <c r="A257" s="38" t="inlineStr">
        <is>
          <t>[179011] Cruïlles, Monells i Sant Sadurní de l'Heura</t>
        </is>
      </c>
      <c r="B257" s="42" t="inlineStr">
        <is>
          <t>179011</t>
        </is>
      </c>
      <c r="C257" s="38" t="inlineStr">
        <is>
          <t>Cruïlles, Monells i Sant Sadurní de l'Heura</t>
        </is>
      </c>
      <c r="D257" s="42" t="inlineStr">
        <is>
          <t>10</t>
        </is>
      </c>
      <c r="E257" s="38" t="inlineStr">
        <is>
          <t>Baix Empordà</t>
        </is>
      </c>
    </row>
    <row r="258" ht="15" customHeight="1" s="39">
      <c r="A258" s="38" t="inlineStr">
        <is>
          <t>[080749] Cubelles</t>
        </is>
      </c>
      <c r="B258" s="42" t="inlineStr">
        <is>
          <t>080749</t>
        </is>
      </c>
      <c r="C258" s="38" t="inlineStr">
        <is>
          <t>Cubelles</t>
        </is>
      </c>
      <c r="D258" s="42" t="inlineStr">
        <is>
          <t>17</t>
        </is>
      </c>
      <c r="E258" s="38" t="inlineStr">
        <is>
          <t>Garraf</t>
        </is>
      </c>
    </row>
    <row r="259" ht="15" customHeight="1" s="39">
      <c r="A259" s="38" t="inlineStr">
        <is>
          <t>[250791] Cubells</t>
        </is>
      </c>
      <c r="B259" s="42" t="inlineStr">
        <is>
          <t>250791</t>
        </is>
      </c>
      <c r="C259" s="38" t="inlineStr">
        <is>
          <t>Cubells</t>
        </is>
      </c>
      <c r="D259" s="42" t="inlineStr">
        <is>
          <t>23</t>
        </is>
      </c>
      <c r="E259" s="38" t="inlineStr">
        <is>
          <t>Noguera</t>
        </is>
      </c>
    </row>
    <row r="260" ht="15" customHeight="1" s="39">
      <c r="A260" s="38" t="inlineStr">
        <is>
          <t>[430516] Cunit</t>
        </is>
      </c>
      <c r="B260" s="42" t="inlineStr">
        <is>
          <t>430516</t>
        </is>
      </c>
      <c r="C260" s="38" t="inlineStr">
        <is>
          <t>Cunit</t>
        </is>
      </c>
      <c r="D260" s="42" t="inlineStr">
        <is>
          <t>12</t>
        </is>
      </c>
      <c r="E260" s="38" t="inlineStr">
        <is>
          <t>Baix Penedès</t>
        </is>
      </c>
    </row>
    <row r="261" ht="15" customHeight="1" s="39">
      <c r="A261" s="38" t="inlineStr">
        <is>
          <t>[170600] Darnius</t>
        </is>
      </c>
      <c r="B261" s="42" t="inlineStr">
        <is>
          <t>170600</t>
        </is>
      </c>
      <c r="C261" s="38" t="inlineStr">
        <is>
          <t>Darnius</t>
        </is>
      </c>
      <c r="D261" s="42" t="inlineStr">
        <is>
          <t>02</t>
        </is>
      </c>
      <c r="E261" s="38" t="inlineStr">
        <is>
          <t>Alt Empordà</t>
        </is>
      </c>
    </row>
    <row r="262" ht="15" customHeight="1" s="39">
      <c r="A262" s="38" t="inlineStr">
        <is>
          <t>[170617] Das</t>
        </is>
      </c>
      <c r="B262" s="42" t="inlineStr">
        <is>
          <t>170617</t>
        </is>
      </c>
      <c r="C262" s="38" t="inlineStr">
        <is>
          <t>Das</t>
        </is>
      </c>
      <c r="D262" s="42" t="inlineStr">
        <is>
          <t>15</t>
        </is>
      </c>
      <c r="E262" s="38" t="inlineStr">
        <is>
          <t>Cerdanya</t>
        </is>
      </c>
    </row>
    <row r="263" ht="15" customHeight="1" s="39">
      <c r="A263" s="38" t="inlineStr">
        <is>
          <t>[439018] Deltebre</t>
        </is>
      </c>
      <c r="B263" s="42" t="inlineStr">
        <is>
          <t>439018</t>
        </is>
      </c>
      <c r="C263" s="38" t="inlineStr">
        <is>
          <t>Deltebre</t>
        </is>
      </c>
      <c r="D263" s="42" t="inlineStr">
        <is>
          <t>09</t>
        </is>
      </c>
      <c r="E263" s="38" t="inlineStr">
        <is>
          <t>Baix Ebre</t>
        </is>
      </c>
    </row>
    <row r="264" ht="15" customHeight="1" s="39">
      <c r="A264" s="38" t="inlineStr">
        <is>
          <t>[080752] Dosrius</t>
        </is>
      </c>
      <c r="B264" s="42" t="inlineStr">
        <is>
          <t>080752</t>
        </is>
      </c>
      <c r="C264" s="38" t="inlineStr">
        <is>
          <t>Dosrius</t>
        </is>
      </c>
      <c r="D264" s="42" t="inlineStr">
        <is>
          <t>21</t>
        </is>
      </c>
      <c r="E264" s="38" t="inlineStr">
        <is>
          <t>Maresme</t>
        </is>
      </c>
    </row>
    <row r="265" ht="15" customHeight="1" s="39">
      <c r="A265" s="38" t="inlineStr">
        <is>
          <t>[430537] Duesaigües</t>
        </is>
      </c>
      <c r="B265" s="42" t="inlineStr">
        <is>
          <t>430537</t>
        </is>
      </c>
      <c r="C265" s="38" t="inlineStr">
        <is>
          <t>Duesaigües</t>
        </is>
      </c>
      <c r="D265" s="42" t="inlineStr">
        <is>
          <t>08</t>
        </is>
      </c>
      <c r="E265" s="38" t="inlineStr">
        <is>
          <t>Baix Camp</t>
        </is>
      </c>
    </row>
    <row r="266" ht="15" customHeight="1" s="39">
      <c r="A266" s="38" t="inlineStr">
        <is>
          <t>[170622] Escala, l'</t>
        </is>
      </c>
      <c r="B266" s="42" t="inlineStr">
        <is>
          <t>170622</t>
        </is>
      </c>
      <c r="C266" s="38" t="inlineStr">
        <is>
          <t>Escala, l'</t>
        </is>
      </c>
      <c r="D266" s="42" t="inlineStr">
        <is>
          <t>02</t>
        </is>
      </c>
      <c r="E266" s="38" t="inlineStr">
        <is>
          <t>Alt Empordà</t>
        </is>
      </c>
    </row>
    <row r="267" ht="15" customHeight="1" s="39">
      <c r="A267" s="38" t="inlineStr">
        <is>
          <t>[080765] Esparreguera</t>
        </is>
      </c>
      <c r="B267" s="42" t="inlineStr">
        <is>
          <t>080765</t>
        </is>
      </c>
      <c r="C267" s="38" t="inlineStr">
        <is>
          <t>Esparreguera</t>
        </is>
      </c>
      <c r="D267" s="42" t="inlineStr">
        <is>
          <t>11</t>
        </is>
      </c>
      <c r="E267" s="38" t="inlineStr">
        <is>
          <t>Baix Llobregat</t>
        </is>
      </c>
    </row>
    <row r="268" ht="15" customHeight="1" s="39">
      <c r="A268" s="38" t="inlineStr">
        <is>
          <t>[170638] Espinelves</t>
        </is>
      </c>
      <c r="B268" s="42" t="inlineStr">
        <is>
          <t>170638</t>
        </is>
      </c>
      <c r="C268" s="38" t="inlineStr">
        <is>
          <t>Espinelves</t>
        </is>
      </c>
      <c r="D268" s="42" t="inlineStr">
        <is>
          <t>24</t>
        </is>
      </c>
      <c r="E268" s="38" t="inlineStr">
        <is>
          <t>Osona</t>
        </is>
      </c>
    </row>
    <row r="269" ht="15" customHeight="1" s="39">
      <c r="A269" s="38" t="inlineStr">
        <is>
          <t>[250812] Espluga Calba, l'</t>
        </is>
      </c>
      <c r="B269" s="42" t="inlineStr">
        <is>
          <t>250812</t>
        </is>
      </c>
      <c r="C269" s="38" t="inlineStr">
        <is>
          <t>Espluga Calba, l'</t>
        </is>
      </c>
      <c r="D269" s="42" t="inlineStr">
        <is>
          <t>18</t>
        </is>
      </c>
      <c r="E269" s="38" t="inlineStr">
        <is>
          <t>Garrigues</t>
        </is>
      </c>
    </row>
    <row r="270" ht="15" customHeight="1" s="39">
      <c r="A270" s="38" t="inlineStr">
        <is>
          <t>[430542] Espluga de Francolí, l'</t>
        </is>
      </c>
      <c r="B270" s="42" t="inlineStr">
        <is>
          <t>430542</t>
        </is>
      </c>
      <c r="C270" s="38" t="inlineStr">
        <is>
          <t>Espluga de Francolí, l'</t>
        </is>
      </c>
      <c r="D270" s="42" t="inlineStr">
        <is>
          <t>16</t>
        </is>
      </c>
      <c r="E270" s="38" t="inlineStr">
        <is>
          <t>Conca de Barberà</t>
        </is>
      </c>
    </row>
    <row r="271" ht="15" customHeight="1" s="39">
      <c r="A271" s="38" t="inlineStr">
        <is>
          <t>[080771] Esplugues de Llobregat</t>
        </is>
      </c>
      <c r="B271" s="42" t="inlineStr">
        <is>
          <t>080771</t>
        </is>
      </c>
      <c r="C271" s="38" t="inlineStr">
        <is>
          <t>Esplugues de Llobregat</t>
        </is>
      </c>
      <c r="D271" s="42" t="inlineStr">
        <is>
          <t>11</t>
        </is>
      </c>
      <c r="E271" s="38" t="inlineStr">
        <is>
          <t>Baix Llobregat</t>
        </is>
      </c>
    </row>
    <row r="272" ht="15" customHeight="1" s="39">
      <c r="A272" s="38" t="inlineStr">
        <is>
          <t>[170643] Espolla</t>
        </is>
      </c>
      <c r="B272" s="42" t="inlineStr">
        <is>
          <t>170643</t>
        </is>
      </c>
      <c r="C272" s="38" t="inlineStr">
        <is>
          <t>Espolla</t>
        </is>
      </c>
      <c r="D272" s="42" t="inlineStr">
        <is>
          <t>02</t>
        </is>
      </c>
      <c r="E272" s="38" t="inlineStr">
        <is>
          <t>Alt Empordà</t>
        </is>
      </c>
    </row>
    <row r="273" ht="15" customHeight="1" s="39">
      <c r="A273" s="38" t="inlineStr">
        <is>
          <t>[170656] Esponellà</t>
        </is>
      </c>
      <c r="B273" s="42" t="inlineStr">
        <is>
          <t>170656</t>
        </is>
      </c>
      <c r="C273" s="38" t="inlineStr">
        <is>
          <t>Esponellà</t>
        </is>
      </c>
      <c r="D273" s="42" t="inlineStr">
        <is>
          <t>28</t>
        </is>
      </c>
      <c r="E273" s="38" t="inlineStr">
        <is>
          <t>Pla de l'Estany</t>
        </is>
      </c>
    </row>
    <row r="274" ht="15" customHeight="1" s="39">
      <c r="A274" s="38" t="inlineStr">
        <is>
          <t>[250827] Espot</t>
        </is>
      </c>
      <c r="B274" s="42" t="inlineStr">
        <is>
          <t>250827</t>
        </is>
      </c>
      <c r="C274" s="38" t="inlineStr">
        <is>
          <t>Espot</t>
        </is>
      </c>
      <c r="D274" s="42" t="inlineStr">
        <is>
          <t>26</t>
        </is>
      </c>
      <c r="E274" s="38" t="inlineStr">
        <is>
          <t>Pallars Sobirà</t>
        </is>
      </c>
    </row>
    <row r="275" ht="15" customHeight="1" s="39">
      <c r="A275" s="38" t="inlineStr">
        <is>
          <t>[080787] Espunyola, l'</t>
        </is>
      </c>
      <c r="B275" s="42" t="inlineStr">
        <is>
          <t>080787</t>
        </is>
      </c>
      <c r="C275" s="38" t="inlineStr">
        <is>
          <t>Espunyola, l'</t>
        </is>
      </c>
      <c r="D275" s="42" t="inlineStr">
        <is>
          <t>14</t>
        </is>
      </c>
      <c r="E275" s="38" t="inlineStr">
        <is>
          <t>Berguedà</t>
        </is>
      </c>
    </row>
    <row r="276" ht="15" customHeight="1" s="39">
      <c r="A276" s="38" t="inlineStr">
        <is>
          <t>[082541] Esquirol, l'</t>
        </is>
      </c>
      <c r="B276" s="42" t="inlineStr">
        <is>
          <t>082541</t>
        </is>
      </c>
      <c r="C276" s="38" t="inlineStr">
        <is>
          <t>Esquirol, l'</t>
        </is>
      </c>
      <c r="D276" s="42" t="inlineStr">
        <is>
          <t>24</t>
        </is>
      </c>
      <c r="E276" s="38" t="inlineStr">
        <is>
          <t>Osona</t>
        </is>
      </c>
    </row>
    <row r="277" ht="15" customHeight="1" s="39">
      <c r="A277" s="38" t="inlineStr">
        <is>
          <t>[250886] Estamariu</t>
        </is>
      </c>
      <c r="B277" s="42" t="inlineStr">
        <is>
          <t>250886</t>
        </is>
      </c>
      <c r="C277" s="38" t="inlineStr">
        <is>
          <t>Estamariu</t>
        </is>
      </c>
      <c r="D277" s="42" t="inlineStr">
        <is>
          <t>04</t>
        </is>
      </c>
      <c r="E277" s="38" t="inlineStr">
        <is>
          <t>Alt Urgell</t>
        </is>
      </c>
    </row>
    <row r="278" ht="15" customHeight="1" s="39">
      <c r="A278" s="38" t="inlineStr">
        <is>
          <t>[080790] Estany, l'</t>
        </is>
      </c>
      <c r="B278" s="42" t="inlineStr">
        <is>
          <t>080790</t>
        </is>
      </c>
      <c r="C278" s="38" t="inlineStr">
        <is>
          <t>Estany, l'</t>
        </is>
      </c>
      <c r="D278" s="42" t="inlineStr">
        <is>
          <t>42</t>
        </is>
      </c>
      <c r="E278" s="38" t="inlineStr">
        <is>
          <t>Moianès</t>
        </is>
      </c>
    </row>
    <row r="279" ht="15" customHeight="1" s="39">
      <c r="A279" s="38" t="inlineStr">
        <is>
          <t>[250851] Estaràs</t>
        </is>
      </c>
      <c r="B279" s="42" t="inlineStr">
        <is>
          <t>250851</t>
        </is>
      </c>
      <c r="C279" s="38" t="inlineStr">
        <is>
          <t>Estaràs</t>
        </is>
      </c>
      <c r="D279" s="42" t="inlineStr">
        <is>
          <t>32</t>
        </is>
      </c>
      <c r="E279" s="38" t="inlineStr">
        <is>
          <t>Segarra</t>
        </is>
      </c>
    </row>
    <row r="280" ht="15" customHeight="1" s="39">
      <c r="A280" s="38" t="inlineStr">
        <is>
          <t>[250864] Esterri d'Àneu</t>
        </is>
      </c>
      <c r="B280" s="42" t="inlineStr">
        <is>
          <t>250864</t>
        </is>
      </c>
      <c r="C280" s="38" t="inlineStr">
        <is>
          <t>Esterri d'Àneu</t>
        </is>
      </c>
      <c r="D280" s="42" t="inlineStr">
        <is>
          <t>26</t>
        </is>
      </c>
      <c r="E280" s="38" t="inlineStr">
        <is>
          <t>Pallars Sobirà</t>
        </is>
      </c>
    </row>
    <row r="281" ht="15" customHeight="1" s="39">
      <c r="A281" s="38" t="inlineStr">
        <is>
          <t>[250870] Esterri de Cardós</t>
        </is>
      </c>
      <c r="B281" s="42" t="inlineStr">
        <is>
          <t>250870</t>
        </is>
      </c>
      <c r="C281" s="38" t="inlineStr">
        <is>
          <t>Esterri de Cardós</t>
        </is>
      </c>
      <c r="D281" s="42" t="inlineStr">
        <is>
          <t>26</t>
        </is>
      </c>
      <c r="E281" s="38" t="inlineStr">
        <is>
          <t>Pallars Sobirà</t>
        </is>
      </c>
    </row>
    <row r="282" ht="15" customHeight="1" s="39">
      <c r="A282" s="38" t="inlineStr">
        <is>
          <t>[430555] Falset</t>
        </is>
      </c>
      <c r="B282" s="42" t="inlineStr">
        <is>
          <t>430555</t>
        </is>
      </c>
      <c r="C282" s="38" t="inlineStr">
        <is>
          <t>Falset</t>
        </is>
      </c>
      <c r="D282" s="42" t="inlineStr">
        <is>
          <t>29</t>
        </is>
      </c>
      <c r="E282" s="38" t="inlineStr">
        <is>
          <t>Priorat</t>
        </is>
      </c>
    </row>
    <row r="283" ht="15" customHeight="1" s="39">
      <c r="A283" s="38" t="inlineStr">
        <is>
          <t>[170059] Far d'Empordà, el</t>
        </is>
      </c>
      <c r="B283" s="42" t="inlineStr">
        <is>
          <t>170059</t>
        </is>
      </c>
      <c r="C283" s="38" t="inlineStr">
        <is>
          <t>Far d'Empordà, el</t>
        </is>
      </c>
      <c r="D283" s="42" t="inlineStr">
        <is>
          <t>02</t>
        </is>
      </c>
      <c r="E283" s="38" t="inlineStr">
        <is>
          <t>Alt Empordà</t>
        </is>
      </c>
    </row>
    <row r="284" ht="15" customHeight="1" s="39">
      <c r="A284" s="38" t="inlineStr">
        <is>
          <t>[250899] Farrera</t>
        </is>
      </c>
      <c r="B284" s="42" t="inlineStr">
        <is>
          <t>250899</t>
        </is>
      </c>
      <c r="C284" s="38" t="inlineStr">
        <is>
          <t>Farrera</t>
        </is>
      </c>
      <c r="D284" s="42" t="inlineStr">
        <is>
          <t>26</t>
        </is>
      </c>
      <c r="E284" s="38" t="inlineStr">
        <is>
          <t>Pallars Sobirà</t>
        </is>
      </c>
    </row>
    <row r="285" ht="15" customHeight="1" s="39">
      <c r="A285" s="38" t="inlineStr">
        <is>
          <t>[430568] Fatarella, la</t>
        </is>
      </c>
      <c r="B285" s="42" t="inlineStr">
        <is>
          <t>430568</t>
        </is>
      </c>
      <c r="C285" s="38" t="inlineStr">
        <is>
          <t>Fatarella, la</t>
        </is>
      </c>
      <c r="D285" s="42" t="inlineStr">
        <is>
          <t>37</t>
        </is>
      </c>
      <c r="E285" s="38" t="inlineStr">
        <is>
          <t>Terra Alta</t>
        </is>
      </c>
    </row>
    <row r="286" ht="15" customHeight="1" s="39">
      <c r="A286" s="38" t="inlineStr">
        <is>
          <t>[430574] Febró, la</t>
        </is>
      </c>
      <c r="B286" s="42" t="inlineStr">
        <is>
          <t>430574</t>
        </is>
      </c>
      <c r="C286" s="38" t="inlineStr">
        <is>
          <t>Febró, la</t>
        </is>
      </c>
      <c r="D286" s="42" t="inlineStr">
        <is>
          <t>08</t>
        </is>
      </c>
      <c r="E286" s="38" t="inlineStr">
        <is>
          <t>Baix Camp</t>
        </is>
      </c>
    </row>
    <row r="287" ht="15" customHeight="1" s="39">
      <c r="A287" s="38" t="inlineStr">
        <is>
          <t>[081347] Figaró-Montmany</t>
        </is>
      </c>
      <c r="B287" s="42" t="inlineStr">
        <is>
          <t>081347</t>
        </is>
      </c>
      <c r="C287" s="38" t="inlineStr">
        <is>
          <t>Figaró-Montmany</t>
        </is>
      </c>
      <c r="D287" s="42" t="inlineStr">
        <is>
          <t>41</t>
        </is>
      </c>
      <c r="E287" s="38" t="inlineStr">
        <is>
          <t>Vallès Oriental</t>
        </is>
      </c>
    </row>
    <row r="288" ht="15" customHeight="1" s="39">
      <c r="A288" s="38" t="inlineStr">
        <is>
          <t>[080804] Fígols</t>
        </is>
      </c>
      <c r="B288" s="42" t="inlineStr">
        <is>
          <t>080804</t>
        </is>
      </c>
      <c r="C288" s="38" t="inlineStr">
        <is>
          <t>Fígols</t>
        </is>
      </c>
      <c r="D288" s="42" t="inlineStr">
        <is>
          <t>14</t>
        </is>
      </c>
      <c r="E288" s="38" t="inlineStr">
        <is>
          <t>Berguedà</t>
        </is>
      </c>
    </row>
    <row r="289" ht="15" customHeight="1" s="39">
      <c r="A289" s="38" t="inlineStr">
        <is>
          <t>[259084] Fígols i Alinyà</t>
        </is>
      </c>
      <c r="B289" s="42" t="inlineStr">
        <is>
          <t>259084</t>
        </is>
      </c>
      <c r="C289" s="38" t="inlineStr">
        <is>
          <t>Fígols i Alinyà</t>
        </is>
      </c>
      <c r="D289" s="42" t="inlineStr">
        <is>
          <t>04</t>
        </is>
      </c>
      <c r="E289" s="38" t="inlineStr">
        <is>
          <t>Alt Urgell</t>
        </is>
      </c>
    </row>
    <row r="290" ht="15" customHeight="1" s="39">
      <c r="A290" s="38" t="inlineStr">
        <is>
          <t>[430580] Figuera, la</t>
        </is>
      </c>
      <c r="B290" s="42" t="inlineStr">
        <is>
          <t>430580</t>
        </is>
      </c>
      <c r="C290" s="38" t="inlineStr">
        <is>
          <t>Figuera, la</t>
        </is>
      </c>
      <c r="D290" s="42" t="inlineStr">
        <is>
          <t>29</t>
        </is>
      </c>
      <c r="E290" s="38" t="inlineStr">
        <is>
          <t>Priorat</t>
        </is>
      </c>
    </row>
    <row r="291" ht="15" customHeight="1" s="39">
      <c r="A291" s="38" t="inlineStr">
        <is>
          <t>[170669] Figueres</t>
        </is>
      </c>
      <c r="B291" s="42" t="inlineStr">
        <is>
          <t>170669</t>
        </is>
      </c>
      <c r="C291" s="38" t="inlineStr">
        <is>
          <t>Figueres</t>
        </is>
      </c>
      <c r="D291" s="42" t="inlineStr">
        <is>
          <t>02</t>
        </is>
      </c>
      <c r="E291" s="38" t="inlineStr">
        <is>
          <t>Alt Empordà</t>
        </is>
      </c>
    </row>
    <row r="292" ht="15" customHeight="1" s="39">
      <c r="A292" s="38" t="inlineStr">
        <is>
          <t>[430593] Figuerola del Camp</t>
        </is>
      </c>
      <c r="B292" s="42" t="inlineStr">
        <is>
          <t>430593</t>
        </is>
      </c>
      <c r="C292" s="38" t="inlineStr">
        <is>
          <t>Figuerola del Camp</t>
        </is>
      </c>
      <c r="D292" s="42" t="inlineStr">
        <is>
          <t>01</t>
        </is>
      </c>
      <c r="E292" s="38" t="inlineStr">
        <is>
          <t>Alt Camp</t>
        </is>
      </c>
    </row>
    <row r="293" ht="15" customHeight="1" s="39">
      <c r="A293" s="38" t="inlineStr">
        <is>
          <t>[170675] Flaçà</t>
        </is>
      </c>
      <c r="B293" s="42" t="inlineStr">
        <is>
          <t>170675</t>
        </is>
      </c>
      <c r="C293" s="38" t="inlineStr">
        <is>
          <t>Flaçà</t>
        </is>
      </c>
      <c r="D293" s="42" t="inlineStr">
        <is>
          <t>20</t>
        </is>
      </c>
      <c r="E293" s="38" t="inlineStr">
        <is>
          <t>Gironès</t>
        </is>
      </c>
    </row>
    <row r="294" ht="15" customHeight="1" s="39">
      <c r="A294" s="38" t="inlineStr">
        <is>
          <t>[430607] Flix</t>
        </is>
      </c>
      <c r="B294" s="42" t="inlineStr">
        <is>
          <t>430607</t>
        </is>
      </c>
      <c r="C294" s="38" t="inlineStr">
        <is>
          <t>Flix</t>
        </is>
      </c>
      <c r="D294" s="42" t="inlineStr">
        <is>
          <t>30</t>
        </is>
      </c>
      <c r="E294" s="38" t="inlineStr">
        <is>
          <t>Ribera d'Ebre</t>
        </is>
      </c>
    </row>
    <row r="295" ht="15" customHeight="1" s="39">
      <c r="A295" s="38" t="inlineStr">
        <is>
          <t>[250925] Floresta, la</t>
        </is>
      </c>
      <c r="B295" s="42" t="inlineStr">
        <is>
          <t>250925</t>
        </is>
      </c>
      <c r="C295" s="38" t="inlineStr">
        <is>
          <t>Floresta, la</t>
        </is>
      </c>
      <c r="D295" s="42" t="inlineStr">
        <is>
          <t>18</t>
        </is>
      </c>
      <c r="E295" s="38" t="inlineStr">
        <is>
          <t>Garrigues</t>
        </is>
      </c>
    </row>
    <row r="296" ht="15" customHeight="1" s="39">
      <c r="A296" s="38" t="inlineStr">
        <is>
          <t>[080826] Fogars de la Selva</t>
        </is>
      </c>
      <c r="B296" s="42" t="inlineStr">
        <is>
          <t>080826</t>
        </is>
      </c>
      <c r="C296" s="38" t="inlineStr">
        <is>
          <t>Fogars de la Selva</t>
        </is>
      </c>
      <c r="D296" s="42" t="inlineStr">
        <is>
          <t>34</t>
        </is>
      </c>
      <c r="E296" s="38" t="inlineStr">
        <is>
          <t>Selva</t>
        </is>
      </c>
    </row>
    <row r="297" ht="15" customHeight="1" s="39">
      <c r="A297" s="38" t="inlineStr">
        <is>
          <t>[080811] Fogars de Montclús</t>
        </is>
      </c>
      <c r="B297" s="42" t="inlineStr">
        <is>
          <t>080811</t>
        </is>
      </c>
      <c r="C297" s="38" t="inlineStr">
        <is>
          <t>Fogars de Montclús</t>
        </is>
      </c>
      <c r="D297" s="42" t="inlineStr">
        <is>
          <t>41</t>
        </is>
      </c>
      <c r="E297" s="38" t="inlineStr">
        <is>
          <t>Vallès Oriental</t>
        </is>
      </c>
    </row>
    <row r="298" ht="15" customHeight="1" s="39">
      <c r="A298" s="38" t="inlineStr">
        <is>
          <t>[170681] Foixà</t>
        </is>
      </c>
      <c r="B298" s="42" t="inlineStr">
        <is>
          <t>170681</t>
        </is>
      </c>
      <c r="C298" s="38" t="inlineStr">
        <is>
          <t>Foixà</t>
        </is>
      </c>
      <c r="D298" s="42" t="inlineStr">
        <is>
          <t>10</t>
        </is>
      </c>
      <c r="E298" s="38" t="inlineStr">
        <is>
          <t>Baix Empordà</t>
        </is>
      </c>
    </row>
    <row r="299" ht="15" customHeight="1" s="39">
      <c r="A299" s="38" t="inlineStr">
        <is>
          <t>[080832] Folgueroles</t>
        </is>
      </c>
      <c r="B299" s="42" t="inlineStr">
        <is>
          <t>080832</t>
        </is>
      </c>
      <c r="C299" s="38" t="inlineStr">
        <is>
          <t>Folgueroles</t>
        </is>
      </c>
      <c r="D299" s="42" t="inlineStr">
        <is>
          <t>24</t>
        </is>
      </c>
      <c r="E299" s="38" t="inlineStr">
        <is>
          <t>Osona</t>
        </is>
      </c>
    </row>
    <row r="300" ht="15" customHeight="1" s="39">
      <c r="A300" s="38" t="inlineStr">
        <is>
          <t>[250931] Fondarella</t>
        </is>
      </c>
      <c r="B300" s="42" t="inlineStr">
        <is>
          <t>250931</t>
        </is>
      </c>
      <c r="C300" s="38" t="inlineStr">
        <is>
          <t>Fondarella</t>
        </is>
      </c>
      <c r="D300" s="42" t="inlineStr">
        <is>
          <t>27</t>
        </is>
      </c>
      <c r="E300" s="38" t="inlineStr">
        <is>
          <t>Pla d'Urgell</t>
        </is>
      </c>
    </row>
    <row r="301" ht="15" customHeight="1" s="39">
      <c r="A301" s="38" t="inlineStr">
        <is>
          <t>[080847] Fonollosa</t>
        </is>
      </c>
      <c r="B301" s="42" t="inlineStr">
        <is>
          <t>080847</t>
        </is>
      </c>
      <c r="C301" s="38" t="inlineStr">
        <is>
          <t>Fonollosa</t>
        </is>
      </c>
      <c r="D301" s="42" t="inlineStr">
        <is>
          <t>07</t>
        </is>
      </c>
      <c r="E301" s="38" t="inlineStr">
        <is>
          <t>Bages</t>
        </is>
      </c>
    </row>
    <row r="302" ht="15" customHeight="1" s="39">
      <c r="A302" s="38" t="inlineStr">
        <is>
          <t>[080850] Font-rubí</t>
        </is>
      </c>
      <c r="B302" s="42" t="inlineStr">
        <is>
          <t>080850</t>
        </is>
      </c>
      <c r="C302" s="38" t="inlineStr">
        <is>
          <t>Font-rubí</t>
        </is>
      </c>
      <c r="D302" s="42" t="inlineStr">
        <is>
          <t>03</t>
        </is>
      </c>
      <c r="E302" s="38" t="inlineStr">
        <is>
          <t>Alt Penedès</t>
        </is>
      </c>
    </row>
    <row r="303" ht="15" customHeight="1" s="39">
      <c r="A303" s="38" t="inlineStr">
        <is>
          <t>[170694] Fontanals de Cerdanya</t>
        </is>
      </c>
      <c r="B303" s="42" t="inlineStr">
        <is>
          <t>170694</t>
        </is>
      </c>
      <c r="C303" s="38" t="inlineStr">
        <is>
          <t>Fontanals de Cerdanya</t>
        </is>
      </c>
      <c r="D303" s="42" t="inlineStr">
        <is>
          <t>15</t>
        </is>
      </c>
      <c r="E303" s="38" t="inlineStr">
        <is>
          <t>Cerdanya</t>
        </is>
      </c>
    </row>
    <row r="304" ht="15" customHeight="1" s="39">
      <c r="A304" s="38" t="inlineStr">
        <is>
          <t>[170708] Fontanilles</t>
        </is>
      </c>
      <c r="B304" s="42" t="inlineStr">
        <is>
          <t>170708</t>
        </is>
      </c>
      <c r="C304" s="38" t="inlineStr">
        <is>
          <t>Fontanilles</t>
        </is>
      </c>
      <c r="D304" s="42" t="inlineStr">
        <is>
          <t>10</t>
        </is>
      </c>
      <c r="E304" s="38" t="inlineStr">
        <is>
          <t>Baix Empordà</t>
        </is>
      </c>
    </row>
    <row r="305" ht="15" customHeight="1" s="39">
      <c r="A305" s="38" t="inlineStr">
        <is>
          <t>[170715] Fontcoberta</t>
        </is>
      </c>
      <c r="B305" s="42" t="inlineStr">
        <is>
          <t>170715</t>
        </is>
      </c>
      <c r="C305" s="38" t="inlineStr">
        <is>
          <t>Fontcoberta</t>
        </is>
      </c>
      <c r="D305" s="42" t="inlineStr">
        <is>
          <t>28</t>
        </is>
      </c>
      <c r="E305" s="38" t="inlineStr">
        <is>
          <t>Pla de l'Estany</t>
        </is>
      </c>
    </row>
    <row r="306" ht="15" customHeight="1" s="39">
      <c r="A306" s="38" t="inlineStr">
        <is>
          <t>[250946] Foradada</t>
        </is>
      </c>
      <c r="B306" s="42" t="inlineStr">
        <is>
          <t>250946</t>
        </is>
      </c>
      <c r="C306" s="38" t="inlineStr">
        <is>
          <t>Foradada</t>
        </is>
      </c>
      <c r="D306" s="42" t="inlineStr">
        <is>
          <t>23</t>
        </is>
      </c>
      <c r="E306" s="38" t="inlineStr">
        <is>
          <t>Noguera</t>
        </is>
      </c>
    </row>
    <row r="307" ht="15" customHeight="1" s="39">
      <c r="A307" s="38" t="inlineStr">
        <is>
          <t>[179026] Forallac</t>
        </is>
      </c>
      <c r="B307" s="42" t="inlineStr">
        <is>
          <t>179026</t>
        </is>
      </c>
      <c r="C307" s="38" t="inlineStr">
        <is>
          <t>Forallac</t>
        </is>
      </c>
      <c r="D307" s="42" t="inlineStr">
        <is>
          <t>10</t>
        </is>
      </c>
      <c r="E307" s="38" t="inlineStr">
        <is>
          <t>Baix Empordà</t>
        </is>
      </c>
    </row>
    <row r="308" ht="15" customHeight="1" s="39">
      <c r="A308" s="38" t="inlineStr">
        <is>
          <t>[430614] Forès</t>
        </is>
      </c>
      <c r="B308" s="42" t="inlineStr">
        <is>
          <t>430614</t>
        </is>
      </c>
      <c r="C308" s="38" t="inlineStr">
        <is>
          <t>Forès</t>
        </is>
      </c>
      <c r="D308" s="42" t="inlineStr">
        <is>
          <t>16</t>
        </is>
      </c>
      <c r="E308" s="38" t="inlineStr">
        <is>
          <t>Conca de Barberà</t>
        </is>
      </c>
    </row>
    <row r="309" ht="15" customHeight="1" s="39">
      <c r="A309" s="38" t="inlineStr">
        <is>
          <t>[170736] Fornells de la Selva</t>
        </is>
      </c>
      <c r="B309" s="42" t="inlineStr">
        <is>
          <t>170736</t>
        </is>
      </c>
      <c r="C309" s="38" t="inlineStr">
        <is>
          <t>Fornells de la Selva</t>
        </is>
      </c>
      <c r="D309" s="42" t="inlineStr">
        <is>
          <t>20</t>
        </is>
      </c>
      <c r="E309" s="38" t="inlineStr">
        <is>
          <t>Gironès</t>
        </is>
      </c>
    </row>
    <row r="310" ht="15" customHeight="1" s="39">
      <c r="A310" s="38" t="inlineStr">
        <is>
          <t>[170741] Fortià</t>
        </is>
      </c>
      <c r="B310" s="42" t="inlineStr">
        <is>
          <t>170741</t>
        </is>
      </c>
      <c r="C310" s="38" t="inlineStr">
        <is>
          <t>Fortià</t>
        </is>
      </c>
      <c r="D310" s="42" t="inlineStr">
        <is>
          <t>02</t>
        </is>
      </c>
      <c r="E310" s="38" t="inlineStr">
        <is>
          <t>Alt Empordà</t>
        </is>
      </c>
    </row>
    <row r="311" ht="15" customHeight="1" s="39">
      <c r="A311" s="38" t="inlineStr">
        <is>
          <t>[080863] Franqueses del Vallès, les</t>
        </is>
      </c>
      <c r="B311" s="42" t="inlineStr">
        <is>
          <t>080863</t>
        </is>
      </c>
      <c r="C311" s="38" t="inlineStr">
        <is>
          <t>Franqueses del Vallès, les</t>
        </is>
      </c>
      <c r="D311" s="42" t="inlineStr">
        <is>
          <t>41</t>
        </is>
      </c>
      <c r="E311" s="38" t="inlineStr">
        <is>
          <t>Vallès Oriental</t>
        </is>
      </c>
    </row>
    <row r="312" ht="15" customHeight="1" s="39">
      <c r="A312" s="38" t="inlineStr">
        <is>
          <t>[430629] Freginals</t>
        </is>
      </c>
      <c r="B312" s="42" t="inlineStr">
        <is>
          <t>430629</t>
        </is>
      </c>
      <c r="C312" s="38" t="inlineStr">
        <is>
          <t>Freginals</t>
        </is>
      </c>
      <c r="D312" s="42" t="inlineStr">
        <is>
          <t>22</t>
        </is>
      </c>
      <c r="E312" s="38" t="inlineStr">
        <is>
          <t>Montsià</t>
        </is>
      </c>
    </row>
    <row r="313" ht="15" customHeight="1" s="39">
      <c r="A313" s="38" t="inlineStr">
        <is>
          <t>[250962] Fuliola, la</t>
        </is>
      </c>
      <c r="B313" s="42" t="inlineStr">
        <is>
          <t>250962</t>
        </is>
      </c>
      <c r="C313" s="38" t="inlineStr">
        <is>
          <t>Fuliola, la</t>
        </is>
      </c>
      <c r="D313" s="42" t="inlineStr">
        <is>
          <t>38</t>
        </is>
      </c>
      <c r="E313" s="38" t="inlineStr">
        <is>
          <t>Urgell</t>
        </is>
      </c>
    </row>
    <row r="314" ht="15" customHeight="1" s="39">
      <c r="A314" s="38" t="inlineStr">
        <is>
          <t>[250978] Fulleda</t>
        </is>
      </c>
      <c r="B314" s="42" t="inlineStr">
        <is>
          <t>250978</t>
        </is>
      </c>
      <c r="C314" s="38" t="inlineStr">
        <is>
          <t>Fulleda</t>
        </is>
      </c>
      <c r="D314" s="42" t="inlineStr">
        <is>
          <t>18</t>
        </is>
      </c>
      <c r="E314" s="38" t="inlineStr">
        <is>
          <t>Garrigues</t>
        </is>
      </c>
    </row>
    <row r="315" ht="15" customHeight="1" s="39">
      <c r="A315" s="38" t="inlineStr">
        <is>
          <t>[080902] Gaià</t>
        </is>
      </c>
      <c r="B315" s="42" t="inlineStr">
        <is>
          <t>080902</t>
        </is>
      </c>
      <c r="C315" s="38" t="inlineStr">
        <is>
          <t>Gaià</t>
        </is>
      </c>
      <c r="D315" s="42" t="inlineStr">
        <is>
          <t>07</t>
        </is>
      </c>
      <c r="E315" s="38" t="inlineStr">
        <is>
          <t>Bages</t>
        </is>
      </c>
    </row>
    <row r="316" ht="15" customHeight="1" s="39">
      <c r="A316" s="38" t="inlineStr">
        <is>
          <t>[430635] Galera, la</t>
        </is>
      </c>
      <c r="B316" s="42" t="inlineStr">
        <is>
          <t>430635</t>
        </is>
      </c>
      <c r="C316" s="38" t="inlineStr">
        <is>
          <t>Galera, la</t>
        </is>
      </c>
      <c r="D316" s="42" t="inlineStr">
        <is>
          <t>22</t>
        </is>
      </c>
      <c r="E316" s="38" t="inlineStr">
        <is>
          <t>Montsià</t>
        </is>
      </c>
    </row>
    <row r="317" ht="15" customHeight="1" s="39">
      <c r="A317" s="38" t="inlineStr">
        <is>
          <t>[080879] Gallifa</t>
        </is>
      </c>
      <c r="B317" s="42" t="inlineStr">
        <is>
          <t>080879</t>
        </is>
      </c>
      <c r="C317" s="38" t="inlineStr">
        <is>
          <t>Gallifa</t>
        </is>
      </c>
      <c r="D317" s="42" t="inlineStr">
        <is>
          <t>40</t>
        </is>
      </c>
      <c r="E317" s="38" t="inlineStr">
        <is>
          <t>Vallès Occidental</t>
        </is>
      </c>
    </row>
    <row r="318" ht="15" customHeight="1" s="39">
      <c r="A318" s="38" t="inlineStr">
        <is>
          <t>[430640] Gandesa</t>
        </is>
      </c>
      <c r="B318" s="42" t="inlineStr">
        <is>
          <t>430640</t>
        </is>
      </c>
      <c r="C318" s="38" t="inlineStr">
        <is>
          <t>Gandesa</t>
        </is>
      </c>
      <c r="D318" s="42" t="inlineStr">
        <is>
          <t>37</t>
        </is>
      </c>
      <c r="E318" s="38" t="inlineStr">
        <is>
          <t>Terra Alta</t>
        </is>
      </c>
    </row>
    <row r="319" ht="15" customHeight="1" s="39">
      <c r="A319" s="38" t="inlineStr">
        <is>
          <t>[430653] Garcia</t>
        </is>
      </c>
      <c r="B319" s="42" t="inlineStr">
        <is>
          <t>430653</t>
        </is>
      </c>
      <c r="C319" s="38" t="inlineStr">
        <is>
          <t>Garcia</t>
        </is>
      </c>
      <c r="D319" s="42" t="inlineStr">
        <is>
          <t>30</t>
        </is>
      </c>
      <c r="E319" s="38" t="inlineStr">
        <is>
          <t>Ribera d'Ebre</t>
        </is>
      </c>
    </row>
    <row r="320" ht="15" customHeight="1" s="39">
      <c r="A320" s="38" t="inlineStr">
        <is>
          <t>[430666] Garidells, els</t>
        </is>
      </c>
      <c r="B320" s="42" t="inlineStr">
        <is>
          <t>430666</t>
        </is>
      </c>
      <c r="C320" s="38" t="inlineStr">
        <is>
          <t>Garidells, els</t>
        </is>
      </c>
      <c r="D320" s="42" t="inlineStr">
        <is>
          <t>01</t>
        </is>
      </c>
      <c r="E320" s="38" t="inlineStr">
        <is>
          <t>Alt Camp</t>
        </is>
      </c>
    </row>
    <row r="321" ht="15" customHeight="1" s="39">
      <c r="A321" s="38" t="inlineStr">
        <is>
          <t>[080885] Garriga, la</t>
        </is>
      </c>
      <c r="B321" s="42" t="inlineStr">
        <is>
          <t>080885</t>
        </is>
      </c>
      <c r="C321" s="38" t="inlineStr">
        <is>
          <t>Garriga, la</t>
        </is>
      </c>
      <c r="D321" s="42" t="inlineStr">
        <is>
          <t>41</t>
        </is>
      </c>
      <c r="E321" s="38" t="inlineStr">
        <is>
          <t>Vallès Oriental</t>
        </is>
      </c>
    </row>
    <row r="322" ht="15" customHeight="1" s="39">
      <c r="A322" s="38" t="inlineStr">
        <is>
          <t>[170754] Garrigàs</t>
        </is>
      </c>
      <c r="B322" s="42" t="inlineStr">
        <is>
          <t>170754</t>
        </is>
      </c>
      <c r="C322" s="38" t="inlineStr">
        <is>
          <t>Garrigàs</t>
        </is>
      </c>
      <c r="D322" s="42" t="inlineStr">
        <is>
          <t>02</t>
        </is>
      </c>
      <c r="E322" s="38" t="inlineStr">
        <is>
          <t>Alt Empordà</t>
        </is>
      </c>
    </row>
    <row r="323" ht="15" customHeight="1" s="39">
      <c r="A323" s="38" t="inlineStr">
        <is>
          <t>[170767] Garrigoles</t>
        </is>
      </c>
      <c r="B323" s="42" t="inlineStr">
        <is>
          <t>170767</t>
        </is>
      </c>
      <c r="C323" s="38" t="inlineStr">
        <is>
          <t>Garrigoles</t>
        </is>
      </c>
      <c r="D323" s="42" t="inlineStr">
        <is>
          <t>10</t>
        </is>
      </c>
      <c r="E323" s="38" t="inlineStr">
        <is>
          <t>Baix Empordà</t>
        </is>
      </c>
    </row>
    <row r="324" ht="15" customHeight="1" s="39">
      <c r="A324" s="38" t="inlineStr">
        <is>
          <t>[170773] Garriguella</t>
        </is>
      </c>
      <c r="B324" s="42" t="inlineStr">
        <is>
          <t>170773</t>
        </is>
      </c>
      <c r="C324" s="38" t="inlineStr">
        <is>
          <t>Garriguella</t>
        </is>
      </c>
      <c r="D324" s="42" t="inlineStr">
        <is>
          <t>02</t>
        </is>
      </c>
      <c r="E324" s="38" t="inlineStr">
        <is>
          <t>Alt Empordà</t>
        </is>
      </c>
    </row>
    <row r="325" ht="15" customHeight="1" s="39">
      <c r="A325" s="38" t="inlineStr">
        <is>
          <t>[080898] Gavà</t>
        </is>
      </c>
      <c r="B325" s="42" t="inlineStr">
        <is>
          <t>080898</t>
        </is>
      </c>
      <c r="C325" s="38" t="inlineStr">
        <is>
          <t>Gavà</t>
        </is>
      </c>
      <c r="D325" s="42" t="inlineStr">
        <is>
          <t>11</t>
        </is>
      </c>
      <c r="E325" s="38" t="inlineStr">
        <is>
          <t>Baix Llobregat</t>
        </is>
      </c>
    </row>
    <row r="326" ht="15" customHeight="1" s="39">
      <c r="A326" s="38" t="inlineStr">
        <is>
          <t>[250984] Gavet de la Conca</t>
        </is>
      </c>
      <c r="B326" s="42" t="inlineStr">
        <is>
          <t>250984</t>
        </is>
      </c>
      <c r="C326" s="38" t="inlineStr">
        <is>
          <t>Gavet de la Conca</t>
        </is>
      </c>
      <c r="D326" s="42" t="inlineStr">
        <is>
          <t>25</t>
        </is>
      </c>
      <c r="E326" s="38" t="inlineStr">
        <is>
          <t>Pallars Jussà</t>
        </is>
      </c>
    </row>
    <row r="327" ht="15" customHeight="1" s="39">
      <c r="A327" s="38" t="inlineStr">
        <is>
          <t>[080919] Gelida</t>
        </is>
      </c>
      <c r="B327" s="42" t="inlineStr">
        <is>
          <t>080919</t>
        </is>
      </c>
      <c r="C327" s="38" t="inlineStr">
        <is>
          <t>Gelida</t>
        </is>
      </c>
      <c r="D327" s="42" t="inlineStr">
        <is>
          <t>03</t>
        </is>
      </c>
      <c r="E327" s="38" t="inlineStr">
        <is>
          <t>Alt Penedès</t>
        </is>
      </c>
    </row>
    <row r="328" ht="15" customHeight="1" s="39">
      <c r="A328" s="38" t="inlineStr">
        <is>
          <t>[170789] Ger</t>
        </is>
      </c>
      <c r="B328" s="42" t="inlineStr">
        <is>
          <t>170789</t>
        </is>
      </c>
      <c r="C328" s="38" t="inlineStr">
        <is>
          <t>Ger</t>
        </is>
      </c>
      <c r="D328" s="42" t="inlineStr">
        <is>
          <t>15</t>
        </is>
      </c>
      <c r="E328" s="38" t="inlineStr">
        <is>
          <t>Cerdanya</t>
        </is>
      </c>
    </row>
    <row r="329" ht="15" customHeight="1" s="39">
      <c r="A329" s="38" t="inlineStr">
        <is>
          <t>[259123] Gimenells i el Pla de la Font</t>
        </is>
      </c>
      <c r="B329" s="42" t="inlineStr">
        <is>
          <t>259123</t>
        </is>
      </c>
      <c r="C329" s="38" t="inlineStr">
        <is>
          <t>Gimenells i el Pla de la Font</t>
        </is>
      </c>
      <c r="D329" s="42" t="inlineStr">
        <is>
          <t>33</t>
        </is>
      </c>
      <c r="E329" s="38" t="inlineStr">
        <is>
          <t>Segrià</t>
        </is>
      </c>
    </row>
    <row r="330" ht="15" customHeight="1" s="39">
      <c r="A330" s="38" t="inlineStr">
        <is>
          <t>[430672] Ginestar</t>
        </is>
      </c>
      <c r="B330" s="42" t="inlineStr">
        <is>
          <t>430672</t>
        </is>
      </c>
      <c r="C330" s="38" t="inlineStr">
        <is>
          <t>Ginestar</t>
        </is>
      </c>
      <c r="D330" s="42" t="inlineStr">
        <is>
          <t>30</t>
        </is>
      </c>
      <c r="E330" s="38" t="inlineStr">
        <is>
          <t>Ribera d'Ebre</t>
        </is>
      </c>
    </row>
    <row r="331" ht="15" customHeight="1" s="39">
      <c r="A331" s="38" t="inlineStr">
        <is>
          <t>[170792] Girona</t>
        </is>
      </c>
      <c r="B331" s="42" t="inlineStr">
        <is>
          <t>170792</t>
        </is>
      </c>
      <c r="C331" s="38" t="inlineStr">
        <is>
          <t>Girona</t>
        </is>
      </c>
      <c r="D331" s="42" t="inlineStr">
        <is>
          <t>20</t>
        </is>
      </c>
      <c r="E331" s="38" t="inlineStr">
        <is>
          <t>Gironès</t>
        </is>
      </c>
    </row>
    <row r="332" ht="15" customHeight="1" s="39">
      <c r="A332" s="38" t="inlineStr">
        <is>
          <t>[080924] Gironella</t>
        </is>
      </c>
      <c r="B332" s="42" t="inlineStr">
        <is>
          <t>080924</t>
        </is>
      </c>
      <c r="C332" s="38" t="inlineStr">
        <is>
          <t>Gironella</t>
        </is>
      </c>
      <c r="D332" s="42" t="inlineStr">
        <is>
          <t>14</t>
        </is>
      </c>
      <c r="E332" s="38" t="inlineStr">
        <is>
          <t>Berguedà</t>
        </is>
      </c>
    </row>
    <row r="333" ht="15" customHeight="1" s="39">
      <c r="A333" s="38" t="inlineStr">
        <is>
          <t>[080930] Gisclareny</t>
        </is>
      </c>
      <c r="B333" s="42" t="inlineStr">
        <is>
          <t>080930</t>
        </is>
      </c>
      <c r="C333" s="38" t="inlineStr">
        <is>
          <t>Gisclareny</t>
        </is>
      </c>
      <c r="D333" s="42" t="inlineStr">
        <is>
          <t>14</t>
        </is>
      </c>
      <c r="E333" s="38" t="inlineStr">
        <is>
          <t>Berguedà</t>
        </is>
      </c>
    </row>
    <row r="334" ht="15" customHeight="1" s="39">
      <c r="A334" s="38" t="inlineStr">
        <is>
          <t>[430688] Godall</t>
        </is>
      </c>
      <c r="B334" s="42" t="inlineStr">
        <is>
          <t>430688</t>
        </is>
      </c>
      <c r="C334" s="38" t="inlineStr">
        <is>
          <t>Godall</t>
        </is>
      </c>
      <c r="D334" s="42" t="inlineStr">
        <is>
          <t>22</t>
        </is>
      </c>
      <c r="E334" s="38" t="inlineStr">
        <is>
          <t>Montsià</t>
        </is>
      </c>
    </row>
    <row r="335" ht="15" customHeight="1" s="39">
      <c r="A335" s="38" t="inlineStr">
        <is>
          <t>[250997] Golmés</t>
        </is>
      </c>
      <c r="B335" s="42" t="inlineStr">
        <is>
          <t>250997</t>
        </is>
      </c>
      <c r="C335" s="38" t="inlineStr">
        <is>
          <t>Golmés</t>
        </is>
      </c>
      <c r="D335" s="42" t="inlineStr">
        <is>
          <t>27</t>
        </is>
      </c>
      <c r="E335" s="38" t="inlineStr">
        <is>
          <t>Pla d'Urgell</t>
        </is>
      </c>
    </row>
    <row r="336" ht="15" customHeight="1" s="39">
      <c r="A336" s="38" t="inlineStr">
        <is>
          <t>[170806] Gombrèn</t>
        </is>
      </c>
      <c r="B336" s="42" t="inlineStr">
        <is>
          <t>170806</t>
        </is>
      </c>
      <c r="C336" s="38" t="inlineStr">
        <is>
          <t>Gombrèn</t>
        </is>
      </c>
      <c r="D336" s="42" t="inlineStr">
        <is>
          <t>31</t>
        </is>
      </c>
      <c r="E336" s="38" t="inlineStr">
        <is>
          <t>Ripollès</t>
        </is>
      </c>
    </row>
    <row r="337" ht="15" customHeight="1" s="39">
      <c r="A337" s="38" t="inlineStr">
        <is>
          <t>[251001] Gósol</t>
        </is>
      </c>
      <c r="B337" s="42" t="inlineStr">
        <is>
          <t>251001</t>
        </is>
      </c>
      <c r="C337" s="38" t="inlineStr">
        <is>
          <t>Gósol</t>
        </is>
      </c>
      <c r="D337" s="42" t="inlineStr">
        <is>
          <t>14</t>
        </is>
      </c>
      <c r="E337" s="38" t="inlineStr">
        <is>
          <t>Berguedà</t>
        </is>
      </c>
    </row>
    <row r="338" ht="15" customHeight="1" s="39">
      <c r="A338" s="38" t="inlineStr">
        <is>
          <t>[080945] Granada, la</t>
        </is>
      </c>
      <c r="B338" s="42" t="inlineStr">
        <is>
          <t>080945</t>
        </is>
      </c>
      <c r="C338" s="38" t="inlineStr">
        <is>
          <t>Granada, la</t>
        </is>
      </c>
      <c r="D338" s="42" t="inlineStr">
        <is>
          <t>03</t>
        </is>
      </c>
      <c r="E338" s="38" t="inlineStr">
        <is>
          <t>Alt Penedès</t>
        </is>
      </c>
    </row>
    <row r="339" ht="15" customHeight="1" s="39">
      <c r="A339" s="38" t="inlineStr">
        <is>
          <t>[251018] Granadella, la</t>
        </is>
      </c>
      <c r="B339" s="42" t="inlineStr">
        <is>
          <t>251018</t>
        </is>
      </c>
      <c r="C339" s="38" t="inlineStr">
        <is>
          <t>Granadella, la</t>
        </is>
      </c>
      <c r="D339" s="42" t="inlineStr">
        <is>
          <t>18</t>
        </is>
      </c>
      <c r="E339" s="38" t="inlineStr">
        <is>
          <t>Garrigues</t>
        </is>
      </c>
    </row>
    <row r="340" ht="15" customHeight="1" s="39">
      <c r="A340" s="38" t="inlineStr">
        <is>
          <t>[080958] Granera</t>
        </is>
      </c>
      <c r="B340" s="42" t="inlineStr">
        <is>
          <t>080958</t>
        </is>
      </c>
      <c r="C340" s="38" t="inlineStr">
        <is>
          <t>Granera</t>
        </is>
      </c>
      <c r="D340" s="42" t="inlineStr">
        <is>
          <t>42</t>
        </is>
      </c>
      <c r="E340" s="38" t="inlineStr">
        <is>
          <t>Moianès</t>
        </is>
      </c>
    </row>
    <row r="341" ht="15" customHeight="1" s="39">
      <c r="A341" s="38" t="inlineStr">
        <is>
          <t>[251023] Granja d'Escarp, la</t>
        </is>
      </c>
      <c r="B341" s="42" t="inlineStr">
        <is>
          <t>251023</t>
        </is>
      </c>
      <c r="C341" s="38" t="inlineStr">
        <is>
          <t>Granja d'Escarp, la</t>
        </is>
      </c>
      <c r="D341" s="42" t="inlineStr">
        <is>
          <t>33</t>
        </is>
      </c>
      <c r="E341" s="38" t="inlineStr">
        <is>
          <t>Segrià</t>
        </is>
      </c>
    </row>
    <row r="342" ht="15" customHeight="1" s="39">
      <c r="A342" s="38" t="inlineStr">
        <is>
          <t>[080961] Granollers</t>
        </is>
      </c>
      <c r="B342" s="42" t="inlineStr">
        <is>
          <t>080961</t>
        </is>
      </c>
      <c r="C342" s="38" t="inlineStr">
        <is>
          <t>Granollers</t>
        </is>
      </c>
      <c r="D342" s="42" t="inlineStr">
        <is>
          <t>41</t>
        </is>
      </c>
      <c r="E342" s="38" t="inlineStr">
        <is>
          <t>Vallès Oriental</t>
        </is>
      </c>
    </row>
    <row r="343" ht="15" customHeight="1" s="39">
      <c r="A343" s="38" t="inlineStr">
        <is>
          <t>[251039] Granyanella</t>
        </is>
      </c>
      <c r="B343" s="42" t="inlineStr">
        <is>
          <t>251039</t>
        </is>
      </c>
      <c r="C343" s="38" t="inlineStr">
        <is>
          <t>Granyanella</t>
        </is>
      </c>
      <c r="D343" s="42" t="inlineStr">
        <is>
          <t>32</t>
        </is>
      </c>
      <c r="E343" s="38" t="inlineStr">
        <is>
          <t>Segarra</t>
        </is>
      </c>
    </row>
    <row r="344" ht="15" customHeight="1" s="39">
      <c r="A344" s="38" t="inlineStr">
        <is>
          <t>[251057] Granyena de les Garrigues</t>
        </is>
      </c>
      <c r="B344" s="42" t="inlineStr">
        <is>
          <t>251057</t>
        </is>
      </c>
      <c r="C344" s="38" t="inlineStr">
        <is>
          <t>Granyena de les Garrigues</t>
        </is>
      </c>
      <c r="D344" s="42" t="inlineStr">
        <is>
          <t>18</t>
        </is>
      </c>
      <c r="E344" s="38" t="inlineStr">
        <is>
          <t>Garrigues</t>
        </is>
      </c>
    </row>
    <row r="345" ht="15" customHeight="1" s="39">
      <c r="A345" s="38" t="inlineStr">
        <is>
          <t>[251044] Granyena de Segarra</t>
        </is>
      </c>
      <c r="B345" s="42" t="inlineStr">
        <is>
          <t>251044</t>
        </is>
      </c>
      <c r="C345" s="38" t="inlineStr">
        <is>
          <t>Granyena de Segarra</t>
        </is>
      </c>
      <c r="D345" s="42" t="inlineStr">
        <is>
          <t>32</t>
        </is>
      </c>
      <c r="E345" s="38" t="inlineStr">
        <is>
          <t>Segarra</t>
        </is>
      </c>
    </row>
    <row r="346" ht="15" customHeight="1" s="39">
      <c r="A346" s="38" t="inlineStr">
        <is>
          <t>[430691] Gratallops</t>
        </is>
      </c>
      <c r="B346" s="42" t="inlineStr">
        <is>
          <t>430691</t>
        </is>
      </c>
      <c r="C346" s="38" t="inlineStr">
        <is>
          <t>Gratallops</t>
        </is>
      </c>
      <c r="D346" s="42" t="inlineStr">
        <is>
          <t>29</t>
        </is>
      </c>
      <c r="E346" s="38" t="inlineStr">
        <is>
          <t>Priorat</t>
        </is>
      </c>
    </row>
    <row r="347" ht="15" customHeight="1" s="39">
      <c r="A347" s="38" t="inlineStr">
        <is>
          <t>[080977] Gualba</t>
        </is>
      </c>
      <c r="B347" s="42" t="inlineStr">
        <is>
          <t>080977</t>
        </is>
      </c>
      <c r="C347" s="38" t="inlineStr">
        <is>
          <t>Gualba</t>
        </is>
      </c>
      <c r="D347" s="42" t="inlineStr">
        <is>
          <t>41</t>
        </is>
      </c>
      <c r="E347" s="38" t="inlineStr">
        <is>
          <t>Vallès Oriental</t>
        </is>
      </c>
    </row>
    <row r="348" ht="15" customHeight="1" s="39">
      <c r="A348" s="38" t="inlineStr">
        <is>
          <t>[170813] Gualta</t>
        </is>
      </c>
      <c r="B348" s="42" t="inlineStr">
        <is>
          <t>170813</t>
        </is>
      </c>
      <c r="C348" s="38" t="inlineStr">
        <is>
          <t>Gualta</t>
        </is>
      </c>
      <c r="D348" s="42" t="inlineStr">
        <is>
          <t>10</t>
        </is>
      </c>
      <c r="E348" s="38" t="inlineStr">
        <is>
          <t>Baix Empordà</t>
        </is>
      </c>
    </row>
    <row r="349" ht="15" customHeight="1" s="39">
      <c r="A349" s="38" t="inlineStr">
        <is>
          <t>[080996] Guardiola de Berguedà</t>
        </is>
      </c>
      <c r="B349" s="42" t="inlineStr">
        <is>
          <t>080996</t>
        </is>
      </c>
      <c r="C349" s="38" t="inlineStr">
        <is>
          <t>Guardiola de Berguedà</t>
        </is>
      </c>
      <c r="D349" s="42" t="inlineStr">
        <is>
          <t>14</t>
        </is>
      </c>
      <c r="E349" s="38" t="inlineStr">
        <is>
          <t>Berguedà</t>
        </is>
      </c>
    </row>
    <row r="350" ht="15" customHeight="1" s="39">
      <c r="A350" s="38" t="inlineStr">
        <is>
          <t>[430705] Guiamets, els</t>
        </is>
      </c>
      <c r="B350" s="42" t="inlineStr">
        <is>
          <t>430705</t>
        </is>
      </c>
      <c r="C350" s="38" t="inlineStr">
        <is>
          <t>Guiamets, els</t>
        </is>
      </c>
      <c r="D350" s="42" t="inlineStr">
        <is>
          <t>29</t>
        </is>
      </c>
      <c r="E350" s="38" t="inlineStr">
        <is>
          <t>Priorat</t>
        </is>
      </c>
    </row>
    <row r="351" ht="15" customHeight="1" s="39">
      <c r="A351" s="38" t="inlineStr">
        <is>
          <t>[170828] Guils de Cerdanya</t>
        </is>
      </c>
      <c r="B351" s="42" t="inlineStr">
        <is>
          <t>170828</t>
        </is>
      </c>
      <c r="C351" s="38" t="inlineStr">
        <is>
          <t>Guils de Cerdanya</t>
        </is>
      </c>
      <c r="D351" s="42" t="inlineStr">
        <is>
          <t>15</t>
        </is>
      </c>
      <c r="E351" s="38" t="inlineStr">
        <is>
          <t>Cerdanya</t>
        </is>
      </c>
    </row>
    <row r="352" ht="15" customHeight="1" s="39">
      <c r="A352" s="38" t="inlineStr">
        <is>
          <t>[251095] Guimerà</t>
        </is>
      </c>
      <c r="B352" s="42" t="inlineStr">
        <is>
          <t>251095</t>
        </is>
      </c>
      <c r="C352" s="38" t="inlineStr">
        <is>
          <t>Guimerà</t>
        </is>
      </c>
      <c r="D352" s="42" t="inlineStr">
        <is>
          <t>38</t>
        </is>
      </c>
      <c r="E352" s="38" t="inlineStr">
        <is>
          <t>Urgell</t>
        </is>
      </c>
    </row>
    <row r="353" ht="15" customHeight="1" s="39">
      <c r="A353" s="38" t="inlineStr">
        <is>
          <t>[259031] Guingueta d'Àneu, la</t>
        </is>
      </c>
      <c r="B353" s="42" t="inlineStr">
        <is>
          <t>259031</t>
        </is>
      </c>
      <c r="C353" s="38" t="inlineStr">
        <is>
          <t>Guingueta d'Àneu, la</t>
        </is>
      </c>
      <c r="D353" s="42" t="inlineStr">
        <is>
          <t>26</t>
        </is>
      </c>
      <c r="E353" s="38" t="inlineStr">
        <is>
          <t>Pallars Sobirà</t>
        </is>
      </c>
    </row>
    <row r="354" ht="15" customHeight="1" s="39">
      <c r="A354" s="38" t="inlineStr">
        <is>
          <t>[251109] Guissona</t>
        </is>
      </c>
      <c r="B354" s="42" t="inlineStr">
        <is>
          <t>251109</t>
        </is>
      </c>
      <c r="C354" s="38" t="inlineStr">
        <is>
          <t>Guissona</t>
        </is>
      </c>
      <c r="D354" s="42" t="inlineStr">
        <is>
          <t>32</t>
        </is>
      </c>
      <c r="E354" s="38" t="inlineStr">
        <is>
          <t>Segarra</t>
        </is>
      </c>
    </row>
    <row r="355" ht="15" customHeight="1" s="39">
      <c r="A355" s="38" t="inlineStr">
        <is>
          <t>[251116] Guixers</t>
        </is>
      </c>
      <c r="B355" s="42" t="inlineStr">
        <is>
          <t>251116</t>
        </is>
      </c>
      <c r="C355" s="38" t="inlineStr">
        <is>
          <t>Guixers</t>
        </is>
      </c>
      <c r="D355" s="42" t="inlineStr">
        <is>
          <t>35</t>
        </is>
      </c>
      <c r="E355" s="38" t="inlineStr">
        <is>
          <t>Solsonès</t>
        </is>
      </c>
    </row>
    <row r="356" ht="15" customHeight="1" s="39">
      <c r="A356" s="38" t="inlineStr">
        <is>
          <t>[081000] Gurb</t>
        </is>
      </c>
      <c r="B356" s="42" t="inlineStr">
        <is>
          <t>081000</t>
        </is>
      </c>
      <c r="C356" s="38" t="inlineStr">
        <is>
          <t>Gurb</t>
        </is>
      </c>
      <c r="D356" s="42" t="inlineStr">
        <is>
          <t>24</t>
        </is>
      </c>
      <c r="E356" s="38" t="inlineStr">
        <is>
          <t>Osona</t>
        </is>
      </c>
    </row>
    <row r="357" ht="15" customHeight="1" s="39">
      <c r="A357" s="38" t="inlineStr">
        <is>
          <t>[430712] Horta de Sant Joan</t>
        </is>
      </c>
      <c r="B357" s="42" t="inlineStr">
        <is>
          <t>430712</t>
        </is>
      </c>
      <c r="C357" s="38" t="inlineStr">
        <is>
          <t>Horta de Sant Joan</t>
        </is>
      </c>
      <c r="D357" s="42" t="inlineStr">
        <is>
          <t>37</t>
        </is>
      </c>
      <c r="E357" s="38" t="inlineStr">
        <is>
          <t>Terra Alta</t>
        </is>
      </c>
    </row>
    <row r="358" ht="15" customHeight="1" s="39">
      <c r="A358" s="38" t="inlineStr">
        <is>
          <t>[081017] Hospitalet de Llobregat, l'</t>
        </is>
      </c>
      <c r="B358" s="42" t="inlineStr">
        <is>
          <t>081017</t>
        </is>
      </c>
      <c r="C358" s="38" t="inlineStr">
        <is>
          <t>Hospitalet de Llobregat, l'</t>
        </is>
      </c>
      <c r="D358" s="42" t="inlineStr">
        <is>
          <t>13</t>
        </is>
      </c>
      <c r="E358" s="38" t="inlineStr">
        <is>
          <t>Barcelonès</t>
        </is>
      </c>
    </row>
    <row r="359" ht="15" customHeight="1" s="39">
      <c r="A359" s="38" t="inlineStr">
        <is>
          <t>[081629] Hostalets de Pierola, els</t>
        </is>
      </c>
      <c r="B359" s="42" t="inlineStr">
        <is>
          <t>081629</t>
        </is>
      </c>
      <c r="C359" s="38" t="inlineStr">
        <is>
          <t>Hostalets de Pierola, els</t>
        </is>
      </c>
      <c r="D359" s="42" t="inlineStr">
        <is>
          <t>06</t>
        </is>
      </c>
      <c r="E359" s="38" t="inlineStr">
        <is>
          <t>Anoia</t>
        </is>
      </c>
    </row>
    <row r="360" ht="15" customHeight="1" s="39">
      <c r="A360" s="38" t="inlineStr">
        <is>
          <t>[170834] Hostalric</t>
        </is>
      </c>
      <c r="B360" s="42" t="inlineStr">
        <is>
          <t>170834</t>
        </is>
      </c>
      <c r="C360" s="38" t="inlineStr">
        <is>
          <t>Hostalric</t>
        </is>
      </c>
      <c r="D360" s="42" t="inlineStr">
        <is>
          <t>34</t>
        </is>
      </c>
      <c r="E360" s="38" t="inlineStr">
        <is>
          <t>Selva</t>
        </is>
      </c>
    </row>
    <row r="361" ht="15" customHeight="1" s="39">
      <c r="A361" s="38" t="inlineStr">
        <is>
          <t>[081022] Igualada</t>
        </is>
      </c>
      <c r="B361" s="42" t="inlineStr">
        <is>
          <t>081022</t>
        </is>
      </c>
      <c r="C361" s="38" t="inlineStr">
        <is>
          <t>Igualada</t>
        </is>
      </c>
      <c r="D361" s="42" t="inlineStr">
        <is>
          <t>06</t>
        </is>
      </c>
      <c r="E361" s="38" t="inlineStr">
        <is>
          <t>Anoia</t>
        </is>
      </c>
    </row>
    <row r="362" ht="15" customHeight="1" s="39">
      <c r="A362" s="38" t="inlineStr">
        <is>
          <t>[251155] Isona i Conca Dellà</t>
        </is>
      </c>
      <c r="B362" s="42" t="inlineStr">
        <is>
          <t>251155</t>
        </is>
      </c>
      <c r="C362" s="38" t="inlineStr">
        <is>
          <t>Isona i Conca Dellà</t>
        </is>
      </c>
      <c r="D362" s="42" t="inlineStr">
        <is>
          <t>25</t>
        </is>
      </c>
      <c r="E362" s="38" t="inlineStr">
        <is>
          <t>Pallars Jussà</t>
        </is>
      </c>
    </row>
    <row r="363" ht="15" customHeight="1" s="39">
      <c r="A363" s="38" t="inlineStr">
        <is>
          <t>[170849] Isòvol</t>
        </is>
      </c>
      <c r="B363" s="42" t="inlineStr">
        <is>
          <t>170849</t>
        </is>
      </c>
      <c r="C363" s="38" t="inlineStr">
        <is>
          <t>Isòvol</t>
        </is>
      </c>
      <c r="D363" s="42" t="inlineStr">
        <is>
          <t>15</t>
        </is>
      </c>
      <c r="E363" s="38" t="inlineStr">
        <is>
          <t>Cerdanya</t>
        </is>
      </c>
    </row>
    <row r="364" ht="15" customHeight="1" s="39">
      <c r="A364" s="38" t="inlineStr">
        <is>
          <t>[251137] Ivars d'Urgell</t>
        </is>
      </c>
      <c r="B364" s="42" t="inlineStr">
        <is>
          <t>251137</t>
        </is>
      </c>
      <c r="C364" s="38" t="inlineStr">
        <is>
          <t>Ivars d'Urgell</t>
        </is>
      </c>
      <c r="D364" s="42" t="inlineStr">
        <is>
          <t>27</t>
        </is>
      </c>
      <c r="E364" s="38" t="inlineStr">
        <is>
          <t>Pla d'Urgell</t>
        </is>
      </c>
    </row>
    <row r="365" ht="15" customHeight="1" s="39">
      <c r="A365" s="38" t="inlineStr">
        <is>
          <t>[251121] Ivars de Noguera</t>
        </is>
      </c>
      <c r="B365" s="42" t="inlineStr">
        <is>
          <t>251121</t>
        </is>
      </c>
      <c r="C365" s="38" t="inlineStr">
        <is>
          <t>Ivars de Noguera</t>
        </is>
      </c>
      <c r="D365" s="42" t="inlineStr">
        <is>
          <t>23</t>
        </is>
      </c>
      <c r="E365" s="38" t="inlineStr">
        <is>
          <t>Noguera</t>
        </is>
      </c>
    </row>
    <row r="366" ht="15" customHeight="1" s="39">
      <c r="A366" s="38" t="inlineStr">
        <is>
          <t>[251142] Ivorra</t>
        </is>
      </c>
      <c r="B366" s="42" t="inlineStr">
        <is>
          <t>251142</t>
        </is>
      </c>
      <c r="C366" s="38" t="inlineStr">
        <is>
          <t>Ivorra</t>
        </is>
      </c>
      <c r="D366" s="42" t="inlineStr">
        <is>
          <t>32</t>
        </is>
      </c>
      <c r="E366" s="38" t="inlineStr">
        <is>
          <t>Segarra</t>
        </is>
      </c>
    </row>
    <row r="367" ht="15" customHeight="1" s="39">
      <c r="A367" s="38" t="inlineStr">
        <is>
          <t>[170852] Jafre</t>
        </is>
      </c>
      <c r="B367" s="42" t="inlineStr">
        <is>
          <t>170852</t>
        </is>
      </c>
      <c r="C367" s="38" t="inlineStr">
        <is>
          <t>Jafre</t>
        </is>
      </c>
      <c r="D367" s="42" t="inlineStr">
        <is>
          <t>10</t>
        </is>
      </c>
      <c r="E367" s="38" t="inlineStr">
        <is>
          <t>Baix Empordà</t>
        </is>
      </c>
    </row>
    <row r="368" ht="15" customHeight="1" s="39">
      <c r="A368" s="38" t="inlineStr">
        <is>
          <t>[170865] Jonquera, la</t>
        </is>
      </c>
      <c r="B368" s="42" t="inlineStr">
        <is>
          <t>170865</t>
        </is>
      </c>
      <c r="C368" s="38" t="inlineStr">
        <is>
          <t>Jonquera, la</t>
        </is>
      </c>
      <c r="D368" s="42" t="inlineStr">
        <is>
          <t>02</t>
        </is>
      </c>
      <c r="E368" s="38" t="inlineStr">
        <is>
          <t>Alt Empordà</t>
        </is>
      </c>
    </row>
    <row r="369" ht="15" customHeight="1" s="39">
      <c r="A369" s="38" t="inlineStr">
        <is>
          <t>[081038] Jorba</t>
        </is>
      </c>
      <c r="B369" s="42" t="inlineStr">
        <is>
          <t>081038</t>
        </is>
      </c>
      <c r="C369" s="38" t="inlineStr">
        <is>
          <t>Jorba</t>
        </is>
      </c>
      <c r="D369" s="42" t="inlineStr">
        <is>
          <t>06</t>
        </is>
      </c>
      <c r="E369" s="38" t="inlineStr">
        <is>
          <t>Anoia</t>
        </is>
      </c>
    </row>
    <row r="370" ht="15" customHeight="1" s="39">
      <c r="A370" s="38" t="inlineStr">
        <is>
          <t>[259101] Josa i Tuixén</t>
        </is>
      </c>
      <c r="B370" s="42" t="inlineStr">
        <is>
          <t>259101</t>
        </is>
      </c>
      <c r="C370" s="38" t="inlineStr">
        <is>
          <t>Josa i Tuixén</t>
        </is>
      </c>
      <c r="D370" s="42" t="inlineStr">
        <is>
          <t>04</t>
        </is>
      </c>
      <c r="E370" s="38" t="inlineStr">
        <is>
          <t>Alt Urgell</t>
        </is>
      </c>
    </row>
    <row r="371" ht="15" customHeight="1" s="39">
      <c r="A371" s="38" t="inlineStr">
        <is>
          <t>[170871] Juià</t>
        </is>
      </c>
      <c r="B371" s="42" t="inlineStr">
        <is>
          <t>170871</t>
        </is>
      </c>
      <c r="C371" s="38" t="inlineStr">
        <is>
          <t>Juià</t>
        </is>
      </c>
      <c r="D371" s="42" t="inlineStr">
        <is>
          <t>20</t>
        </is>
      </c>
      <c r="E371" s="38" t="inlineStr">
        <is>
          <t>Gironès</t>
        </is>
      </c>
    </row>
    <row r="372" ht="15" customHeight="1" s="39">
      <c r="A372" s="38" t="inlineStr">
        <is>
          <t>[251180] Juncosa</t>
        </is>
      </c>
      <c r="B372" s="42" t="inlineStr">
        <is>
          <t>251180</t>
        </is>
      </c>
      <c r="C372" s="38" t="inlineStr">
        <is>
          <t>Juncosa</t>
        </is>
      </c>
      <c r="D372" s="42" t="inlineStr">
        <is>
          <t>18</t>
        </is>
      </c>
      <c r="E372" s="38" t="inlineStr">
        <is>
          <t>Garrigues</t>
        </is>
      </c>
    </row>
    <row r="373" ht="15" customHeight="1" s="39">
      <c r="A373" s="38" t="inlineStr">
        <is>
          <t>[251193] Juneda</t>
        </is>
      </c>
      <c r="B373" s="42" t="inlineStr">
        <is>
          <t>251193</t>
        </is>
      </c>
      <c r="C373" s="38" t="inlineStr">
        <is>
          <t>Juneda</t>
        </is>
      </c>
      <c r="D373" s="42" t="inlineStr">
        <is>
          <t>18</t>
        </is>
      </c>
      <c r="E373" s="38" t="inlineStr">
        <is>
          <t>Garrigues</t>
        </is>
      </c>
    </row>
    <row r="374" ht="15" customHeight="1" s="39">
      <c r="A374" s="38" t="inlineStr">
        <is>
          <t>[251214] Les</t>
        </is>
      </c>
      <c r="B374" s="42" t="inlineStr">
        <is>
          <t>251214</t>
        </is>
      </c>
      <c r="C374" s="38" t="inlineStr">
        <is>
          <t>Les</t>
        </is>
      </c>
      <c r="D374" s="42" t="inlineStr">
        <is>
          <t>39</t>
        </is>
      </c>
      <c r="E374" s="38" t="inlineStr">
        <is>
          <t>Aran</t>
        </is>
      </c>
    </row>
    <row r="375" ht="15" customHeight="1" s="39">
      <c r="A375" s="38" t="inlineStr">
        <is>
          <t>[251229] Linyola</t>
        </is>
      </c>
      <c r="B375" s="42" t="inlineStr">
        <is>
          <t>251229</t>
        </is>
      </c>
      <c r="C375" s="38" t="inlineStr">
        <is>
          <t>Linyola</t>
        </is>
      </c>
      <c r="D375" s="42" t="inlineStr">
        <is>
          <t>27</t>
        </is>
      </c>
      <c r="E375" s="38" t="inlineStr">
        <is>
          <t>Pla d'Urgell</t>
        </is>
      </c>
    </row>
    <row r="376" ht="15" customHeight="1" s="39">
      <c r="A376" s="38" t="inlineStr">
        <is>
          <t>[081043] Llacuna, la</t>
        </is>
      </c>
      <c r="B376" s="42" t="inlineStr">
        <is>
          <t>081043</t>
        </is>
      </c>
      <c r="C376" s="38" t="inlineStr">
        <is>
          <t>Llacuna, la</t>
        </is>
      </c>
      <c r="D376" s="42" t="inlineStr">
        <is>
          <t>06</t>
        </is>
      </c>
      <c r="E376" s="38" t="inlineStr">
        <is>
          <t>Anoia</t>
        </is>
      </c>
    </row>
    <row r="377" ht="15" customHeight="1" s="39">
      <c r="A377" s="38" t="inlineStr">
        <is>
          <t>[170887] Lladó</t>
        </is>
      </c>
      <c r="B377" s="42" t="inlineStr">
        <is>
          <t>170887</t>
        </is>
      </c>
      <c r="C377" s="38" t="inlineStr">
        <is>
          <t>Lladó</t>
        </is>
      </c>
      <c r="D377" s="42" t="inlineStr">
        <is>
          <t>02</t>
        </is>
      </c>
      <c r="E377" s="38" t="inlineStr">
        <is>
          <t>Alt Empordà</t>
        </is>
      </c>
    </row>
    <row r="378" ht="15" customHeight="1" s="39">
      <c r="A378" s="38" t="inlineStr">
        <is>
          <t>[251235] Lladorre</t>
        </is>
      </c>
      <c r="B378" s="42" t="inlineStr">
        <is>
          <t>251235</t>
        </is>
      </c>
      <c r="C378" s="38" t="inlineStr">
        <is>
          <t>Lladorre</t>
        </is>
      </c>
      <c r="D378" s="42" t="inlineStr">
        <is>
          <t>26</t>
        </is>
      </c>
      <c r="E378" s="38" t="inlineStr">
        <is>
          <t>Pallars Sobirà</t>
        </is>
      </c>
    </row>
    <row r="379" ht="15" customHeight="1" s="39">
      <c r="A379" s="38" t="inlineStr">
        <is>
          <t>[251240] Lladurs</t>
        </is>
      </c>
      <c r="B379" s="42" t="inlineStr">
        <is>
          <t>251240</t>
        </is>
      </c>
      <c r="C379" s="38" t="inlineStr">
        <is>
          <t>Lladurs</t>
        </is>
      </c>
      <c r="D379" s="42" t="inlineStr">
        <is>
          <t>35</t>
        </is>
      </c>
      <c r="E379" s="38" t="inlineStr">
        <is>
          <t>Solsonès</t>
        </is>
      </c>
    </row>
    <row r="380" ht="15" customHeight="1" s="39">
      <c r="A380" s="38" t="inlineStr">
        <is>
          <t>[081056] Llagosta, la</t>
        </is>
      </c>
      <c r="B380" s="42" t="inlineStr">
        <is>
          <t>081056</t>
        </is>
      </c>
      <c r="C380" s="38" t="inlineStr">
        <is>
          <t>Llagosta, la</t>
        </is>
      </c>
      <c r="D380" s="42" t="inlineStr">
        <is>
          <t>41</t>
        </is>
      </c>
      <c r="E380" s="38" t="inlineStr">
        <is>
          <t>Vallès Oriental</t>
        </is>
      </c>
    </row>
    <row r="381" ht="15" customHeight="1" s="39">
      <c r="A381" s="38" t="inlineStr">
        <is>
          <t>[170890] Llagostera</t>
        </is>
      </c>
      <c r="B381" s="42" t="inlineStr">
        <is>
          <t>170890</t>
        </is>
      </c>
      <c r="C381" s="38" t="inlineStr">
        <is>
          <t>Llagostera</t>
        </is>
      </c>
      <c r="D381" s="42" t="inlineStr">
        <is>
          <t>20</t>
        </is>
      </c>
      <c r="E381" s="38" t="inlineStr">
        <is>
          <t>Gironès</t>
        </is>
      </c>
    </row>
    <row r="382" ht="15" customHeight="1" s="39">
      <c r="A382" s="38" t="inlineStr">
        <is>
          <t>[170904] Llambilles</t>
        </is>
      </c>
      <c r="B382" s="42" t="inlineStr">
        <is>
          <t>170904</t>
        </is>
      </c>
      <c r="C382" s="38" t="inlineStr">
        <is>
          <t>Llambilles</t>
        </is>
      </c>
      <c r="D382" s="42" t="inlineStr">
        <is>
          <t>20</t>
        </is>
      </c>
      <c r="E382" s="38" t="inlineStr">
        <is>
          <t>Gironès</t>
        </is>
      </c>
    </row>
    <row r="383" ht="15" customHeight="1" s="39">
      <c r="A383" s="38" t="inlineStr">
        <is>
          <t>[170911] Llanars</t>
        </is>
      </c>
      <c r="B383" s="42" t="inlineStr">
        <is>
          <t>170911</t>
        </is>
      </c>
      <c r="C383" s="38" t="inlineStr">
        <is>
          <t>Llanars</t>
        </is>
      </c>
      <c r="D383" s="42" t="inlineStr">
        <is>
          <t>31</t>
        </is>
      </c>
      <c r="E383" s="38" t="inlineStr">
        <is>
          <t>Ripollès</t>
        </is>
      </c>
    </row>
    <row r="384" ht="15" customHeight="1" s="39">
      <c r="A384" s="38" t="inlineStr">
        <is>
          <t>[170926] Llançà</t>
        </is>
      </c>
      <c r="B384" s="42" t="inlineStr">
        <is>
          <t>170926</t>
        </is>
      </c>
      <c r="C384" s="38" t="inlineStr">
        <is>
          <t>Llançà</t>
        </is>
      </c>
      <c r="D384" s="42" t="inlineStr">
        <is>
          <t>02</t>
        </is>
      </c>
      <c r="E384" s="38" t="inlineStr">
        <is>
          <t>Alt Empordà</t>
        </is>
      </c>
    </row>
    <row r="385" ht="15" customHeight="1" s="39">
      <c r="A385" s="38" t="inlineStr">
        <is>
          <t>[251253] Llardecans</t>
        </is>
      </c>
      <c r="B385" s="42" t="inlineStr">
        <is>
          <t>251253</t>
        </is>
      </c>
      <c r="C385" s="38" t="inlineStr">
        <is>
          <t>Llardecans</t>
        </is>
      </c>
      <c r="D385" s="42" t="inlineStr">
        <is>
          <t>33</t>
        </is>
      </c>
      <c r="E385" s="38" t="inlineStr">
        <is>
          <t>Segrià</t>
        </is>
      </c>
    </row>
    <row r="386" ht="15" customHeight="1" s="39">
      <c r="A386" s="38" t="inlineStr">
        <is>
          <t>[251266] Llavorsí</t>
        </is>
      </c>
      <c r="B386" s="42" t="inlineStr">
        <is>
          <t>251266</t>
        </is>
      </c>
      <c r="C386" s="38" t="inlineStr">
        <is>
          <t>Llavorsí</t>
        </is>
      </c>
      <c r="D386" s="42" t="inlineStr">
        <is>
          <t>26</t>
        </is>
      </c>
      <c r="E386" s="38" t="inlineStr">
        <is>
          <t>Pallars Sobirà</t>
        </is>
      </c>
    </row>
    <row r="387" ht="15" customHeight="1" s="39">
      <c r="A387" s="38" t="inlineStr">
        <is>
          <t>[251207] Lleida</t>
        </is>
      </c>
      <c r="B387" s="42" t="inlineStr">
        <is>
          <t>251207</t>
        </is>
      </c>
      <c r="C387" s="38" t="inlineStr">
        <is>
          <t>Lleida</t>
        </is>
      </c>
      <c r="D387" s="42" t="inlineStr">
        <is>
          <t>33</t>
        </is>
      </c>
      <c r="E387" s="38" t="inlineStr">
        <is>
          <t>Segrià</t>
        </is>
      </c>
    </row>
    <row r="388" ht="15" customHeight="1" s="39">
      <c r="A388" s="38" t="inlineStr">
        <is>
          <t>[170932] Llers</t>
        </is>
      </c>
      <c r="B388" s="42" t="inlineStr">
        <is>
          <t>170932</t>
        </is>
      </c>
      <c r="C388" s="38" t="inlineStr">
        <is>
          <t>Llers</t>
        </is>
      </c>
      <c r="D388" s="42" t="inlineStr">
        <is>
          <t>02</t>
        </is>
      </c>
      <c r="E388" s="38" t="inlineStr">
        <is>
          <t>Alt Empordà</t>
        </is>
      </c>
    </row>
    <row r="389" ht="15" customHeight="1" s="39">
      <c r="A389" s="38" t="inlineStr">
        <is>
          <t>[251272] Lles de Cerdanya</t>
        </is>
      </c>
      <c r="B389" s="42" t="inlineStr">
        <is>
          <t>251272</t>
        </is>
      </c>
      <c r="C389" s="38" t="inlineStr">
        <is>
          <t>Lles de Cerdanya</t>
        </is>
      </c>
      <c r="D389" s="42" t="inlineStr">
        <is>
          <t>15</t>
        </is>
      </c>
      <c r="E389" s="38" t="inlineStr">
        <is>
          <t>Cerdanya</t>
        </is>
      </c>
    </row>
    <row r="390" ht="15" customHeight="1" s="39">
      <c r="A390" s="38" t="inlineStr">
        <is>
          <t>[081075] Lliçà d'Amunt</t>
        </is>
      </c>
      <c r="B390" s="42" t="inlineStr">
        <is>
          <t>081075</t>
        </is>
      </c>
      <c r="C390" s="38" t="inlineStr">
        <is>
          <t>Lliçà d'Amunt</t>
        </is>
      </c>
      <c r="D390" s="42" t="inlineStr">
        <is>
          <t>41</t>
        </is>
      </c>
      <c r="E390" s="38" t="inlineStr">
        <is>
          <t>Vallès Oriental</t>
        </is>
      </c>
    </row>
    <row r="391" ht="15" customHeight="1" s="39">
      <c r="A391" s="38" t="inlineStr">
        <is>
          <t>[081081] Lliçà de Vall</t>
        </is>
      </c>
      <c r="B391" s="42" t="inlineStr">
        <is>
          <t>081081</t>
        </is>
      </c>
      <c r="C391" s="38" t="inlineStr">
        <is>
          <t>Lliçà de Vall</t>
        </is>
      </c>
      <c r="D391" s="42" t="inlineStr">
        <is>
          <t>41</t>
        </is>
      </c>
      <c r="E391" s="38" t="inlineStr">
        <is>
          <t>Vallès Oriental</t>
        </is>
      </c>
    </row>
    <row r="392" ht="15" customHeight="1" s="39">
      <c r="A392" s="38" t="inlineStr">
        <is>
          <t>[251288] Llimiana</t>
        </is>
      </c>
      <c r="B392" s="42" t="inlineStr">
        <is>
          <t>251288</t>
        </is>
      </c>
      <c r="C392" s="38" t="inlineStr">
        <is>
          <t>Llimiana</t>
        </is>
      </c>
      <c r="D392" s="42" t="inlineStr">
        <is>
          <t>25</t>
        </is>
      </c>
      <c r="E392" s="38" t="inlineStr">
        <is>
          <t>Pallars Jussà</t>
        </is>
      </c>
    </row>
    <row r="393" ht="15" customHeight="1" s="39">
      <c r="A393" s="38" t="inlineStr">
        <is>
          <t>[081069] Llinars del Vallès</t>
        </is>
      </c>
      <c r="B393" s="42" t="inlineStr">
        <is>
          <t>081069</t>
        </is>
      </c>
      <c r="C393" s="38" t="inlineStr">
        <is>
          <t>Llinars del Vallès</t>
        </is>
      </c>
      <c r="D393" s="42" t="inlineStr">
        <is>
          <t>41</t>
        </is>
      </c>
      <c r="E393" s="38" t="inlineStr">
        <is>
          <t>Vallès Oriental</t>
        </is>
      </c>
    </row>
    <row r="394" ht="15" customHeight="1" s="39">
      <c r="A394" s="38" t="inlineStr">
        <is>
          <t>[170947] Llívia</t>
        </is>
      </c>
      <c r="B394" s="42" t="inlineStr">
        <is>
          <t>170947</t>
        </is>
      </c>
      <c r="C394" s="38" t="inlineStr">
        <is>
          <t>Llívia</t>
        </is>
      </c>
      <c r="D394" s="42" t="inlineStr">
        <is>
          <t>15</t>
        </is>
      </c>
      <c r="E394" s="38" t="inlineStr">
        <is>
          <t>Cerdanya</t>
        </is>
      </c>
    </row>
    <row r="395" ht="15" customHeight="1" s="39">
      <c r="A395" s="38" t="inlineStr">
        <is>
          <t>[430727] Lloar, el</t>
        </is>
      </c>
      <c r="B395" s="42" t="inlineStr">
        <is>
          <t>430727</t>
        </is>
      </c>
      <c r="C395" s="38" t="inlineStr">
        <is>
          <t>Lloar, el</t>
        </is>
      </c>
      <c r="D395" s="42" t="inlineStr">
        <is>
          <t>29</t>
        </is>
      </c>
      <c r="E395" s="38" t="inlineStr">
        <is>
          <t>Priorat</t>
        </is>
      </c>
    </row>
    <row r="396" ht="15" customHeight="1" s="39">
      <c r="A396" s="38" t="inlineStr">
        <is>
          <t>[251291] Llobera</t>
        </is>
      </c>
      <c r="B396" s="42" t="inlineStr">
        <is>
          <t>251291</t>
        </is>
      </c>
      <c r="C396" s="38" t="inlineStr">
        <is>
          <t>Llobera</t>
        </is>
      </c>
      <c r="D396" s="42" t="inlineStr">
        <is>
          <t>35</t>
        </is>
      </c>
      <c r="E396" s="38" t="inlineStr">
        <is>
          <t>Solsonès</t>
        </is>
      </c>
    </row>
    <row r="397" ht="15" customHeight="1" s="39">
      <c r="A397" s="38" t="inlineStr">
        <is>
          <t>[430733] Llorac</t>
        </is>
      </c>
      <c r="B397" s="42" t="inlineStr">
        <is>
          <t>430733</t>
        </is>
      </c>
      <c r="C397" s="38" t="inlineStr">
        <is>
          <t>Llorac</t>
        </is>
      </c>
      <c r="D397" s="42" t="inlineStr">
        <is>
          <t>16</t>
        </is>
      </c>
      <c r="E397" s="38" t="inlineStr">
        <is>
          <t>Conca de Barberà</t>
        </is>
      </c>
    </row>
    <row r="398" ht="15" customHeight="1" s="39">
      <c r="A398" s="38" t="inlineStr">
        <is>
          <t>[430748] Llorenç del Penedès</t>
        </is>
      </c>
      <c r="B398" s="42" t="inlineStr">
        <is>
          <t>430748</t>
        </is>
      </c>
      <c r="C398" s="38" t="inlineStr">
        <is>
          <t>Llorenç del Penedès</t>
        </is>
      </c>
      <c r="D398" s="42" t="inlineStr">
        <is>
          <t>12</t>
        </is>
      </c>
      <c r="E398" s="38" t="inlineStr">
        <is>
          <t>Baix Penedès</t>
        </is>
      </c>
    </row>
    <row r="399" ht="15" customHeight="1" s="39">
      <c r="A399" s="38" t="inlineStr">
        <is>
          <t>[170950] Lloret de Mar</t>
        </is>
      </c>
      <c r="B399" s="42" t="inlineStr">
        <is>
          <t>170950</t>
        </is>
      </c>
      <c r="C399" s="38" t="inlineStr">
        <is>
          <t>Lloret de Mar</t>
        </is>
      </c>
      <c r="D399" s="42" t="inlineStr">
        <is>
          <t>34</t>
        </is>
      </c>
      <c r="E399" s="38" t="inlineStr">
        <is>
          <t>Selva</t>
        </is>
      </c>
    </row>
    <row r="400" ht="15" customHeight="1" s="39">
      <c r="A400" s="38" t="inlineStr">
        <is>
          <t>[170963] Llosses, les</t>
        </is>
      </c>
      <c r="B400" s="42" t="inlineStr">
        <is>
          <t>170963</t>
        </is>
      </c>
      <c r="C400" s="38" t="inlineStr">
        <is>
          <t>Llosses, les</t>
        </is>
      </c>
      <c r="D400" s="42" t="inlineStr">
        <is>
          <t>31</t>
        </is>
      </c>
      <c r="E400" s="38" t="inlineStr">
        <is>
          <t>Ripollès</t>
        </is>
      </c>
    </row>
    <row r="401" ht="15" customHeight="1" s="39">
      <c r="A401" s="38" t="inlineStr">
        <is>
          <t>[081094] Lluçà</t>
        </is>
      </c>
      <c r="B401" s="42" t="inlineStr">
        <is>
          <t>081094</t>
        </is>
      </c>
      <c r="C401" s="38" t="inlineStr">
        <is>
          <t>Lluçà</t>
        </is>
      </c>
      <c r="D401" s="42" t="inlineStr">
        <is>
          <t>43</t>
        </is>
      </c>
      <c r="E401" s="38" t="inlineStr">
        <is>
          <t>Lluçanès</t>
        </is>
      </c>
    </row>
    <row r="402" ht="15" customHeight="1" s="39">
      <c r="A402" s="38" t="inlineStr">
        <is>
          <t>[171024] Maçanet de Cabrenys</t>
        </is>
      </c>
      <c r="B402" s="42" t="inlineStr">
        <is>
          <t>171024</t>
        </is>
      </c>
      <c r="C402" s="38" t="inlineStr">
        <is>
          <t>Maçanet de Cabrenys</t>
        </is>
      </c>
      <c r="D402" s="42" t="inlineStr">
        <is>
          <t>02</t>
        </is>
      </c>
      <c r="E402" s="38" t="inlineStr">
        <is>
          <t>Alt Empordà</t>
        </is>
      </c>
    </row>
    <row r="403" ht="15" customHeight="1" s="39">
      <c r="A403" s="38" t="inlineStr">
        <is>
          <t>[171030] Maçanet de la Selva</t>
        </is>
      </c>
      <c r="B403" s="42" t="inlineStr">
        <is>
          <t>171030</t>
        </is>
      </c>
      <c r="C403" s="38" t="inlineStr">
        <is>
          <t>Maçanet de la Selva</t>
        </is>
      </c>
      <c r="D403" s="42" t="inlineStr">
        <is>
          <t>34</t>
        </is>
      </c>
      <c r="E403" s="38" t="inlineStr">
        <is>
          <t>Selva</t>
        </is>
      </c>
    </row>
    <row r="404" ht="15" customHeight="1" s="39">
      <c r="A404" s="38" t="inlineStr">
        <is>
          <t>[170979] Madremanya</t>
        </is>
      </c>
      <c r="B404" s="42" t="inlineStr">
        <is>
          <t>170979</t>
        </is>
      </c>
      <c r="C404" s="38" t="inlineStr">
        <is>
          <t>Madremanya</t>
        </is>
      </c>
      <c r="D404" s="42" t="inlineStr">
        <is>
          <t>20</t>
        </is>
      </c>
      <c r="E404" s="38" t="inlineStr">
        <is>
          <t>Gironès</t>
        </is>
      </c>
    </row>
    <row r="405" ht="15" customHeight="1" s="39">
      <c r="A405" s="38" t="inlineStr">
        <is>
          <t>[170985] Maià de Montcal</t>
        </is>
      </c>
      <c r="B405" s="42" t="inlineStr">
        <is>
          <t>170985</t>
        </is>
      </c>
      <c r="C405" s="38" t="inlineStr">
        <is>
          <t>Maià de Montcal</t>
        </is>
      </c>
      <c r="D405" s="42" t="inlineStr">
        <is>
          <t>19</t>
        </is>
      </c>
      <c r="E405" s="38" t="inlineStr">
        <is>
          <t>Garrotxa</t>
        </is>
      </c>
    </row>
    <row r="406" ht="15" customHeight="1" s="39">
      <c r="A406" s="38" t="inlineStr">
        <is>
          <t>[251333] Maials</t>
        </is>
      </c>
      <c r="B406" s="42" t="inlineStr">
        <is>
          <t>251333</t>
        </is>
      </c>
      <c r="C406" s="38" t="inlineStr">
        <is>
          <t>Maials</t>
        </is>
      </c>
      <c r="D406" s="42" t="inlineStr">
        <is>
          <t>33</t>
        </is>
      </c>
      <c r="E406" s="38" t="inlineStr">
        <is>
          <t>Segrià</t>
        </is>
      </c>
    </row>
    <row r="407" ht="15" customHeight="1" s="39">
      <c r="A407" s="38" t="inlineStr">
        <is>
          <t>[251305] Maldà</t>
        </is>
      </c>
      <c r="B407" s="42" t="inlineStr">
        <is>
          <t>251305</t>
        </is>
      </c>
      <c r="C407" s="38" t="inlineStr">
        <is>
          <t>Maldà</t>
        </is>
      </c>
      <c r="D407" s="42" t="inlineStr">
        <is>
          <t>38</t>
        </is>
      </c>
      <c r="E407" s="38" t="inlineStr">
        <is>
          <t>Urgell</t>
        </is>
      </c>
    </row>
    <row r="408" ht="15" customHeight="1" s="39">
      <c r="A408" s="38" t="inlineStr">
        <is>
          <t>[081108] Malgrat de Mar</t>
        </is>
      </c>
      <c r="B408" s="42" t="inlineStr">
        <is>
          <t>081108</t>
        </is>
      </c>
      <c r="C408" s="38" t="inlineStr">
        <is>
          <t>Malgrat de Mar</t>
        </is>
      </c>
      <c r="D408" s="42" t="inlineStr">
        <is>
          <t>21</t>
        </is>
      </c>
      <c r="E408" s="38" t="inlineStr">
        <is>
          <t>Maresme</t>
        </is>
      </c>
    </row>
    <row r="409" ht="15" customHeight="1" s="39">
      <c r="A409" s="38" t="inlineStr">
        <is>
          <t>[081115] Malla</t>
        </is>
      </c>
      <c r="B409" s="42" t="inlineStr">
        <is>
          <t>081115</t>
        </is>
      </c>
      <c r="C409" s="38" t="inlineStr">
        <is>
          <t>Malla</t>
        </is>
      </c>
      <c r="D409" s="42" t="inlineStr">
        <is>
          <t>24</t>
        </is>
      </c>
      <c r="E409" s="38" t="inlineStr">
        <is>
          <t>Osona</t>
        </is>
      </c>
    </row>
    <row r="410" ht="15" customHeight="1" s="39">
      <c r="A410" s="38" t="inlineStr">
        <is>
          <t>[081120] Manlleu</t>
        </is>
      </c>
      <c r="B410" s="42" t="inlineStr">
        <is>
          <t>081120</t>
        </is>
      </c>
      <c r="C410" s="38" t="inlineStr">
        <is>
          <t>Manlleu</t>
        </is>
      </c>
      <c r="D410" s="42" t="inlineStr">
        <is>
          <t>24</t>
        </is>
      </c>
      <c r="E410" s="38" t="inlineStr">
        <is>
          <t>Osona</t>
        </is>
      </c>
    </row>
    <row r="411" ht="15" customHeight="1" s="39">
      <c r="A411" s="38" t="inlineStr">
        <is>
          <t>[081136] Manresa</t>
        </is>
      </c>
      <c r="B411" s="42" t="inlineStr">
        <is>
          <t>081136</t>
        </is>
      </c>
      <c r="C411" s="38" t="inlineStr">
        <is>
          <t>Manresa</t>
        </is>
      </c>
      <c r="D411" s="42" t="inlineStr">
        <is>
          <t>07</t>
        </is>
      </c>
      <c r="E411" s="38" t="inlineStr">
        <is>
          <t>Bages</t>
        </is>
      </c>
    </row>
    <row r="412" ht="15" customHeight="1" s="39">
      <c r="A412" s="38" t="inlineStr">
        <is>
          <t>[430764] Marçà</t>
        </is>
      </c>
      <c r="B412" s="42" t="inlineStr">
        <is>
          <t>430764</t>
        </is>
      </c>
      <c r="C412" s="38" t="inlineStr">
        <is>
          <t>Marçà</t>
        </is>
      </c>
      <c r="D412" s="42" t="inlineStr">
        <is>
          <t>29</t>
        </is>
      </c>
      <c r="E412" s="38" t="inlineStr">
        <is>
          <t>Priorat</t>
        </is>
      </c>
    </row>
    <row r="413" ht="15" customHeight="1" s="39">
      <c r="A413" s="38" t="inlineStr">
        <is>
          <t>[430751] Margalef</t>
        </is>
      </c>
      <c r="B413" s="42" t="inlineStr">
        <is>
          <t>430751</t>
        </is>
      </c>
      <c r="C413" s="38" t="inlineStr">
        <is>
          <t>Margalef</t>
        </is>
      </c>
      <c r="D413" s="42" t="inlineStr">
        <is>
          <t>29</t>
        </is>
      </c>
      <c r="E413" s="38" t="inlineStr">
        <is>
          <t>Priorat</t>
        </is>
      </c>
    </row>
    <row r="414" ht="15" customHeight="1" s="39">
      <c r="A414" s="38" t="inlineStr">
        <is>
          <t>[082423] Marganell</t>
        </is>
      </c>
      <c r="B414" s="42" t="inlineStr">
        <is>
          <t>082423</t>
        </is>
      </c>
      <c r="C414" s="38" t="inlineStr">
        <is>
          <t>Marganell</t>
        </is>
      </c>
      <c r="D414" s="42" t="inlineStr">
        <is>
          <t>07</t>
        </is>
      </c>
      <c r="E414" s="38" t="inlineStr">
        <is>
          <t>Bages</t>
        </is>
      </c>
    </row>
    <row r="415" ht="15" customHeight="1" s="39">
      <c r="A415" s="38" t="inlineStr">
        <is>
          <t>[081141] Martorell</t>
        </is>
      </c>
      <c r="B415" s="42" t="inlineStr">
        <is>
          <t>081141</t>
        </is>
      </c>
      <c r="C415" s="38" t="inlineStr">
        <is>
          <t>Martorell</t>
        </is>
      </c>
      <c r="D415" s="42" t="inlineStr">
        <is>
          <t>11</t>
        </is>
      </c>
      <c r="E415" s="38" t="inlineStr">
        <is>
          <t>Baix Llobregat</t>
        </is>
      </c>
    </row>
    <row r="416" ht="15" customHeight="1" s="39">
      <c r="A416" s="38" t="inlineStr">
        <is>
          <t>[081154] Martorelles</t>
        </is>
      </c>
      <c r="B416" s="42" t="inlineStr">
        <is>
          <t>081154</t>
        </is>
      </c>
      <c r="C416" s="38" t="inlineStr">
        <is>
          <t>Martorelles</t>
        </is>
      </c>
      <c r="D416" s="42" t="inlineStr">
        <is>
          <t>41</t>
        </is>
      </c>
      <c r="E416" s="38" t="inlineStr">
        <is>
          <t>Vallès Oriental</t>
        </is>
      </c>
    </row>
    <row r="417" ht="15" customHeight="1" s="39">
      <c r="A417" s="38" t="inlineStr">
        <is>
          <t>[430770] Mas de Barberans</t>
        </is>
      </c>
      <c r="B417" s="42" t="inlineStr">
        <is>
          <t>430770</t>
        </is>
      </c>
      <c r="C417" s="38" t="inlineStr">
        <is>
          <t>Mas de Barberans</t>
        </is>
      </c>
      <c r="D417" s="42" t="inlineStr">
        <is>
          <t>22</t>
        </is>
      </c>
      <c r="E417" s="38" t="inlineStr">
        <is>
          <t>Montsià</t>
        </is>
      </c>
    </row>
    <row r="418" ht="15" customHeight="1" s="39">
      <c r="A418" s="38" t="inlineStr">
        <is>
          <t>[171002] Masarac i Vilarnadal</t>
        </is>
      </c>
      <c r="B418" s="42" t="inlineStr">
        <is>
          <t>171002</t>
        </is>
      </c>
      <c r="C418" s="38" t="inlineStr">
        <is>
          <t>Masarac i Vilarnadal</t>
        </is>
      </c>
      <c r="D418" s="42" t="inlineStr">
        <is>
          <t>02</t>
        </is>
      </c>
      <c r="E418" s="38" t="inlineStr">
        <is>
          <t>Alt Empordà</t>
        </is>
      </c>
    </row>
    <row r="419" ht="15" customHeight="1" s="39">
      <c r="A419" s="38" t="inlineStr">
        <is>
          <t>[430786] Masdenverge</t>
        </is>
      </c>
      <c r="B419" s="42" t="inlineStr">
        <is>
          <t>430786</t>
        </is>
      </c>
      <c r="C419" s="38" t="inlineStr">
        <is>
          <t>Masdenverge</t>
        </is>
      </c>
      <c r="D419" s="42" t="inlineStr">
        <is>
          <t>22</t>
        </is>
      </c>
      <c r="E419" s="38" t="inlineStr">
        <is>
          <t>Montsià</t>
        </is>
      </c>
    </row>
    <row r="420" ht="15" customHeight="1" s="39">
      <c r="A420" s="38" t="inlineStr">
        <is>
          <t>[081167] Masies de Roda, les</t>
        </is>
      </c>
      <c r="B420" s="42" t="inlineStr">
        <is>
          <t>081167</t>
        </is>
      </c>
      <c r="C420" s="38" t="inlineStr">
        <is>
          <t>Masies de Roda, les</t>
        </is>
      </c>
      <c r="D420" s="42" t="inlineStr">
        <is>
          <t>24</t>
        </is>
      </c>
      <c r="E420" s="38" t="inlineStr">
        <is>
          <t>Osona</t>
        </is>
      </c>
    </row>
    <row r="421" ht="15" customHeight="1" s="39">
      <c r="A421" s="38" t="inlineStr">
        <is>
          <t>[081173] Masies de Voltregà, les</t>
        </is>
      </c>
      <c r="B421" s="42" t="inlineStr">
        <is>
          <t>081173</t>
        </is>
      </c>
      <c r="C421" s="38" t="inlineStr">
        <is>
          <t>Masies de Voltregà, les</t>
        </is>
      </c>
      <c r="D421" s="42" t="inlineStr">
        <is>
          <t>24</t>
        </is>
      </c>
      <c r="E421" s="38" t="inlineStr">
        <is>
          <t>Osona</t>
        </is>
      </c>
    </row>
    <row r="422" ht="15" customHeight="1" s="39">
      <c r="A422" s="38" t="inlineStr">
        <is>
          <t>[430799] Masllorenç</t>
        </is>
      </c>
      <c r="B422" s="42" t="inlineStr">
        <is>
          <t>430799</t>
        </is>
      </c>
      <c r="C422" s="38" t="inlineStr">
        <is>
          <t>Masllorenç</t>
        </is>
      </c>
      <c r="D422" s="42" t="inlineStr">
        <is>
          <t>12</t>
        </is>
      </c>
      <c r="E422" s="38" t="inlineStr">
        <is>
          <t>Baix Penedès</t>
        </is>
      </c>
    </row>
    <row r="423" ht="15" customHeight="1" s="39">
      <c r="A423" s="38" t="inlineStr">
        <is>
          <t>[081189] Masnou, el</t>
        </is>
      </c>
      <c r="B423" s="42" t="inlineStr">
        <is>
          <t>081189</t>
        </is>
      </c>
      <c r="C423" s="38" t="inlineStr">
        <is>
          <t>Masnou, el</t>
        </is>
      </c>
      <c r="D423" s="42" t="inlineStr">
        <is>
          <t>21</t>
        </is>
      </c>
      <c r="E423" s="38" t="inlineStr">
        <is>
          <t>Maresme</t>
        </is>
      </c>
    </row>
    <row r="424" ht="15" customHeight="1" s="39">
      <c r="A424" s="38" t="inlineStr">
        <is>
          <t>[430803] Masó, la</t>
        </is>
      </c>
      <c r="B424" s="42" t="inlineStr">
        <is>
          <t>430803</t>
        </is>
      </c>
      <c r="C424" s="38" t="inlineStr">
        <is>
          <t>Masó, la</t>
        </is>
      </c>
      <c r="D424" s="42" t="inlineStr">
        <is>
          <t>01</t>
        </is>
      </c>
      <c r="E424" s="38" t="inlineStr">
        <is>
          <t>Alt Camp</t>
        </is>
      </c>
    </row>
    <row r="425" ht="15" customHeight="1" s="39">
      <c r="A425" s="38" t="inlineStr">
        <is>
          <t>[430810] Maspujols</t>
        </is>
      </c>
      <c r="B425" s="42" t="inlineStr">
        <is>
          <t>430810</t>
        </is>
      </c>
      <c r="C425" s="38" t="inlineStr">
        <is>
          <t>Maspujols</t>
        </is>
      </c>
      <c r="D425" s="42" t="inlineStr">
        <is>
          <t>08</t>
        </is>
      </c>
      <c r="E425" s="38" t="inlineStr">
        <is>
          <t>Baix Camp</t>
        </is>
      </c>
    </row>
    <row r="426" ht="15" customHeight="1" s="39">
      <c r="A426" s="38" t="inlineStr">
        <is>
          <t>[081192] Masquefa</t>
        </is>
      </c>
      <c r="B426" s="42" t="inlineStr">
        <is>
          <t>081192</t>
        </is>
      </c>
      <c r="C426" s="38" t="inlineStr">
        <is>
          <t>Masquefa</t>
        </is>
      </c>
      <c r="D426" s="42" t="inlineStr">
        <is>
          <t>06</t>
        </is>
      </c>
      <c r="E426" s="38" t="inlineStr">
        <is>
          <t>Anoia</t>
        </is>
      </c>
    </row>
    <row r="427" ht="15" customHeight="1" s="39">
      <c r="A427" s="38" t="inlineStr">
        <is>
          <t>[430825] Masroig, el</t>
        </is>
      </c>
      <c r="B427" s="42" t="inlineStr">
        <is>
          <t>430825</t>
        </is>
      </c>
      <c r="C427" s="38" t="inlineStr">
        <is>
          <t>Masroig, el</t>
        </is>
      </c>
      <c r="D427" s="42" t="inlineStr">
        <is>
          <t>29</t>
        </is>
      </c>
      <c r="E427" s="38" t="inlineStr">
        <is>
          <t>Priorat</t>
        </is>
      </c>
    </row>
    <row r="428" ht="15" customHeight="1" s="39">
      <c r="A428" s="38" t="inlineStr">
        <is>
          <t>[251312] Massalcoreig</t>
        </is>
      </c>
      <c r="B428" s="42" t="inlineStr">
        <is>
          <t>251312</t>
        </is>
      </c>
      <c r="C428" s="38" t="inlineStr">
        <is>
          <t>Massalcoreig</t>
        </is>
      </c>
      <c r="D428" s="42" t="inlineStr">
        <is>
          <t>33</t>
        </is>
      </c>
      <c r="E428" s="38" t="inlineStr">
        <is>
          <t>Segrià</t>
        </is>
      </c>
    </row>
    <row r="429" ht="15" customHeight="1" s="39">
      <c r="A429" s="38" t="inlineStr">
        <is>
          <t>[171019] Massanes</t>
        </is>
      </c>
      <c r="B429" s="42" t="inlineStr">
        <is>
          <t>171019</t>
        </is>
      </c>
      <c r="C429" s="38" t="inlineStr">
        <is>
          <t>Massanes</t>
        </is>
      </c>
      <c r="D429" s="42" t="inlineStr">
        <is>
          <t>34</t>
        </is>
      </c>
      <c r="E429" s="38" t="inlineStr">
        <is>
          <t>Selva</t>
        </is>
      </c>
    </row>
    <row r="430" ht="15" customHeight="1" s="39">
      <c r="A430" s="38" t="inlineStr">
        <is>
          <t>[251327] Massoteres</t>
        </is>
      </c>
      <c r="B430" s="42" t="inlineStr">
        <is>
          <t>251327</t>
        </is>
      </c>
      <c r="C430" s="38" t="inlineStr">
        <is>
          <t>Massoteres</t>
        </is>
      </c>
      <c r="D430" s="42" t="inlineStr">
        <is>
          <t>32</t>
        </is>
      </c>
      <c r="E430" s="38" t="inlineStr">
        <is>
          <t>Segarra</t>
        </is>
      </c>
    </row>
    <row r="431" ht="15" customHeight="1" s="39">
      <c r="A431" s="38" t="inlineStr">
        <is>
          <t>[081206] Matadepera</t>
        </is>
      </c>
      <c r="B431" s="42" t="inlineStr">
        <is>
          <t>081206</t>
        </is>
      </c>
      <c r="C431" s="38" t="inlineStr">
        <is>
          <t>Matadepera</t>
        </is>
      </c>
      <c r="D431" s="42" t="inlineStr">
        <is>
          <t>40</t>
        </is>
      </c>
      <c r="E431" s="38" t="inlineStr">
        <is>
          <t>Vallès Occidental</t>
        </is>
      </c>
    </row>
    <row r="432" ht="15" customHeight="1" s="39">
      <c r="A432" s="38" t="inlineStr">
        <is>
          <t>[081213] Mataró</t>
        </is>
      </c>
      <c r="B432" s="42" t="inlineStr">
        <is>
          <t>081213</t>
        </is>
      </c>
      <c r="C432" s="38" t="inlineStr">
        <is>
          <t>Mataró</t>
        </is>
      </c>
      <c r="D432" s="42" t="inlineStr">
        <is>
          <t>21</t>
        </is>
      </c>
      <c r="E432" s="38" t="inlineStr">
        <is>
          <t>Maresme</t>
        </is>
      </c>
    </row>
    <row r="433" ht="15" customHeight="1" s="39">
      <c r="A433" s="38" t="inlineStr">
        <is>
          <t>[081228] Mediona</t>
        </is>
      </c>
      <c r="B433" s="42" t="inlineStr">
        <is>
          <t>081228</t>
        </is>
      </c>
      <c r="C433" s="38" t="inlineStr">
        <is>
          <t>Mediona</t>
        </is>
      </c>
      <c r="D433" s="42" t="inlineStr">
        <is>
          <t>03</t>
        </is>
      </c>
      <c r="E433" s="38" t="inlineStr">
        <is>
          <t>Alt Penedès</t>
        </is>
      </c>
    </row>
    <row r="434" ht="15" customHeight="1" s="39">
      <c r="A434" s="38" t="inlineStr">
        <is>
          <t>[251348] Menàrguens</t>
        </is>
      </c>
      <c r="B434" s="42" t="inlineStr">
        <is>
          <t>251348</t>
        </is>
      </c>
      <c r="C434" s="38" t="inlineStr">
        <is>
          <t>Menàrguens</t>
        </is>
      </c>
      <c r="D434" s="42" t="inlineStr">
        <is>
          <t>23</t>
        </is>
      </c>
      <c r="E434" s="38" t="inlineStr">
        <is>
          <t>Noguera</t>
        </is>
      </c>
    </row>
    <row r="435" ht="15" customHeight="1" s="39">
      <c r="A435" s="38" t="inlineStr">
        <is>
          <t>[170998] Meranges</t>
        </is>
      </c>
      <c r="B435" s="42" t="inlineStr">
        <is>
          <t>170998</t>
        </is>
      </c>
      <c r="C435" s="38" t="inlineStr">
        <is>
          <t>Meranges</t>
        </is>
      </c>
      <c r="D435" s="42" t="inlineStr">
        <is>
          <t>15</t>
        </is>
      </c>
      <c r="E435" s="38" t="inlineStr">
        <is>
          <t>Cerdanya</t>
        </is>
      </c>
    </row>
    <row r="436" ht="15" customHeight="1" s="39">
      <c r="A436" s="38" t="inlineStr">
        <is>
          <t>[171058] Mieres</t>
        </is>
      </c>
      <c r="B436" s="42" t="inlineStr">
        <is>
          <t>171058</t>
        </is>
      </c>
      <c r="C436" s="38" t="inlineStr">
        <is>
          <t>Mieres</t>
        </is>
      </c>
      <c r="D436" s="42" t="inlineStr">
        <is>
          <t>19</t>
        </is>
      </c>
      <c r="E436" s="38" t="inlineStr">
        <is>
          <t>Garrotxa</t>
        </is>
      </c>
    </row>
    <row r="437" ht="15" customHeight="1" s="39">
      <c r="A437" s="38" t="inlineStr">
        <is>
          <t>[430831] Milà, el</t>
        </is>
      </c>
      <c r="B437" s="42" t="inlineStr">
        <is>
          <t>430831</t>
        </is>
      </c>
      <c r="C437" s="38" t="inlineStr">
        <is>
          <t>Milà, el</t>
        </is>
      </c>
      <c r="D437" s="42" t="inlineStr">
        <is>
          <t>01</t>
        </is>
      </c>
      <c r="E437" s="38" t="inlineStr">
        <is>
          <t>Alt Camp</t>
        </is>
      </c>
    </row>
    <row r="438" ht="15" customHeight="1" s="39">
      <c r="A438" s="38" t="inlineStr">
        <is>
          <t>[251351] Miralcamp</t>
        </is>
      </c>
      <c r="B438" s="42" t="inlineStr">
        <is>
          <t>251351</t>
        </is>
      </c>
      <c r="C438" s="38" t="inlineStr">
        <is>
          <t>Miralcamp</t>
        </is>
      </c>
      <c r="D438" s="42" t="inlineStr">
        <is>
          <t>27</t>
        </is>
      </c>
      <c r="E438" s="38" t="inlineStr">
        <is>
          <t>Pla d'Urgell</t>
        </is>
      </c>
    </row>
    <row r="439" ht="15" customHeight="1" s="39">
      <c r="A439" s="38" t="inlineStr">
        <is>
          <t>[430846] Miravet</t>
        </is>
      </c>
      <c r="B439" s="42" t="inlineStr">
        <is>
          <t>430846</t>
        </is>
      </c>
      <c r="C439" s="38" t="inlineStr">
        <is>
          <t>Miravet</t>
        </is>
      </c>
      <c r="D439" s="42" t="inlineStr">
        <is>
          <t>30</t>
        </is>
      </c>
      <c r="E439" s="38" t="inlineStr">
        <is>
          <t>Ribera d'Ebre</t>
        </is>
      </c>
    </row>
    <row r="440" ht="15" customHeight="1" s="39">
      <c r="A440" s="38" t="inlineStr">
        <is>
          <t>[081385] Moià</t>
        </is>
      </c>
      <c r="B440" s="42" t="inlineStr">
        <is>
          <t>081385</t>
        </is>
      </c>
      <c r="C440" s="38" t="inlineStr">
        <is>
          <t>Moià</t>
        </is>
      </c>
      <c r="D440" s="42" t="inlineStr">
        <is>
          <t>42</t>
        </is>
      </c>
      <c r="E440" s="38" t="inlineStr">
        <is>
          <t>Moianès</t>
        </is>
      </c>
    </row>
    <row r="441" ht="15" customHeight="1" s="39">
      <c r="A441" s="38" t="inlineStr">
        <is>
          <t>[430859] Molar, el</t>
        </is>
      </c>
      <c r="B441" s="42" t="inlineStr">
        <is>
          <t>430859</t>
        </is>
      </c>
      <c r="C441" s="38" t="inlineStr">
        <is>
          <t>Molar, el</t>
        </is>
      </c>
      <c r="D441" s="42" t="inlineStr">
        <is>
          <t>29</t>
        </is>
      </c>
      <c r="E441" s="38" t="inlineStr">
        <is>
          <t>Priorat</t>
        </is>
      </c>
    </row>
    <row r="442" ht="15" customHeight="1" s="39">
      <c r="A442" s="38" t="inlineStr">
        <is>
          <t>[081234] Molins de Rei</t>
        </is>
      </c>
      <c r="B442" s="42" t="inlineStr">
        <is>
          <t>081234</t>
        </is>
      </c>
      <c r="C442" s="38" t="inlineStr">
        <is>
          <t>Molins de Rei</t>
        </is>
      </c>
      <c r="D442" s="42" t="inlineStr">
        <is>
          <t>11</t>
        </is>
      </c>
      <c r="E442" s="38" t="inlineStr">
        <is>
          <t>Baix Llobregat</t>
        </is>
      </c>
    </row>
    <row r="443" ht="15" customHeight="1" s="39">
      <c r="A443" s="38" t="inlineStr">
        <is>
          <t>[251370] Mollerussa</t>
        </is>
      </c>
      <c r="B443" s="42" t="inlineStr">
        <is>
          <t>251370</t>
        </is>
      </c>
      <c r="C443" s="38" t="inlineStr">
        <is>
          <t>Mollerussa</t>
        </is>
      </c>
      <c r="D443" s="42" t="inlineStr">
        <is>
          <t>27</t>
        </is>
      </c>
      <c r="E443" s="38" t="inlineStr">
        <is>
          <t>Pla d'Urgell</t>
        </is>
      </c>
    </row>
    <row r="444" ht="15" customHeight="1" s="39">
      <c r="A444" s="38" t="inlineStr">
        <is>
          <t>[171061] Mollet de Peralada</t>
        </is>
      </c>
      <c r="B444" s="42" t="inlineStr">
        <is>
          <t>171061</t>
        </is>
      </c>
      <c r="C444" s="38" t="inlineStr">
        <is>
          <t>Mollet de Peralada</t>
        </is>
      </c>
      <c r="D444" s="42" t="inlineStr">
        <is>
          <t>02</t>
        </is>
      </c>
      <c r="E444" s="38" t="inlineStr">
        <is>
          <t>Alt Empordà</t>
        </is>
      </c>
    </row>
    <row r="445" ht="15" customHeight="1" s="39">
      <c r="A445" s="38" t="inlineStr">
        <is>
          <t>[081249] Mollet del Vallès</t>
        </is>
      </c>
      <c r="B445" s="42" t="inlineStr">
        <is>
          <t>081249</t>
        </is>
      </c>
      <c r="C445" s="38" t="inlineStr">
        <is>
          <t>Mollet del Vallès</t>
        </is>
      </c>
      <c r="D445" s="42" t="inlineStr">
        <is>
          <t>41</t>
        </is>
      </c>
      <c r="E445" s="38" t="inlineStr">
        <is>
          <t>Vallès Oriental</t>
        </is>
      </c>
    </row>
    <row r="446" ht="15" customHeight="1" s="39">
      <c r="A446" s="38" t="inlineStr">
        <is>
          <t>[171077] Molló</t>
        </is>
      </c>
      <c r="B446" s="42" t="inlineStr">
        <is>
          <t>171077</t>
        </is>
      </c>
      <c r="C446" s="38" t="inlineStr">
        <is>
          <t>Molló</t>
        </is>
      </c>
      <c r="D446" s="42" t="inlineStr">
        <is>
          <t>31</t>
        </is>
      </c>
      <c r="E446" s="38" t="inlineStr">
        <is>
          <t>Ripollès</t>
        </is>
      </c>
    </row>
    <row r="447" ht="15" customHeight="1" s="39">
      <c r="A447" s="38" t="inlineStr">
        <is>
          <t>[251364] Molsosa, la</t>
        </is>
      </c>
      <c r="B447" s="42" t="inlineStr">
        <is>
          <t>251364</t>
        </is>
      </c>
      <c r="C447" s="38" t="inlineStr">
        <is>
          <t>Molsosa, la</t>
        </is>
      </c>
      <c r="D447" s="42" t="inlineStr">
        <is>
          <t>35</t>
        </is>
      </c>
      <c r="E447" s="38" t="inlineStr">
        <is>
          <t>Solsonès</t>
        </is>
      </c>
    </row>
    <row r="448" ht="15" customHeight="1" s="39">
      <c r="A448" s="38" t="inlineStr">
        <is>
          <t>[081287] Monistrol de Calders</t>
        </is>
      </c>
      <c r="B448" s="42" t="inlineStr">
        <is>
          <t>081287</t>
        </is>
      </c>
      <c r="C448" s="38" t="inlineStr">
        <is>
          <t>Monistrol de Calders</t>
        </is>
      </c>
      <c r="D448" s="42" t="inlineStr">
        <is>
          <t>42</t>
        </is>
      </c>
      <c r="E448" s="38" t="inlineStr">
        <is>
          <t>Moianès</t>
        </is>
      </c>
    </row>
    <row r="449" ht="15" customHeight="1" s="39">
      <c r="A449" s="38" t="inlineStr">
        <is>
          <t>[081271] Monistrol de Montserrat</t>
        </is>
      </c>
      <c r="B449" s="42" t="inlineStr">
        <is>
          <t>081271</t>
        </is>
      </c>
      <c r="C449" s="38" t="inlineStr">
        <is>
          <t>Monistrol de Montserrat</t>
        </is>
      </c>
      <c r="D449" s="42" t="inlineStr">
        <is>
          <t>07</t>
        </is>
      </c>
      <c r="E449" s="38" t="inlineStr">
        <is>
          <t>Bages</t>
        </is>
      </c>
    </row>
    <row r="450" ht="15" customHeight="1" s="39">
      <c r="A450" s="38" t="inlineStr">
        <is>
          <t>[430918] Mont-ral</t>
        </is>
      </c>
      <c r="B450" s="42" t="inlineStr">
        <is>
          <t>430918</t>
        </is>
      </c>
      <c r="C450" s="38" t="inlineStr">
        <is>
          <t>Mont-ral</t>
        </is>
      </c>
      <c r="D450" s="42" t="inlineStr">
        <is>
          <t>01</t>
        </is>
      </c>
      <c r="E450" s="38" t="inlineStr">
        <is>
          <t>Alt Camp</t>
        </is>
      </c>
    </row>
    <row r="451" ht="15" customHeight="1" s="39">
      <c r="A451" s="38" t="inlineStr">
        <is>
          <t>[171100] Mont-ras</t>
        </is>
      </c>
      <c r="B451" s="42" t="inlineStr">
        <is>
          <t>171100</t>
        </is>
      </c>
      <c r="C451" s="38" t="inlineStr">
        <is>
          <t>Mont-ras</t>
        </is>
      </c>
      <c r="D451" s="42" t="inlineStr">
        <is>
          <t>10</t>
        </is>
      </c>
      <c r="E451" s="38" t="inlineStr">
        <is>
          <t>Baix Empordà</t>
        </is>
      </c>
    </row>
    <row r="452" ht="15" customHeight="1" s="39">
      <c r="A452" s="38" t="inlineStr">
        <is>
          <t>[430923] Mont-roig del Camp</t>
        </is>
      </c>
      <c r="B452" s="42" t="inlineStr">
        <is>
          <t>430923</t>
        </is>
      </c>
      <c r="C452" s="38" t="inlineStr">
        <is>
          <t>Mont-roig del Camp</t>
        </is>
      </c>
      <c r="D452" s="42" t="inlineStr">
        <is>
          <t>08</t>
        </is>
      </c>
      <c r="E452" s="38" t="inlineStr">
        <is>
          <t>Baix Camp</t>
        </is>
      </c>
    </row>
    <row r="453" ht="15" customHeight="1" s="39">
      <c r="A453" s="38" t="inlineStr">
        <is>
          <t>[171096] Montagut i Oix</t>
        </is>
      </c>
      <c r="B453" s="42" t="inlineStr">
        <is>
          <t>171096</t>
        </is>
      </c>
      <c r="C453" s="38" t="inlineStr">
        <is>
          <t>Montagut i Oix</t>
        </is>
      </c>
      <c r="D453" s="42" t="inlineStr">
        <is>
          <t>19</t>
        </is>
      </c>
      <c r="E453" s="38" t="inlineStr">
        <is>
          <t>Garrotxa</t>
        </is>
      </c>
    </row>
    <row r="454" ht="15" customHeight="1" s="39">
      <c r="A454" s="38" t="inlineStr">
        <is>
          <t>[430862] Montblanc</t>
        </is>
      </c>
      <c r="B454" s="42" t="inlineStr">
        <is>
          <t>430862</t>
        </is>
      </c>
      <c r="C454" s="38" t="inlineStr">
        <is>
          <t>Montblanc</t>
        </is>
      </c>
      <c r="D454" s="42" t="inlineStr">
        <is>
          <t>16</t>
        </is>
      </c>
      <c r="E454" s="38" t="inlineStr">
        <is>
          <t>Conca de Barberà</t>
        </is>
      </c>
    </row>
    <row r="455" ht="15" customHeight="1" s="39">
      <c r="A455" s="38" t="inlineStr">
        <is>
          <t>[430884] Montbrió del Camp</t>
        </is>
      </c>
      <c r="B455" s="42" t="inlineStr">
        <is>
          <t>430884</t>
        </is>
      </c>
      <c r="C455" s="38" t="inlineStr">
        <is>
          <t>Montbrió del Camp</t>
        </is>
      </c>
      <c r="D455" s="42" t="inlineStr">
        <is>
          <t>08</t>
        </is>
      </c>
      <c r="E455" s="38" t="inlineStr">
        <is>
          <t>Baix Camp</t>
        </is>
      </c>
    </row>
    <row r="456" ht="15" customHeight="1" s="39">
      <c r="A456" s="38" t="inlineStr">
        <is>
          <t>[081252] Montcada i Reixac</t>
        </is>
      </c>
      <c r="B456" s="42" t="inlineStr">
        <is>
          <t>081252</t>
        </is>
      </c>
      <c r="C456" s="38" t="inlineStr">
        <is>
          <t>Montcada i Reixac</t>
        </is>
      </c>
      <c r="D456" s="42" t="inlineStr">
        <is>
          <t>40</t>
        </is>
      </c>
      <c r="E456" s="38" t="inlineStr">
        <is>
          <t>Vallès Occidental</t>
        </is>
      </c>
    </row>
    <row r="457" ht="15" customHeight="1" s="39">
      <c r="A457" s="38" t="inlineStr">
        <is>
          <t>[081304] Montclar</t>
        </is>
      </c>
      <c r="B457" s="42" t="inlineStr">
        <is>
          <t>081304</t>
        </is>
      </c>
      <c r="C457" s="38" t="inlineStr">
        <is>
          <t>Montclar</t>
        </is>
      </c>
      <c r="D457" s="42" t="inlineStr">
        <is>
          <t>14</t>
        </is>
      </c>
      <c r="E457" s="38" t="inlineStr">
        <is>
          <t>Berguedà</t>
        </is>
      </c>
    </row>
    <row r="458" ht="15" customHeight="1" s="39">
      <c r="A458" s="38" t="inlineStr">
        <is>
          <t>[251399] Montellà i Martinet</t>
        </is>
      </c>
      <c r="B458" s="42" t="inlineStr">
        <is>
          <t>251399</t>
        </is>
      </c>
      <c r="C458" s="38" t="inlineStr">
        <is>
          <t>Montellà i Martinet</t>
        </is>
      </c>
      <c r="D458" s="42" t="inlineStr">
        <is>
          <t>15</t>
        </is>
      </c>
      <c r="E458" s="38" t="inlineStr">
        <is>
          <t>Cerdanya</t>
        </is>
      </c>
    </row>
    <row r="459" ht="15" customHeight="1" s="39">
      <c r="A459" s="38" t="inlineStr">
        <is>
          <t>[081311] Montesquiu</t>
        </is>
      </c>
      <c r="B459" s="42" t="inlineStr">
        <is>
          <t>081311</t>
        </is>
      </c>
      <c r="C459" s="38" t="inlineStr">
        <is>
          <t>Montesquiu</t>
        </is>
      </c>
      <c r="D459" s="42" t="inlineStr">
        <is>
          <t>24</t>
        </is>
      </c>
      <c r="E459" s="38" t="inlineStr">
        <is>
          <t>Osona</t>
        </is>
      </c>
    </row>
    <row r="460" ht="15" customHeight="1" s="39">
      <c r="A460" s="38" t="inlineStr">
        <is>
          <t>[251403] Montferrer i Castellbò</t>
        </is>
      </c>
      <c r="B460" s="42" t="inlineStr">
        <is>
          <t>251403</t>
        </is>
      </c>
      <c r="C460" s="38" t="inlineStr">
        <is>
          <t>Montferrer i Castellbò</t>
        </is>
      </c>
      <c r="D460" s="42" t="inlineStr">
        <is>
          <t>04</t>
        </is>
      </c>
      <c r="E460" s="38" t="inlineStr">
        <is>
          <t>Alt Urgell</t>
        </is>
      </c>
    </row>
    <row r="461" ht="15" customHeight="1" s="39">
      <c r="A461" s="38" t="inlineStr">
        <is>
          <t>[430897] Montferri</t>
        </is>
      </c>
      <c r="B461" s="42" t="inlineStr">
        <is>
          <t>430897</t>
        </is>
      </c>
      <c r="C461" s="38" t="inlineStr">
        <is>
          <t>Montferri</t>
        </is>
      </c>
      <c r="D461" s="42" t="inlineStr">
        <is>
          <t>01</t>
        </is>
      </c>
      <c r="E461" s="38" t="inlineStr">
        <is>
          <t>Alt Camp</t>
        </is>
      </c>
    </row>
    <row r="462" ht="15" customHeight="1" s="39">
      <c r="A462" s="38" t="inlineStr">
        <is>
          <t>[251386] Montgai</t>
        </is>
      </c>
      <c r="B462" s="42" t="inlineStr">
        <is>
          <t>251386</t>
        </is>
      </c>
      <c r="C462" s="38" t="inlineStr">
        <is>
          <t>Montgai</t>
        </is>
      </c>
      <c r="D462" s="42" t="inlineStr">
        <is>
          <t>23</t>
        </is>
      </c>
      <c r="E462" s="38" t="inlineStr">
        <is>
          <t>Noguera</t>
        </is>
      </c>
    </row>
    <row r="463" ht="15" customHeight="1" s="39">
      <c r="A463" s="38" t="inlineStr">
        <is>
          <t>[081265] Montgat</t>
        </is>
      </c>
      <c r="B463" s="42" t="inlineStr">
        <is>
          <t>081265</t>
        </is>
      </c>
      <c r="C463" s="38" t="inlineStr">
        <is>
          <t>Montgat</t>
        </is>
      </c>
      <c r="D463" s="42" t="inlineStr">
        <is>
          <t>21</t>
        </is>
      </c>
      <c r="E463" s="38" t="inlineStr">
        <is>
          <t>Maresme</t>
        </is>
      </c>
    </row>
    <row r="464" ht="15" customHeight="1" s="39">
      <c r="A464" s="38" t="inlineStr">
        <is>
          <t>[081326] Montmajor</t>
        </is>
      </c>
      <c r="B464" s="42" t="inlineStr">
        <is>
          <t>081326</t>
        </is>
      </c>
      <c r="C464" s="38" t="inlineStr">
        <is>
          <t>Montmajor</t>
        </is>
      </c>
      <c r="D464" s="42" t="inlineStr">
        <is>
          <t>14</t>
        </is>
      </c>
      <c r="E464" s="38" t="inlineStr">
        <is>
          <t>Berguedà</t>
        </is>
      </c>
    </row>
    <row r="465" ht="15" customHeight="1" s="39">
      <c r="A465" s="38" t="inlineStr">
        <is>
          <t>[081332] Montmaneu</t>
        </is>
      </c>
      <c r="B465" s="42" t="inlineStr">
        <is>
          <t>081332</t>
        </is>
      </c>
      <c r="C465" s="38" t="inlineStr">
        <is>
          <t>Montmaneu</t>
        </is>
      </c>
      <c r="D465" s="42" t="inlineStr">
        <is>
          <t>06</t>
        </is>
      </c>
      <c r="E465" s="38" t="inlineStr">
        <is>
          <t>Anoia</t>
        </is>
      </c>
    </row>
    <row r="466" ht="15" customHeight="1" s="39">
      <c r="A466" s="38" t="inlineStr">
        <is>
          <t>[430901] Montmell, el</t>
        </is>
      </c>
      <c r="B466" s="42" t="inlineStr">
        <is>
          <t>430901</t>
        </is>
      </c>
      <c r="C466" s="38" t="inlineStr">
        <is>
          <t>Montmell, el</t>
        </is>
      </c>
      <c r="D466" s="42" t="inlineStr">
        <is>
          <t>12</t>
        </is>
      </c>
      <c r="E466" s="38" t="inlineStr">
        <is>
          <t>Baix Penedès</t>
        </is>
      </c>
    </row>
    <row r="467" ht="15" customHeight="1" s="39">
      <c r="A467" s="38" t="inlineStr">
        <is>
          <t>[081350] Montmeló</t>
        </is>
      </c>
      <c r="B467" s="42" t="inlineStr">
        <is>
          <t>081350</t>
        </is>
      </c>
      <c r="C467" s="38" t="inlineStr">
        <is>
          <t>Montmeló</t>
        </is>
      </c>
      <c r="D467" s="42" t="inlineStr">
        <is>
          <t>41</t>
        </is>
      </c>
      <c r="E467" s="38" t="inlineStr">
        <is>
          <t>Vallès Oriental</t>
        </is>
      </c>
    </row>
    <row r="468" ht="15" customHeight="1" s="39">
      <c r="A468" s="38" t="inlineStr">
        <is>
          <t>[251425] Montoliu de Lleida</t>
        </is>
      </c>
      <c r="B468" s="42" t="inlineStr">
        <is>
          <t>251425</t>
        </is>
      </c>
      <c r="C468" s="38" t="inlineStr">
        <is>
          <t>Montoliu de Lleida</t>
        </is>
      </c>
      <c r="D468" s="42" t="inlineStr">
        <is>
          <t>33</t>
        </is>
      </c>
      <c r="E468" s="38" t="inlineStr">
        <is>
          <t>Segrià</t>
        </is>
      </c>
    </row>
    <row r="469" ht="15" customHeight="1" s="39">
      <c r="A469" s="38" t="inlineStr">
        <is>
          <t>[251410] Montoliu de Segarra</t>
        </is>
      </c>
      <c r="B469" s="42" t="inlineStr">
        <is>
          <t>251410</t>
        </is>
      </c>
      <c r="C469" s="38" t="inlineStr">
        <is>
          <t>Montoliu de Segarra</t>
        </is>
      </c>
      <c r="D469" s="42" t="inlineStr">
        <is>
          <t>32</t>
        </is>
      </c>
      <c r="E469" s="38" t="inlineStr">
        <is>
          <t>Segarra</t>
        </is>
      </c>
    </row>
    <row r="470" ht="15" customHeight="1" s="39">
      <c r="A470" s="38" t="inlineStr">
        <is>
          <t>[251431] Montornès de Segarra</t>
        </is>
      </c>
      <c r="B470" s="42" t="inlineStr">
        <is>
          <t>251431</t>
        </is>
      </c>
      <c r="C470" s="38" t="inlineStr">
        <is>
          <t>Montornès de Segarra</t>
        </is>
      </c>
      <c r="D470" s="42" t="inlineStr">
        <is>
          <t>32</t>
        </is>
      </c>
      <c r="E470" s="38" t="inlineStr">
        <is>
          <t>Segarra</t>
        </is>
      </c>
    </row>
    <row r="471" ht="15" customHeight="1" s="39">
      <c r="A471" s="38" t="inlineStr">
        <is>
          <t>[081363] Montornès del Vallès</t>
        </is>
      </c>
      <c r="B471" s="42" t="inlineStr">
        <is>
          <t>081363</t>
        </is>
      </c>
      <c r="C471" s="38" t="inlineStr">
        <is>
          <t>Montornès del Vallès</t>
        </is>
      </c>
      <c r="D471" s="42" t="inlineStr">
        <is>
          <t>41</t>
        </is>
      </c>
      <c r="E471" s="38" t="inlineStr">
        <is>
          <t>Vallès Oriental</t>
        </is>
      </c>
    </row>
    <row r="472" ht="15" customHeight="1" s="39">
      <c r="A472" s="38" t="inlineStr">
        <is>
          <t>[081379] Montseny</t>
        </is>
      </c>
      <c r="B472" s="42" t="inlineStr">
        <is>
          <t>081379</t>
        </is>
      </c>
      <c r="C472" s="38" t="inlineStr">
        <is>
          <t>Montseny</t>
        </is>
      </c>
      <c r="D472" s="42" t="inlineStr">
        <is>
          <t>41</t>
        </is>
      </c>
      <c r="E472" s="38" t="inlineStr">
        <is>
          <t>Vallès Oriental</t>
        </is>
      </c>
    </row>
    <row r="473" ht="15" customHeight="1" s="39">
      <c r="A473" s="38" t="inlineStr">
        <is>
          <t>[430939] Móra d'Ebre</t>
        </is>
      </c>
      <c r="B473" s="42" t="inlineStr">
        <is>
          <t>430939</t>
        </is>
      </c>
      <c r="C473" s="38" t="inlineStr">
        <is>
          <t>Móra d'Ebre</t>
        </is>
      </c>
      <c r="D473" s="42" t="inlineStr">
        <is>
          <t>30</t>
        </is>
      </c>
      <c r="E473" s="38" t="inlineStr">
        <is>
          <t>Ribera d'Ebre</t>
        </is>
      </c>
    </row>
    <row r="474" ht="15" customHeight="1" s="39">
      <c r="A474" s="38" t="inlineStr">
        <is>
          <t>[430944] Móra la Nova</t>
        </is>
      </c>
      <c r="B474" s="42" t="inlineStr">
        <is>
          <t>430944</t>
        </is>
      </c>
      <c r="C474" s="38" t="inlineStr">
        <is>
          <t>Móra la Nova</t>
        </is>
      </c>
      <c r="D474" s="42" t="inlineStr">
        <is>
          <t>30</t>
        </is>
      </c>
      <c r="E474" s="38" t="inlineStr">
        <is>
          <t>Ribera d'Ebre</t>
        </is>
      </c>
    </row>
    <row r="475" ht="15" customHeight="1" s="39">
      <c r="A475" s="38" t="inlineStr">
        <is>
          <t>[430957] Morell, el</t>
        </is>
      </c>
      <c r="B475" s="42" t="inlineStr">
        <is>
          <t>430957</t>
        </is>
      </c>
      <c r="C475" s="38" t="inlineStr">
        <is>
          <t>Morell, el</t>
        </is>
      </c>
      <c r="D475" s="42" t="inlineStr">
        <is>
          <t>36</t>
        </is>
      </c>
      <c r="E475" s="38" t="inlineStr">
        <is>
          <t>Tarragonès</t>
        </is>
      </c>
    </row>
    <row r="476" ht="15" customHeight="1" s="39">
      <c r="A476" s="38" t="inlineStr">
        <is>
          <t>[430960] Morera de Montsant, la</t>
        </is>
      </c>
      <c r="B476" s="42" t="inlineStr">
        <is>
          <t>430960</t>
        </is>
      </c>
      <c r="C476" s="38" t="inlineStr">
        <is>
          <t>Morera de Montsant, la</t>
        </is>
      </c>
      <c r="D476" s="42" t="inlineStr">
        <is>
          <t>29</t>
        </is>
      </c>
      <c r="E476" s="38" t="inlineStr">
        <is>
          <t>Priorat</t>
        </is>
      </c>
    </row>
    <row r="477" ht="15" customHeight="1" s="39">
      <c r="A477" s="38" t="inlineStr">
        <is>
          <t>[081290] Muntanyola</t>
        </is>
      </c>
      <c r="B477" s="42" t="inlineStr">
        <is>
          <t>081290</t>
        </is>
      </c>
      <c r="C477" s="38" t="inlineStr">
        <is>
          <t>Muntanyola</t>
        </is>
      </c>
      <c r="D477" s="42" t="inlineStr">
        <is>
          <t>24</t>
        </is>
      </c>
      <c r="E477" s="38" t="inlineStr">
        <is>
          <t>Osona</t>
        </is>
      </c>
    </row>
    <row r="478" ht="15" customHeight="1" s="39">
      <c r="A478" s="38" t="inlineStr">
        <is>
          <t>[081398] Mura</t>
        </is>
      </c>
      <c r="B478" s="42" t="inlineStr">
        <is>
          <t>081398</t>
        </is>
      </c>
      <c r="C478" s="38" t="inlineStr">
        <is>
          <t>Mura</t>
        </is>
      </c>
      <c r="D478" s="42" t="inlineStr">
        <is>
          <t>07</t>
        </is>
      </c>
      <c r="E478" s="38" t="inlineStr">
        <is>
          <t>Bages</t>
        </is>
      </c>
    </row>
    <row r="479" ht="15" customHeight="1" s="39">
      <c r="A479" s="38" t="inlineStr">
        <is>
          <t>[251459] Nalec</t>
        </is>
      </c>
      <c r="B479" s="42" t="inlineStr">
        <is>
          <t>251459</t>
        </is>
      </c>
      <c r="C479" s="38" t="inlineStr">
        <is>
          <t>Nalec</t>
        </is>
      </c>
      <c r="D479" s="42" t="inlineStr">
        <is>
          <t>38</t>
        </is>
      </c>
      <c r="E479" s="38" t="inlineStr">
        <is>
          <t>Urgell</t>
        </is>
      </c>
    </row>
    <row r="480" ht="15" customHeight="1" s="39">
      <c r="A480" s="38" t="inlineStr">
        <is>
          <t>[250254] Naut Aran</t>
        </is>
      </c>
      <c r="B480" s="42" t="inlineStr">
        <is>
          <t>250254</t>
        </is>
      </c>
      <c r="C480" s="38" t="inlineStr">
        <is>
          <t>Naut Aran</t>
        </is>
      </c>
      <c r="D480" s="42" t="inlineStr">
        <is>
          <t>39</t>
        </is>
      </c>
      <c r="E480" s="38" t="inlineStr">
        <is>
          <t>Aran</t>
        </is>
      </c>
    </row>
    <row r="481" ht="15" customHeight="1" s="39">
      <c r="A481" s="38" t="inlineStr">
        <is>
          <t>[081402] Navarcles</t>
        </is>
      </c>
      <c r="B481" s="42" t="inlineStr">
        <is>
          <t>081402</t>
        </is>
      </c>
      <c r="C481" s="38" t="inlineStr">
        <is>
          <t>Navarcles</t>
        </is>
      </c>
      <c r="D481" s="42" t="inlineStr">
        <is>
          <t>07</t>
        </is>
      </c>
      <c r="E481" s="38" t="inlineStr">
        <is>
          <t>Bages</t>
        </is>
      </c>
    </row>
    <row r="482" ht="15" customHeight="1" s="39">
      <c r="A482" s="38" t="inlineStr">
        <is>
          <t>[081419] Navàs</t>
        </is>
      </c>
      <c r="B482" s="42" t="inlineStr">
        <is>
          <t>081419</t>
        </is>
      </c>
      <c r="C482" s="38" t="inlineStr">
        <is>
          <t>Navàs</t>
        </is>
      </c>
      <c r="D482" s="42" t="inlineStr">
        <is>
          <t>07</t>
        </is>
      </c>
      <c r="E482" s="38" t="inlineStr">
        <is>
          <t>Bages</t>
        </is>
      </c>
    </row>
    <row r="483" ht="15" customHeight="1" s="39">
      <c r="A483" s="38" t="inlineStr">
        <is>
          <t>[171117] Navata</t>
        </is>
      </c>
      <c r="B483" s="42" t="inlineStr">
        <is>
          <t>171117</t>
        </is>
      </c>
      <c r="C483" s="38" t="inlineStr">
        <is>
          <t>Navata</t>
        </is>
      </c>
      <c r="D483" s="42" t="inlineStr">
        <is>
          <t>02</t>
        </is>
      </c>
      <c r="E483" s="38" t="inlineStr">
        <is>
          <t>Alt Empordà</t>
        </is>
      </c>
    </row>
    <row r="484" ht="15" customHeight="1" s="39">
      <c r="A484" s="38" t="inlineStr">
        <is>
          <t>[251462] Navès</t>
        </is>
      </c>
      <c r="B484" s="42" t="inlineStr">
        <is>
          <t>251462</t>
        </is>
      </c>
      <c r="C484" s="38" t="inlineStr">
        <is>
          <t>Navès</t>
        </is>
      </c>
      <c r="D484" s="42" t="inlineStr">
        <is>
          <t>35</t>
        </is>
      </c>
      <c r="E484" s="38" t="inlineStr">
        <is>
          <t>Solsonès</t>
        </is>
      </c>
    </row>
    <row r="485" ht="15" customHeight="1" s="39">
      <c r="A485" s="38" t="inlineStr">
        <is>
          <t>[081424] Nou de Berguedà, la</t>
        </is>
      </c>
      <c r="B485" s="42" t="inlineStr">
        <is>
          <t>081424</t>
        </is>
      </c>
      <c r="C485" s="38" t="inlineStr">
        <is>
          <t>Nou de Berguedà, la</t>
        </is>
      </c>
      <c r="D485" s="42" t="inlineStr">
        <is>
          <t>14</t>
        </is>
      </c>
      <c r="E485" s="38" t="inlineStr">
        <is>
          <t>Berguedà</t>
        </is>
      </c>
    </row>
    <row r="486" ht="15" customHeight="1" s="39">
      <c r="A486" s="38" t="inlineStr">
        <is>
          <t>[430976] Nou de Gaià, la</t>
        </is>
      </c>
      <c r="B486" s="42" t="inlineStr">
        <is>
          <t>430976</t>
        </is>
      </c>
      <c r="C486" s="38" t="inlineStr">
        <is>
          <t>Nou de Gaià, la</t>
        </is>
      </c>
      <c r="D486" s="42" t="inlineStr">
        <is>
          <t>36</t>
        </is>
      </c>
      <c r="E486" s="38" t="inlineStr">
        <is>
          <t>Tarragonès</t>
        </is>
      </c>
    </row>
    <row r="487" ht="15" customHeight="1" s="39">
      <c r="A487" s="38" t="inlineStr">
        <is>
          <t>[430982] Nulles</t>
        </is>
      </c>
      <c r="B487" s="42" t="inlineStr">
        <is>
          <t>430982</t>
        </is>
      </c>
      <c r="C487" s="38" t="inlineStr">
        <is>
          <t>Nulles</t>
        </is>
      </c>
      <c r="D487" s="42" t="inlineStr">
        <is>
          <t>01</t>
        </is>
      </c>
      <c r="E487" s="38" t="inlineStr">
        <is>
          <t>Alt Camp</t>
        </is>
      </c>
    </row>
    <row r="488" ht="15" customHeight="1" s="39">
      <c r="A488" s="38" t="inlineStr">
        <is>
          <t>[251484] Odèn</t>
        </is>
      </c>
      <c r="B488" s="42" t="inlineStr">
        <is>
          <t>251484</t>
        </is>
      </c>
      <c r="C488" s="38" t="inlineStr">
        <is>
          <t>Odèn</t>
        </is>
      </c>
      <c r="D488" s="42" t="inlineStr">
        <is>
          <t>35</t>
        </is>
      </c>
      <c r="E488" s="38" t="inlineStr">
        <is>
          <t>Solsonès</t>
        </is>
      </c>
    </row>
    <row r="489" ht="15" customHeight="1" s="39">
      <c r="A489" s="38" t="inlineStr">
        <is>
          <t>[081430] Òdena</t>
        </is>
      </c>
      <c r="B489" s="42" t="inlineStr">
        <is>
          <t>081430</t>
        </is>
      </c>
      <c r="C489" s="38" t="inlineStr">
        <is>
          <t>Òdena</t>
        </is>
      </c>
      <c r="D489" s="42" t="inlineStr">
        <is>
          <t>06</t>
        </is>
      </c>
      <c r="E489" s="38" t="inlineStr">
        <is>
          <t>Anoia</t>
        </is>
      </c>
    </row>
    <row r="490" ht="15" customHeight="1" s="39">
      <c r="A490" s="38" t="inlineStr">
        <is>
          <t>[171122] Ogassa</t>
        </is>
      </c>
      <c r="B490" s="42" t="inlineStr">
        <is>
          <t>171122</t>
        </is>
      </c>
      <c r="C490" s="38" t="inlineStr">
        <is>
          <t>Ogassa</t>
        </is>
      </c>
      <c r="D490" s="42" t="inlineStr">
        <is>
          <t>31</t>
        </is>
      </c>
      <c r="E490" s="38" t="inlineStr">
        <is>
          <t>Ripollès</t>
        </is>
      </c>
    </row>
    <row r="491" ht="15" customHeight="1" s="39">
      <c r="A491" s="38" t="inlineStr">
        <is>
          <t>[081458] Olèrdola</t>
        </is>
      </c>
      <c r="B491" s="42" t="inlineStr">
        <is>
          <t>081458</t>
        </is>
      </c>
      <c r="C491" s="38" t="inlineStr">
        <is>
          <t>Olèrdola</t>
        </is>
      </c>
      <c r="D491" s="42" t="inlineStr">
        <is>
          <t>03</t>
        </is>
      </c>
      <c r="E491" s="38" t="inlineStr">
        <is>
          <t>Alt Penedès</t>
        </is>
      </c>
    </row>
    <row r="492" ht="15" customHeight="1" s="39">
      <c r="A492" s="38" t="inlineStr">
        <is>
          <t>[081461] Olesa de Bonesvalls</t>
        </is>
      </c>
      <c r="B492" s="42" t="inlineStr">
        <is>
          <t>081461</t>
        </is>
      </c>
      <c r="C492" s="38" t="inlineStr">
        <is>
          <t>Olesa de Bonesvalls</t>
        </is>
      </c>
      <c r="D492" s="42" t="inlineStr">
        <is>
          <t>03</t>
        </is>
      </c>
      <c r="E492" s="38" t="inlineStr">
        <is>
          <t>Alt Penedès</t>
        </is>
      </c>
    </row>
    <row r="493" ht="15" customHeight="1" s="39">
      <c r="A493" s="38" t="inlineStr">
        <is>
          <t>[081477] Olesa de Montserrat</t>
        </is>
      </c>
      <c r="B493" s="42" t="inlineStr">
        <is>
          <t>081477</t>
        </is>
      </c>
      <c r="C493" s="38" t="inlineStr">
        <is>
          <t>Olesa de Montserrat</t>
        </is>
      </c>
      <c r="D493" s="42" t="inlineStr">
        <is>
          <t>11</t>
        </is>
      </c>
      <c r="E493" s="38" t="inlineStr">
        <is>
          <t>Baix Llobregat</t>
        </is>
      </c>
    </row>
    <row r="494" ht="15" customHeight="1" s="39">
      <c r="A494" s="38" t="inlineStr">
        <is>
          <t>[251497] Oliana</t>
        </is>
      </c>
      <c r="B494" s="42" t="inlineStr">
        <is>
          <t>251497</t>
        </is>
      </c>
      <c r="C494" s="38" t="inlineStr">
        <is>
          <t>Oliana</t>
        </is>
      </c>
      <c r="D494" s="42" t="inlineStr">
        <is>
          <t>04</t>
        </is>
      </c>
      <c r="E494" s="38" t="inlineStr">
        <is>
          <t>Alt Urgell</t>
        </is>
      </c>
    </row>
    <row r="495" ht="15" customHeight="1" s="39">
      <c r="A495" s="38" t="inlineStr">
        <is>
          <t>[251500] Oliola</t>
        </is>
      </c>
      <c r="B495" s="42" t="inlineStr">
        <is>
          <t>251500</t>
        </is>
      </c>
      <c r="C495" s="38" t="inlineStr">
        <is>
          <t>Oliola</t>
        </is>
      </c>
      <c r="D495" s="42" t="inlineStr">
        <is>
          <t>23</t>
        </is>
      </c>
      <c r="E495" s="38" t="inlineStr">
        <is>
          <t>Noguera</t>
        </is>
      </c>
    </row>
    <row r="496" ht="15" customHeight="1" s="39">
      <c r="A496" s="38" t="inlineStr">
        <is>
          <t>[251517] Olius</t>
        </is>
      </c>
      <c r="B496" s="42" t="inlineStr">
        <is>
          <t>251517</t>
        </is>
      </c>
      <c r="C496" s="38" t="inlineStr">
        <is>
          <t>Olius</t>
        </is>
      </c>
      <c r="D496" s="42" t="inlineStr">
        <is>
          <t>35</t>
        </is>
      </c>
      <c r="E496" s="38" t="inlineStr">
        <is>
          <t>Solsonès</t>
        </is>
      </c>
    </row>
    <row r="497" ht="15" customHeight="1" s="39">
      <c r="A497" s="38" t="inlineStr">
        <is>
          <t>[081483] Olivella</t>
        </is>
      </c>
      <c r="B497" s="42" t="inlineStr">
        <is>
          <t>081483</t>
        </is>
      </c>
      <c r="C497" s="38" t="inlineStr">
        <is>
          <t>Olivella</t>
        </is>
      </c>
      <c r="D497" s="42" t="inlineStr">
        <is>
          <t>17</t>
        </is>
      </c>
      <c r="E497" s="38" t="inlineStr">
        <is>
          <t>Garraf</t>
        </is>
      </c>
    </row>
    <row r="498" ht="15" customHeight="1" s="39">
      <c r="A498" s="38" t="inlineStr">
        <is>
          <t>[081496] Olost</t>
        </is>
      </c>
      <c r="B498" s="42" t="inlineStr">
        <is>
          <t>081496</t>
        </is>
      </c>
      <c r="C498" s="38" t="inlineStr">
        <is>
          <t>Olost</t>
        </is>
      </c>
      <c r="D498" s="42" t="inlineStr">
        <is>
          <t>43</t>
        </is>
      </c>
      <c r="E498" s="38" t="inlineStr">
        <is>
          <t>Lluçanès</t>
        </is>
      </c>
    </row>
    <row r="499" ht="15" customHeight="1" s="39">
      <c r="A499" s="38" t="inlineStr">
        <is>
          <t>[171143] Olot</t>
        </is>
      </c>
      <c r="B499" s="42" t="inlineStr">
        <is>
          <t>171143</t>
        </is>
      </c>
      <c r="C499" s="38" t="inlineStr">
        <is>
          <t>Olot</t>
        </is>
      </c>
      <c r="D499" s="42" t="inlineStr">
        <is>
          <t>19</t>
        </is>
      </c>
      <c r="E499" s="38" t="inlineStr">
        <is>
          <t>Garrotxa</t>
        </is>
      </c>
    </row>
    <row r="500" ht="15" customHeight="1" s="39">
      <c r="A500" s="38" t="inlineStr">
        <is>
          <t>[251522] Oluges, les</t>
        </is>
      </c>
      <c r="B500" s="42" t="inlineStr">
        <is>
          <t>251522</t>
        </is>
      </c>
      <c r="C500" s="38" t="inlineStr">
        <is>
          <t>Oluges, les</t>
        </is>
      </c>
      <c r="D500" s="42" t="inlineStr">
        <is>
          <t>32</t>
        </is>
      </c>
      <c r="E500" s="38" t="inlineStr">
        <is>
          <t>Segarra</t>
        </is>
      </c>
    </row>
    <row r="501" ht="15" customHeight="1" s="39">
      <c r="A501" s="38" t="inlineStr">
        <is>
          <t>[081445] Olvan</t>
        </is>
      </c>
      <c r="B501" s="42" t="inlineStr">
        <is>
          <t>081445</t>
        </is>
      </c>
      <c r="C501" s="38" t="inlineStr">
        <is>
          <t>Olvan</t>
        </is>
      </c>
      <c r="D501" s="42" t="inlineStr">
        <is>
          <t>14</t>
        </is>
      </c>
      <c r="E501" s="38" t="inlineStr">
        <is>
          <t>Berguedà</t>
        </is>
      </c>
    </row>
    <row r="502" ht="15" customHeight="1" s="39">
      <c r="A502" s="38" t="inlineStr">
        <is>
          <t>[251538] Omellons, els</t>
        </is>
      </c>
      <c r="B502" s="42" t="inlineStr">
        <is>
          <t>251538</t>
        </is>
      </c>
      <c r="C502" s="38" t="inlineStr">
        <is>
          <t>Omellons, els</t>
        </is>
      </c>
      <c r="D502" s="42" t="inlineStr">
        <is>
          <t>18</t>
        </is>
      </c>
      <c r="E502" s="38" t="inlineStr">
        <is>
          <t>Garrigues</t>
        </is>
      </c>
    </row>
    <row r="503" ht="15" customHeight="1" s="39">
      <c r="A503" s="38" t="inlineStr">
        <is>
          <t>[251543] Omells de na Gaia, els</t>
        </is>
      </c>
      <c r="B503" s="42" t="inlineStr">
        <is>
          <t>251543</t>
        </is>
      </c>
      <c r="C503" s="38" t="inlineStr">
        <is>
          <t>Omells de na Gaia, els</t>
        </is>
      </c>
      <c r="D503" s="42" t="inlineStr">
        <is>
          <t>38</t>
        </is>
      </c>
      <c r="E503" s="38" t="inlineStr">
        <is>
          <t>Urgell</t>
        </is>
      </c>
    </row>
    <row r="504" ht="15" customHeight="1" s="39">
      <c r="A504" s="38" t="inlineStr">
        <is>
          <t>[171156] Ordis</t>
        </is>
      </c>
      <c r="B504" s="42" t="inlineStr">
        <is>
          <t>171156</t>
        </is>
      </c>
      <c r="C504" s="38" t="inlineStr">
        <is>
          <t>Ordis</t>
        </is>
      </c>
      <c r="D504" s="42" t="inlineStr">
        <is>
          <t>02</t>
        </is>
      </c>
      <c r="E504" s="38" t="inlineStr">
        <is>
          <t>Alt Empordà</t>
        </is>
      </c>
    </row>
    <row r="505" ht="15" customHeight="1" s="39">
      <c r="A505" s="38" t="inlineStr">
        <is>
          <t>[251556] Organyà</t>
        </is>
      </c>
      <c r="B505" s="42" t="inlineStr">
        <is>
          <t>251556</t>
        </is>
      </c>
      <c r="C505" s="38" t="inlineStr">
        <is>
          <t>Organyà</t>
        </is>
      </c>
      <c r="D505" s="42" t="inlineStr">
        <is>
          <t>04</t>
        </is>
      </c>
      <c r="E505" s="38" t="inlineStr">
        <is>
          <t>Alt Urgell</t>
        </is>
      </c>
    </row>
    <row r="506" ht="15" customHeight="1" s="39">
      <c r="A506" s="38" t="inlineStr">
        <is>
          <t>[081509] Orís</t>
        </is>
      </c>
      <c r="B506" s="42" t="inlineStr">
        <is>
          <t>081509</t>
        </is>
      </c>
      <c r="C506" s="38" t="inlineStr">
        <is>
          <t>Orís</t>
        </is>
      </c>
      <c r="D506" s="42" t="inlineStr">
        <is>
          <t>24</t>
        </is>
      </c>
      <c r="E506" s="38" t="inlineStr">
        <is>
          <t>Osona</t>
        </is>
      </c>
    </row>
    <row r="507" ht="15" customHeight="1" s="39">
      <c r="A507" s="38" t="inlineStr">
        <is>
          <t>[081516] Oristà</t>
        </is>
      </c>
      <c r="B507" s="42" t="inlineStr">
        <is>
          <t>081516</t>
        </is>
      </c>
      <c r="C507" s="38" t="inlineStr">
        <is>
          <t>Oristà</t>
        </is>
      </c>
      <c r="D507" s="42" t="inlineStr">
        <is>
          <t>43</t>
        </is>
      </c>
      <c r="E507" s="38" t="inlineStr">
        <is>
          <t>Lluçanès</t>
        </is>
      </c>
    </row>
    <row r="508" ht="15" customHeight="1" s="39">
      <c r="A508" s="38" t="inlineStr">
        <is>
          <t>[081521] Orpí</t>
        </is>
      </c>
      <c r="B508" s="42" t="inlineStr">
        <is>
          <t>081521</t>
        </is>
      </c>
      <c r="C508" s="38" t="inlineStr">
        <is>
          <t>Orpí</t>
        </is>
      </c>
      <c r="D508" s="42" t="inlineStr">
        <is>
          <t>06</t>
        </is>
      </c>
      <c r="E508" s="38" t="inlineStr">
        <is>
          <t>Anoia</t>
        </is>
      </c>
    </row>
    <row r="509" ht="15" customHeight="1" s="39">
      <c r="A509" s="38" t="inlineStr">
        <is>
          <t>[081537] Òrrius</t>
        </is>
      </c>
      <c r="B509" s="42" t="inlineStr">
        <is>
          <t>081537</t>
        </is>
      </c>
      <c r="C509" s="38" t="inlineStr">
        <is>
          <t>Òrrius</t>
        </is>
      </c>
      <c r="D509" s="42" t="inlineStr">
        <is>
          <t>21</t>
        </is>
      </c>
      <c r="E509" s="38" t="inlineStr">
        <is>
          <t>Maresme</t>
        </is>
      </c>
    </row>
    <row r="510" ht="15" customHeight="1" s="39">
      <c r="A510" s="38" t="inlineStr">
        <is>
          <t>[251569] Os de Balaguer</t>
        </is>
      </c>
      <c r="B510" s="42" t="inlineStr">
        <is>
          <t>251569</t>
        </is>
      </c>
      <c r="C510" s="38" t="inlineStr">
        <is>
          <t>Os de Balaguer</t>
        </is>
      </c>
      <c r="D510" s="42" t="inlineStr">
        <is>
          <t>23</t>
        </is>
      </c>
      <c r="E510" s="38" t="inlineStr">
        <is>
          <t>Noguera</t>
        </is>
      </c>
    </row>
    <row r="511" ht="15" customHeight="1" s="39">
      <c r="A511" s="38" t="inlineStr">
        <is>
          <t>[171169] Osor</t>
        </is>
      </c>
      <c r="B511" s="42" t="inlineStr">
        <is>
          <t>171169</t>
        </is>
      </c>
      <c r="C511" s="38" t="inlineStr">
        <is>
          <t>Osor</t>
        </is>
      </c>
      <c r="D511" s="42" t="inlineStr">
        <is>
          <t>34</t>
        </is>
      </c>
      <c r="E511" s="38" t="inlineStr">
        <is>
          <t>Selva</t>
        </is>
      </c>
    </row>
    <row r="512" ht="15" customHeight="1" s="39">
      <c r="A512" s="38" t="inlineStr">
        <is>
          <t>[251575] Ossó de Sió</t>
        </is>
      </c>
      <c r="B512" s="42" t="inlineStr">
        <is>
          <t>251575</t>
        </is>
      </c>
      <c r="C512" s="38" t="inlineStr">
        <is>
          <t>Ossó de Sió</t>
        </is>
      </c>
      <c r="D512" s="42" t="inlineStr">
        <is>
          <t>38</t>
        </is>
      </c>
      <c r="E512" s="38" t="inlineStr">
        <is>
          <t>Urgell</t>
        </is>
      </c>
    </row>
    <row r="513" ht="15" customHeight="1" s="39">
      <c r="A513" s="38" t="inlineStr">
        <is>
          <t>[081542] Pacs del Penedès</t>
        </is>
      </c>
      <c r="B513" s="42" t="inlineStr">
        <is>
          <t>081542</t>
        </is>
      </c>
      <c r="C513" s="38" t="inlineStr">
        <is>
          <t>Pacs del Penedès</t>
        </is>
      </c>
      <c r="D513" s="42" t="inlineStr">
        <is>
          <t>03</t>
        </is>
      </c>
      <c r="E513" s="38" t="inlineStr">
        <is>
          <t>Alt Penedès</t>
        </is>
      </c>
    </row>
    <row r="514" ht="15" customHeight="1" s="39">
      <c r="A514" s="38" t="inlineStr">
        <is>
          <t>[081555] Palafolls</t>
        </is>
      </c>
      <c r="B514" s="42" t="inlineStr">
        <is>
          <t>081555</t>
        </is>
      </c>
      <c r="C514" s="38" t="inlineStr">
        <is>
          <t>Palafolls</t>
        </is>
      </c>
      <c r="D514" s="42" t="inlineStr">
        <is>
          <t>21</t>
        </is>
      </c>
      <c r="E514" s="38" t="inlineStr">
        <is>
          <t>Maresme</t>
        </is>
      </c>
    </row>
    <row r="515" ht="15" customHeight="1" s="39">
      <c r="A515" s="38" t="inlineStr">
        <is>
          <t>[171175] Palafrugell</t>
        </is>
      </c>
      <c r="B515" s="42" t="inlineStr">
        <is>
          <t>171175</t>
        </is>
      </c>
      <c r="C515" s="38" t="inlineStr">
        <is>
          <t>Palafrugell</t>
        </is>
      </c>
      <c r="D515" s="42" t="inlineStr">
        <is>
          <t>10</t>
        </is>
      </c>
      <c r="E515" s="38" t="inlineStr">
        <is>
          <t>Baix Empordà</t>
        </is>
      </c>
    </row>
    <row r="516" ht="15" customHeight="1" s="39">
      <c r="A516" s="38" t="inlineStr">
        <is>
          <t>[171181] Palamós</t>
        </is>
      </c>
      <c r="B516" s="42" t="inlineStr">
        <is>
          <t>171181</t>
        </is>
      </c>
      <c r="C516" s="38" t="inlineStr">
        <is>
          <t>Palamós</t>
        </is>
      </c>
      <c r="D516" s="42" t="inlineStr">
        <is>
          <t>10</t>
        </is>
      </c>
      <c r="E516" s="38" t="inlineStr">
        <is>
          <t>Baix Empordà</t>
        </is>
      </c>
    </row>
    <row r="517" ht="15" customHeight="1" s="39">
      <c r="A517" s="38" t="inlineStr">
        <is>
          <t>[251581] Palau d'Anglesola, el</t>
        </is>
      </c>
      <c r="B517" s="42" t="inlineStr">
        <is>
          <t>251581</t>
        </is>
      </c>
      <c r="C517" s="38" t="inlineStr">
        <is>
          <t>Palau d'Anglesola, el</t>
        </is>
      </c>
      <c r="D517" s="42" t="inlineStr">
        <is>
          <t>27</t>
        </is>
      </c>
      <c r="E517" s="38" t="inlineStr">
        <is>
          <t>Pla d'Urgell</t>
        </is>
      </c>
    </row>
    <row r="518" ht="15" customHeight="1" s="39">
      <c r="A518" s="38" t="inlineStr">
        <is>
          <t>[171194] Palau de Santa Eulàlia</t>
        </is>
      </c>
      <c r="B518" s="42" t="inlineStr">
        <is>
          <t>171194</t>
        </is>
      </c>
      <c r="C518" s="38" t="inlineStr">
        <is>
          <t>Palau de Santa Eulàlia</t>
        </is>
      </c>
      <c r="D518" s="42" t="inlineStr">
        <is>
          <t>02</t>
        </is>
      </c>
      <c r="E518" s="38" t="inlineStr">
        <is>
          <t>Alt Empordà</t>
        </is>
      </c>
    </row>
    <row r="519" ht="15" customHeight="1" s="39">
      <c r="A519" s="38" t="inlineStr">
        <is>
          <t>[171215] Palau-sator</t>
        </is>
      </c>
      <c r="B519" s="42" t="inlineStr">
        <is>
          <t>171215</t>
        </is>
      </c>
      <c r="C519" s="38" t="inlineStr">
        <is>
          <t>Palau-sator</t>
        </is>
      </c>
      <c r="D519" s="42" t="inlineStr">
        <is>
          <t>10</t>
        </is>
      </c>
      <c r="E519" s="38" t="inlineStr">
        <is>
          <t>Baix Empordà</t>
        </is>
      </c>
    </row>
    <row r="520" ht="15" customHeight="1" s="39">
      <c r="A520" s="38" t="inlineStr">
        <is>
          <t>[171208] Palau-saverdera</t>
        </is>
      </c>
      <c r="B520" s="42" t="inlineStr">
        <is>
          <t>171208</t>
        </is>
      </c>
      <c r="C520" s="38" t="inlineStr">
        <is>
          <t>Palau-saverdera</t>
        </is>
      </c>
      <c r="D520" s="42" t="inlineStr">
        <is>
          <t>02</t>
        </is>
      </c>
      <c r="E520" s="38" t="inlineStr">
        <is>
          <t>Alt Empordà</t>
        </is>
      </c>
    </row>
    <row r="521" ht="15" customHeight="1" s="39">
      <c r="A521" s="38" t="inlineStr">
        <is>
          <t>[081568] Palau-solità i Plegamans</t>
        </is>
      </c>
      <c r="B521" s="42" t="inlineStr">
        <is>
          <t>081568</t>
        </is>
      </c>
      <c r="C521" s="38" t="inlineStr">
        <is>
          <t>Palau-solità i Plegamans</t>
        </is>
      </c>
      <c r="D521" s="42" t="inlineStr">
        <is>
          <t>40</t>
        </is>
      </c>
      <c r="E521" s="38" t="inlineStr">
        <is>
          <t>Vallès Occidental</t>
        </is>
      </c>
    </row>
    <row r="522" ht="15" customHeight="1" s="39">
      <c r="A522" s="38" t="inlineStr">
        <is>
          <t>[431009] Pallaresos, els</t>
        </is>
      </c>
      <c r="B522" s="42" t="inlineStr">
        <is>
          <t>431009</t>
        </is>
      </c>
      <c r="C522" s="38" t="inlineStr">
        <is>
          <t>Pallaresos, els</t>
        </is>
      </c>
      <c r="D522" s="42" t="inlineStr">
        <is>
          <t>36</t>
        </is>
      </c>
      <c r="E522" s="38" t="inlineStr">
        <is>
          <t>Tarragonès</t>
        </is>
      </c>
    </row>
    <row r="523" ht="15" customHeight="1" s="39">
      <c r="A523" s="38" t="inlineStr">
        <is>
          <t>[081574] Pallejà</t>
        </is>
      </c>
      <c r="B523" s="42" t="inlineStr">
        <is>
          <t>081574</t>
        </is>
      </c>
      <c r="C523" s="38" t="inlineStr">
        <is>
          <t>Pallejà</t>
        </is>
      </c>
      <c r="D523" s="42" t="inlineStr">
        <is>
          <t>11</t>
        </is>
      </c>
      <c r="E523" s="38" t="inlineStr">
        <is>
          <t>Baix Llobregat</t>
        </is>
      </c>
    </row>
    <row r="524" ht="15" customHeight="1" s="39">
      <c r="A524" s="38" t="inlineStr">
        <is>
          <t>[430995] Palma d'Ebre, la</t>
        </is>
      </c>
      <c r="B524" s="42" t="inlineStr">
        <is>
          <t>430995</t>
        </is>
      </c>
      <c r="C524" s="38" t="inlineStr">
        <is>
          <t>Palma d'Ebre, la</t>
        </is>
      </c>
      <c r="D524" s="42" t="inlineStr">
        <is>
          <t>30</t>
        </is>
      </c>
      <c r="E524" s="38" t="inlineStr">
        <is>
          <t>Ribera d'Ebre</t>
        </is>
      </c>
    </row>
    <row r="525" ht="15" customHeight="1" s="39">
      <c r="A525" s="38" t="inlineStr">
        <is>
          <t>[089058] Palma de Cervelló, la</t>
        </is>
      </c>
      <c r="B525" s="42" t="inlineStr">
        <is>
          <t>089058</t>
        </is>
      </c>
      <c r="C525" s="38" t="inlineStr">
        <is>
          <t>Palma de Cervelló, la</t>
        </is>
      </c>
      <c r="D525" s="42" t="inlineStr">
        <is>
          <t>11</t>
        </is>
      </c>
      <c r="E525" s="38" t="inlineStr">
        <is>
          <t>Baix Llobregat</t>
        </is>
      </c>
    </row>
    <row r="526" ht="15" customHeight="1" s="39">
      <c r="A526" s="38" t="inlineStr">
        <is>
          <t>[171236] Palol de Revardit</t>
        </is>
      </c>
      <c r="B526" s="42" t="inlineStr">
        <is>
          <t>171236</t>
        </is>
      </c>
      <c r="C526" s="38" t="inlineStr">
        <is>
          <t>Palol de Revardit</t>
        </is>
      </c>
      <c r="D526" s="42" t="inlineStr">
        <is>
          <t>28</t>
        </is>
      </c>
      <c r="E526" s="38" t="inlineStr">
        <is>
          <t>Pla de l'Estany</t>
        </is>
      </c>
    </row>
    <row r="527" ht="15" customHeight="1" s="39">
      <c r="A527" s="38" t="inlineStr">
        <is>
          <t>[171241] Pals</t>
        </is>
      </c>
      <c r="B527" s="42" t="inlineStr">
        <is>
          <t>171241</t>
        </is>
      </c>
      <c r="C527" s="38" t="inlineStr">
        <is>
          <t>Pals</t>
        </is>
      </c>
      <c r="D527" s="42" t="inlineStr">
        <is>
          <t>10</t>
        </is>
      </c>
      <c r="E527" s="38" t="inlineStr">
        <is>
          <t>Baix Empordà</t>
        </is>
      </c>
    </row>
    <row r="528" ht="15" customHeight="1" s="39">
      <c r="A528" s="38" t="inlineStr">
        <is>
          <t>[081580] Papiol, el</t>
        </is>
      </c>
      <c r="B528" s="42" t="inlineStr">
        <is>
          <t>081580</t>
        </is>
      </c>
      <c r="C528" s="38" t="inlineStr">
        <is>
          <t>Papiol, el</t>
        </is>
      </c>
      <c r="D528" s="42" t="inlineStr">
        <is>
          <t>11</t>
        </is>
      </c>
      <c r="E528" s="38" t="inlineStr">
        <is>
          <t>Baix Llobregat</t>
        </is>
      </c>
    </row>
    <row r="529" ht="15" customHeight="1" s="39">
      <c r="A529" s="38" t="inlineStr">
        <is>
          <t>[171254] Pardines</t>
        </is>
      </c>
      <c r="B529" s="42" t="inlineStr">
        <is>
          <t>171254</t>
        </is>
      </c>
      <c r="C529" s="38" t="inlineStr">
        <is>
          <t>Pardines</t>
        </is>
      </c>
      <c r="D529" s="42" t="inlineStr">
        <is>
          <t>31</t>
        </is>
      </c>
      <c r="E529" s="38" t="inlineStr">
        <is>
          <t>Ripollès</t>
        </is>
      </c>
    </row>
    <row r="530" ht="15" customHeight="1" s="39">
      <c r="A530" s="38" t="inlineStr">
        <is>
          <t>[081593] Parets del Vallès</t>
        </is>
      </c>
      <c r="B530" s="42" t="inlineStr">
        <is>
          <t>081593</t>
        </is>
      </c>
      <c r="C530" s="38" t="inlineStr">
        <is>
          <t>Parets del Vallès</t>
        </is>
      </c>
      <c r="D530" s="42" t="inlineStr">
        <is>
          <t>41</t>
        </is>
      </c>
      <c r="E530" s="38" t="inlineStr">
        <is>
          <t>Vallès Oriental</t>
        </is>
      </c>
    </row>
    <row r="531" ht="15" customHeight="1" s="39">
      <c r="A531" s="38" t="inlineStr">
        <is>
          <t>[171267] Parlavà</t>
        </is>
      </c>
      <c r="B531" s="42" t="inlineStr">
        <is>
          <t>171267</t>
        </is>
      </c>
      <c r="C531" s="38" t="inlineStr">
        <is>
          <t>Parlavà</t>
        </is>
      </c>
      <c r="D531" s="42" t="inlineStr">
        <is>
          <t>10</t>
        </is>
      </c>
      <c r="E531" s="38" t="inlineStr">
        <is>
          <t>Baix Empordà</t>
        </is>
      </c>
    </row>
    <row r="532" ht="15" customHeight="1" s="39">
      <c r="A532" s="38" t="inlineStr">
        <is>
          <t>[431016] Passanant i Belltall</t>
        </is>
      </c>
      <c r="B532" s="42" t="inlineStr">
        <is>
          <t>431016</t>
        </is>
      </c>
      <c r="C532" s="38" t="inlineStr">
        <is>
          <t>Passanant i Belltall</t>
        </is>
      </c>
      <c r="D532" s="42" t="inlineStr">
        <is>
          <t>16</t>
        </is>
      </c>
      <c r="E532" s="38" t="inlineStr">
        <is>
          <t>Conca de Barberà</t>
        </is>
      </c>
    </row>
    <row r="533" ht="15" customHeight="1" s="39">
      <c r="A533" s="38" t="inlineStr">
        <is>
          <t>[171289] Pau</t>
        </is>
      </c>
      <c r="B533" s="42" t="inlineStr">
        <is>
          <t>171289</t>
        </is>
      </c>
      <c r="C533" s="38" t="inlineStr">
        <is>
          <t>Pau</t>
        </is>
      </c>
      <c r="D533" s="42" t="inlineStr">
        <is>
          <t>02</t>
        </is>
      </c>
      <c r="E533" s="38" t="inlineStr">
        <is>
          <t>Alt Empordà</t>
        </is>
      </c>
    </row>
    <row r="534" ht="15" customHeight="1" s="39">
      <c r="A534" s="38" t="inlineStr">
        <is>
          <t>[431021] Paüls</t>
        </is>
      </c>
      <c r="B534" s="42" t="inlineStr">
        <is>
          <t>431021</t>
        </is>
      </c>
      <c r="C534" s="38" t="inlineStr">
        <is>
          <t>Paüls</t>
        </is>
      </c>
      <c r="D534" s="42" t="inlineStr">
        <is>
          <t>09</t>
        </is>
      </c>
      <c r="E534" s="38" t="inlineStr">
        <is>
          <t>Baix Ebre</t>
        </is>
      </c>
    </row>
    <row r="535" ht="15" customHeight="1" s="39">
      <c r="A535" s="38" t="inlineStr">
        <is>
          <t>[171292] Pedret i Marzà</t>
        </is>
      </c>
      <c r="B535" s="42" t="inlineStr">
        <is>
          <t>171292</t>
        </is>
      </c>
      <c r="C535" s="38" t="inlineStr">
        <is>
          <t>Pedret i Marzà</t>
        </is>
      </c>
      <c r="D535" s="42" t="inlineStr">
        <is>
          <t>02</t>
        </is>
      </c>
      <c r="E535" s="38" t="inlineStr">
        <is>
          <t>Alt Empordà</t>
        </is>
      </c>
    </row>
    <row r="536" ht="15" customHeight="1" s="39">
      <c r="A536" s="38" t="inlineStr">
        <is>
          <t>[251641] Penelles</t>
        </is>
      </c>
      <c r="B536" s="42" t="inlineStr">
        <is>
          <t>251641</t>
        </is>
      </c>
      <c r="C536" s="38" t="inlineStr">
        <is>
          <t>Penelles</t>
        </is>
      </c>
      <c r="D536" s="42" t="inlineStr">
        <is>
          <t>23</t>
        </is>
      </c>
      <c r="E536" s="38" t="inlineStr">
        <is>
          <t>Noguera</t>
        </is>
      </c>
    </row>
    <row r="537" ht="15" customHeight="1" s="39">
      <c r="A537" s="38" t="inlineStr">
        <is>
          <t>[171306] Pera, la</t>
        </is>
      </c>
      <c r="B537" s="42" t="inlineStr">
        <is>
          <t>171306</t>
        </is>
      </c>
      <c r="C537" s="38" t="inlineStr">
        <is>
          <t>Pera, la</t>
        </is>
      </c>
      <c r="D537" s="42" t="inlineStr">
        <is>
          <t>10</t>
        </is>
      </c>
      <c r="E537" s="38" t="inlineStr">
        <is>
          <t>Baix Empordà</t>
        </is>
      </c>
    </row>
    <row r="538" ht="15" customHeight="1" s="39">
      <c r="A538" s="38" t="inlineStr">
        <is>
          <t>[081607] Perafita</t>
        </is>
      </c>
      <c r="B538" s="42" t="inlineStr">
        <is>
          <t>081607</t>
        </is>
      </c>
      <c r="C538" s="38" t="inlineStr">
        <is>
          <t>Perafita</t>
        </is>
      </c>
      <c r="D538" s="42" t="inlineStr">
        <is>
          <t>43</t>
        </is>
      </c>
      <c r="E538" s="38" t="inlineStr">
        <is>
          <t>Lluçanès</t>
        </is>
      </c>
    </row>
    <row r="539" ht="15" customHeight="1" s="39">
      <c r="A539" s="38" t="inlineStr">
        <is>
          <t>[431037] Perafort</t>
        </is>
      </c>
      <c r="B539" s="42" t="inlineStr">
        <is>
          <t>431037</t>
        </is>
      </c>
      <c r="C539" s="38" t="inlineStr">
        <is>
          <t>Perafort</t>
        </is>
      </c>
      <c r="D539" s="42" t="inlineStr">
        <is>
          <t>36</t>
        </is>
      </c>
      <c r="E539" s="38" t="inlineStr">
        <is>
          <t>Tarragonès</t>
        </is>
      </c>
    </row>
    <row r="540" ht="15" customHeight="1" s="39">
      <c r="A540" s="38" t="inlineStr">
        <is>
          <t>[171328] Peralada</t>
        </is>
      </c>
      <c r="B540" s="42" t="inlineStr">
        <is>
          <t>171328</t>
        </is>
      </c>
      <c r="C540" s="38" t="inlineStr">
        <is>
          <t>Peralada</t>
        </is>
      </c>
      <c r="D540" s="42" t="inlineStr">
        <is>
          <t>02</t>
        </is>
      </c>
      <c r="E540" s="38" t="inlineStr">
        <is>
          <t>Alt Empordà</t>
        </is>
      </c>
    </row>
    <row r="541" ht="15" customHeight="1" s="39">
      <c r="A541" s="38" t="inlineStr">
        <is>
          <t>[251654] Peramola</t>
        </is>
      </c>
      <c r="B541" s="42" t="inlineStr">
        <is>
          <t>251654</t>
        </is>
      </c>
      <c r="C541" s="38" t="inlineStr">
        <is>
          <t>Peramola</t>
        </is>
      </c>
      <c r="D541" s="42" t="inlineStr">
        <is>
          <t>04</t>
        </is>
      </c>
      <c r="E541" s="38" t="inlineStr">
        <is>
          <t>Alt Urgell</t>
        </is>
      </c>
    </row>
    <row r="542" ht="15" customHeight="1" s="39">
      <c r="A542" s="38" t="inlineStr">
        <is>
          <t>[431042] Perelló, el</t>
        </is>
      </c>
      <c r="B542" s="42" t="inlineStr">
        <is>
          <t>431042</t>
        </is>
      </c>
      <c r="C542" s="38" t="inlineStr">
        <is>
          <t>Perelló, el</t>
        </is>
      </c>
      <c r="D542" s="42" t="inlineStr">
        <is>
          <t>09</t>
        </is>
      </c>
      <c r="E542" s="38" t="inlineStr">
        <is>
          <t>Baix Ebre</t>
        </is>
      </c>
    </row>
    <row r="543" ht="15" customHeight="1" s="39">
      <c r="A543" s="38" t="inlineStr">
        <is>
          <t>[081614] Piera</t>
        </is>
      </c>
      <c r="B543" s="42" t="inlineStr">
        <is>
          <t>081614</t>
        </is>
      </c>
      <c r="C543" s="38" t="inlineStr">
        <is>
          <t>Piera</t>
        </is>
      </c>
      <c r="D543" s="42" t="inlineStr">
        <is>
          <t>06</t>
        </is>
      </c>
      <c r="E543" s="38" t="inlineStr">
        <is>
          <t>Anoia</t>
        </is>
      </c>
    </row>
    <row r="544" ht="15" customHeight="1" s="39">
      <c r="A544" s="38" t="inlineStr">
        <is>
          <t>[431055] Piles, les</t>
        </is>
      </c>
      <c r="B544" s="42" t="inlineStr">
        <is>
          <t>431055</t>
        </is>
      </c>
      <c r="C544" s="38" t="inlineStr">
        <is>
          <t>Piles, les</t>
        </is>
      </c>
      <c r="D544" s="42" t="inlineStr">
        <is>
          <t>16</t>
        </is>
      </c>
      <c r="E544" s="38" t="inlineStr">
        <is>
          <t>Conca de Barberà</t>
        </is>
      </c>
    </row>
    <row r="545" ht="15" customHeight="1" s="39">
      <c r="A545" s="38" t="inlineStr">
        <is>
          <t>[081635] Pineda de Mar</t>
        </is>
      </c>
      <c r="B545" s="42" t="inlineStr">
        <is>
          <t>081635</t>
        </is>
      </c>
      <c r="C545" s="38" t="inlineStr">
        <is>
          <t>Pineda de Mar</t>
        </is>
      </c>
      <c r="D545" s="42" t="inlineStr">
        <is>
          <t>21</t>
        </is>
      </c>
      <c r="E545" s="38" t="inlineStr">
        <is>
          <t>Maresme</t>
        </is>
      </c>
    </row>
    <row r="546" ht="15" customHeight="1" s="39">
      <c r="A546" s="38" t="inlineStr">
        <is>
          <t>[431068] Pinell de Brai, el</t>
        </is>
      </c>
      <c r="B546" s="42" t="inlineStr">
        <is>
          <t>431068</t>
        </is>
      </c>
      <c r="C546" s="38" t="inlineStr">
        <is>
          <t>Pinell de Brai, el</t>
        </is>
      </c>
      <c r="D546" s="42" t="inlineStr">
        <is>
          <t>37</t>
        </is>
      </c>
      <c r="E546" s="38" t="inlineStr">
        <is>
          <t>Terra Alta</t>
        </is>
      </c>
    </row>
    <row r="547" ht="15" customHeight="1" s="39">
      <c r="A547" s="38" t="inlineStr">
        <is>
          <t>[251667] Pinell de Solsonès</t>
        </is>
      </c>
      <c r="B547" s="42" t="inlineStr">
        <is>
          <t>251667</t>
        </is>
      </c>
      <c r="C547" s="38" t="inlineStr">
        <is>
          <t>Pinell de Solsonès</t>
        </is>
      </c>
      <c r="D547" s="42" t="inlineStr">
        <is>
          <t>35</t>
        </is>
      </c>
      <c r="E547" s="38" t="inlineStr">
        <is>
          <t>Solsonès</t>
        </is>
      </c>
    </row>
    <row r="548" ht="15" customHeight="1" s="39">
      <c r="A548" s="38" t="inlineStr">
        <is>
          <t>[251673] Pinós</t>
        </is>
      </c>
      <c r="B548" s="42" t="inlineStr">
        <is>
          <t>251673</t>
        </is>
      </c>
      <c r="C548" s="38" t="inlineStr">
        <is>
          <t>Pinós</t>
        </is>
      </c>
      <c r="D548" s="42" t="inlineStr">
        <is>
          <t>35</t>
        </is>
      </c>
      <c r="E548" s="38" t="inlineStr">
        <is>
          <t>Solsonès</t>
        </is>
      </c>
    </row>
    <row r="549" ht="15" customHeight="1" s="39">
      <c r="A549" s="38" t="inlineStr">
        <is>
          <t>[431074] Pira</t>
        </is>
      </c>
      <c r="B549" s="42" t="inlineStr">
        <is>
          <t>431074</t>
        </is>
      </c>
      <c r="C549" s="38" t="inlineStr">
        <is>
          <t>Pira</t>
        </is>
      </c>
      <c r="D549" s="42" t="inlineStr">
        <is>
          <t>16</t>
        </is>
      </c>
      <c r="E549" s="38" t="inlineStr">
        <is>
          <t>Conca de Barberà</t>
        </is>
      </c>
    </row>
    <row r="550" ht="15" customHeight="1" s="39">
      <c r="A550" s="38" t="inlineStr">
        <is>
          <t>[431080] Pla de Santa Maria, el</t>
        </is>
      </c>
      <c r="B550" s="42" t="inlineStr">
        <is>
          <t>431080</t>
        </is>
      </c>
      <c r="C550" s="38" t="inlineStr">
        <is>
          <t>Pla de Santa Maria, el</t>
        </is>
      </c>
      <c r="D550" s="42" t="inlineStr">
        <is>
          <t>01</t>
        </is>
      </c>
      <c r="E550" s="38" t="inlineStr">
        <is>
          <t>Alt Camp</t>
        </is>
      </c>
    </row>
    <row r="551" ht="15" customHeight="1" s="39">
      <c r="A551" s="38" t="inlineStr">
        <is>
          <t>[081640] Pla del Penedès, el</t>
        </is>
      </c>
      <c r="B551" s="42" t="inlineStr">
        <is>
          <t>081640</t>
        </is>
      </c>
      <c r="C551" s="38" t="inlineStr">
        <is>
          <t>Pla del Penedès, el</t>
        </is>
      </c>
      <c r="D551" s="42" t="inlineStr">
        <is>
          <t>03</t>
        </is>
      </c>
      <c r="E551" s="38" t="inlineStr">
        <is>
          <t>Alt Penedès</t>
        </is>
      </c>
    </row>
    <row r="552" ht="15" customHeight="1" s="39">
      <c r="A552" s="38" t="inlineStr">
        <is>
          <t>[171334] Planes d'Hostoles, les</t>
        </is>
      </c>
      <c r="B552" s="42" t="inlineStr">
        <is>
          <t>171334</t>
        </is>
      </c>
      <c r="C552" s="38" t="inlineStr">
        <is>
          <t>Planes d'Hostoles, les</t>
        </is>
      </c>
      <c r="D552" s="42" t="inlineStr">
        <is>
          <t>19</t>
        </is>
      </c>
      <c r="E552" s="38" t="inlineStr">
        <is>
          <t>Garrotxa</t>
        </is>
      </c>
    </row>
    <row r="553" ht="15" customHeight="1" s="39">
      <c r="A553" s="38" t="inlineStr">
        <is>
          <t>[171349] Planoles</t>
        </is>
      </c>
      <c r="B553" s="42" t="inlineStr">
        <is>
          <t>171349</t>
        </is>
      </c>
      <c r="C553" s="38" t="inlineStr">
        <is>
          <t>Planoles</t>
        </is>
      </c>
      <c r="D553" s="42" t="inlineStr">
        <is>
          <t>31</t>
        </is>
      </c>
      <c r="E553" s="38" t="inlineStr">
        <is>
          <t>Ripollès</t>
        </is>
      </c>
    </row>
    <row r="554" ht="15" customHeight="1" s="39">
      <c r="A554" s="38" t="inlineStr">
        <is>
          <t>[259118] Plans de Sió, els</t>
        </is>
      </c>
      <c r="B554" s="42" t="inlineStr">
        <is>
          <t>259118</t>
        </is>
      </c>
      <c r="C554" s="38" t="inlineStr">
        <is>
          <t>Plans de Sió, els</t>
        </is>
      </c>
      <c r="D554" s="42" t="inlineStr">
        <is>
          <t>32</t>
        </is>
      </c>
      <c r="E554" s="38" t="inlineStr">
        <is>
          <t>Segarra</t>
        </is>
      </c>
    </row>
    <row r="555" ht="15" customHeight="1" s="39">
      <c r="A555" s="38" t="inlineStr">
        <is>
          <t>[251689] Poal, el</t>
        </is>
      </c>
      <c r="B555" s="42" t="inlineStr">
        <is>
          <t>251689</t>
        </is>
      </c>
      <c r="C555" s="38" t="inlineStr">
        <is>
          <t>Poal, el</t>
        </is>
      </c>
      <c r="D555" s="42" t="inlineStr">
        <is>
          <t>27</t>
        </is>
      </c>
      <c r="E555" s="38" t="inlineStr">
        <is>
          <t>Pla d'Urgell</t>
        </is>
      </c>
    </row>
    <row r="556" ht="15" customHeight="1" s="39">
      <c r="A556" s="38" t="inlineStr">
        <is>
          <t>[251692] Pobla de Cérvoles, la</t>
        </is>
      </c>
      <c r="B556" s="42" t="inlineStr">
        <is>
          <t>251692</t>
        </is>
      </c>
      <c r="C556" s="38" t="inlineStr">
        <is>
          <t>Pobla de Cérvoles, la</t>
        </is>
      </c>
      <c r="D556" s="42" t="inlineStr">
        <is>
          <t>18</t>
        </is>
      </c>
      <c r="E556" s="38" t="inlineStr">
        <is>
          <t>Garrigues</t>
        </is>
      </c>
    </row>
    <row r="557" ht="15" customHeight="1" s="39">
      <c r="A557" s="38" t="inlineStr">
        <is>
          <t>[081653] Pobla de Claramunt, la</t>
        </is>
      </c>
      <c r="B557" s="42" t="inlineStr">
        <is>
          <t>081653</t>
        </is>
      </c>
      <c r="C557" s="38" t="inlineStr">
        <is>
          <t>Pobla de Claramunt, la</t>
        </is>
      </c>
      <c r="D557" s="42" t="inlineStr">
        <is>
          <t>06</t>
        </is>
      </c>
      <c r="E557" s="38" t="inlineStr">
        <is>
          <t>Anoia</t>
        </is>
      </c>
    </row>
    <row r="558" ht="15" customHeight="1" s="39">
      <c r="A558" s="38" t="inlineStr">
        <is>
          <t>[081666] Pobla de Lillet, la</t>
        </is>
      </c>
      <c r="B558" s="42" t="inlineStr">
        <is>
          <t>081666</t>
        </is>
      </c>
      <c r="C558" s="38" t="inlineStr">
        <is>
          <t>Pobla de Lillet, la</t>
        </is>
      </c>
      <c r="D558" s="42" t="inlineStr">
        <is>
          <t>14</t>
        </is>
      </c>
      <c r="E558" s="38" t="inlineStr">
        <is>
          <t>Berguedà</t>
        </is>
      </c>
    </row>
    <row r="559" ht="15" customHeight="1" s="39">
      <c r="A559" s="38" t="inlineStr">
        <is>
          <t>[431093] Pobla de Mafumet, la</t>
        </is>
      </c>
      <c r="B559" s="42" t="inlineStr">
        <is>
          <t>431093</t>
        </is>
      </c>
      <c r="C559" s="38" t="inlineStr">
        <is>
          <t>Pobla de Mafumet, la</t>
        </is>
      </c>
      <c r="D559" s="42" t="inlineStr">
        <is>
          <t>36</t>
        </is>
      </c>
      <c r="E559" s="38" t="inlineStr">
        <is>
          <t>Tarragonès</t>
        </is>
      </c>
    </row>
    <row r="560" ht="15" customHeight="1" s="39">
      <c r="A560" s="38" t="inlineStr">
        <is>
          <t>[431107] Pobla de Massaluca, la</t>
        </is>
      </c>
      <c r="B560" s="42" t="inlineStr">
        <is>
          <t>431107</t>
        </is>
      </c>
      <c r="C560" s="38" t="inlineStr">
        <is>
          <t>Pobla de Massaluca, la</t>
        </is>
      </c>
      <c r="D560" s="42" t="inlineStr">
        <is>
          <t>37</t>
        </is>
      </c>
      <c r="E560" s="38" t="inlineStr">
        <is>
          <t>Terra Alta</t>
        </is>
      </c>
    </row>
    <row r="561" ht="15" customHeight="1" s="39">
      <c r="A561" s="38" t="inlineStr">
        <is>
          <t>[431114] Pobla de Montornès, la</t>
        </is>
      </c>
      <c r="B561" s="42" t="inlineStr">
        <is>
          <t>431114</t>
        </is>
      </c>
      <c r="C561" s="38" t="inlineStr">
        <is>
          <t>Pobla de Montornès, la</t>
        </is>
      </c>
      <c r="D561" s="42" t="inlineStr">
        <is>
          <t>36</t>
        </is>
      </c>
      <c r="E561" s="38" t="inlineStr">
        <is>
          <t>Tarragonès</t>
        </is>
      </c>
    </row>
    <row r="562" ht="15" customHeight="1" s="39">
      <c r="A562" s="38" t="inlineStr">
        <is>
          <t>[251713] Pobla de Segur, la</t>
        </is>
      </c>
      <c r="B562" s="42" t="inlineStr">
        <is>
          <t>251713</t>
        </is>
      </c>
      <c r="C562" s="38" t="inlineStr">
        <is>
          <t>Pobla de Segur, la</t>
        </is>
      </c>
      <c r="D562" s="42" t="inlineStr">
        <is>
          <t>25</t>
        </is>
      </c>
      <c r="E562" s="38" t="inlineStr">
        <is>
          <t>Pallars Jussà</t>
        </is>
      </c>
    </row>
    <row r="563" ht="15" customHeight="1" s="39">
      <c r="A563" s="38" t="inlineStr">
        <is>
          <t>[431129] Poboleda</t>
        </is>
      </c>
      <c r="B563" s="42" t="inlineStr">
        <is>
          <t>431129</t>
        </is>
      </c>
      <c r="C563" s="38" t="inlineStr">
        <is>
          <t>Poboleda</t>
        </is>
      </c>
      <c r="D563" s="42" t="inlineStr">
        <is>
          <t>29</t>
        </is>
      </c>
      <c r="E563" s="38" t="inlineStr">
        <is>
          <t>Priorat</t>
        </is>
      </c>
    </row>
    <row r="564" ht="15" customHeight="1" s="39">
      <c r="A564" s="38" t="inlineStr">
        <is>
          <t>[081672] Polinyà</t>
        </is>
      </c>
      <c r="B564" s="42" t="inlineStr">
        <is>
          <t>081672</t>
        </is>
      </c>
      <c r="C564" s="38" t="inlineStr">
        <is>
          <t>Polinyà</t>
        </is>
      </c>
      <c r="D564" s="42" t="inlineStr">
        <is>
          <t>40</t>
        </is>
      </c>
      <c r="E564" s="38" t="inlineStr">
        <is>
          <t>Vallès Occidental</t>
        </is>
      </c>
    </row>
    <row r="565" ht="15" customHeight="1" s="39">
      <c r="A565" s="38" t="inlineStr">
        <is>
          <t>[431135] Pont d'Armentera, el</t>
        </is>
      </c>
      <c r="B565" s="42" t="inlineStr">
        <is>
          <t>431135</t>
        </is>
      </c>
      <c r="C565" s="38" t="inlineStr">
        <is>
          <t>Pont d'Armentera, el</t>
        </is>
      </c>
      <c r="D565" s="42" t="inlineStr">
        <is>
          <t>01</t>
        </is>
      </c>
      <c r="E565" s="38" t="inlineStr">
        <is>
          <t>Alt Camp</t>
        </is>
      </c>
    </row>
    <row r="566" ht="15" customHeight="1" s="39">
      <c r="A566" s="38" t="inlineStr">
        <is>
          <t>[250306] Pont de Bar, el</t>
        </is>
      </c>
      <c r="B566" s="42" t="inlineStr">
        <is>
          <t>250306</t>
        </is>
      </c>
      <c r="C566" s="38" t="inlineStr">
        <is>
          <t>Pont de Bar, el</t>
        </is>
      </c>
      <c r="D566" s="42" t="inlineStr">
        <is>
          <t>04</t>
        </is>
      </c>
      <c r="E566" s="38" t="inlineStr">
        <is>
          <t>Alt Urgell</t>
        </is>
      </c>
    </row>
    <row r="567" ht="15" customHeight="1" s="39">
      <c r="A567" s="38" t="inlineStr">
        <is>
          <t>[171352] Pont de Molins</t>
        </is>
      </c>
      <c r="B567" s="42" t="inlineStr">
        <is>
          <t>171352</t>
        </is>
      </c>
      <c r="C567" s="38" t="inlineStr">
        <is>
          <t>Pont de Molins</t>
        </is>
      </c>
      <c r="D567" s="42" t="inlineStr">
        <is>
          <t>02</t>
        </is>
      </c>
      <c r="E567" s="38" t="inlineStr">
        <is>
          <t>Alt Empordà</t>
        </is>
      </c>
    </row>
    <row r="568" ht="15" customHeight="1" s="39">
      <c r="A568" s="38" t="inlineStr">
        <is>
          <t>[251734] Pont de Suert, el</t>
        </is>
      </c>
      <c r="B568" s="42" t="inlineStr">
        <is>
          <t>251734</t>
        </is>
      </c>
      <c r="C568" s="38" t="inlineStr">
        <is>
          <t>Pont de Suert, el</t>
        </is>
      </c>
      <c r="D568" s="42" t="inlineStr">
        <is>
          <t>05</t>
        </is>
      </c>
      <c r="E568" s="38" t="inlineStr">
        <is>
          <t>Alta Ribagorça</t>
        </is>
      </c>
    </row>
    <row r="569" ht="15" customHeight="1" s="39">
      <c r="A569" s="38" t="inlineStr">
        <is>
          <t>[081825] Pont de Vilomara i Rocafort, el</t>
        </is>
      </c>
      <c r="B569" s="42" t="inlineStr">
        <is>
          <t>081825</t>
        </is>
      </c>
      <c r="C569" s="38" t="inlineStr">
        <is>
          <t>Pont de Vilomara i Rocafort, el</t>
        </is>
      </c>
      <c r="D569" s="42" t="inlineStr">
        <is>
          <t>07</t>
        </is>
      </c>
      <c r="E569" s="38" t="inlineStr">
        <is>
          <t>Bages</t>
        </is>
      </c>
    </row>
    <row r="570" ht="15" customHeight="1" s="39">
      <c r="A570" s="38" t="inlineStr">
        <is>
          <t>[431418] Pontils</t>
        </is>
      </c>
      <c r="B570" s="42" t="inlineStr">
        <is>
          <t>431418</t>
        </is>
      </c>
      <c r="C570" s="38" t="inlineStr">
        <is>
          <t>Pontils</t>
        </is>
      </c>
      <c r="D570" s="42" t="inlineStr">
        <is>
          <t>16</t>
        </is>
      </c>
      <c r="E570" s="38" t="inlineStr">
        <is>
          <t>Conca de Barberà</t>
        </is>
      </c>
    </row>
    <row r="571" ht="15" customHeight="1" s="39">
      <c r="A571" s="38" t="inlineStr">
        <is>
          <t>[081688] Pontons</t>
        </is>
      </c>
      <c r="B571" s="42" t="inlineStr">
        <is>
          <t>081688</t>
        </is>
      </c>
      <c r="C571" s="38" t="inlineStr">
        <is>
          <t>Pontons</t>
        </is>
      </c>
      <c r="D571" s="42" t="inlineStr">
        <is>
          <t>03</t>
        </is>
      </c>
      <c r="E571" s="38" t="inlineStr">
        <is>
          <t>Alt Penedès</t>
        </is>
      </c>
    </row>
    <row r="572" ht="15" customHeight="1" s="39">
      <c r="A572" s="38" t="inlineStr">
        <is>
          <t>[171365] Pontós</t>
        </is>
      </c>
      <c r="B572" s="42" t="inlineStr">
        <is>
          <t>171365</t>
        </is>
      </c>
      <c r="C572" s="38" t="inlineStr">
        <is>
          <t>Pontós</t>
        </is>
      </c>
      <c r="D572" s="42" t="inlineStr">
        <is>
          <t>02</t>
        </is>
      </c>
      <c r="E572" s="38" t="inlineStr">
        <is>
          <t>Alt Empordà</t>
        </is>
      </c>
    </row>
    <row r="573" ht="15" customHeight="1" s="39">
      <c r="A573" s="38" t="inlineStr">
        <is>
          <t>[251728] Ponts</t>
        </is>
      </c>
      <c r="B573" s="42" t="inlineStr">
        <is>
          <t>251728</t>
        </is>
      </c>
      <c r="C573" s="38" t="inlineStr">
        <is>
          <t>Ponts</t>
        </is>
      </c>
      <c r="D573" s="42" t="inlineStr">
        <is>
          <t>23</t>
        </is>
      </c>
      <c r="E573" s="38" t="inlineStr">
        <is>
          <t>Noguera</t>
        </is>
      </c>
    </row>
    <row r="574" ht="15" customHeight="1" s="39">
      <c r="A574" s="38" t="inlineStr">
        <is>
          <t>[171371] Porqueres</t>
        </is>
      </c>
      <c r="B574" s="42" t="inlineStr">
        <is>
          <t>171371</t>
        </is>
      </c>
      <c r="C574" s="38" t="inlineStr">
        <is>
          <t>Porqueres</t>
        </is>
      </c>
      <c r="D574" s="42" t="inlineStr">
        <is>
          <t>28</t>
        </is>
      </c>
      <c r="E574" s="38" t="inlineStr">
        <is>
          <t>Pla de l'Estany</t>
        </is>
      </c>
    </row>
    <row r="575" ht="15" customHeight="1" s="39">
      <c r="A575" s="38" t="inlineStr">
        <is>
          <t>[431140] Porrera</t>
        </is>
      </c>
      <c r="B575" s="42" t="inlineStr">
        <is>
          <t>431140</t>
        </is>
      </c>
      <c r="C575" s="38" t="inlineStr">
        <is>
          <t>Porrera</t>
        </is>
      </c>
      <c r="D575" s="42" t="inlineStr">
        <is>
          <t>29</t>
        </is>
      </c>
      <c r="E575" s="38" t="inlineStr">
        <is>
          <t>Priorat</t>
        </is>
      </c>
    </row>
    <row r="576" ht="15" customHeight="1" s="39">
      <c r="A576" s="38" t="inlineStr">
        <is>
          <t>[171404] Port de la Selva, el</t>
        </is>
      </c>
      <c r="B576" s="42" t="inlineStr">
        <is>
          <t>171404</t>
        </is>
      </c>
      <c r="C576" s="38" t="inlineStr">
        <is>
          <t>Port de la Selva, el</t>
        </is>
      </c>
      <c r="D576" s="42" t="inlineStr">
        <is>
          <t>02</t>
        </is>
      </c>
      <c r="E576" s="38" t="inlineStr">
        <is>
          <t>Alt Empordà</t>
        </is>
      </c>
    </row>
    <row r="577" ht="15" customHeight="1" s="39">
      <c r="A577" s="38" t="inlineStr">
        <is>
          <t>[171387] Portbou</t>
        </is>
      </c>
      <c r="B577" s="42" t="inlineStr">
        <is>
          <t>171387</t>
        </is>
      </c>
      <c r="C577" s="38" t="inlineStr">
        <is>
          <t>Portbou</t>
        </is>
      </c>
      <c r="D577" s="42" t="inlineStr">
        <is>
          <t>02</t>
        </is>
      </c>
      <c r="E577" s="38" t="inlineStr">
        <is>
          <t>Alt Empordà</t>
        </is>
      </c>
    </row>
    <row r="578" ht="15" customHeight="1" s="39">
      <c r="A578" s="38" t="inlineStr">
        <is>
          <t>[251749] Portella, la</t>
        </is>
      </c>
      <c r="B578" s="42" t="inlineStr">
        <is>
          <t>251749</t>
        </is>
      </c>
      <c r="C578" s="38" t="inlineStr">
        <is>
          <t>Portella, la</t>
        </is>
      </c>
      <c r="D578" s="42" t="inlineStr">
        <is>
          <t>33</t>
        </is>
      </c>
      <c r="E578" s="38" t="inlineStr">
        <is>
          <t>Segrià</t>
        </is>
      </c>
    </row>
    <row r="579" ht="15" customHeight="1" s="39">
      <c r="A579" s="38" t="inlineStr">
        <is>
          <t>[431153] Pradell de la Teixeta</t>
        </is>
      </c>
      <c r="B579" s="42" t="inlineStr">
        <is>
          <t>431153</t>
        </is>
      </c>
      <c r="C579" s="38" t="inlineStr">
        <is>
          <t>Pradell de la Teixeta</t>
        </is>
      </c>
      <c r="D579" s="42" t="inlineStr">
        <is>
          <t>29</t>
        </is>
      </c>
      <c r="E579" s="38" t="inlineStr">
        <is>
          <t>Priorat</t>
        </is>
      </c>
    </row>
    <row r="580" ht="15" customHeight="1" s="39">
      <c r="A580" s="38" t="inlineStr">
        <is>
          <t>[431166] Prades</t>
        </is>
      </c>
      <c r="B580" s="42" t="inlineStr">
        <is>
          <t>431166</t>
        </is>
      </c>
      <c r="C580" s="38" t="inlineStr">
        <is>
          <t>Prades</t>
        </is>
      </c>
      <c r="D580" s="42" t="inlineStr">
        <is>
          <t>08</t>
        </is>
      </c>
      <c r="E580" s="38" t="inlineStr">
        <is>
          <t>Baix Camp</t>
        </is>
      </c>
    </row>
    <row r="581" ht="15" customHeight="1" s="39">
      <c r="A581" s="38" t="inlineStr">
        <is>
          <t>[431172] Prat de Comte</t>
        </is>
      </c>
      <c r="B581" s="42" t="inlineStr">
        <is>
          <t>431172</t>
        </is>
      </c>
      <c r="C581" s="38" t="inlineStr">
        <is>
          <t>Prat de Comte</t>
        </is>
      </c>
      <c r="D581" s="42" t="inlineStr">
        <is>
          <t>37</t>
        </is>
      </c>
      <c r="E581" s="38" t="inlineStr">
        <is>
          <t>Terra Alta</t>
        </is>
      </c>
    </row>
    <row r="582" ht="15" customHeight="1" s="39">
      <c r="A582" s="38" t="inlineStr">
        <is>
          <t>[081691] Prat de Llobregat, el</t>
        </is>
      </c>
      <c r="B582" s="42" t="inlineStr">
        <is>
          <t>081691</t>
        </is>
      </c>
      <c r="C582" s="38" t="inlineStr">
        <is>
          <t>Prat de Llobregat, el</t>
        </is>
      </c>
      <c r="D582" s="42" t="inlineStr">
        <is>
          <t>11</t>
        </is>
      </c>
      <c r="E582" s="38" t="inlineStr">
        <is>
          <t>Baix Llobregat</t>
        </is>
      </c>
    </row>
    <row r="583" ht="15" customHeight="1" s="39">
      <c r="A583" s="38" t="inlineStr">
        <is>
          <t>[431188] Pratdip</t>
        </is>
      </c>
      <c r="B583" s="42" t="inlineStr">
        <is>
          <t>431188</t>
        </is>
      </c>
      <c r="C583" s="38" t="inlineStr">
        <is>
          <t>Pratdip</t>
        </is>
      </c>
      <c r="D583" s="42" t="inlineStr">
        <is>
          <t>08</t>
        </is>
      </c>
      <c r="E583" s="38" t="inlineStr">
        <is>
          <t>Baix Camp</t>
        </is>
      </c>
    </row>
    <row r="584" ht="15" customHeight="1" s="39">
      <c r="A584" s="38" t="inlineStr">
        <is>
          <t>[081712] Prats de Lluçanès</t>
        </is>
      </c>
      <c r="B584" s="42" t="inlineStr">
        <is>
          <t>081712</t>
        </is>
      </c>
      <c r="C584" s="38" t="inlineStr">
        <is>
          <t>Prats de Lluçanès</t>
        </is>
      </c>
      <c r="D584" s="42" t="inlineStr">
        <is>
          <t>43</t>
        </is>
      </c>
      <c r="E584" s="38" t="inlineStr">
        <is>
          <t>Lluçanès</t>
        </is>
      </c>
    </row>
    <row r="585" ht="15" customHeight="1" s="39">
      <c r="A585" s="38" t="inlineStr">
        <is>
          <t>[081705] Prats de Rei, els</t>
        </is>
      </c>
      <c r="B585" s="42" t="inlineStr">
        <is>
          <t>081705</t>
        </is>
      </c>
      <c r="C585" s="38" t="inlineStr">
        <is>
          <t>Prats de Rei, els</t>
        </is>
      </c>
      <c r="D585" s="42" t="inlineStr">
        <is>
          <t>06</t>
        </is>
      </c>
      <c r="E585" s="38" t="inlineStr">
        <is>
          <t>Anoia</t>
        </is>
      </c>
    </row>
    <row r="586" ht="15" customHeight="1" s="39">
      <c r="A586" s="38" t="inlineStr">
        <is>
          <t>[251752] Prats i Sansor</t>
        </is>
      </c>
      <c r="B586" s="42" t="inlineStr">
        <is>
          <t>251752</t>
        </is>
      </c>
      <c r="C586" s="38" t="inlineStr">
        <is>
          <t>Prats i Sansor</t>
        </is>
      </c>
      <c r="D586" s="42" t="inlineStr">
        <is>
          <t>15</t>
        </is>
      </c>
      <c r="E586" s="38" t="inlineStr">
        <is>
          <t>Cerdanya</t>
        </is>
      </c>
    </row>
    <row r="587" ht="15" customHeight="1" s="39">
      <c r="A587" s="38" t="inlineStr">
        <is>
          <t>[251765] Preixana</t>
        </is>
      </c>
      <c r="B587" s="42" t="inlineStr">
        <is>
          <t>251765</t>
        </is>
      </c>
      <c r="C587" s="38" t="inlineStr">
        <is>
          <t>Preixana</t>
        </is>
      </c>
      <c r="D587" s="42" t="inlineStr">
        <is>
          <t>38</t>
        </is>
      </c>
      <c r="E587" s="38" t="inlineStr">
        <is>
          <t>Urgell</t>
        </is>
      </c>
    </row>
    <row r="588" ht="15" customHeight="1" s="39">
      <c r="A588" s="38" t="inlineStr">
        <is>
          <t>[251771] Preixens</t>
        </is>
      </c>
      <c r="B588" s="42" t="inlineStr">
        <is>
          <t>251771</t>
        </is>
      </c>
      <c r="C588" s="38" t="inlineStr">
        <is>
          <t>Preixens</t>
        </is>
      </c>
      <c r="D588" s="42" t="inlineStr">
        <is>
          <t>23</t>
        </is>
      </c>
      <c r="E588" s="38" t="inlineStr">
        <is>
          <t>Noguera</t>
        </is>
      </c>
    </row>
    <row r="589" ht="15" customHeight="1" s="39">
      <c r="A589" s="38" t="inlineStr">
        <is>
          <t>[082303] Premià de Dalt</t>
        </is>
      </c>
      <c r="B589" s="42" t="inlineStr">
        <is>
          <t>082303</t>
        </is>
      </c>
      <c r="C589" s="38" t="inlineStr">
        <is>
          <t>Premià de Dalt</t>
        </is>
      </c>
      <c r="D589" s="42" t="inlineStr">
        <is>
          <t>21</t>
        </is>
      </c>
      <c r="E589" s="38" t="inlineStr">
        <is>
          <t>Maresme</t>
        </is>
      </c>
    </row>
    <row r="590" ht="15" customHeight="1" s="39">
      <c r="A590" s="38" t="inlineStr">
        <is>
          <t>[081727] Premià de Mar</t>
        </is>
      </c>
      <c r="B590" s="42" t="inlineStr">
        <is>
          <t>081727</t>
        </is>
      </c>
      <c r="C590" s="38" t="inlineStr">
        <is>
          <t>Premià de Mar</t>
        </is>
      </c>
      <c r="D590" s="42" t="inlineStr">
        <is>
          <t>21</t>
        </is>
      </c>
      <c r="E590" s="38" t="inlineStr">
        <is>
          <t>Maresme</t>
        </is>
      </c>
    </row>
    <row r="591" ht="15" customHeight="1" s="39">
      <c r="A591" s="38" t="inlineStr">
        <is>
          <t>[171390] Preses, les</t>
        </is>
      </c>
      <c r="B591" s="42" t="inlineStr">
        <is>
          <t>171390</t>
        </is>
      </c>
      <c r="C591" s="38" t="inlineStr">
        <is>
          <t>Preses, les</t>
        </is>
      </c>
      <c r="D591" s="42" t="inlineStr">
        <is>
          <t>19</t>
        </is>
      </c>
      <c r="E591" s="38" t="inlineStr">
        <is>
          <t>Garrotxa</t>
        </is>
      </c>
    </row>
    <row r="592" ht="15" customHeight="1" s="39">
      <c r="A592" s="38" t="inlineStr">
        <is>
          <t>[251790] Prullans</t>
        </is>
      </c>
      <c r="B592" s="42" t="inlineStr">
        <is>
          <t>251790</t>
        </is>
      </c>
      <c r="C592" s="38" t="inlineStr">
        <is>
          <t>Prullans</t>
        </is>
      </c>
      <c r="D592" s="42" t="inlineStr">
        <is>
          <t>15</t>
        </is>
      </c>
      <c r="E592" s="38" t="inlineStr">
        <is>
          <t>Cerdanya</t>
        </is>
      </c>
    </row>
    <row r="593" ht="15" customHeight="1" s="39">
      <c r="A593" s="38" t="inlineStr">
        <is>
          <t>[081751] Puig-reig</t>
        </is>
      </c>
      <c r="B593" s="42" t="inlineStr">
        <is>
          <t>081751</t>
        </is>
      </c>
      <c r="C593" s="38" t="inlineStr">
        <is>
          <t>Puig-reig</t>
        </is>
      </c>
      <c r="D593" s="42" t="inlineStr">
        <is>
          <t>14</t>
        </is>
      </c>
      <c r="E593" s="38" t="inlineStr">
        <is>
          <t>Berguedà</t>
        </is>
      </c>
    </row>
    <row r="594" ht="15" customHeight="1" s="39">
      <c r="A594" s="38" t="inlineStr">
        <is>
          <t>[171411] Puigcerdà</t>
        </is>
      </c>
      <c r="B594" s="42" t="inlineStr">
        <is>
          <t>171411</t>
        </is>
      </c>
      <c r="C594" s="38" t="inlineStr">
        <is>
          <t>Puigcerdà</t>
        </is>
      </c>
      <c r="D594" s="42" t="inlineStr">
        <is>
          <t>15</t>
        </is>
      </c>
      <c r="E594" s="38" t="inlineStr">
        <is>
          <t>Cerdanya</t>
        </is>
      </c>
    </row>
    <row r="595" ht="15" customHeight="1" s="39">
      <c r="A595" s="38" t="inlineStr">
        <is>
          <t>[081748] Puigdàlber</t>
        </is>
      </c>
      <c r="B595" s="42" t="inlineStr">
        <is>
          <t>081748</t>
        </is>
      </c>
      <c r="C595" s="38" t="inlineStr">
        <is>
          <t>Puigdàlber</t>
        </is>
      </c>
      <c r="D595" s="42" t="inlineStr">
        <is>
          <t>03</t>
        </is>
      </c>
      <c r="E595" s="38" t="inlineStr">
        <is>
          <t>Alt Penedès</t>
        </is>
      </c>
    </row>
    <row r="596" ht="15" customHeight="1" s="39">
      <c r="A596" s="38" t="inlineStr">
        <is>
          <t>[251804] Puiggròs</t>
        </is>
      </c>
      <c r="B596" s="42" t="inlineStr">
        <is>
          <t>251804</t>
        </is>
      </c>
      <c r="C596" s="38" t="inlineStr">
        <is>
          <t>Puiggròs</t>
        </is>
      </c>
      <c r="D596" s="42" t="inlineStr">
        <is>
          <t>18</t>
        </is>
      </c>
      <c r="E596" s="38" t="inlineStr">
        <is>
          <t>Garrigues</t>
        </is>
      </c>
    </row>
    <row r="597" ht="15" customHeight="1" s="39">
      <c r="A597" s="38" t="inlineStr">
        <is>
          <t>[431191] Puigpelat</t>
        </is>
      </c>
      <c r="B597" s="42" t="inlineStr">
        <is>
          <t>431191</t>
        </is>
      </c>
      <c r="C597" s="38" t="inlineStr">
        <is>
          <t>Puigpelat</t>
        </is>
      </c>
      <c r="D597" s="42" t="inlineStr">
        <is>
          <t>01</t>
        </is>
      </c>
      <c r="E597" s="38" t="inlineStr">
        <is>
          <t>Alt Camp</t>
        </is>
      </c>
    </row>
    <row r="598" ht="15" customHeight="1" s="39">
      <c r="A598" s="38" t="inlineStr">
        <is>
          <t>[251811] Puigverd d'Agramunt</t>
        </is>
      </c>
      <c r="B598" s="42" t="inlineStr">
        <is>
          <t>251811</t>
        </is>
      </c>
      <c r="C598" s="38" t="inlineStr">
        <is>
          <t>Puigverd d'Agramunt</t>
        </is>
      </c>
      <c r="D598" s="42" t="inlineStr">
        <is>
          <t>38</t>
        </is>
      </c>
      <c r="E598" s="38" t="inlineStr">
        <is>
          <t>Urgell</t>
        </is>
      </c>
    </row>
    <row r="599" ht="15" customHeight="1" s="39">
      <c r="A599" s="38" t="inlineStr">
        <is>
          <t>[251826] Puigverd de Lleida</t>
        </is>
      </c>
      <c r="B599" s="42" t="inlineStr">
        <is>
          <t>251826</t>
        </is>
      </c>
      <c r="C599" s="38" t="inlineStr">
        <is>
          <t>Puigverd de Lleida</t>
        </is>
      </c>
      <c r="D599" s="42" t="inlineStr">
        <is>
          <t>33</t>
        </is>
      </c>
      <c r="E599" s="38" t="inlineStr">
        <is>
          <t>Segrià</t>
        </is>
      </c>
    </row>
    <row r="600" ht="15" customHeight="1" s="39">
      <c r="A600" s="38" t="inlineStr">
        <is>
          <t>[081764] Pujalt</t>
        </is>
      </c>
      <c r="B600" s="42" t="inlineStr">
        <is>
          <t>081764</t>
        </is>
      </c>
      <c r="C600" s="38" t="inlineStr">
        <is>
          <t>Pujalt</t>
        </is>
      </c>
      <c r="D600" s="42" t="inlineStr">
        <is>
          <t>06</t>
        </is>
      </c>
      <c r="E600" s="38" t="inlineStr">
        <is>
          <t>Anoia</t>
        </is>
      </c>
    </row>
    <row r="601" ht="15" customHeight="1" s="39">
      <c r="A601" s="38" t="inlineStr">
        <is>
          <t>[081770] Quar, la</t>
        </is>
      </c>
      <c r="B601" s="42" t="inlineStr">
        <is>
          <t>081770</t>
        </is>
      </c>
      <c r="C601" s="38" t="inlineStr">
        <is>
          <t>Quar, la</t>
        </is>
      </c>
      <c r="D601" s="42" t="inlineStr">
        <is>
          <t>14</t>
        </is>
      </c>
      <c r="E601" s="38" t="inlineStr">
        <is>
          <t>Berguedà</t>
        </is>
      </c>
    </row>
    <row r="602" ht="15" customHeight="1" s="39">
      <c r="A602" s="38" t="inlineStr">
        <is>
          <t>[171426] Quart</t>
        </is>
      </c>
      <c r="B602" s="42" t="inlineStr">
        <is>
          <t>171426</t>
        </is>
      </c>
      <c r="C602" s="38" t="inlineStr">
        <is>
          <t>Quart</t>
        </is>
      </c>
      <c r="D602" s="42" t="inlineStr">
        <is>
          <t>20</t>
        </is>
      </c>
      <c r="E602" s="38" t="inlineStr">
        <is>
          <t>Gironès</t>
        </is>
      </c>
    </row>
    <row r="603" ht="15" customHeight="1" s="39">
      <c r="A603" s="38" t="inlineStr">
        <is>
          <t>[170433] Queralbs</t>
        </is>
      </c>
      <c r="B603" s="42" t="inlineStr">
        <is>
          <t>170433</t>
        </is>
      </c>
      <c r="C603" s="38" t="inlineStr">
        <is>
          <t>Queralbs</t>
        </is>
      </c>
      <c r="D603" s="42" t="inlineStr">
        <is>
          <t>31</t>
        </is>
      </c>
      <c r="E603" s="38" t="inlineStr">
        <is>
          <t>Ripollès</t>
        </is>
      </c>
    </row>
    <row r="604" ht="15" customHeight="1" s="39">
      <c r="A604" s="38" t="inlineStr">
        <is>
          <t>[431205] Querol</t>
        </is>
      </c>
      <c r="B604" s="42" t="inlineStr">
        <is>
          <t>431205</t>
        </is>
      </c>
      <c r="C604" s="38" t="inlineStr">
        <is>
          <t>Querol</t>
        </is>
      </c>
      <c r="D604" s="42" t="inlineStr">
        <is>
          <t>01</t>
        </is>
      </c>
      <c r="E604" s="38" t="inlineStr">
        <is>
          <t>Alt Camp</t>
        </is>
      </c>
    </row>
    <row r="605" ht="15" customHeight="1" s="39">
      <c r="A605" s="38" t="inlineStr">
        <is>
          <t>[171432] Rabós</t>
        </is>
      </c>
      <c r="B605" s="42" t="inlineStr">
        <is>
          <t>171432</t>
        </is>
      </c>
      <c r="C605" s="38" t="inlineStr">
        <is>
          <t>Rabós</t>
        </is>
      </c>
      <c r="D605" s="42" t="inlineStr">
        <is>
          <t>02</t>
        </is>
      </c>
      <c r="E605" s="38" t="inlineStr">
        <is>
          <t>Alt Empordà</t>
        </is>
      </c>
    </row>
    <row r="606" ht="15" customHeight="1" s="39">
      <c r="A606" s="38" t="inlineStr">
        <is>
          <t>[081786] Rajadell</t>
        </is>
      </c>
      <c r="B606" s="42" t="inlineStr">
        <is>
          <t>081786</t>
        </is>
      </c>
      <c r="C606" s="38" t="inlineStr">
        <is>
          <t>Rajadell</t>
        </is>
      </c>
      <c r="D606" s="42" t="inlineStr">
        <is>
          <t>07</t>
        </is>
      </c>
      <c r="E606" s="38" t="inlineStr">
        <is>
          <t>Bages</t>
        </is>
      </c>
    </row>
    <row r="607" ht="15" customHeight="1" s="39">
      <c r="A607" s="38" t="inlineStr">
        <is>
          <t>[431362] Ràpita, la</t>
        </is>
      </c>
      <c r="B607" s="42" t="inlineStr">
        <is>
          <t>431362</t>
        </is>
      </c>
      <c r="C607" s="38" t="inlineStr">
        <is>
          <t>Ràpita, la</t>
        </is>
      </c>
      <c r="D607" s="42" t="inlineStr">
        <is>
          <t>22</t>
        </is>
      </c>
      <c r="E607" s="38" t="inlineStr">
        <is>
          <t>Montsià</t>
        </is>
      </c>
    </row>
    <row r="608" ht="15" customHeight="1" s="39">
      <c r="A608" s="38" t="inlineStr">
        <is>
          <t>[431212] Rasquera</t>
        </is>
      </c>
      <c r="B608" s="42" t="inlineStr">
        <is>
          <t>431212</t>
        </is>
      </c>
      <c r="C608" s="38" t="inlineStr">
        <is>
          <t>Rasquera</t>
        </is>
      </c>
      <c r="D608" s="42" t="inlineStr">
        <is>
          <t>30</t>
        </is>
      </c>
      <c r="E608" s="38" t="inlineStr">
        <is>
          <t>Ribera d'Ebre</t>
        </is>
      </c>
    </row>
    <row r="609" ht="15" customHeight="1" s="39">
      <c r="A609" s="38" t="inlineStr">
        <is>
          <t>[171447] Regencós</t>
        </is>
      </c>
      <c r="B609" s="42" t="inlineStr">
        <is>
          <t>171447</t>
        </is>
      </c>
      <c r="C609" s="38" t="inlineStr">
        <is>
          <t>Regencós</t>
        </is>
      </c>
      <c r="D609" s="42" t="inlineStr">
        <is>
          <t>10</t>
        </is>
      </c>
      <c r="E609" s="38" t="inlineStr">
        <is>
          <t>Baix Empordà</t>
        </is>
      </c>
    </row>
    <row r="610" ht="15" customHeight="1" s="39">
      <c r="A610" s="38" t="inlineStr">
        <is>
          <t>[081799] Rellinars</t>
        </is>
      </c>
      <c r="B610" s="42" t="inlineStr">
        <is>
          <t>081799</t>
        </is>
      </c>
      <c r="C610" s="38" t="inlineStr">
        <is>
          <t>Rellinars</t>
        </is>
      </c>
      <c r="D610" s="42" t="inlineStr">
        <is>
          <t>40</t>
        </is>
      </c>
      <c r="E610" s="38" t="inlineStr">
        <is>
          <t>Vallès Occidental</t>
        </is>
      </c>
    </row>
    <row r="611" ht="15" customHeight="1" s="39">
      <c r="A611" s="38" t="inlineStr">
        <is>
          <t>[431227] Renau</t>
        </is>
      </c>
      <c r="B611" s="42" t="inlineStr">
        <is>
          <t>431227</t>
        </is>
      </c>
      <c r="C611" s="38" t="inlineStr">
        <is>
          <t>Renau</t>
        </is>
      </c>
      <c r="D611" s="42" t="inlineStr">
        <is>
          <t>36</t>
        </is>
      </c>
      <c r="E611" s="38" t="inlineStr">
        <is>
          <t>Tarragonès</t>
        </is>
      </c>
    </row>
    <row r="612" ht="15" customHeight="1" s="39">
      <c r="A612" s="38" t="inlineStr">
        <is>
          <t>[431233] Reus</t>
        </is>
      </c>
      <c r="B612" s="42" t="inlineStr">
        <is>
          <t>431233</t>
        </is>
      </c>
      <c r="C612" s="38" t="inlineStr">
        <is>
          <t>Reus</t>
        </is>
      </c>
      <c r="D612" s="42" t="inlineStr">
        <is>
          <t>08</t>
        </is>
      </c>
      <c r="E612" s="38" t="inlineStr">
        <is>
          <t>Baix Camp</t>
        </is>
      </c>
    </row>
    <row r="613" ht="15" customHeight="1" s="39">
      <c r="A613" s="38" t="inlineStr">
        <is>
          <t>[251832] Rialp</t>
        </is>
      </c>
      <c r="B613" s="42" t="inlineStr">
        <is>
          <t>251832</t>
        </is>
      </c>
      <c r="C613" s="38" t="inlineStr">
        <is>
          <t>Rialp</t>
        </is>
      </c>
      <c r="D613" s="42" t="inlineStr">
        <is>
          <t>26</t>
        </is>
      </c>
      <c r="E613" s="38" t="inlineStr">
        <is>
          <t>Pallars Sobirà</t>
        </is>
      </c>
    </row>
    <row r="614" ht="15" customHeight="1" s="39">
      <c r="A614" s="38" t="inlineStr">
        <is>
          <t>[431248] Riba, la</t>
        </is>
      </c>
      <c r="B614" s="42" t="inlineStr">
        <is>
          <t>431248</t>
        </is>
      </c>
      <c r="C614" s="38" t="inlineStr">
        <is>
          <t>Riba, la</t>
        </is>
      </c>
      <c r="D614" s="42" t="inlineStr">
        <is>
          <t>01</t>
        </is>
      </c>
      <c r="E614" s="38" t="inlineStr">
        <is>
          <t>Alt Camp</t>
        </is>
      </c>
    </row>
    <row r="615" ht="15" customHeight="1" s="39">
      <c r="A615" s="38" t="inlineStr">
        <is>
          <t>[431251] Riba-roja d'Ebre</t>
        </is>
      </c>
      <c r="B615" s="42" t="inlineStr">
        <is>
          <t>431251</t>
        </is>
      </c>
      <c r="C615" s="38" t="inlineStr">
        <is>
          <t>Riba-roja d'Ebre</t>
        </is>
      </c>
      <c r="D615" s="42" t="inlineStr">
        <is>
          <t>30</t>
        </is>
      </c>
      <c r="E615" s="38" t="inlineStr">
        <is>
          <t>Ribera d'Ebre</t>
        </is>
      </c>
    </row>
    <row r="616" ht="15" customHeight="1" s="39">
      <c r="A616" s="38" t="inlineStr">
        <is>
          <t>[259059] Ribera d'Ondara</t>
        </is>
      </c>
      <c r="B616" s="42" t="inlineStr">
        <is>
          <t>259059</t>
        </is>
      </c>
      <c r="C616" s="38" t="inlineStr">
        <is>
          <t>Ribera d'Ondara</t>
        </is>
      </c>
      <c r="D616" s="42" t="inlineStr">
        <is>
          <t>32</t>
        </is>
      </c>
      <c r="E616" s="38" t="inlineStr">
        <is>
          <t>Segarra</t>
        </is>
      </c>
    </row>
    <row r="617" ht="15" customHeight="1" s="39">
      <c r="A617" s="38" t="inlineStr">
        <is>
          <t>[251850] Ribera d'Urgellet</t>
        </is>
      </c>
      <c r="B617" s="42" t="inlineStr">
        <is>
          <t>251850</t>
        </is>
      </c>
      <c r="C617" s="38" t="inlineStr">
        <is>
          <t>Ribera d'Urgellet</t>
        </is>
      </c>
      <c r="D617" s="42" t="inlineStr">
        <is>
          <t>04</t>
        </is>
      </c>
      <c r="E617" s="38" t="inlineStr">
        <is>
          <t>Alt Urgell</t>
        </is>
      </c>
    </row>
    <row r="618" ht="15" customHeight="1" s="39">
      <c r="A618" s="38" t="inlineStr">
        <is>
          <t>[171450] Ribes de Freser</t>
        </is>
      </c>
      <c r="B618" s="42" t="inlineStr">
        <is>
          <t>171450</t>
        </is>
      </c>
      <c r="C618" s="38" t="inlineStr">
        <is>
          <t>Ribes de Freser</t>
        </is>
      </c>
      <c r="D618" s="42" t="inlineStr">
        <is>
          <t>31</t>
        </is>
      </c>
      <c r="E618" s="38" t="inlineStr">
        <is>
          <t>Ripollès</t>
        </is>
      </c>
    </row>
    <row r="619" ht="15" customHeight="1" s="39">
      <c r="A619" s="38" t="inlineStr">
        <is>
          <t>[171463] Riells i Viabrea</t>
        </is>
      </c>
      <c r="B619" s="42" t="inlineStr">
        <is>
          <t>171463</t>
        </is>
      </c>
      <c r="C619" s="38" t="inlineStr">
        <is>
          <t>Riells i Viabrea</t>
        </is>
      </c>
      <c r="D619" s="42" t="inlineStr">
        <is>
          <t>34</t>
        </is>
      </c>
      <c r="E619" s="38" t="inlineStr">
        <is>
          <t>Selva</t>
        </is>
      </c>
    </row>
    <row r="620" ht="15" customHeight="1" s="39">
      <c r="A620" s="38" t="inlineStr">
        <is>
          <t>[431264] Riera de Gaià, la</t>
        </is>
      </c>
      <c r="B620" s="42" t="inlineStr">
        <is>
          <t>431264</t>
        </is>
      </c>
      <c r="C620" s="38" t="inlineStr">
        <is>
          <t>Riera de Gaià, la</t>
        </is>
      </c>
      <c r="D620" s="42" t="inlineStr">
        <is>
          <t>36</t>
        </is>
      </c>
      <c r="E620" s="38" t="inlineStr">
        <is>
          <t>Tarragonès</t>
        </is>
      </c>
    </row>
    <row r="621" ht="15" customHeight="1" s="39">
      <c r="A621" s="38" t="inlineStr">
        <is>
          <t>[251863] Riner</t>
        </is>
      </c>
      <c r="B621" s="42" t="inlineStr">
        <is>
          <t>251863</t>
        </is>
      </c>
      <c r="C621" s="38" t="inlineStr">
        <is>
          <t>Riner</t>
        </is>
      </c>
      <c r="D621" s="42" t="inlineStr">
        <is>
          <t>35</t>
        </is>
      </c>
      <c r="E621" s="38" t="inlineStr">
        <is>
          <t>Solsonès</t>
        </is>
      </c>
    </row>
    <row r="622" ht="15" customHeight="1" s="39">
      <c r="A622" s="38" t="inlineStr">
        <is>
          <t>[171479] Ripoll</t>
        </is>
      </c>
      <c r="B622" s="42" t="inlineStr">
        <is>
          <t>171479</t>
        </is>
      </c>
      <c r="C622" s="38" t="inlineStr">
        <is>
          <t>Ripoll</t>
        </is>
      </c>
      <c r="D622" s="42" t="inlineStr">
        <is>
          <t>31</t>
        </is>
      </c>
      <c r="E622" s="38" t="inlineStr">
        <is>
          <t>Ripollès</t>
        </is>
      </c>
    </row>
    <row r="623" ht="15" customHeight="1" s="39">
      <c r="A623" s="38" t="inlineStr">
        <is>
          <t>[081803] Ripollet</t>
        </is>
      </c>
      <c r="B623" s="42" t="inlineStr">
        <is>
          <t>081803</t>
        </is>
      </c>
      <c r="C623" s="38" t="inlineStr">
        <is>
          <t>Ripollet</t>
        </is>
      </c>
      <c r="D623" s="42" t="inlineStr">
        <is>
          <t>40</t>
        </is>
      </c>
      <c r="E623" s="38" t="inlineStr">
        <is>
          <t>Vallès Occidental</t>
        </is>
      </c>
    </row>
    <row r="624" ht="15" customHeight="1" s="39">
      <c r="A624" s="38" t="inlineStr">
        <is>
          <t>[259139] Riu de Cerdanya</t>
        </is>
      </c>
      <c r="B624" s="42" t="inlineStr">
        <is>
          <t>259139</t>
        </is>
      </c>
      <c r="C624" s="38" t="inlineStr">
        <is>
          <t>Riu de Cerdanya</t>
        </is>
      </c>
      <c r="D624" s="42" t="inlineStr">
        <is>
          <t>15</t>
        </is>
      </c>
      <c r="E624" s="38" t="inlineStr">
        <is>
          <t>Cerdanya</t>
        </is>
      </c>
    </row>
    <row r="625" ht="15" customHeight="1" s="39">
      <c r="A625" s="38" t="inlineStr">
        <is>
          <t>[171485] Riudarenes</t>
        </is>
      </c>
      <c r="B625" s="42" t="inlineStr">
        <is>
          <t>171485</t>
        </is>
      </c>
      <c r="C625" s="38" t="inlineStr">
        <is>
          <t>Riudarenes</t>
        </is>
      </c>
      <c r="D625" s="42" t="inlineStr">
        <is>
          <t>34</t>
        </is>
      </c>
      <c r="E625" s="38" t="inlineStr">
        <is>
          <t>Selva</t>
        </is>
      </c>
    </row>
    <row r="626" ht="15" customHeight="1" s="39">
      <c r="A626" s="38" t="inlineStr">
        <is>
          <t>[171498] Riudaura</t>
        </is>
      </c>
      <c r="B626" s="42" t="inlineStr">
        <is>
          <t>171498</t>
        </is>
      </c>
      <c r="C626" s="38" t="inlineStr">
        <is>
          <t>Riudaura</t>
        </is>
      </c>
      <c r="D626" s="42" t="inlineStr">
        <is>
          <t>19</t>
        </is>
      </c>
      <c r="E626" s="38" t="inlineStr">
        <is>
          <t>Garrotxa</t>
        </is>
      </c>
    </row>
    <row r="627" ht="15" customHeight="1" s="39">
      <c r="A627" s="38" t="inlineStr">
        <is>
          <t>[431270] Riudecanyes</t>
        </is>
      </c>
      <c r="B627" s="42" t="inlineStr">
        <is>
          <t>431270</t>
        </is>
      </c>
      <c r="C627" s="38" t="inlineStr">
        <is>
          <t>Riudecanyes</t>
        </is>
      </c>
      <c r="D627" s="42" t="inlineStr">
        <is>
          <t>08</t>
        </is>
      </c>
      <c r="E627" s="38" t="inlineStr">
        <is>
          <t>Baix Camp</t>
        </is>
      </c>
    </row>
    <row r="628" ht="15" customHeight="1" s="39">
      <c r="A628" s="38" t="inlineStr">
        <is>
          <t>[431286] Riudecols</t>
        </is>
      </c>
      <c r="B628" s="42" t="inlineStr">
        <is>
          <t>431286</t>
        </is>
      </c>
      <c r="C628" s="38" t="inlineStr">
        <is>
          <t>Riudecols</t>
        </is>
      </c>
      <c r="D628" s="42" t="inlineStr">
        <is>
          <t>08</t>
        </is>
      </c>
      <c r="E628" s="38" t="inlineStr">
        <is>
          <t>Baix Camp</t>
        </is>
      </c>
    </row>
    <row r="629" ht="15" customHeight="1" s="39">
      <c r="A629" s="38" t="inlineStr">
        <is>
          <t>[171501] Riudellots de la Selva</t>
        </is>
      </c>
      <c r="B629" s="42" t="inlineStr">
        <is>
          <t>171501</t>
        </is>
      </c>
      <c r="C629" s="38" t="inlineStr">
        <is>
          <t>Riudellots de la Selva</t>
        </is>
      </c>
      <c r="D629" s="42" t="inlineStr">
        <is>
          <t>34</t>
        </is>
      </c>
      <c r="E629" s="38" t="inlineStr">
        <is>
          <t>Selva</t>
        </is>
      </c>
    </row>
    <row r="630" ht="15" customHeight="1" s="39">
      <c r="A630" s="38" t="inlineStr">
        <is>
          <t>[431299] Riudoms</t>
        </is>
      </c>
      <c r="B630" s="42" t="inlineStr">
        <is>
          <t>431299</t>
        </is>
      </c>
      <c r="C630" s="38" t="inlineStr">
        <is>
          <t>Riudoms</t>
        </is>
      </c>
      <c r="D630" s="42" t="inlineStr">
        <is>
          <t>08</t>
        </is>
      </c>
      <c r="E630" s="38" t="inlineStr">
        <is>
          <t>Baix Camp</t>
        </is>
      </c>
    </row>
    <row r="631" ht="15" customHeight="1" s="39">
      <c r="A631" s="38" t="inlineStr">
        <is>
          <t>[171518] Riumors</t>
        </is>
      </c>
      <c r="B631" s="42" t="inlineStr">
        <is>
          <t>171518</t>
        </is>
      </c>
      <c r="C631" s="38" t="inlineStr">
        <is>
          <t>Riumors</t>
        </is>
      </c>
      <c r="D631" s="42" t="inlineStr">
        <is>
          <t>02</t>
        </is>
      </c>
      <c r="E631" s="38" t="inlineStr">
        <is>
          <t>Alt Empordà</t>
        </is>
      </c>
    </row>
    <row r="632" ht="15" customHeight="1" s="39">
      <c r="A632" s="38" t="inlineStr">
        <is>
          <t>[081810] Roca del Vallès, la</t>
        </is>
      </c>
      <c r="B632" s="42" t="inlineStr">
        <is>
          <t>081810</t>
        </is>
      </c>
      <c r="C632" s="38" t="inlineStr">
        <is>
          <t>Roca del Vallès, la</t>
        </is>
      </c>
      <c r="D632" s="42" t="inlineStr">
        <is>
          <t>41</t>
        </is>
      </c>
      <c r="E632" s="38" t="inlineStr">
        <is>
          <t>Vallès Oriental</t>
        </is>
      </c>
    </row>
    <row r="633" ht="15" customHeight="1" s="39">
      <c r="A633" s="38" t="inlineStr">
        <is>
          <t>[431303] Rocafort de Queralt</t>
        </is>
      </c>
      <c r="B633" s="42" t="inlineStr">
        <is>
          <t>431303</t>
        </is>
      </c>
      <c r="C633" s="38" t="inlineStr">
        <is>
          <t>Rocafort de Queralt</t>
        </is>
      </c>
      <c r="D633" s="42" t="inlineStr">
        <is>
          <t>16</t>
        </is>
      </c>
      <c r="E633" s="38" t="inlineStr">
        <is>
          <t>Conca de Barberà</t>
        </is>
      </c>
    </row>
    <row r="634" ht="15" customHeight="1" s="39">
      <c r="A634" s="38" t="inlineStr">
        <is>
          <t>[431310] Roda de Berà</t>
        </is>
      </c>
      <c r="B634" s="42" t="inlineStr">
        <is>
          <t>431310</t>
        </is>
      </c>
      <c r="C634" s="38" t="inlineStr">
        <is>
          <t>Roda de Berà</t>
        </is>
      </c>
      <c r="D634" s="42" t="inlineStr">
        <is>
          <t>36</t>
        </is>
      </c>
      <c r="E634" s="38" t="inlineStr">
        <is>
          <t>Tarragonès</t>
        </is>
      </c>
    </row>
    <row r="635" ht="15" customHeight="1" s="39">
      <c r="A635" s="38" t="inlineStr">
        <is>
          <t>[081831] Roda de Ter</t>
        </is>
      </c>
      <c r="B635" s="42" t="inlineStr">
        <is>
          <t>081831</t>
        </is>
      </c>
      <c r="C635" s="38" t="inlineStr">
        <is>
          <t>Roda de Ter</t>
        </is>
      </c>
      <c r="D635" s="42" t="inlineStr">
        <is>
          <t>24</t>
        </is>
      </c>
      <c r="E635" s="38" t="inlineStr">
        <is>
          <t>Osona</t>
        </is>
      </c>
    </row>
    <row r="636" ht="15" customHeight="1" s="39">
      <c r="A636" s="38" t="inlineStr">
        <is>
          <t>[431325] Rodonyà</t>
        </is>
      </c>
      <c r="B636" s="42" t="inlineStr">
        <is>
          <t>431325</t>
        </is>
      </c>
      <c r="C636" s="38" t="inlineStr">
        <is>
          <t>Rodonyà</t>
        </is>
      </c>
      <c r="D636" s="42" t="inlineStr">
        <is>
          <t>01</t>
        </is>
      </c>
      <c r="E636" s="38" t="inlineStr">
        <is>
          <t>Alt Camp</t>
        </is>
      </c>
    </row>
    <row r="637" ht="15" customHeight="1" s="39">
      <c r="A637" s="38" t="inlineStr">
        <is>
          <t>[431331] Roquetes</t>
        </is>
      </c>
      <c r="B637" s="42" t="inlineStr">
        <is>
          <t>431331</t>
        </is>
      </c>
      <c r="C637" s="38" t="inlineStr">
        <is>
          <t>Roquetes</t>
        </is>
      </c>
      <c r="D637" s="42" t="inlineStr">
        <is>
          <t>09</t>
        </is>
      </c>
      <c r="E637" s="38" t="inlineStr">
        <is>
          <t>Baix Ebre</t>
        </is>
      </c>
    </row>
    <row r="638" ht="15" customHeight="1" s="39">
      <c r="A638" s="38" t="inlineStr">
        <is>
          <t>[171523] Roses</t>
        </is>
      </c>
      <c r="B638" s="42" t="inlineStr">
        <is>
          <t>171523</t>
        </is>
      </c>
      <c r="C638" s="38" t="inlineStr">
        <is>
          <t>Roses</t>
        </is>
      </c>
      <c r="D638" s="42" t="inlineStr">
        <is>
          <t>02</t>
        </is>
      </c>
      <c r="E638" s="38" t="inlineStr">
        <is>
          <t>Alt Empordà</t>
        </is>
      </c>
    </row>
    <row r="639" ht="15" customHeight="1" s="39">
      <c r="A639" s="38" t="inlineStr">
        <is>
          <t>[251898] Rosselló</t>
        </is>
      </c>
      <c r="B639" s="42" t="inlineStr">
        <is>
          <t>251898</t>
        </is>
      </c>
      <c r="C639" s="38" t="inlineStr">
        <is>
          <t>Rosselló</t>
        </is>
      </c>
      <c r="D639" s="42" t="inlineStr">
        <is>
          <t>33</t>
        </is>
      </c>
      <c r="E639" s="38" t="inlineStr">
        <is>
          <t>Segrià</t>
        </is>
      </c>
    </row>
    <row r="640" ht="15" customHeight="1" s="39">
      <c r="A640" s="38" t="inlineStr">
        <is>
          <t>[431346] Rourell, el</t>
        </is>
      </c>
      <c r="B640" s="42" t="inlineStr">
        <is>
          <t>431346</t>
        </is>
      </c>
      <c r="C640" s="38" t="inlineStr">
        <is>
          <t>Rourell, el</t>
        </is>
      </c>
      <c r="D640" s="42" t="inlineStr">
        <is>
          <t>01</t>
        </is>
      </c>
      <c r="E640" s="38" t="inlineStr">
        <is>
          <t>Alt Camp</t>
        </is>
      </c>
    </row>
    <row r="641" ht="15" customHeight="1" s="39">
      <c r="A641" s="38" t="inlineStr">
        <is>
          <t>[081846] Rubí</t>
        </is>
      </c>
      <c r="B641" s="42" t="inlineStr">
        <is>
          <t>081846</t>
        </is>
      </c>
      <c r="C641" s="38" t="inlineStr">
        <is>
          <t>Rubí</t>
        </is>
      </c>
      <c r="D641" s="42" t="inlineStr">
        <is>
          <t>40</t>
        </is>
      </c>
      <c r="E641" s="38" t="inlineStr">
        <is>
          <t>Vallès Occidental</t>
        </is>
      </c>
    </row>
    <row r="642" ht="15" customHeight="1" s="39">
      <c r="A642" s="38" t="inlineStr">
        <is>
          <t>[081859] Rubió</t>
        </is>
      </c>
      <c r="B642" s="42" t="inlineStr">
        <is>
          <t>081859</t>
        </is>
      </c>
      <c r="C642" s="38" t="inlineStr">
        <is>
          <t>Rubió</t>
        </is>
      </c>
      <c r="D642" s="42" t="inlineStr">
        <is>
          <t>06</t>
        </is>
      </c>
      <c r="E642" s="38" t="inlineStr">
        <is>
          <t>Anoia</t>
        </is>
      </c>
    </row>
    <row r="643" ht="15" customHeight="1" s="39">
      <c r="A643" s="38" t="inlineStr">
        <is>
          <t>[171539] Rupià</t>
        </is>
      </c>
      <c r="B643" s="42" t="inlineStr">
        <is>
          <t>171539</t>
        </is>
      </c>
      <c r="C643" s="38" t="inlineStr">
        <is>
          <t>Rupià</t>
        </is>
      </c>
      <c r="D643" s="42" t="inlineStr">
        <is>
          <t>10</t>
        </is>
      </c>
      <c r="E643" s="38" t="inlineStr">
        <is>
          <t>Baix Empordà</t>
        </is>
      </c>
    </row>
    <row r="644" ht="15" customHeight="1" s="39">
      <c r="A644" s="38" t="inlineStr">
        <is>
          <t>[089019] Rupit i Pruit</t>
        </is>
      </c>
      <c r="B644" s="42" t="inlineStr">
        <is>
          <t>089019</t>
        </is>
      </c>
      <c r="C644" s="38" t="inlineStr">
        <is>
          <t>Rupit i Pruit</t>
        </is>
      </c>
      <c r="D644" s="42" t="inlineStr">
        <is>
          <t>24</t>
        </is>
      </c>
      <c r="E644" s="38" t="inlineStr">
        <is>
          <t>Osona</t>
        </is>
      </c>
    </row>
    <row r="645" ht="15" customHeight="1" s="39">
      <c r="A645" s="38" t="inlineStr">
        <is>
          <t>[081878] Sabadell</t>
        </is>
      </c>
      <c r="B645" s="42" t="inlineStr">
        <is>
          <t>081878</t>
        </is>
      </c>
      <c r="C645" s="38" t="inlineStr">
        <is>
          <t>Sabadell</t>
        </is>
      </c>
      <c r="D645" s="42" t="inlineStr">
        <is>
          <t>40</t>
        </is>
      </c>
      <c r="E645" s="38" t="inlineStr">
        <is>
          <t>Vallès Occidental</t>
        </is>
      </c>
    </row>
    <row r="646" ht="15" customHeight="1" s="39">
      <c r="A646" s="38" t="inlineStr">
        <is>
          <t>[081884] Sagàs</t>
        </is>
      </c>
      <c r="B646" s="42" t="inlineStr">
        <is>
          <t>081884</t>
        </is>
      </c>
      <c r="C646" s="38" t="inlineStr">
        <is>
          <t>Sagàs</t>
        </is>
      </c>
      <c r="D646" s="42" t="inlineStr">
        <is>
          <t>14</t>
        </is>
      </c>
      <c r="E646" s="38" t="inlineStr">
        <is>
          <t>Berguedà</t>
        </is>
      </c>
    </row>
    <row r="647" ht="15" customHeight="1" s="39">
      <c r="A647" s="38" t="inlineStr">
        <is>
          <t>[251902] Salàs de Pallars</t>
        </is>
      </c>
      <c r="B647" s="42" t="inlineStr">
        <is>
          <t>251902</t>
        </is>
      </c>
      <c r="C647" s="38" t="inlineStr">
        <is>
          <t>Salàs de Pallars</t>
        </is>
      </c>
      <c r="D647" s="42" t="inlineStr">
        <is>
          <t>25</t>
        </is>
      </c>
      <c r="E647" s="38" t="inlineStr">
        <is>
          <t>Pallars Jussà</t>
        </is>
      </c>
    </row>
    <row r="648" ht="15" customHeight="1" s="39">
      <c r="A648" s="38" t="inlineStr">
        <is>
          <t>[081901] Saldes</t>
        </is>
      </c>
      <c r="B648" s="42" t="inlineStr">
        <is>
          <t>081901</t>
        </is>
      </c>
      <c r="C648" s="38" t="inlineStr">
        <is>
          <t>Saldes</t>
        </is>
      </c>
      <c r="D648" s="42" t="inlineStr">
        <is>
          <t>14</t>
        </is>
      </c>
      <c r="E648" s="38" t="inlineStr">
        <is>
          <t>Berguedà</t>
        </is>
      </c>
    </row>
    <row r="649" ht="15" customHeight="1" s="39">
      <c r="A649" s="38" t="inlineStr">
        <is>
          <t>[171544] Sales de Llierca</t>
        </is>
      </c>
      <c r="B649" s="42" t="inlineStr">
        <is>
          <t>171544</t>
        </is>
      </c>
      <c r="C649" s="38" t="inlineStr">
        <is>
          <t>Sales de Llierca</t>
        </is>
      </c>
      <c r="D649" s="42" t="inlineStr">
        <is>
          <t>19</t>
        </is>
      </c>
      <c r="E649" s="38" t="inlineStr">
        <is>
          <t>Garrotxa</t>
        </is>
      </c>
    </row>
    <row r="650" ht="15" customHeight="1" s="39">
      <c r="A650" s="38" t="inlineStr">
        <is>
          <t>[081918] Sallent</t>
        </is>
      </c>
      <c r="B650" s="42" t="inlineStr">
        <is>
          <t>081918</t>
        </is>
      </c>
      <c r="C650" s="38" t="inlineStr">
        <is>
          <t>Sallent</t>
        </is>
      </c>
      <c r="D650" s="42" t="inlineStr">
        <is>
          <t>07</t>
        </is>
      </c>
      <c r="E650" s="38" t="inlineStr">
        <is>
          <t>Bages</t>
        </is>
      </c>
    </row>
    <row r="651" ht="15" customHeight="1" s="39">
      <c r="A651" s="38" t="inlineStr">
        <is>
          <t>[431359] Salomó</t>
        </is>
      </c>
      <c r="B651" s="42" t="inlineStr">
        <is>
          <t>431359</t>
        </is>
      </c>
      <c r="C651" s="38" t="inlineStr">
        <is>
          <t>Salomó</t>
        </is>
      </c>
      <c r="D651" s="42" t="inlineStr">
        <is>
          <t>36</t>
        </is>
      </c>
      <c r="E651" s="38" t="inlineStr">
        <is>
          <t>Tarragonès</t>
        </is>
      </c>
    </row>
    <row r="652" ht="15" customHeight="1" s="39">
      <c r="A652" s="38" t="inlineStr">
        <is>
          <t>[439057] Salou</t>
        </is>
      </c>
      <c r="B652" s="42" t="inlineStr">
        <is>
          <t>439057</t>
        </is>
      </c>
      <c r="C652" s="38" t="inlineStr">
        <is>
          <t>Salou</t>
        </is>
      </c>
      <c r="D652" s="42" t="inlineStr">
        <is>
          <t>36</t>
        </is>
      </c>
      <c r="E652" s="38" t="inlineStr">
        <is>
          <t>Tarragonès</t>
        </is>
      </c>
    </row>
    <row r="653" ht="15" customHeight="1" s="39">
      <c r="A653" s="38" t="inlineStr">
        <is>
          <t>[171557] Salt</t>
        </is>
      </c>
      <c r="B653" s="42" t="inlineStr">
        <is>
          <t>171557</t>
        </is>
      </c>
      <c r="C653" s="38" t="inlineStr">
        <is>
          <t>Salt</t>
        </is>
      </c>
      <c r="D653" s="42" t="inlineStr">
        <is>
          <t>20</t>
        </is>
      </c>
      <c r="E653" s="38" t="inlineStr">
        <is>
          <t>Gironès</t>
        </is>
      </c>
    </row>
    <row r="654" ht="15" customHeight="1" s="39">
      <c r="A654" s="38" t="inlineStr">
        <is>
          <t>[251919] Sanaüja</t>
        </is>
      </c>
      <c r="B654" s="42" t="inlineStr">
        <is>
          <t>251919</t>
        </is>
      </c>
      <c r="C654" s="38" t="inlineStr">
        <is>
          <t>Sanaüja</t>
        </is>
      </c>
      <c r="D654" s="42" t="inlineStr">
        <is>
          <t>32</t>
        </is>
      </c>
      <c r="E654" s="38" t="inlineStr">
        <is>
          <t>Segarra</t>
        </is>
      </c>
    </row>
    <row r="655" ht="15" customHeight="1" s="39">
      <c r="A655" s="38" t="inlineStr">
        <is>
          <t>[081944] Sant Adrià de Besòs</t>
        </is>
      </c>
      <c r="B655" s="42" t="inlineStr">
        <is>
          <t>081944</t>
        </is>
      </c>
      <c r="C655" s="38" t="inlineStr">
        <is>
          <t>Sant Adrià de Besòs</t>
        </is>
      </c>
      <c r="D655" s="42" t="inlineStr">
        <is>
          <t>13</t>
        </is>
      </c>
      <c r="E655" s="38" t="inlineStr">
        <is>
          <t>Barcelonès</t>
        </is>
      </c>
    </row>
    <row r="656" ht="15" customHeight="1" s="39">
      <c r="A656" s="38" t="inlineStr">
        <is>
          <t>[081957] Sant Agustí de Lluçanès</t>
        </is>
      </c>
      <c r="B656" s="42" t="inlineStr">
        <is>
          <t>081957</t>
        </is>
      </c>
      <c r="C656" s="38" t="inlineStr">
        <is>
          <t>Sant Agustí de Lluçanès</t>
        </is>
      </c>
      <c r="D656" s="42" t="inlineStr">
        <is>
          <t>24</t>
        </is>
      </c>
      <c r="E656" s="38" t="inlineStr">
        <is>
          <t>Osona</t>
        </is>
      </c>
    </row>
    <row r="657" ht="15" customHeight="1" s="39">
      <c r="A657" s="38" t="inlineStr">
        <is>
          <t>[081960] Sant Andreu de la Barca</t>
        </is>
      </c>
      <c r="B657" s="42" t="inlineStr">
        <is>
          <t>081960</t>
        </is>
      </c>
      <c r="C657" s="38" t="inlineStr">
        <is>
          <t>Sant Andreu de la Barca</t>
        </is>
      </c>
      <c r="D657" s="42" t="inlineStr">
        <is>
          <t>11</t>
        </is>
      </c>
      <c r="E657" s="38" t="inlineStr">
        <is>
          <t>Baix Llobregat</t>
        </is>
      </c>
    </row>
    <row r="658" ht="15" customHeight="1" s="39">
      <c r="A658" s="38" t="inlineStr">
        <is>
          <t>[081976] Sant Andreu de Llavaneres</t>
        </is>
      </c>
      <c r="B658" s="42" t="inlineStr">
        <is>
          <t>081976</t>
        </is>
      </c>
      <c r="C658" s="38" t="inlineStr">
        <is>
          <t>Sant Andreu de Llavaneres</t>
        </is>
      </c>
      <c r="D658" s="42" t="inlineStr">
        <is>
          <t>21</t>
        </is>
      </c>
      <c r="E658" s="38" t="inlineStr">
        <is>
          <t>Maresme</t>
        </is>
      </c>
    </row>
    <row r="659" ht="15" customHeight="1" s="39">
      <c r="A659" s="38" t="inlineStr">
        <is>
          <t>[171576] Sant Andreu Salou</t>
        </is>
      </c>
      <c r="B659" s="42" t="inlineStr">
        <is>
          <t>171576</t>
        </is>
      </c>
      <c r="C659" s="38" t="inlineStr">
        <is>
          <t>Sant Andreu Salou</t>
        </is>
      </c>
      <c r="D659" s="42" t="inlineStr">
        <is>
          <t>20</t>
        </is>
      </c>
      <c r="E659" s="38" t="inlineStr">
        <is>
          <t>Gironès</t>
        </is>
      </c>
    </row>
    <row r="660" ht="15" customHeight="1" s="39">
      <c r="A660" s="38" t="inlineStr">
        <is>
          <t>[171833] Sant Aniol de Finestres</t>
        </is>
      </c>
      <c r="B660" s="42" t="inlineStr">
        <is>
          <t>171833</t>
        </is>
      </c>
      <c r="C660" s="38" t="inlineStr">
        <is>
          <t>Sant Aniol de Finestres</t>
        </is>
      </c>
      <c r="D660" s="42" t="inlineStr">
        <is>
          <t>19</t>
        </is>
      </c>
      <c r="E660" s="38" t="inlineStr">
        <is>
          <t>Garrotxa</t>
        </is>
      </c>
    </row>
    <row r="661" ht="15" customHeight="1" s="39">
      <c r="A661" s="38" t="inlineStr">
        <is>
          <t>[081982] Sant Antoni de Vilamajor</t>
        </is>
      </c>
      <c r="B661" s="42" t="inlineStr">
        <is>
          <t>081982</t>
        </is>
      </c>
      <c r="C661" s="38" t="inlineStr">
        <is>
          <t>Sant Antoni de Vilamajor</t>
        </is>
      </c>
      <c r="D661" s="42" t="inlineStr">
        <is>
          <t>41</t>
        </is>
      </c>
      <c r="E661" s="38" t="inlineStr">
        <is>
          <t>Vallès Oriental</t>
        </is>
      </c>
    </row>
    <row r="662" ht="15" customHeight="1" s="39">
      <c r="A662" s="38" t="inlineStr">
        <is>
          <t>[081995] Sant Bartomeu del Grau</t>
        </is>
      </c>
      <c r="B662" s="42" t="inlineStr">
        <is>
          <t>081995</t>
        </is>
      </c>
      <c r="C662" s="38" t="inlineStr">
        <is>
          <t>Sant Bartomeu del Grau</t>
        </is>
      </c>
      <c r="D662" s="42" t="inlineStr">
        <is>
          <t>24</t>
        </is>
      </c>
      <c r="E662" s="38" t="inlineStr">
        <is>
          <t>Osona</t>
        </is>
      </c>
    </row>
    <row r="663" ht="15" customHeight="1" s="39">
      <c r="A663" s="38" t="inlineStr">
        <is>
          <t>[082009] Sant Boi de Llobregat</t>
        </is>
      </c>
      <c r="B663" s="42" t="inlineStr">
        <is>
          <t>082009</t>
        </is>
      </c>
      <c r="C663" s="38" t="inlineStr">
        <is>
          <t>Sant Boi de Llobregat</t>
        </is>
      </c>
      <c r="D663" s="42" t="inlineStr">
        <is>
          <t>11</t>
        </is>
      </c>
      <c r="E663" s="38" t="inlineStr">
        <is>
          <t>Baix Llobregat</t>
        </is>
      </c>
    </row>
    <row r="664" ht="15" customHeight="1" s="39">
      <c r="A664" s="38" t="inlineStr">
        <is>
          <t>[082016] Sant Boi de Lluçanès</t>
        </is>
      </c>
      <c r="B664" s="42" t="inlineStr">
        <is>
          <t>082016</t>
        </is>
      </c>
      <c r="C664" s="38" t="inlineStr">
        <is>
          <t>Sant Boi de Lluçanès</t>
        </is>
      </c>
      <c r="D664" s="42" t="inlineStr">
        <is>
          <t>24</t>
        </is>
      </c>
      <c r="E664" s="38" t="inlineStr">
        <is>
          <t>Osona</t>
        </is>
      </c>
    </row>
    <row r="665" ht="15" customHeight="1" s="39">
      <c r="A665" s="38" t="inlineStr">
        <is>
          <t>[082037] Sant Cebrià de Vallalta</t>
        </is>
      </c>
      <c r="B665" s="42" t="inlineStr">
        <is>
          <t>082037</t>
        </is>
      </c>
      <c r="C665" s="38" t="inlineStr">
        <is>
          <t>Sant Cebrià de Vallalta</t>
        </is>
      </c>
      <c r="D665" s="42" t="inlineStr">
        <is>
          <t>21</t>
        </is>
      </c>
      <c r="E665" s="38" t="inlineStr">
        <is>
          <t>Maresme</t>
        </is>
      </c>
    </row>
    <row r="666" ht="15" customHeight="1" s="39">
      <c r="A666" s="38" t="inlineStr">
        <is>
          <t>[082021] Sant Celoni</t>
        </is>
      </c>
      <c r="B666" s="42" t="inlineStr">
        <is>
          <t>082021</t>
        </is>
      </c>
      <c r="C666" s="38" t="inlineStr">
        <is>
          <t>Sant Celoni</t>
        </is>
      </c>
      <c r="D666" s="42" t="inlineStr">
        <is>
          <t>41</t>
        </is>
      </c>
      <c r="E666" s="38" t="inlineStr">
        <is>
          <t>Vallès Oriental</t>
        </is>
      </c>
    </row>
    <row r="667" ht="15" customHeight="1" s="39">
      <c r="A667" s="38" t="inlineStr">
        <is>
          <t>[082042] Sant Climent de Llobregat</t>
        </is>
      </c>
      <c r="B667" s="42" t="inlineStr">
        <is>
          <t>082042</t>
        </is>
      </c>
      <c r="C667" s="38" t="inlineStr">
        <is>
          <t>Sant Climent de Llobregat</t>
        </is>
      </c>
      <c r="D667" s="42" t="inlineStr">
        <is>
          <t>11</t>
        </is>
      </c>
      <c r="E667" s="38" t="inlineStr">
        <is>
          <t>Baix Llobregat</t>
        </is>
      </c>
    </row>
    <row r="668" ht="15" customHeight="1" s="39">
      <c r="A668" s="38" t="inlineStr">
        <is>
          <t>[171582] Sant Climent Sescebes</t>
        </is>
      </c>
      <c r="B668" s="42" t="inlineStr">
        <is>
          <t>171582</t>
        </is>
      </c>
      <c r="C668" s="38" t="inlineStr">
        <is>
          <t>Sant Climent Sescebes</t>
        </is>
      </c>
      <c r="D668" s="42" t="inlineStr">
        <is>
          <t>02</t>
        </is>
      </c>
      <c r="E668" s="38" t="inlineStr">
        <is>
          <t>Alt Empordà</t>
        </is>
      </c>
    </row>
    <row r="669" ht="15" customHeight="1" s="39">
      <c r="A669" s="38" t="inlineStr">
        <is>
          <t>[082055] Sant Cugat del Vallès</t>
        </is>
      </c>
      <c r="B669" s="42" t="inlineStr">
        <is>
          <t>082055</t>
        </is>
      </c>
      <c r="C669" s="38" t="inlineStr">
        <is>
          <t>Sant Cugat del Vallès</t>
        </is>
      </c>
      <c r="D669" s="42" t="inlineStr">
        <is>
          <t>40</t>
        </is>
      </c>
      <c r="E669" s="38" t="inlineStr">
        <is>
          <t>Vallès Occidental</t>
        </is>
      </c>
    </row>
    <row r="670" ht="15" customHeight="1" s="39">
      <c r="A670" s="38" t="inlineStr">
        <is>
          <t>[082068] Sant Cugat Sesgarrigues</t>
        </is>
      </c>
      <c r="B670" s="42" t="inlineStr">
        <is>
          <t>082068</t>
        </is>
      </c>
      <c r="C670" s="38" t="inlineStr">
        <is>
          <t>Sant Cugat Sesgarrigues</t>
        </is>
      </c>
      <c r="D670" s="42" t="inlineStr">
        <is>
          <t>03</t>
        </is>
      </c>
      <c r="E670" s="38" t="inlineStr">
        <is>
          <t>Alt Penedès</t>
        </is>
      </c>
    </row>
    <row r="671" ht="15" customHeight="1" s="39">
      <c r="A671" s="38" t="inlineStr">
        <is>
          <t>[251961] Sant Esteve de la Sarga</t>
        </is>
      </c>
      <c r="B671" s="42" t="inlineStr">
        <is>
          <t>251961</t>
        </is>
      </c>
      <c r="C671" s="38" t="inlineStr">
        <is>
          <t>Sant Esteve de la Sarga</t>
        </is>
      </c>
      <c r="D671" s="42" t="inlineStr">
        <is>
          <t>25</t>
        </is>
      </c>
      <c r="E671" s="38" t="inlineStr">
        <is>
          <t>Pallars Jussà</t>
        </is>
      </c>
    </row>
    <row r="672" ht="15" customHeight="1" s="39">
      <c r="A672" s="38" t="inlineStr">
        <is>
          <t>[082074] Sant Esteve de Palautordera</t>
        </is>
      </c>
      <c r="B672" s="42" t="inlineStr">
        <is>
          <t>082074</t>
        </is>
      </c>
      <c r="C672" s="38" t="inlineStr">
        <is>
          <t>Sant Esteve de Palautordera</t>
        </is>
      </c>
      <c r="D672" s="42" t="inlineStr">
        <is>
          <t>41</t>
        </is>
      </c>
      <c r="E672" s="38" t="inlineStr">
        <is>
          <t>Vallès Oriental</t>
        </is>
      </c>
    </row>
    <row r="673" ht="15" customHeight="1" s="39">
      <c r="A673" s="38" t="inlineStr">
        <is>
          <t>[082080] Sant Esteve Sesrovires</t>
        </is>
      </c>
      <c r="B673" s="42" t="inlineStr">
        <is>
          <t>082080</t>
        </is>
      </c>
      <c r="C673" s="38" t="inlineStr">
        <is>
          <t>Sant Esteve Sesrovires</t>
        </is>
      </c>
      <c r="D673" s="42" t="inlineStr">
        <is>
          <t>11</t>
        </is>
      </c>
      <c r="E673" s="38" t="inlineStr">
        <is>
          <t>Baix Llobregat</t>
        </is>
      </c>
    </row>
    <row r="674" ht="15" customHeight="1" s="39">
      <c r="A674" s="38" t="inlineStr">
        <is>
          <t>[171595] Sant Feliu de Buixalleu</t>
        </is>
      </c>
      <c r="B674" s="42" t="inlineStr">
        <is>
          <t>171595</t>
        </is>
      </c>
      <c r="C674" s="38" t="inlineStr">
        <is>
          <t>Sant Feliu de Buixalleu</t>
        </is>
      </c>
      <c r="D674" s="42" t="inlineStr">
        <is>
          <t>34</t>
        </is>
      </c>
      <c r="E674" s="38" t="inlineStr">
        <is>
          <t>Selva</t>
        </is>
      </c>
    </row>
    <row r="675" ht="15" customHeight="1" s="39">
      <c r="A675" s="38" t="inlineStr">
        <is>
          <t>[082107] Sant Feliu de Codines</t>
        </is>
      </c>
      <c r="B675" s="42" t="inlineStr">
        <is>
          <t>082107</t>
        </is>
      </c>
      <c r="C675" s="38" t="inlineStr">
        <is>
          <t>Sant Feliu de Codines</t>
        </is>
      </c>
      <c r="D675" s="42" t="inlineStr">
        <is>
          <t>41</t>
        </is>
      </c>
      <c r="E675" s="38" t="inlineStr">
        <is>
          <t>Vallès Oriental</t>
        </is>
      </c>
    </row>
    <row r="676" ht="15" customHeight="1" s="39">
      <c r="A676" s="38" t="inlineStr">
        <is>
          <t>[171609] Sant Feliu de Guíxols</t>
        </is>
      </c>
      <c r="B676" s="42" t="inlineStr">
        <is>
          <t>171609</t>
        </is>
      </c>
      <c r="C676" s="38" t="inlineStr">
        <is>
          <t>Sant Feliu de Guíxols</t>
        </is>
      </c>
      <c r="D676" s="42" t="inlineStr">
        <is>
          <t>10</t>
        </is>
      </c>
      <c r="E676" s="38" t="inlineStr">
        <is>
          <t>Baix Empordà</t>
        </is>
      </c>
    </row>
    <row r="677" ht="15" customHeight="1" s="39">
      <c r="A677" s="38" t="inlineStr">
        <is>
          <t>[082114] Sant Feliu de Llobregat</t>
        </is>
      </c>
      <c r="B677" s="42" t="inlineStr">
        <is>
          <t>082114</t>
        </is>
      </c>
      <c r="C677" s="38" t="inlineStr">
        <is>
          <t>Sant Feliu de Llobregat</t>
        </is>
      </c>
      <c r="D677" s="42" t="inlineStr">
        <is>
          <t>11</t>
        </is>
      </c>
      <c r="E677" s="38" t="inlineStr">
        <is>
          <t>Baix Llobregat</t>
        </is>
      </c>
    </row>
    <row r="678" ht="15" customHeight="1" s="39">
      <c r="A678" s="38" t="inlineStr">
        <is>
          <t>[171616] Sant Feliu de Pallerols</t>
        </is>
      </c>
      <c r="B678" s="42" t="inlineStr">
        <is>
          <t>171616</t>
        </is>
      </c>
      <c r="C678" s="38" t="inlineStr">
        <is>
          <t>Sant Feliu de Pallerols</t>
        </is>
      </c>
      <c r="D678" s="42" t="inlineStr">
        <is>
          <t>19</t>
        </is>
      </c>
      <c r="E678" s="38" t="inlineStr">
        <is>
          <t>Garrotxa</t>
        </is>
      </c>
    </row>
    <row r="679" ht="15" customHeight="1" s="39">
      <c r="A679" s="38" t="inlineStr">
        <is>
          <t>[082129] Sant Feliu Sasserra</t>
        </is>
      </c>
      <c r="B679" s="42" t="inlineStr">
        <is>
          <t>082129</t>
        </is>
      </c>
      <c r="C679" s="38" t="inlineStr">
        <is>
          <t>Sant Feliu Sasserra</t>
        </is>
      </c>
      <c r="D679" s="42" t="inlineStr">
        <is>
          <t>07</t>
        </is>
      </c>
      <c r="E679" s="38" t="inlineStr">
        <is>
          <t>Bages</t>
        </is>
      </c>
    </row>
    <row r="680" ht="15" customHeight="1" s="39">
      <c r="A680" s="38" t="inlineStr">
        <is>
          <t>[171621] Sant Ferriol</t>
        </is>
      </c>
      <c r="B680" s="42" t="inlineStr">
        <is>
          <t>171621</t>
        </is>
      </c>
      <c r="C680" s="38" t="inlineStr">
        <is>
          <t>Sant Ferriol</t>
        </is>
      </c>
      <c r="D680" s="42" t="inlineStr">
        <is>
          <t>19</t>
        </is>
      </c>
      <c r="E680" s="38" t="inlineStr">
        <is>
          <t>Garrotxa</t>
        </is>
      </c>
    </row>
    <row r="681" ht="15" customHeight="1" s="39">
      <c r="A681" s="38" t="inlineStr">
        <is>
          <t>[082093] Sant Fost de Campsentelles</t>
        </is>
      </c>
      <c r="B681" s="42" t="inlineStr">
        <is>
          <t>082093</t>
        </is>
      </c>
      <c r="C681" s="38" t="inlineStr">
        <is>
          <t>Sant Fost de Campsentelles</t>
        </is>
      </c>
      <c r="D681" s="42" t="inlineStr">
        <is>
          <t>41</t>
        </is>
      </c>
      <c r="E681" s="38" t="inlineStr">
        <is>
          <t>Vallès Oriental</t>
        </is>
      </c>
    </row>
    <row r="682" ht="15" customHeight="1" s="39">
      <c r="A682" s="38" t="inlineStr">
        <is>
          <t>[082135] Sant Fruitós de Bages</t>
        </is>
      </c>
      <c r="B682" s="42" t="inlineStr">
        <is>
          <t>082135</t>
        </is>
      </c>
      <c r="C682" s="38" t="inlineStr">
        <is>
          <t>Sant Fruitós de Bages</t>
        </is>
      </c>
      <c r="D682" s="42" t="inlineStr">
        <is>
          <t>07</t>
        </is>
      </c>
      <c r="E682" s="38" t="inlineStr">
        <is>
          <t>Bages</t>
        </is>
      </c>
    </row>
    <row r="683" ht="15" customHeight="1" s="39">
      <c r="A683" s="38" t="inlineStr">
        <is>
          <t>[171637] Sant Gregori</t>
        </is>
      </c>
      <c r="B683" s="42" t="inlineStr">
        <is>
          <t>171637</t>
        </is>
      </c>
      <c r="C683" s="38" t="inlineStr">
        <is>
          <t>Sant Gregori</t>
        </is>
      </c>
      <c r="D683" s="42" t="inlineStr">
        <is>
          <t>20</t>
        </is>
      </c>
      <c r="E683" s="38" t="inlineStr">
        <is>
          <t>Gironès</t>
        </is>
      </c>
    </row>
    <row r="684" ht="15" customHeight="1" s="39">
      <c r="A684" s="38" t="inlineStr">
        <is>
          <t>[251924] Sant Guim de Freixenet</t>
        </is>
      </c>
      <c r="B684" s="42" t="inlineStr">
        <is>
          <t>251924</t>
        </is>
      </c>
      <c r="C684" s="38" t="inlineStr">
        <is>
          <t>Sant Guim de Freixenet</t>
        </is>
      </c>
      <c r="D684" s="42" t="inlineStr">
        <is>
          <t>32</t>
        </is>
      </c>
      <c r="E684" s="38" t="inlineStr">
        <is>
          <t>Segarra</t>
        </is>
      </c>
    </row>
    <row r="685" ht="15" customHeight="1" s="39">
      <c r="A685" s="38" t="inlineStr">
        <is>
          <t>[251977] Sant Guim de la Plana</t>
        </is>
      </c>
      <c r="B685" s="42" t="inlineStr">
        <is>
          <t>251977</t>
        </is>
      </c>
      <c r="C685" s="38" t="inlineStr">
        <is>
          <t>Sant Guim de la Plana</t>
        </is>
      </c>
      <c r="D685" s="42" t="inlineStr">
        <is>
          <t>32</t>
        </is>
      </c>
      <c r="E685" s="38" t="inlineStr">
        <is>
          <t>Segarra</t>
        </is>
      </c>
    </row>
    <row r="686" ht="15" customHeight="1" s="39">
      <c r="A686" s="38" t="inlineStr">
        <is>
          <t>[171642] Sant Hilari Sacalm</t>
        </is>
      </c>
      <c r="B686" s="42" t="inlineStr">
        <is>
          <t>171642</t>
        </is>
      </c>
      <c r="C686" s="38" t="inlineStr">
        <is>
          <t>Sant Hilari Sacalm</t>
        </is>
      </c>
      <c r="D686" s="42" t="inlineStr">
        <is>
          <t>34</t>
        </is>
      </c>
      <c r="E686" s="38" t="inlineStr">
        <is>
          <t>Selva</t>
        </is>
      </c>
    </row>
    <row r="687" ht="15" customHeight="1" s="39">
      <c r="A687" s="38" t="inlineStr">
        <is>
          <t>[082153] Sant Hipòlit de Voltregà</t>
        </is>
      </c>
      <c r="B687" s="42" t="inlineStr">
        <is>
          <t>082153</t>
        </is>
      </c>
      <c r="C687" s="38" t="inlineStr">
        <is>
          <t>Sant Hipòlit de Voltregà</t>
        </is>
      </c>
      <c r="D687" s="42" t="inlineStr">
        <is>
          <t>24</t>
        </is>
      </c>
      <c r="E687" s="38" t="inlineStr">
        <is>
          <t>Osona</t>
        </is>
      </c>
    </row>
    <row r="688" ht="15" customHeight="1" s="39">
      <c r="A688" s="38" t="inlineStr">
        <is>
          <t>[081939] Sant Iscle de Vallalta</t>
        </is>
      </c>
      <c r="B688" s="42" t="inlineStr">
        <is>
          <t>081939</t>
        </is>
      </c>
      <c r="C688" s="38" t="inlineStr">
        <is>
          <t>Sant Iscle de Vallalta</t>
        </is>
      </c>
      <c r="D688" s="42" t="inlineStr">
        <is>
          <t>21</t>
        </is>
      </c>
      <c r="E688" s="38" t="inlineStr">
        <is>
          <t>Maresme</t>
        </is>
      </c>
    </row>
    <row r="689" ht="15" customHeight="1" s="39">
      <c r="A689" s="38" t="inlineStr">
        <is>
          <t>[439023] Sant Jaume d'Enveja</t>
        </is>
      </c>
      <c r="B689" s="42" t="inlineStr">
        <is>
          <t>439023</t>
        </is>
      </c>
      <c r="C689" s="38" t="inlineStr">
        <is>
          <t>Sant Jaume d'Enveja</t>
        </is>
      </c>
      <c r="D689" s="42" t="inlineStr">
        <is>
          <t>22</t>
        </is>
      </c>
      <c r="E689" s="38" t="inlineStr">
        <is>
          <t>Montsià</t>
        </is>
      </c>
    </row>
    <row r="690" ht="15" customHeight="1" s="39">
      <c r="A690" s="38" t="inlineStr">
        <is>
          <t>[082166] Sant Jaume de Frontanyà</t>
        </is>
      </c>
      <c r="B690" s="42" t="inlineStr">
        <is>
          <t>082166</t>
        </is>
      </c>
      <c r="C690" s="38" t="inlineStr">
        <is>
          <t>Sant Jaume de Frontanyà</t>
        </is>
      </c>
      <c r="D690" s="42" t="inlineStr">
        <is>
          <t>14</t>
        </is>
      </c>
      <c r="E690" s="38" t="inlineStr">
        <is>
          <t>Berguedà</t>
        </is>
      </c>
    </row>
    <row r="691" ht="15" customHeight="1" s="39">
      <c r="A691" s="38" t="inlineStr">
        <is>
          <t>[171655] Sant Jaume de Llierca</t>
        </is>
      </c>
      <c r="B691" s="42" t="inlineStr">
        <is>
          <t>171655</t>
        </is>
      </c>
      <c r="C691" s="38" t="inlineStr">
        <is>
          <t>Sant Jaume de Llierca</t>
        </is>
      </c>
      <c r="D691" s="42" t="inlineStr">
        <is>
          <t>19</t>
        </is>
      </c>
      <c r="E691" s="38" t="inlineStr">
        <is>
          <t>Garrotxa</t>
        </is>
      </c>
    </row>
    <row r="692" ht="15" customHeight="1" s="39">
      <c r="A692" s="38" t="inlineStr">
        <is>
          <t>[431378] Sant Jaume dels Domenys</t>
        </is>
      </c>
      <c r="B692" s="42" t="inlineStr">
        <is>
          <t>431378</t>
        </is>
      </c>
      <c r="C692" s="38" t="inlineStr">
        <is>
          <t>Sant Jaume dels Domenys</t>
        </is>
      </c>
      <c r="D692" s="42" t="inlineStr">
        <is>
          <t>12</t>
        </is>
      </c>
      <c r="E692" s="38" t="inlineStr">
        <is>
          <t>Baix Penedès</t>
        </is>
      </c>
    </row>
    <row r="693" ht="15" customHeight="1" s="39">
      <c r="A693" s="38" t="inlineStr">
        <is>
          <t>[171674] Sant Joan de les Abadesses</t>
        </is>
      </c>
      <c r="B693" s="42" t="inlineStr">
        <is>
          <t>171674</t>
        </is>
      </c>
      <c r="C693" s="38" t="inlineStr">
        <is>
          <t>Sant Joan de les Abadesses</t>
        </is>
      </c>
      <c r="D693" s="42" t="inlineStr">
        <is>
          <t>31</t>
        </is>
      </c>
      <c r="E693" s="38" t="inlineStr">
        <is>
          <t>Ripollès</t>
        </is>
      </c>
    </row>
    <row r="694" ht="15" customHeight="1" s="39">
      <c r="A694" s="38" t="inlineStr">
        <is>
          <t>[171680] Sant Joan de Mollet</t>
        </is>
      </c>
      <c r="B694" s="42" t="inlineStr">
        <is>
          <t>171680</t>
        </is>
      </c>
      <c r="C694" s="38" t="inlineStr">
        <is>
          <t>Sant Joan de Mollet</t>
        </is>
      </c>
      <c r="D694" s="42" t="inlineStr">
        <is>
          <t>20</t>
        </is>
      </c>
      <c r="E694" s="38" t="inlineStr">
        <is>
          <t>Gironès</t>
        </is>
      </c>
    </row>
    <row r="695" ht="15" customHeight="1" s="39">
      <c r="A695" s="38" t="inlineStr">
        <is>
          <t>[082188] Sant Joan de Vilatorrada</t>
        </is>
      </c>
      <c r="B695" s="42" t="inlineStr">
        <is>
          <t>082188</t>
        </is>
      </c>
      <c r="C695" s="38" t="inlineStr">
        <is>
          <t>Sant Joan de Vilatorrada</t>
        </is>
      </c>
      <c r="D695" s="42" t="inlineStr">
        <is>
          <t>07</t>
        </is>
      </c>
      <c r="E695" s="38" t="inlineStr">
        <is>
          <t>Bages</t>
        </is>
      </c>
    </row>
    <row r="696" ht="15" customHeight="1" s="39">
      <c r="A696" s="38" t="inlineStr">
        <is>
          <t>[082172] Sant Joan Despí</t>
        </is>
      </c>
      <c r="B696" s="42" t="inlineStr">
        <is>
          <t>082172</t>
        </is>
      </c>
      <c r="C696" s="38" t="inlineStr">
        <is>
          <t>Sant Joan Despí</t>
        </is>
      </c>
      <c r="D696" s="42" t="inlineStr">
        <is>
          <t>11</t>
        </is>
      </c>
      <c r="E696" s="38" t="inlineStr">
        <is>
          <t>Baix Llobregat</t>
        </is>
      </c>
    </row>
    <row r="697" ht="15" customHeight="1" s="39">
      <c r="A697" s="38" t="inlineStr">
        <is>
          <t>[171851] Sant Joan les Fonts</t>
        </is>
      </c>
      <c r="B697" s="42" t="inlineStr">
        <is>
          <t>171851</t>
        </is>
      </c>
      <c r="C697" s="38" t="inlineStr">
        <is>
          <t>Sant Joan les Fonts</t>
        </is>
      </c>
      <c r="D697" s="42" t="inlineStr">
        <is>
          <t>19</t>
        </is>
      </c>
      <c r="E697" s="38" t="inlineStr">
        <is>
          <t>Garrotxa</t>
        </is>
      </c>
    </row>
    <row r="698" ht="15" customHeight="1" s="39">
      <c r="A698" s="38" t="inlineStr">
        <is>
          <t>[171668] Sant Jordi Desvalls</t>
        </is>
      </c>
      <c r="B698" s="42" t="inlineStr">
        <is>
          <t>171668</t>
        </is>
      </c>
      <c r="C698" s="38" t="inlineStr">
        <is>
          <t>Sant Jordi Desvalls</t>
        </is>
      </c>
      <c r="D698" s="42" t="inlineStr">
        <is>
          <t>20</t>
        </is>
      </c>
      <c r="E698" s="38" t="inlineStr">
        <is>
          <t>Gironès</t>
        </is>
      </c>
    </row>
    <row r="699" ht="15" customHeight="1" s="39">
      <c r="A699" s="38" t="inlineStr">
        <is>
          <t>[089030] Sant Julià de Cerdanyola</t>
        </is>
      </c>
      <c r="B699" s="42" t="inlineStr">
        <is>
          <t>089030</t>
        </is>
      </c>
      <c r="C699" s="38" t="inlineStr">
        <is>
          <t>Sant Julià de Cerdanyola</t>
        </is>
      </c>
      <c r="D699" s="42" t="inlineStr">
        <is>
          <t>14</t>
        </is>
      </c>
      <c r="E699" s="38" t="inlineStr">
        <is>
          <t>Berguedà</t>
        </is>
      </c>
    </row>
    <row r="700" ht="15" customHeight="1" s="39">
      <c r="A700" s="38" t="inlineStr">
        <is>
          <t>[171693] Sant Julià de Ramis</t>
        </is>
      </c>
      <c r="B700" s="42" t="inlineStr">
        <is>
          <t>171693</t>
        </is>
      </c>
      <c r="C700" s="38" t="inlineStr">
        <is>
          <t>Sant Julià de Ramis</t>
        </is>
      </c>
      <c r="D700" s="42" t="inlineStr">
        <is>
          <t>20</t>
        </is>
      </c>
      <c r="E700" s="38" t="inlineStr">
        <is>
          <t>Gironès</t>
        </is>
      </c>
    </row>
    <row r="701" ht="15" customHeight="1" s="39">
      <c r="A701" s="38" t="inlineStr">
        <is>
          <t>[082205] Sant Julià de Vilatorta</t>
        </is>
      </c>
      <c r="B701" s="42" t="inlineStr">
        <is>
          <t>082205</t>
        </is>
      </c>
      <c r="C701" s="38" t="inlineStr">
        <is>
          <t>Sant Julià de Vilatorta</t>
        </is>
      </c>
      <c r="D701" s="42" t="inlineStr">
        <is>
          <t>24</t>
        </is>
      </c>
      <c r="E701" s="38" t="inlineStr">
        <is>
          <t>Osona</t>
        </is>
      </c>
    </row>
    <row r="702" ht="15" customHeight="1" s="39">
      <c r="A702" s="38" t="inlineStr">
        <is>
          <t>[179032] Sant Julià del Llor i Bonmatí</t>
        </is>
      </c>
      <c r="B702" s="42" t="inlineStr">
        <is>
          <t>179032</t>
        </is>
      </c>
      <c r="C702" s="38" t="inlineStr">
        <is>
          <t>Sant Julià del Llor i Bonmatí</t>
        </is>
      </c>
      <c r="D702" s="42" t="inlineStr">
        <is>
          <t>34</t>
        </is>
      </c>
      <c r="E702" s="38" t="inlineStr">
        <is>
          <t>Selva</t>
        </is>
      </c>
    </row>
    <row r="703" ht="15" customHeight="1" s="39">
      <c r="A703" s="38" t="inlineStr">
        <is>
          <t>[082212] Sant Just Desvern</t>
        </is>
      </c>
      <c r="B703" s="42" t="inlineStr">
        <is>
          <t>082212</t>
        </is>
      </c>
      <c r="C703" s="38" t="inlineStr">
        <is>
          <t>Sant Just Desvern</t>
        </is>
      </c>
      <c r="D703" s="42" t="inlineStr">
        <is>
          <t>11</t>
        </is>
      </c>
      <c r="E703" s="38" t="inlineStr">
        <is>
          <t>Baix Llobregat</t>
        </is>
      </c>
    </row>
    <row r="704" ht="15" customHeight="1" s="39">
      <c r="A704" s="38" t="inlineStr">
        <is>
          <t>[082227] Sant Llorenç d'Hortons</t>
        </is>
      </c>
      <c r="B704" s="42" t="inlineStr">
        <is>
          <t>082227</t>
        </is>
      </c>
      <c r="C704" s="38" t="inlineStr">
        <is>
          <t>Sant Llorenç d'Hortons</t>
        </is>
      </c>
      <c r="D704" s="42" t="inlineStr">
        <is>
          <t>03</t>
        </is>
      </c>
      <c r="E704" s="38" t="inlineStr">
        <is>
          <t>Alt Penedès</t>
        </is>
      </c>
    </row>
    <row r="705" ht="15" customHeight="1" s="39">
      <c r="A705" s="38" t="inlineStr">
        <is>
          <t>[171714] Sant Llorenç de la Muga</t>
        </is>
      </c>
      <c r="B705" s="42" t="inlineStr">
        <is>
          <t>171714</t>
        </is>
      </c>
      <c r="C705" s="38" t="inlineStr">
        <is>
          <t>Sant Llorenç de la Muga</t>
        </is>
      </c>
      <c r="D705" s="42" t="inlineStr">
        <is>
          <t>02</t>
        </is>
      </c>
      <c r="E705" s="38" t="inlineStr">
        <is>
          <t>Alt Empordà</t>
        </is>
      </c>
    </row>
    <row r="706" ht="15" customHeight="1" s="39">
      <c r="A706" s="38" t="inlineStr">
        <is>
          <t>[251930] Sant Llorenç de Morunys</t>
        </is>
      </c>
      <c r="B706" s="42" t="inlineStr">
        <is>
          <t>251930</t>
        </is>
      </c>
      <c r="C706" s="38" t="inlineStr">
        <is>
          <t>Sant Llorenç de Morunys</t>
        </is>
      </c>
      <c r="D706" s="42" t="inlineStr">
        <is>
          <t>35</t>
        </is>
      </c>
      <c r="E706" s="38" t="inlineStr">
        <is>
          <t>Solsonès</t>
        </is>
      </c>
    </row>
    <row r="707" ht="15" customHeight="1" s="39">
      <c r="A707" s="38" t="inlineStr">
        <is>
          <t>[082233] Sant Llorenç Savall</t>
        </is>
      </c>
      <c r="B707" s="42" t="inlineStr">
        <is>
          <t>082233</t>
        </is>
      </c>
      <c r="C707" s="38" t="inlineStr">
        <is>
          <t>Sant Llorenç Savall</t>
        </is>
      </c>
      <c r="D707" s="42" t="inlineStr">
        <is>
          <t>40</t>
        </is>
      </c>
      <c r="E707" s="38" t="inlineStr">
        <is>
          <t>Vallès Occidental</t>
        </is>
      </c>
    </row>
    <row r="708" ht="15" customHeight="1" s="39">
      <c r="A708" s="38" t="inlineStr">
        <is>
          <t>[082251] Sant Martí d'Albars</t>
        </is>
      </c>
      <c r="B708" s="42" t="inlineStr">
        <is>
          <t>082251</t>
        </is>
      </c>
      <c r="C708" s="38" t="inlineStr">
        <is>
          <t>Sant Martí d'Albars</t>
        </is>
      </c>
      <c r="D708" s="42" t="inlineStr">
        <is>
          <t>43</t>
        </is>
      </c>
      <c r="E708" s="38" t="inlineStr">
        <is>
          <t>Lluçanès</t>
        </is>
      </c>
    </row>
    <row r="709" ht="15" customHeight="1" s="39">
      <c r="A709" s="38" t="inlineStr">
        <is>
          <t>[082248] Sant Martí de Centelles</t>
        </is>
      </c>
      <c r="B709" s="42" t="inlineStr">
        <is>
          <t>082248</t>
        </is>
      </c>
      <c r="C709" s="38" t="inlineStr">
        <is>
          <t>Sant Martí de Centelles</t>
        </is>
      </c>
      <c r="D709" s="42" t="inlineStr">
        <is>
          <t>24</t>
        </is>
      </c>
      <c r="E709" s="38" t="inlineStr">
        <is>
          <t>Osona</t>
        </is>
      </c>
    </row>
    <row r="710" ht="15" customHeight="1" s="39">
      <c r="A710" s="38" t="inlineStr">
        <is>
          <t>[171729] Sant Martí de Llémena</t>
        </is>
      </c>
      <c r="B710" s="42" t="inlineStr">
        <is>
          <t>171729</t>
        </is>
      </c>
      <c r="C710" s="38" t="inlineStr">
        <is>
          <t>Sant Martí de Llémena</t>
        </is>
      </c>
      <c r="D710" s="42" t="inlineStr">
        <is>
          <t>20</t>
        </is>
      </c>
      <c r="E710" s="38" t="inlineStr">
        <is>
          <t>Gironès</t>
        </is>
      </c>
    </row>
    <row r="711" ht="15" customHeight="1" s="39">
      <c r="A711" s="38" t="inlineStr">
        <is>
          <t>[259025] Sant Martí de Riucorb</t>
        </is>
      </c>
      <c r="B711" s="42" t="inlineStr">
        <is>
          <t>259025</t>
        </is>
      </c>
      <c r="C711" s="38" t="inlineStr">
        <is>
          <t>Sant Martí de Riucorb</t>
        </is>
      </c>
      <c r="D711" s="42" t="inlineStr">
        <is>
          <t>38</t>
        </is>
      </c>
      <c r="E711" s="38" t="inlineStr">
        <is>
          <t>Urgell</t>
        </is>
      </c>
    </row>
    <row r="712" ht="15" customHeight="1" s="39">
      <c r="A712" s="38" t="inlineStr">
        <is>
          <t>[082264] Sant Martí de Tous</t>
        </is>
      </c>
      <c r="B712" s="42" t="inlineStr">
        <is>
          <t>082264</t>
        </is>
      </c>
      <c r="C712" s="38" t="inlineStr">
        <is>
          <t>Sant Martí de Tous</t>
        </is>
      </c>
      <c r="D712" s="42" t="inlineStr">
        <is>
          <t>06</t>
        </is>
      </c>
      <c r="E712" s="38" t="inlineStr">
        <is>
          <t>Anoia</t>
        </is>
      </c>
    </row>
    <row r="713" ht="15" customHeight="1" s="39">
      <c r="A713" s="38" t="inlineStr">
        <is>
          <t>[082270] Sant Martí Sarroca</t>
        </is>
      </c>
      <c r="B713" s="42" t="inlineStr">
        <is>
          <t>082270</t>
        </is>
      </c>
      <c r="C713" s="38" t="inlineStr">
        <is>
          <t>Sant Martí Sarroca</t>
        </is>
      </c>
      <c r="D713" s="42" t="inlineStr">
        <is>
          <t>03</t>
        </is>
      </c>
      <c r="E713" s="38" t="inlineStr">
        <is>
          <t>Alt Penedès</t>
        </is>
      </c>
    </row>
    <row r="714" ht="15" customHeight="1" s="39">
      <c r="A714" s="38" t="inlineStr">
        <is>
          <t>[082286] Sant Martí Sesgueioles</t>
        </is>
      </c>
      <c r="B714" s="42" t="inlineStr">
        <is>
          <t>082286</t>
        </is>
      </c>
      <c r="C714" s="38" t="inlineStr">
        <is>
          <t>Sant Martí Sesgueioles</t>
        </is>
      </c>
      <c r="D714" s="42" t="inlineStr">
        <is>
          <t>06</t>
        </is>
      </c>
      <c r="E714" s="38" t="inlineStr">
        <is>
          <t>Anoia</t>
        </is>
      </c>
    </row>
    <row r="715" ht="15" customHeight="1" s="39">
      <c r="A715" s="38" t="inlineStr">
        <is>
          <t>[171735] Sant Martí Vell</t>
        </is>
      </c>
      <c r="B715" s="42" t="inlineStr">
        <is>
          <t>171735</t>
        </is>
      </c>
      <c r="C715" s="38" t="inlineStr">
        <is>
          <t>Sant Martí Vell</t>
        </is>
      </c>
      <c r="D715" s="42" t="inlineStr">
        <is>
          <t>20</t>
        </is>
      </c>
      <c r="E715" s="38" t="inlineStr">
        <is>
          <t>Gironès</t>
        </is>
      </c>
    </row>
    <row r="716" ht="15" customHeight="1" s="39">
      <c r="A716" s="38" t="inlineStr">
        <is>
          <t>[082299] Sant Mateu de Bages</t>
        </is>
      </c>
      <c r="B716" s="42" t="inlineStr">
        <is>
          <t>082299</t>
        </is>
      </c>
      <c r="C716" s="38" t="inlineStr">
        <is>
          <t>Sant Mateu de Bages</t>
        </is>
      </c>
      <c r="D716" s="42" t="inlineStr">
        <is>
          <t>07</t>
        </is>
      </c>
      <c r="E716" s="38" t="inlineStr">
        <is>
          <t>Bages</t>
        </is>
      </c>
    </row>
    <row r="717" ht="15" customHeight="1" s="39">
      <c r="A717" s="38" t="inlineStr">
        <is>
          <t>[171740] Sant Miquel de Campmajor</t>
        </is>
      </c>
      <c r="B717" s="42" t="inlineStr">
        <is>
          <t>171740</t>
        </is>
      </c>
      <c r="C717" s="38" t="inlineStr">
        <is>
          <t>Sant Miquel de Campmajor</t>
        </is>
      </c>
      <c r="D717" s="42" t="inlineStr">
        <is>
          <t>28</t>
        </is>
      </c>
      <c r="E717" s="38" t="inlineStr">
        <is>
          <t>Pla de l'Estany</t>
        </is>
      </c>
    </row>
    <row r="718" ht="15" customHeight="1" s="39">
      <c r="A718" s="38" t="inlineStr">
        <is>
          <t>[171753] Sant Miquel de Fluvià</t>
        </is>
      </c>
      <c r="B718" s="42" t="inlineStr">
        <is>
          <t>171753</t>
        </is>
      </c>
      <c r="C718" s="38" t="inlineStr">
        <is>
          <t>Sant Miquel de Fluvià</t>
        </is>
      </c>
      <c r="D718" s="42" t="inlineStr">
        <is>
          <t>02</t>
        </is>
      </c>
      <c r="E718" s="38" t="inlineStr">
        <is>
          <t>Alt Empordà</t>
        </is>
      </c>
    </row>
    <row r="719" ht="15" customHeight="1" s="39">
      <c r="A719" s="38" t="inlineStr">
        <is>
          <t>[171766] Sant Mori</t>
        </is>
      </c>
      <c r="B719" s="42" t="inlineStr">
        <is>
          <t>171766</t>
        </is>
      </c>
      <c r="C719" s="38" t="inlineStr">
        <is>
          <t>Sant Mori</t>
        </is>
      </c>
      <c r="D719" s="42" t="inlineStr">
        <is>
          <t>02</t>
        </is>
      </c>
      <c r="E719" s="38" t="inlineStr">
        <is>
          <t>Alt Empordà</t>
        </is>
      </c>
    </row>
    <row r="720" ht="15" customHeight="1" s="39">
      <c r="A720" s="38" t="inlineStr">
        <is>
          <t>[171772] Sant Pau de Segúries</t>
        </is>
      </c>
      <c r="B720" s="42" t="inlineStr">
        <is>
          <t>171772</t>
        </is>
      </c>
      <c r="C720" s="38" t="inlineStr">
        <is>
          <t>Sant Pau de Segúries</t>
        </is>
      </c>
      <c r="D720" s="42" t="inlineStr">
        <is>
          <t>31</t>
        </is>
      </c>
      <c r="E720" s="38" t="inlineStr">
        <is>
          <t>Ripollès</t>
        </is>
      </c>
    </row>
    <row r="721" ht="15" customHeight="1" s="39">
      <c r="A721" s="38" t="inlineStr">
        <is>
          <t>[082310] Sant Pere de Ribes</t>
        </is>
      </c>
      <c r="B721" s="42" t="inlineStr">
        <is>
          <t>082310</t>
        </is>
      </c>
      <c r="C721" s="38" t="inlineStr">
        <is>
          <t>Sant Pere de Ribes</t>
        </is>
      </c>
      <c r="D721" s="42" t="inlineStr">
        <is>
          <t>17</t>
        </is>
      </c>
      <c r="E721" s="38" t="inlineStr">
        <is>
          <t>Garraf</t>
        </is>
      </c>
    </row>
    <row r="722" ht="15" customHeight="1" s="39">
      <c r="A722" s="38" t="inlineStr">
        <is>
          <t>[082325] Sant Pere de Riudebitlles</t>
        </is>
      </c>
      <c r="B722" s="42" t="inlineStr">
        <is>
          <t>082325</t>
        </is>
      </c>
      <c r="C722" s="38" t="inlineStr">
        <is>
          <t>Sant Pere de Riudebitlles</t>
        </is>
      </c>
      <c r="D722" s="42" t="inlineStr">
        <is>
          <t>03</t>
        </is>
      </c>
      <c r="E722" s="38" t="inlineStr">
        <is>
          <t>Alt Penedès</t>
        </is>
      </c>
    </row>
    <row r="723" ht="15" customHeight="1" s="39">
      <c r="A723" s="38" t="inlineStr">
        <is>
          <t>[082331] Sant Pere de Torelló</t>
        </is>
      </c>
      <c r="B723" s="42" t="inlineStr">
        <is>
          <t>082331</t>
        </is>
      </c>
      <c r="C723" s="38" t="inlineStr">
        <is>
          <t>Sant Pere de Torelló</t>
        </is>
      </c>
      <c r="D723" s="42" t="inlineStr">
        <is>
          <t>24</t>
        </is>
      </c>
      <c r="E723" s="38" t="inlineStr">
        <is>
          <t>Osona</t>
        </is>
      </c>
    </row>
    <row r="724" ht="15" customHeight="1" s="39">
      <c r="A724" s="38" t="inlineStr">
        <is>
          <t>[082346] Sant Pere de Vilamajor</t>
        </is>
      </c>
      <c r="B724" s="42" t="inlineStr">
        <is>
          <t>082346</t>
        </is>
      </c>
      <c r="C724" s="38" t="inlineStr">
        <is>
          <t>Sant Pere de Vilamajor</t>
        </is>
      </c>
      <c r="D724" s="42" t="inlineStr">
        <is>
          <t>41</t>
        </is>
      </c>
      <c r="E724" s="38" t="inlineStr">
        <is>
          <t>Vallès Oriental</t>
        </is>
      </c>
    </row>
    <row r="725" ht="15" customHeight="1" s="39">
      <c r="A725" s="38" t="inlineStr">
        <is>
          <t>[171788] Sant Pere Pescador</t>
        </is>
      </c>
      <c r="B725" s="42" t="inlineStr">
        <is>
          <t>171788</t>
        </is>
      </c>
      <c r="C725" s="38" t="inlineStr">
        <is>
          <t>Sant Pere Pescador</t>
        </is>
      </c>
      <c r="D725" s="42" t="inlineStr">
        <is>
          <t>02</t>
        </is>
      </c>
      <c r="E725" s="38" t="inlineStr">
        <is>
          <t>Alt Empordà</t>
        </is>
      </c>
    </row>
    <row r="726" ht="15" customHeight="1" s="39">
      <c r="A726" s="38" t="inlineStr">
        <is>
          <t>[081897] Sant Pere Sallavinera</t>
        </is>
      </c>
      <c r="B726" s="42" t="inlineStr">
        <is>
          <t>081897</t>
        </is>
      </c>
      <c r="C726" s="38" t="inlineStr">
        <is>
          <t>Sant Pere Sallavinera</t>
        </is>
      </c>
      <c r="D726" s="42" t="inlineStr">
        <is>
          <t>06</t>
        </is>
      </c>
      <c r="E726" s="38" t="inlineStr">
        <is>
          <t>Anoia</t>
        </is>
      </c>
    </row>
    <row r="727" ht="15" customHeight="1" s="39">
      <c r="A727" s="38" t="inlineStr">
        <is>
          <t>[082359] Sant Pol de Mar</t>
        </is>
      </c>
      <c r="B727" s="42" t="inlineStr">
        <is>
          <t>082359</t>
        </is>
      </c>
      <c r="C727" s="38" t="inlineStr">
        <is>
          <t>Sant Pol de Mar</t>
        </is>
      </c>
      <c r="D727" s="42" t="inlineStr">
        <is>
          <t>21</t>
        </is>
      </c>
      <c r="E727" s="38" t="inlineStr">
        <is>
          <t>Maresme</t>
        </is>
      </c>
    </row>
    <row r="728" ht="15" customHeight="1" s="39">
      <c r="A728" s="38" t="inlineStr">
        <is>
          <t>[082362] Sant Quintí de Mediona</t>
        </is>
      </c>
      <c r="B728" s="42" t="inlineStr">
        <is>
          <t>082362</t>
        </is>
      </c>
      <c r="C728" s="38" t="inlineStr">
        <is>
          <t>Sant Quintí de Mediona</t>
        </is>
      </c>
      <c r="D728" s="42" t="inlineStr">
        <is>
          <t>03</t>
        </is>
      </c>
      <c r="E728" s="38" t="inlineStr">
        <is>
          <t>Alt Penedès</t>
        </is>
      </c>
    </row>
    <row r="729" ht="15" customHeight="1" s="39">
      <c r="A729" s="38" t="inlineStr">
        <is>
          <t>[082378] Sant Quirze de Besora</t>
        </is>
      </c>
      <c r="B729" s="42" t="inlineStr">
        <is>
          <t>082378</t>
        </is>
      </c>
      <c r="C729" s="38" t="inlineStr">
        <is>
          <t>Sant Quirze de Besora</t>
        </is>
      </c>
      <c r="D729" s="42" t="inlineStr">
        <is>
          <t>24</t>
        </is>
      </c>
      <c r="E729" s="38" t="inlineStr">
        <is>
          <t>Osona</t>
        </is>
      </c>
    </row>
    <row r="730" ht="15" customHeight="1" s="39">
      <c r="A730" s="38" t="inlineStr">
        <is>
          <t>[082384] Sant Quirze del Vallès</t>
        </is>
      </c>
      <c r="B730" s="42" t="inlineStr">
        <is>
          <t>082384</t>
        </is>
      </c>
      <c r="C730" s="38" t="inlineStr">
        <is>
          <t>Sant Quirze del Vallès</t>
        </is>
      </c>
      <c r="D730" s="42" t="inlineStr">
        <is>
          <t>40</t>
        </is>
      </c>
      <c r="E730" s="38" t="inlineStr">
        <is>
          <t>Vallès Occidental</t>
        </is>
      </c>
    </row>
    <row r="731" ht="15" customHeight="1" s="39">
      <c r="A731" s="38" t="inlineStr">
        <is>
          <t>[082397] Sant Quirze Safaja</t>
        </is>
      </c>
      <c r="B731" s="42" t="inlineStr">
        <is>
          <t>082397</t>
        </is>
      </c>
      <c r="C731" s="38" t="inlineStr">
        <is>
          <t>Sant Quirze Safaja</t>
        </is>
      </c>
      <c r="D731" s="42" t="inlineStr">
        <is>
          <t>42</t>
        </is>
      </c>
      <c r="E731" s="38" t="inlineStr">
        <is>
          <t>Moianès</t>
        </is>
      </c>
    </row>
    <row r="732" ht="15" customHeight="1" s="39">
      <c r="A732" s="38" t="inlineStr">
        <is>
          <t>[251945] Sant Ramon</t>
        </is>
      </c>
      <c r="B732" s="42" t="inlineStr">
        <is>
          <t>251945</t>
        </is>
      </c>
      <c r="C732" s="38" t="inlineStr">
        <is>
          <t>Sant Ramon</t>
        </is>
      </c>
      <c r="D732" s="42" t="inlineStr">
        <is>
          <t>32</t>
        </is>
      </c>
      <c r="E732" s="38" t="inlineStr">
        <is>
          <t>Segarra</t>
        </is>
      </c>
    </row>
    <row r="733" ht="15" customHeight="1" s="39">
      <c r="A733" s="38" t="inlineStr">
        <is>
          <t>[082401] Sant Sadurní d'Anoia</t>
        </is>
      </c>
      <c r="B733" s="42" t="inlineStr">
        <is>
          <t>082401</t>
        </is>
      </c>
      <c r="C733" s="38" t="inlineStr">
        <is>
          <t>Sant Sadurní d'Anoia</t>
        </is>
      </c>
      <c r="D733" s="42" t="inlineStr">
        <is>
          <t>03</t>
        </is>
      </c>
      <c r="E733" s="38" t="inlineStr">
        <is>
          <t>Alt Penedès</t>
        </is>
      </c>
    </row>
    <row r="734" ht="15" customHeight="1" s="39">
      <c r="A734" s="38" t="inlineStr">
        <is>
          <t>[082418] Sant Sadurní d'Osormort</t>
        </is>
      </c>
      <c r="B734" s="42" t="inlineStr">
        <is>
          <t>082418</t>
        </is>
      </c>
      <c r="C734" s="38" t="inlineStr">
        <is>
          <t>Sant Sadurní d'Osormort</t>
        </is>
      </c>
      <c r="D734" s="42" t="inlineStr">
        <is>
          <t>24</t>
        </is>
      </c>
      <c r="E734" s="38" t="inlineStr">
        <is>
          <t>Osona</t>
        </is>
      </c>
    </row>
    <row r="735" ht="15" customHeight="1" s="39">
      <c r="A735" s="38" t="inlineStr">
        <is>
          <t>[080983] Sant Salvador de Guardiola</t>
        </is>
      </c>
      <c r="B735" s="42" t="inlineStr">
        <is>
          <t>080983</t>
        </is>
      </c>
      <c r="C735" s="38" t="inlineStr">
        <is>
          <t>Sant Salvador de Guardiola</t>
        </is>
      </c>
      <c r="D735" s="42" t="inlineStr">
        <is>
          <t>07</t>
        </is>
      </c>
      <c r="E735" s="38" t="inlineStr">
        <is>
          <t>Bages</t>
        </is>
      </c>
    </row>
    <row r="736" ht="15" customHeight="1" s="39">
      <c r="A736" s="38" t="inlineStr">
        <is>
          <t>[082628] Sant Vicenç de Castellet</t>
        </is>
      </c>
      <c r="B736" s="42" t="inlineStr">
        <is>
          <t>082628</t>
        </is>
      </c>
      <c r="C736" s="38" t="inlineStr">
        <is>
          <t>Sant Vicenç de Castellet</t>
        </is>
      </c>
      <c r="D736" s="42" t="inlineStr">
        <is>
          <t>07</t>
        </is>
      </c>
      <c r="E736" s="38" t="inlineStr">
        <is>
          <t>Bages</t>
        </is>
      </c>
    </row>
    <row r="737" ht="15" customHeight="1" s="39">
      <c r="A737" s="38" t="inlineStr">
        <is>
          <t>[082649] Sant Vicenç de Montalt</t>
        </is>
      </c>
      <c r="B737" s="42" t="inlineStr">
        <is>
          <t>082649</t>
        </is>
      </c>
      <c r="C737" s="38" t="inlineStr">
        <is>
          <t>Sant Vicenç de Montalt</t>
        </is>
      </c>
      <c r="D737" s="42" t="inlineStr">
        <is>
          <t>21</t>
        </is>
      </c>
      <c r="E737" s="38" t="inlineStr">
        <is>
          <t>Maresme</t>
        </is>
      </c>
    </row>
    <row r="738" ht="15" customHeight="1" s="39">
      <c r="A738" s="38" t="inlineStr">
        <is>
          <t>[082652] Sant Vicenç de Torelló</t>
        </is>
      </c>
      <c r="B738" s="42" t="inlineStr">
        <is>
          <t>082652</t>
        </is>
      </c>
      <c r="C738" s="38" t="inlineStr">
        <is>
          <t>Sant Vicenç de Torelló</t>
        </is>
      </c>
      <c r="D738" s="42" t="inlineStr">
        <is>
          <t>24</t>
        </is>
      </c>
      <c r="E738" s="38" t="inlineStr">
        <is>
          <t>Osona</t>
        </is>
      </c>
    </row>
    <row r="739" ht="15" customHeight="1" s="39">
      <c r="A739" s="38" t="inlineStr">
        <is>
          <t>[082634] Sant Vicenç dels Horts</t>
        </is>
      </c>
      <c r="B739" s="42" t="inlineStr">
        <is>
          <t>082634</t>
        </is>
      </c>
      <c r="C739" s="38" t="inlineStr">
        <is>
          <t>Sant Vicenç dels Horts</t>
        </is>
      </c>
      <c r="D739" s="42" t="inlineStr">
        <is>
          <t>11</t>
        </is>
      </c>
      <c r="E739" s="38" t="inlineStr">
        <is>
          <t>Baix Llobregat</t>
        </is>
      </c>
    </row>
    <row r="740" ht="15" customHeight="1" s="39">
      <c r="A740" s="38" t="inlineStr">
        <is>
          <t>[431384] Santa Bàrbara</t>
        </is>
      </c>
      <c r="B740" s="42" t="inlineStr">
        <is>
          <t>431384</t>
        </is>
      </c>
      <c r="C740" s="38" t="inlineStr">
        <is>
          <t>Santa Bàrbara</t>
        </is>
      </c>
      <c r="D740" s="42" t="inlineStr">
        <is>
          <t>22</t>
        </is>
      </c>
      <c r="E740" s="38" t="inlineStr">
        <is>
          <t>Montsià</t>
        </is>
      </c>
    </row>
    <row r="741" ht="15" customHeight="1" s="39">
      <c r="A741" s="38" t="inlineStr">
        <is>
          <t>[082439] Santa Cecília de Voltregà</t>
        </is>
      </c>
      <c r="B741" s="42" t="inlineStr">
        <is>
          <t>082439</t>
        </is>
      </c>
      <c r="C741" s="38" t="inlineStr">
        <is>
          <t>Santa Cecília de Voltregà</t>
        </is>
      </c>
      <c r="D741" s="42" t="inlineStr">
        <is>
          <t>24</t>
        </is>
      </c>
      <c r="E741" s="38" t="inlineStr">
        <is>
          <t>Osona</t>
        </is>
      </c>
    </row>
    <row r="742" ht="15" customHeight="1" s="39">
      <c r="A742" s="38" t="inlineStr">
        <is>
          <t>[082444] Santa Coloma de Cervelló</t>
        </is>
      </c>
      <c r="B742" s="42" t="inlineStr">
        <is>
          <t>082444</t>
        </is>
      </c>
      <c r="C742" s="38" t="inlineStr">
        <is>
          <t>Santa Coloma de Cervelló</t>
        </is>
      </c>
      <c r="D742" s="42" t="inlineStr">
        <is>
          <t>11</t>
        </is>
      </c>
      <c r="E742" s="38" t="inlineStr">
        <is>
          <t>Baix Llobregat</t>
        </is>
      </c>
    </row>
    <row r="743" ht="15" customHeight="1" s="39">
      <c r="A743" s="38" t="inlineStr">
        <is>
          <t>[171805] Santa Coloma de Farners</t>
        </is>
      </c>
      <c r="B743" s="42" t="inlineStr">
        <is>
          <t>171805</t>
        </is>
      </c>
      <c r="C743" s="38" t="inlineStr">
        <is>
          <t>Santa Coloma de Farners</t>
        </is>
      </c>
      <c r="D743" s="42" t="inlineStr">
        <is>
          <t>34</t>
        </is>
      </c>
      <c r="E743" s="38" t="inlineStr">
        <is>
          <t>Selva</t>
        </is>
      </c>
    </row>
    <row r="744" ht="15" customHeight="1" s="39">
      <c r="A744" s="38" t="inlineStr">
        <is>
          <t>[082457] Santa Coloma de Gramenet</t>
        </is>
      </c>
      <c r="B744" s="42" t="inlineStr">
        <is>
          <t>082457</t>
        </is>
      </c>
      <c r="C744" s="38" t="inlineStr">
        <is>
          <t>Santa Coloma de Gramenet</t>
        </is>
      </c>
      <c r="D744" s="42" t="inlineStr">
        <is>
          <t>13</t>
        </is>
      </c>
      <c r="E744" s="38" t="inlineStr">
        <is>
          <t>Barcelonès</t>
        </is>
      </c>
    </row>
    <row r="745" ht="15" customHeight="1" s="39">
      <c r="A745" s="38" t="inlineStr">
        <is>
          <t>[431397] Santa Coloma de Queralt</t>
        </is>
      </c>
      <c r="B745" s="42" t="inlineStr">
        <is>
          <t>431397</t>
        </is>
      </c>
      <c r="C745" s="38" t="inlineStr">
        <is>
          <t>Santa Coloma de Queralt</t>
        </is>
      </c>
      <c r="D745" s="42" t="inlineStr">
        <is>
          <t>16</t>
        </is>
      </c>
      <c r="E745" s="38" t="inlineStr">
        <is>
          <t>Conca de Barberà</t>
        </is>
      </c>
    </row>
    <row r="746" ht="15" customHeight="1" s="39">
      <c r="A746" s="38" t="inlineStr">
        <is>
          <t>[171812] Santa Cristina d'Aro</t>
        </is>
      </c>
      <c r="B746" s="42" t="inlineStr">
        <is>
          <t>171812</t>
        </is>
      </c>
      <c r="C746" s="38" t="inlineStr">
        <is>
          <t>Santa Cristina d'Aro</t>
        </is>
      </c>
      <c r="D746" s="42" t="inlineStr">
        <is>
          <t>10</t>
        </is>
      </c>
      <c r="E746" s="38" t="inlineStr">
        <is>
          <t>Baix Empordà</t>
        </is>
      </c>
    </row>
    <row r="747" ht="15" customHeight="1" s="39">
      <c r="A747" s="38" t="inlineStr">
        <is>
          <t>[082460] Santa Eugènia de Berga</t>
        </is>
      </c>
      <c r="B747" s="42" t="inlineStr">
        <is>
          <t>082460</t>
        </is>
      </c>
      <c r="C747" s="38" t="inlineStr">
        <is>
          <t>Santa Eugènia de Berga</t>
        </is>
      </c>
      <c r="D747" s="42" t="inlineStr">
        <is>
          <t>24</t>
        </is>
      </c>
      <c r="E747" s="38" t="inlineStr">
        <is>
          <t>Osona</t>
        </is>
      </c>
    </row>
    <row r="748" ht="15" customHeight="1" s="39">
      <c r="A748" s="38" t="inlineStr">
        <is>
          <t>[082476] Santa Eulàlia de Riuprimer</t>
        </is>
      </c>
      <c r="B748" s="42" t="inlineStr">
        <is>
          <t>082476</t>
        </is>
      </c>
      <c r="C748" s="38" t="inlineStr">
        <is>
          <t>Santa Eulàlia de Riuprimer</t>
        </is>
      </c>
      <c r="D748" s="42" t="inlineStr">
        <is>
          <t>24</t>
        </is>
      </c>
      <c r="E748" s="38" t="inlineStr">
        <is>
          <t>Osona</t>
        </is>
      </c>
    </row>
    <row r="749" ht="15" customHeight="1" s="39">
      <c r="A749" s="38" t="inlineStr">
        <is>
          <t>[082482] Santa Eulàlia de Ronçana</t>
        </is>
      </c>
      <c r="B749" s="42" t="inlineStr">
        <is>
          <t>082482</t>
        </is>
      </c>
      <c r="C749" s="38" t="inlineStr">
        <is>
          <t>Santa Eulàlia de Ronçana</t>
        </is>
      </c>
      <c r="D749" s="42" t="inlineStr">
        <is>
          <t>41</t>
        </is>
      </c>
      <c r="E749" s="38" t="inlineStr">
        <is>
          <t>Vallès Oriental</t>
        </is>
      </c>
    </row>
    <row r="750" ht="15" customHeight="1" s="39">
      <c r="A750" s="38" t="inlineStr">
        <is>
          <t>[082495] Santa Fe del Penedès</t>
        </is>
      </c>
      <c r="B750" s="42" t="inlineStr">
        <is>
          <t>082495</t>
        </is>
      </c>
      <c r="C750" s="38" t="inlineStr">
        <is>
          <t>Santa Fe del Penedès</t>
        </is>
      </c>
      <c r="D750" s="42" t="inlineStr">
        <is>
          <t>03</t>
        </is>
      </c>
      <c r="E750" s="38" t="inlineStr">
        <is>
          <t>Alt Penedès</t>
        </is>
      </c>
    </row>
    <row r="751" ht="15" customHeight="1" s="39">
      <c r="A751" s="38" t="inlineStr">
        <is>
          <t>[171827] Santa Llogaia d'Àlguema</t>
        </is>
      </c>
      <c r="B751" s="42" t="inlineStr">
        <is>
          <t>171827</t>
        </is>
      </c>
      <c r="C751" s="38" t="inlineStr">
        <is>
          <t>Santa Llogaia d'Àlguema</t>
        </is>
      </c>
      <c r="D751" s="42" t="inlineStr">
        <is>
          <t>02</t>
        </is>
      </c>
      <c r="E751" s="38" t="inlineStr">
        <is>
          <t>Alt Empordà</t>
        </is>
      </c>
    </row>
    <row r="752" ht="15" customHeight="1" s="39">
      <c r="A752" s="38" t="inlineStr">
        <is>
          <t>[082508] Santa Margarida de Montbui</t>
        </is>
      </c>
      <c r="B752" s="42" t="inlineStr">
        <is>
          <t>082508</t>
        </is>
      </c>
      <c r="C752" s="38" t="inlineStr">
        <is>
          <t>Santa Margarida de Montbui</t>
        </is>
      </c>
      <c r="D752" s="42" t="inlineStr">
        <is>
          <t>06</t>
        </is>
      </c>
      <c r="E752" s="38" t="inlineStr">
        <is>
          <t>Anoia</t>
        </is>
      </c>
    </row>
    <row r="753" ht="15" customHeight="1" s="39">
      <c r="A753" s="38" t="inlineStr">
        <is>
          <t>[082515] Santa Margarida i els Monjos</t>
        </is>
      </c>
      <c r="B753" s="42" t="inlineStr">
        <is>
          <t>082515</t>
        </is>
      </c>
      <c r="C753" s="38" t="inlineStr">
        <is>
          <t>Santa Margarida i els Monjos</t>
        </is>
      </c>
      <c r="D753" s="42" t="inlineStr">
        <is>
          <t>03</t>
        </is>
      </c>
      <c r="E753" s="38" t="inlineStr">
        <is>
          <t>Alt Penedès</t>
        </is>
      </c>
    </row>
    <row r="754" ht="15" customHeight="1" s="39">
      <c r="A754" s="38" t="inlineStr">
        <is>
          <t>[082589] Santa Maria d'Oló</t>
        </is>
      </c>
      <c r="B754" s="42" t="inlineStr">
        <is>
          <t>082589</t>
        </is>
      </c>
      <c r="C754" s="38" t="inlineStr">
        <is>
          <t>Santa Maria d'Oló</t>
        </is>
      </c>
      <c r="D754" s="42" t="inlineStr">
        <is>
          <t>42</t>
        </is>
      </c>
      <c r="E754" s="38" t="inlineStr">
        <is>
          <t>Moianès</t>
        </is>
      </c>
    </row>
    <row r="755" ht="15" customHeight="1" s="39">
      <c r="A755" s="38" t="inlineStr">
        <is>
          <t>[082536] Santa Maria de Besora</t>
        </is>
      </c>
      <c r="B755" s="42" t="inlineStr">
        <is>
          <t>082536</t>
        </is>
      </c>
      <c r="C755" s="38" t="inlineStr">
        <is>
          <t>Santa Maria de Besora</t>
        </is>
      </c>
      <c r="D755" s="42" t="inlineStr">
        <is>
          <t>24</t>
        </is>
      </c>
      <c r="E755" s="38" t="inlineStr">
        <is>
          <t>Osona</t>
        </is>
      </c>
    </row>
    <row r="756" ht="15" customHeight="1" s="39">
      <c r="A756" s="38" t="inlineStr">
        <is>
          <t>[082567] Santa Maria de Martorelles</t>
        </is>
      </c>
      <c r="B756" s="42" t="inlineStr">
        <is>
          <t>082567</t>
        </is>
      </c>
      <c r="C756" s="38" t="inlineStr">
        <is>
          <t>Santa Maria de Martorelles</t>
        </is>
      </c>
      <c r="D756" s="42" t="inlineStr">
        <is>
          <t>41</t>
        </is>
      </c>
      <c r="E756" s="38" t="inlineStr">
        <is>
          <t>Vallès Oriental</t>
        </is>
      </c>
    </row>
    <row r="757" ht="15" customHeight="1" s="39">
      <c r="A757" s="38" t="inlineStr">
        <is>
          <t>[082554] Santa Maria de Merlès</t>
        </is>
      </c>
      <c r="B757" s="42" t="inlineStr">
        <is>
          <t>082554</t>
        </is>
      </c>
      <c r="C757" s="38" t="inlineStr">
        <is>
          <t>Santa Maria de Merlès</t>
        </is>
      </c>
      <c r="D757" s="42" t="inlineStr">
        <is>
          <t>14</t>
        </is>
      </c>
      <c r="E757" s="38" t="inlineStr">
        <is>
          <t>Berguedà</t>
        </is>
      </c>
    </row>
    <row r="758" ht="15" customHeight="1" s="39">
      <c r="A758" s="38" t="inlineStr">
        <is>
          <t>[082573] Santa Maria de Miralles</t>
        </is>
      </c>
      <c r="B758" s="42" t="inlineStr">
        <is>
          <t>082573</t>
        </is>
      </c>
      <c r="C758" s="38" t="inlineStr">
        <is>
          <t>Santa Maria de Miralles</t>
        </is>
      </c>
      <c r="D758" s="42" t="inlineStr">
        <is>
          <t>06</t>
        </is>
      </c>
      <c r="E758" s="38" t="inlineStr">
        <is>
          <t>Anoia</t>
        </is>
      </c>
    </row>
    <row r="759" ht="15" customHeight="1" s="39">
      <c r="A759" s="38" t="inlineStr">
        <is>
          <t>[082592] Santa Maria de Palautordera</t>
        </is>
      </c>
      <c r="B759" s="42" t="inlineStr">
        <is>
          <t>082592</t>
        </is>
      </c>
      <c r="C759" s="38" t="inlineStr">
        <is>
          <t>Santa Maria de Palautordera</t>
        </is>
      </c>
      <c r="D759" s="42" t="inlineStr">
        <is>
          <t>41</t>
        </is>
      </c>
      <c r="E759" s="38" t="inlineStr">
        <is>
          <t>Vallès Oriental</t>
        </is>
      </c>
    </row>
    <row r="760" ht="15" customHeight="1" s="39">
      <c r="A760" s="38" t="inlineStr">
        <is>
          <t>[431401] Santa Oliva</t>
        </is>
      </c>
      <c r="B760" s="42" t="inlineStr">
        <is>
          <t>431401</t>
        </is>
      </c>
      <c r="C760" s="38" t="inlineStr">
        <is>
          <t>Santa Oliva</t>
        </is>
      </c>
      <c r="D760" s="42" t="inlineStr">
        <is>
          <t>12</t>
        </is>
      </c>
      <c r="E760" s="38" t="inlineStr">
        <is>
          <t>Baix Penedès</t>
        </is>
      </c>
    </row>
    <row r="761" ht="15" customHeight="1" s="39">
      <c r="A761" s="38" t="inlineStr">
        <is>
          <t>[171848] Santa Pau</t>
        </is>
      </c>
      <c r="B761" s="42" t="inlineStr">
        <is>
          <t>171848</t>
        </is>
      </c>
      <c r="C761" s="38" t="inlineStr">
        <is>
          <t>Santa Pau</t>
        </is>
      </c>
      <c r="D761" s="42" t="inlineStr">
        <is>
          <t>19</t>
        </is>
      </c>
      <c r="E761" s="38" t="inlineStr">
        <is>
          <t>Garrotxa</t>
        </is>
      </c>
    </row>
    <row r="762" ht="15" customHeight="1" s="39">
      <c r="A762" s="38" t="inlineStr">
        <is>
          <t>[082606] Santa Perpètua de Mogoda</t>
        </is>
      </c>
      <c r="B762" s="42" t="inlineStr">
        <is>
          <t>082606</t>
        </is>
      </c>
      <c r="C762" s="38" t="inlineStr">
        <is>
          <t>Santa Perpètua de Mogoda</t>
        </is>
      </c>
      <c r="D762" s="42" t="inlineStr">
        <is>
          <t>40</t>
        </is>
      </c>
      <c r="E762" s="38" t="inlineStr">
        <is>
          <t>Vallès Occidental</t>
        </is>
      </c>
    </row>
    <row r="763" ht="15" customHeight="1" s="39">
      <c r="A763" s="38" t="inlineStr">
        <is>
          <t>[082613] Santa Susanna</t>
        </is>
      </c>
      <c r="B763" s="42" t="inlineStr">
        <is>
          <t>082613</t>
        </is>
      </c>
      <c r="C763" s="38" t="inlineStr">
        <is>
          <t>Santa Susanna</t>
        </is>
      </c>
      <c r="D763" s="42" t="inlineStr">
        <is>
          <t>21</t>
        </is>
      </c>
      <c r="E763" s="38" t="inlineStr">
        <is>
          <t>Maresme</t>
        </is>
      </c>
    </row>
    <row r="764" ht="15" customHeight="1" s="39">
      <c r="A764" s="38" t="inlineStr">
        <is>
          <t>[081923] Santpedor</t>
        </is>
      </c>
      <c r="B764" s="42" t="inlineStr">
        <is>
          <t>081923</t>
        </is>
      </c>
      <c r="C764" s="38" t="inlineStr">
        <is>
          <t>Santpedor</t>
        </is>
      </c>
      <c r="D764" s="42" t="inlineStr">
        <is>
          <t>07</t>
        </is>
      </c>
      <c r="E764" s="38" t="inlineStr">
        <is>
          <t>Bages</t>
        </is>
      </c>
    </row>
    <row r="765" ht="15" customHeight="1" s="39">
      <c r="A765" s="38" t="inlineStr">
        <is>
          <t>[431423] Sarral</t>
        </is>
      </c>
      <c r="B765" s="42" t="inlineStr">
        <is>
          <t>431423</t>
        </is>
      </c>
      <c r="C765" s="38" t="inlineStr">
        <is>
          <t>Sarral</t>
        </is>
      </c>
      <c r="D765" s="42" t="inlineStr">
        <is>
          <t>16</t>
        </is>
      </c>
      <c r="E765" s="38" t="inlineStr">
        <is>
          <t>Conca de Barberà</t>
        </is>
      </c>
    </row>
    <row r="766" ht="15" customHeight="1" s="39">
      <c r="A766" s="38" t="inlineStr">
        <is>
          <t>[171864] Sarrià de Ter</t>
        </is>
      </c>
      <c r="B766" s="42" t="inlineStr">
        <is>
          <t>171864</t>
        </is>
      </c>
      <c r="C766" s="38" t="inlineStr">
        <is>
          <t>Sarrià de Ter</t>
        </is>
      </c>
      <c r="D766" s="42" t="inlineStr">
        <is>
          <t>20</t>
        </is>
      </c>
      <c r="E766" s="38" t="inlineStr">
        <is>
          <t>Gironès</t>
        </is>
      </c>
    </row>
    <row r="767" ht="15" customHeight="1" s="39">
      <c r="A767" s="38" t="inlineStr">
        <is>
          <t>[252017] Sarroca de Bellera</t>
        </is>
      </c>
      <c r="B767" s="42" t="inlineStr">
        <is>
          <t>252017</t>
        </is>
      </c>
      <c r="C767" s="38" t="inlineStr">
        <is>
          <t>Sarroca de Bellera</t>
        </is>
      </c>
      <c r="D767" s="42" t="inlineStr">
        <is>
          <t>25</t>
        </is>
      </c>
      <c r="E767" s="38" t="inlineStr">
        <is>
          <t>Pallars Jussà</t>
        </is>
      </c>
    </row>
    <row r="768" ht="15" customHeight="1" s="39">
      <c r="A768" s="38" t="inlineStr">
        <is>
          <t>[252000] Sarroca de Lleida</t>
        </is>
      </c>
      <c r="B768" s="42" t="inlineStr">
        <is>
          <t>252000</t>
        </is>
      </c>
      <c r="C768" s="38" t="inlineStr">
        <is>
          <t>Sarroca de Lleida</t>
        </is>
      </c>
      <c r="D768" s="42" t="inlineStr">
        <is>
          <t>33</t>
        </is>
      </c>
      <c r="E768" s="38" t="inlineStr">
        <is>
          <t>Segrià</t>
        </is>
      </c>
    </row>
    <row r="769" ht="15" customHeight="1" s="39">
      <c r="A769" s="38" t="inlineStr">
        <is>
          <t>[171870] Saus, Camallera i Llampaies</t>
        </is>
      </c>
      <c r="B769" s="42" t="inlineStr">
        <is>
          <t>171870</t>
        </is>
      </c>
      <c r="C769" s="38" t="inlineStr">
        <is>
          <t>Saus, Camallera i Llampaies</t>
        </is>
      </c>
      <c r="D769" s="42" t="inlineStr">
        <is>
          <t>02</t>
        </is>
      </c>
      <c r="E769" s="38" t="inlineStr">
        <is>
          <t>Alt Empordà</t>
        </is>
      </c>
    </row>
    <row r="770" ht="15" customHeight="1" s="39">
      <c r="A770" s="38" t="inlineStr">
        <is>
          <t>[431439] Savallà del Comtat</t>
        </is>
      </c>
      <c r="B770" s="42" t="inlineStr">
        <is>
          <t>431439</t>
        </is>
      </c>
      <c r="C770" s="38" t="inlineStr">
        <is>
          <t>Savallà del Comtat</t>
        </is>
      </c>
      <c r="D770" s="42" t="inlineStr">
        <is>
          <t>16</t>
        </is>
      </c>
      <c r="E770" s="38" t="inlineStr">
        <is>
          <t>Conca de Barberà</t>
        </is>
      </c>
    </row>
    <row r="771" ht="15" customHeight="1" s="39">
      <c r="A771" s="38" t="inlineStr">
        <is>
          <t>[431444] Secuita, la</t>
        </is>
      </c>
      <c r="B771" s="42" t="inlineStr">
        <is>
          <t>431444</t>
        </is>
      </c>
      <c r="C771" s="38" t="inlineStr">
        <is>
          <t>Secuita, la</t>
        </is>
      </c>
      <c r="D771" s="42" t="inlineStr">
        <is>
          <t>36</t>
        </is>
      </c>
      <c r="E771" s="38" t="inlineStr">
        <is>
          <t>Tarragonès</t>
        </is>
      </c>
    </row>
    <row r="772" ht="15" customHeight="1" s="39">
      <c r="A772" s="38" t="inlineStr">
        <is>
          <t>[171886] Selva de Mar, la</t>
        </is>
      </c>
      <c r="B772" s="42" t="inlineStr">
        <is>
          <t>171886</t>
        </is>
      </c>
      <c r="C772" s="38" t="inlineStr">
        <is>
          <t>Selva de Mar, la</t>
        </is>
      </c>
      <c r="D772" s="42" t="inlineStr">
        <is>
          <t>02</t>
        </is>
      </c>
      <c r="E772" s="38" t="inlineStr">
        <is>
          <t>Alt Empordà</t>
        </is>
      </c>
    </row>
    <row r="773" ht="15" customHeight="1" s="39">
      <c r="A773" s="38" t="inlineStr">
        <is>
          <t>[431457] Selva del Camp, la</t>
        </is>
      </c>
      <c r="B773" s="42" t="inlineStr">
        <is>
          <t>431457</t>
        </is>
      </c>
      <c r="C773" s="38" t="inlineStr">
        <is>
          <t>Selva del Camp, la</t>
        </is>
      </c>
      <c r="D773" s="42" t="inlineStr">
        <is>
          <t>08</t>
        </is>
      </c>
      <c r="E773" s="38" t="inlineStr">
        <is>
          <t>Baix Camp</t>
        </is>
      </c>
    </row>
    <row r="774" ht="15" customHeight="1" s="39">
      <c r="A774" s="38" t="inlineStr">
        <is>
          <t>[431460] Senan</t>
        </is>
      </c>
      <c r="B774" s="42" t="inlineStr">
        <is>
          <t>431460</t>
        </is>
      </c>
      <c r="C774" s="38" t="inlineStr">
        <is>
          <t>Senan</t>
        </is>
      </c>
      <c r="D774" s="42" t="inlineStr">
        <is>
          <t>16</t>
        </is>
      </c>
      <c r="E774" s="38" t="inlineStr">
        <is>
          <t>Conca de Barberà</t>
        </is>
      </c>
    </row>
    <row r="775" ht="15" customHeight="1" s="39">
      <c r="A775" s="38" t="inlineStr">
        <is>
          <t>[430445] Sénia, la</t>
        </is>
      </c>
      <c r="B775" s="42" t="inlineStr">
        <is>
          <t>430445</t>
        </is>
      </c>
      <c r="C775" s="38" t="inlineStr">
        <is>
          <t>Sénia, la</t>
        </is>
      </c>
      <c r="D775" s="42" t="inlineStr">
        <is>
          <t>22</t>
        </is>
      </c>
      <c r="E775" s="38" t="inlineStr">
        <is>
          <t>Montsià</t>
        </is>
      </c>
    </row>
    <row r="776" ht="15" customHeight="1" s="39">
      <c r="A776" s="38" t="inlineStr">
        <is>
          <t>[252022] Senterada</t>
        </is>
      </c>
      <c r="B776" s="42" t="inlineStr">
        <is>
          <t>252022</t>
        </is>
      </c>
      <c r="C776" s="38" t="inlineStr">
        <is>
          <t>Senterada</t>
        </is>
      </c>
      <c r="D776" s="42" t="inlineStr">
        <is>
          <t>25</t>
        </is>
      </c>
      <c r="E776" s="38" t="inlineStr">
        <is>
          <t>Pallars Jussà</t>
        </is>
      </c>
    </row>
    <row r="777" ht="15" customHeight="1" s="39">
      <c r="A777" s="38" t="inlineStr">
        <is>
          <t>[250352] Sentiu de Sió, la</t>
        </is>
      </c>
      <c r="B777" s="42" t="inlineStr">
        <is>
          <t>250352</t>
        </is>
      </c>
      <c r="C777" s="38" t="inlineStr">
        <is>
          <t>Sentiu de Sió, la</t>
        </is>
      </c>
      <c r="D777" s="42" t="inlineStr">
        <is>
          <t>23</t>
        </is>
      </c>
      <c r="E777" s="38" t="inlineStr">
        <is>
          <t>Noguera</t>
        </is>
      </c>
    </row>
    <row r="778" ht="15" customHeight="1" s="39">
      <c r="A778" s="38" t="inlineStr">
        <is>
          <t>[082671] Sentmenat</t>
        </is>
      </c>
      <c r="B778" s="42" t="inlineStr">
        <is>
          <t>082671</t>
        </is>
      </c>
      <c r="C778" s="38" t="inlineStr">
        <is>
          <t>Sentmenat</t>
        </is>
      </c>
      <c r="D778" s="42" t="inlineStr">
        <is>
          <t>40</t>
        </is>
      </c>
      <c r="E778" s="38" t="inlineStr">
        <is>
          <t>Vallès Occidental</t>
        </is>
      </c>
    </row>
    <row r="779" ht="15" customHeight="1" s="39">
      <c r="A779" s="38" t="inlineStr">
        <is>
          <t>[171903] Serinyà</t>
        </is>
      </c>
      <c r="B779" s="42" t="inlineStr">
        <is>
          <t>171903</t>
        </is>
      </c>
      <c r="C779" s="38" t="inlineStr">
        <is>
          <t>Serinyà</t>
        </is>
      </c>
      <c r="D779" s="42" t="inlineStr">
        <is>
          <t>28</t>
        </is>
      </c>
      <c r="E779" s="38" t="inlineStr">
        <is>
          <t>Pla de l'Estany</t>
        </is>
      </c>
    </row>
    <row r="780" ht="15" customHeight="1" s="39">
      <c r="A780" s="38" t="inlineStr">
        <is>
          <t>[252043] Seròs</t>
        </is>
      </c>
      <c r="B780" s="42" t="inlineStr">
        <is>
          <t>252043</t>
        </is>
      </c>
      <c r="C780" s="38" t="inlineStr">
        <is>
          <t>Seròs</t>
        </is>
      </c>
      <c r="D780" s="42" t="inlineStr">
        <is>
          <t>33</t>
        </is>
      </c>
      <c r="E780" s="38" t="inlineStr">
        <is>
          <t>Segrià</t>
        </is>
      </c>
    </row>
    <row r="781" ht="15" customHeight="1" s="39">
      <c r="A781" s="38" t="inlineStr">
        <is>
          <t>[171910] Serra de Daró</t>
        </is>
      </c>
      <c r="B781" s="42" t="inlineStr">
        <is>
          <t>171910</t>
        </is>
      </c>
      <c r="C781" s="38" t="inlineStr">
        <is>
          <t>Serra de Daró</t>
        </is>
      </c>
      <c r="D781" s="42" t="inlineStr">
        <is>
          <t>10</t>
        </is>
      </c>
      <c r="E781" s="38" t="inlineStr">
        <is>
          <t>Baix Empordà</t>
        </is>
      </c>
    </row>
    <row r="782" ht="15" customHeight="1" s="39">
      <c r="A782" s="38" t="inlineStr">
        <is>
          <t>[171925] Setcases</t>
        </is>
      </c>
      <c r="B782" s="42" t="inlineStr">
        <is>
          <t>171925</t>
        </is>
      </c>
      <c r="C782" s="38" t="inlineStr">
        <is>
          <t>Setcases</t>
        </is>
      </c>
      <c r="D782" s="42" t="inlineStr">
        <is>
          <t>31</t>
        </is>
      </c>
      <c r="E782" s="38" t="inlineStr">
        <is>
          <t>Ripollès</t>
        </is>
      </c>
    </row>
    <row r="783" ht="15" customHeight="1" s="39">
      <c r="A783" s="38" t="inlineStr">
        <is>
          <t>[252038] Seu d'Urgell, la</t>
        </is>
      </c>
      <c r="B783" s="42" t="inlineStr">
        <is>
          <t>252038</t>
        </is>
      </c>
      <c r="C783" s="38" t="inlineStr">
        <is>
          <t>Seu d'Urgell, la</t>
        </is>
      </c>
      <c r="D783" s="42" t="inlineStr">
        <is>
          <t>04</t>
        </is>
      </c>
      <c r="E783" s="38" t="inlineStr">
        <is>
          <t>Alt Urgell</t>
        </is>
      </c>
    </row>
    <row r="784" ht="15" customHeight="1" s="39">
      <c r="A784" s="38" t="inlineStr">
        <is>
          <t>[082690] Seva</t>
        </is>
      </c>
      <c r="B784" s="42" t="inlineStr">
        <is>
          <t>082690</t>
        </is>
      </c>
      <c r="C784" s="38" t="inlineStr">
        <is>
          <t>Seva</t>
        </is>
      </c>
      <c r="D784" s="42" t="inlineStr">
        <is>
          <t>24</t>
        </is>
      </c>
      <c r="E784" s="38" t="inlineStr">
        <is>
          <t>Osona</t>
        </is>
      </c>
    </row>
    <row r="785" ht="15" customHeight="1" s="39">
      <c r="A785" s="38" t="inlineStr">
        <is>
          <t>[252056] Sidamon</t>
        </is>
      </c>
      <c r="B785" s="42" t="inlineStr">
        <is>
          <t>252056</t>
        </is>
      </c>
      <c r="C785" s="38" t="inlineStr">
        <is>
          <t>Sidamon</t>
        </is>
      </c>
      <c r="D785" s="42" t="inlineStr">
        <is>
          <t>27</t>
        </is>
      </c>
      <c r="E785" s="38" t="inlineStr">
        <is>
          <t>Pla d'Urgell</t>
        </is>
      </c>
    </row>
    <row r="786" ht="15" customHeight="1" s="39">
      <c r="A786" s="38" t="inlineStr">
        <is>
          <t>[171931] Sils</t>
        </is>
      </c>
      <c r="B786" s="42" t="inlineStr">
        <is>
          <t>171931</t>
        </is>
      </c>
      <c r="C786" s="38" t="inlineStr">
        <is>
          <t>Sils</t>
        </is>
      </c>
      <c r="D786" s="42" t="inlineStr">
        <is>
          <t>34</t>
        </is>
      </c>
      <c r="E786" s="38" t="inlineStr">
        <is>
          <t>Selva</t>
        </is>
      </c>
    </row>
    <row r="787" ht="15" customHeight="1" s="39">
      <c r="A787" s="38" t="inlineStr">
        <is>
          <t>[082704] Sitges</t>
        </is>
      </c>
      <c r="B787" s="42" t="inlineStr">
        <is>
          <t>082704</t>
        </is>
      </c>
      <c r="C787" s="38" t="inlineStr">
        <is>
          <t>Sitges</t>
        </is>
      </c>
      <c r="D787" s="42" t="inlineStr">
        <is>
          <t>17</t>
        </is>
      </c>
      <c r="E787" s="38" t="inlineStr">
        <is>
          <t>Garraf</t>
        </is>
      </c>
    </row>
    <row r="788" ht="15" customHeight="1" s="39">
      <c r="A788" s="38" t="inlineStr">
        <is>
          <t>[170524] Siurana</t>
        </is>
      </c>
      <c r="B788" s="42" t="inlineStr">
        <is>
          <t>170524</t>
        </is>
      </c>
      <c r="C788" s="38" t="inlineStr">
        <is>
          <t>Siurana</t>
        </is>
      </c>
      <c r="D788" s="42" t="inlineStr">
        <is>
          <t>02</t>
        </is>
      </c>
      <c r="E788" s="38" t="inlineStr">
        <is>
          <t>Alt Empordà</t>
        </is>
      </c>
    </row>
    <row r="789" ht="15" customHeight="1" s="39">
      <c r="A789" s="38" t="inlineStr">
        <is>
          <t>[082711] Sobremunt</t>
        </is>
      </c>
      <c r="B789" s="42" t="inlineStr">
        <is>
          <t>082711</t>
        </is>
      </c>
      <c r="C789" s="38" t="inlineStr">
        <is>
          <t>Sobremunt</t>
        </is>
      </c>
      <c r="D789" s="42" t="inlineStr">
        <is>
          <t>43</t>
        </is>
      </c>
      <c r="E789" s="38" t="inlineStr">
        <is>
          <t>Lluçanès</t>
        </is>
      </c>
    </row>
    <row r="790" ht="15" customHeight="1" s="39">
      <c r="A790" s="38" t="inlineStr">
        <is>
          <t>[252069] Soleràs, el</t>
        </is>
      </c>
      <c r="B790" s="42" t="inlineStr">
        <is>
          <t>252069</t>
        </is>
      </c>
      <c r="C790" s="38" t="inlineStr">
        <is>
          <t>Soleràs, el</t>
        </is>
      </c>
      <c r="D790" s="42" t="inlineStr">
        <is>
          <t>18</t>
        </is>
      </c>
      <c r="E790" s="38" t="inlineStr">
        <is>
          <t>Garrigues</t>
        </is>
      </c>
    </row>
    <row r="791" ht="15" customHeight="1" s="39">
      <c r="A791" s="38" t="inlineStr">
        <is>
          <t>[431476] Solivella</t>
        </is>
      </c>
      <c r="B791" s="42" t="inlineStr">
        <is>
          <t>431476</t>
        </is>
      </c>
      <c r="C791" s="38" t="inlineStr">
        <is>
          <t>Solivella</t>
        </is>
      </c>
      <c r="D791" s="42" t="inlineStr">
        <is>
          <t>16</t>
        </is>
      </c>
      <c r="E791" s="38" t="inlineStr">
        <is>
          <t>Conca de Barberà</t>
        </is>
      </c>
    </row>
    <row r="792" ht="15" customHeight="1" s="39">
      <c r="A792" s="38" t="inlineStr">
        <is>
          <t>[252075] Solsona</t>
        </is>
      </c>
      <c r="B792" s="42" t="inlineStr">
        <is>
          <t>252075</t>
        </is>
      </c>
      <c r="C792" s="38" t="inlineStr">
        <is>
          <t>Solsona</t>
        </is>
      </c>
      <c r="D792" s="42" t="inlineStr">
        <is>
          <t>35</t>
        </is>
      </c>
      <c r="E792" s="38" t="inlineStr">
        <is>
          <t>Solsonès</t>
        </is>
      </c>
    </row>
    <row r="793" ht="15" customHeight="1" s="39">
      <c r="A793" s="38" t="inlineStr">
        <is>
          <t>[082726] Sora</t>
        </is>
      </c>
      <c r="B793" s="42" t="inlineStr">
        <is>
          <t>082726</t>
        </is>
      </c>
      <c r="C793" s="38" t="inlineStr">
        <is>
          <t>Sora</t>
        </is>
      </c>
      <c r="D793" s="42" t="inlineStr">
        <is>
          <t>24</t>
        </is>
      </c>
      <c r="E793" s="38" t="inlineStr">
        <is>
          <t>Osona</t>
        </is>
      </c>
    </row>
    <row r="794" ht="15" customHeight="1" s="39">
      <c r="A794" s="38" t="inlineStr">
        <is>
          <t>[252081] Soriguera</t>
        </is>
      </c>
      <c r="B794" s="42" t="inlineStr">
        <is>
          <t>252081</t>
        </is>
      </c>
      <c r="C794" s="38" t="inlineStr">
        <is>
          <t>Soriguera</t>
        </is>
      </c>
      <c r="D794" s="42" t="inlineStr">
        <is>
          <t>26</t>
        </is>
      </c>
      <c r="E794" s="38" t="inlineStr">
        <is>
          <t>Pallars Sobirà</t>
        </is>
      </c>
    </row>
    <row r="795" ht="15" customHeight="1" s="39">
      <c r="A795" s="38" t="inlineStr">
        <is>
          <t>[252094] Sort</t>
        </is>
      </c>
      <c r="B795" s="42" t="inlineStr">
        <is>
          <t>252094</t>
        </is>
      </c>
      <c r="C795" s="38" t="inlineStr">
        <is>
          <t>Sort</t>
        </is>
      </c>
      <c r="D795" s="42" t="inlineStr">
        <is>
          <t>26</t>
        </is>
      </c>
      <c r="E795" s="38" t="inlineStr">
        <is>
          <t>Pallars Sobirà</t>
        </is>
      </c>
    </row>
    <row r="796" ht="15" customHeight="1" s="39">
      <c r="A796" s="38" t="inlineStr">
        <is>
          <t>[252108] Soses</t>
        </is>
      </c>
      <c r="B796" s="42" t="inlineStr">
        <is>
          <t>252108</t>
        </is>
      </c>
      <c r="C796" s="38" t="inlineStr">
        <is>
          <t>Soses</t>
        </is>
      </c>
      <c r="D796" s="42" t="inlineStr">
        <is>
          <t>33</t>
        </is>
      </c>
      <c r="E796" s="38" t="inlineStr">
        <is>
          <t>Segrià</t>
        </is>
      </c>
    </row>
    <row r="797" ht="15" customHeight="1" s="39">
      <c r="A797" s="38" t="inlineStr">
        <is>
          <t>[082732] Subirats</t>
        </is>
      </c>
      <c r="B797" s="42" t="inlineStr">
        <is>
          <t>082732</t>
        </is>
      </c>
      <c r="C797" s="38" t="inlineStr">
        <is>
          <t>Subirats</t>
        </is>
      </c>
      <c r="D797" s="42" t="inlineStr">
        <is>
          <t>03</t>
        </is>
      </c>
      <c r="E797" s="38" t="inlineStr">
        <is>
          <t>Alt Penedès</t>
        </is>
      </c>
    </row>
    <row r="798" ht="15" customHeight="1" s="39">
      <c r="A798" s="38" t="inlineStr">
        <is>
          <t>[252115] Sudanell</t>
        </is>
      </c>
      <c r="B798" s="42" t="inlineStr">
        <is>
          <t>252115</t>
        </is>
      </c>
      <c r="C798" s="38" t="inlineStr">
        <is>
          <t>Sudanell</t>
        </is>
      </c>
      <c r="D798" s="42" t="inlineStr">
        <is>
          <t>33</t>
        </is>
      </c>
      <c r="E798" s="38" t="inlineStr">
        <is>
          <t>Segrià</t>
        </is>
      </c>
    </row>
    <row r="799" ht="15" customHeight="1" s="39">
      <c r="A799" s="38" t="inlineStr">
        <is>
          <t>[252120] Sunyer</t>
        </is>
      </c>
      <c r="B799" s="42" t="inlineStr">
        <is>
          <t>252120</t>
        </is>
      </c>
      <c r="C799" s="38" t="inlineStr">
        <is>
          <t>Sunyer</t>
        </is>
      </c>
      <c r="D799" s="42" t="inlineStr">
        <is>
          <t>33</t>
        </is>
      </c>
      <c r="E799" s="38" t="inlineStr">
        <is>
          <t>Segrià</t>
        </is>
      </c>
    </row>
    <row r="800" ht="15" customHeight="1" s="39">
      <c r="A800" s="38" t="inlineStr">
        <is>
          <t>[082747] Súria</t>
        </is>
      </c>
      <c r="B800" s="42" t="inlineStr">
        <is>
          <t>082747</t>
        </is>
      </c>
      <c r="C800" s="38" t="inlineStr">
        <is>
          <t>Súria</t>
        </is>
      </c>
      <c r="D800" s="42" t="inlineStr">
        <is>
          <t>07</t>
        </is>
      </c>
      <c r="E800" s="38" t="inlineStr">
        <is>
          <t>Bages</t>
        </is>
      </c>
    </row>
    <row r="801" ht="15" customHeight="1" s="39">
      <c r="A801" s="38" t="inlineStr">
        <is>
          <t>[171946] Susqueda</t>
        </is>
      </c>
      <c r="B801" s="42" t="inlineStr">
        <is>
          <t>171946</t>
        </is>
      </c>
      <c r="C801" s="38" t="inlineStr">
        <is>
          <t>Susqueda</t>
        </is>
      </c>
      <c r="D801" s="42" t="inlineStr">
        <is>
          <t>34</t>
        </is>
      </c>
      <c r="E801" s="38" t="inlineStr">
        <is>
          <t>Selva</t>
        </is>
      </c>
    </row>
    <row r="802" ht="15" customHeight="1" s="39">
      <c r="A802" s="38" t="inlineStr">
        <is>
          <t>[082763] Tagamanent</t>
        </is>
      </c>
      <c r="B802" s="42" t="inlineStr">
        <is>
          <t>082763</t>
        </is>
      </c>
      <c r="C802" s="38" t="inlineStr">
        <is>
          <t>Tagamanent</t>
        </is>
      </c>
      <c r="D802" s="42" t="inlineStr">
        <is>
          <t>41</t>
        </is>
      </c>
      <c r="E802" s="38" t="inlineStr">
        <is>
          <t>Vallès Oriental</t>
        </is>
      </c>
    </row>
    <row r="803" ht="15" customHeight="1" s="39">
      <c r="A803" s="38" t="inlineStr">
        <is>
          <t>[082779] Talamanca</t>
        </is>
      </c>
      <c r="B803" s="42" t="inlineStr">
        <is>
          <t>082779</t>
        </is>
      </c>
      <c r="C803" s="38" t="inlineStr">
        <is>
          <t>Talamanca</t>
        </is>
      </c>
      <c r="D803" s="42" t="inlineStr">
        <is>
          <t>07</t>
        </is>
      </c>
      <c r="E803" s="38" t="inlineStr">
        <is>
          <t>Bages</t>
        </is>
      </c>
    </row>
    <row r="804" ht="15" customHeight="1" s="39">
      <c r="A804" s="38" t="inlineStr">
        <is>
          <t>[252154] Talarn</t>
        </is>
      </c>
      <c r="B804" s="42" t="inlineStr">
        <is>
          <t>252154</t>
        </is>
      </c>
      <c r="C804" s="38" t="inlineStr">
        <is>
          <t>Talarn</t>
        </is>
      </c>
      <c r="D804" s="42" t="inlineStr">
        <is>
          <t>25</t>
        </is>
      </c>
      <c r="E804" s="38" t="inlineStr">
        <is>
          <t>Pallars Jussà</t>
        </is>
      </c>
    </row>
    <row r="805" ht="15" customHeight="1" s="39">
      <c r="A805" s="38" t="inlineStr">
        <is>
          <t>[252167] Talavera</t>
        </is>
      </c>
      <c r="B805" s="42" t="inlineStr">
        <is>
          <t>252167</t>
        </is>
      </c>
      <c r="C805" s="38" t="inlineStr">
        <is>
          <t>Talavera</t>
        </is>
      </c>
      <c r="D805" s="42" t="inlineStr">
        <is>
          <t>32</t>
        </is>
      </c>
      <c r="E805" s="38" t="inlineStr">
        <is>
          <t>Segarra</t>
        </is>
      </c>
    </row>
    <row r="806" ht="15" customHeight="1" s="39">
      <c r="A806" s="38" t="inlineStr">
        <is>
          <t>[171959] Tallada d'Empordà, la</t>
        </is>
      </c>
      <c r="B806" s="42" t="inlineStr">
        <is>
          <t>171959</t>
        </is>
      </c>
      <c r="C806" s="38" t="inlineStr">
        <is>
          <t>Tallada d'Empordà, la</t>
        </is>
      </c>
      <c r="D806" s="42" t="inlineStr">
        <is>
          <t>10</t>
        </is>
      </c>
      <c r="E806" s="38" t="inlineStr">
        <is>
          <t>Baix Empordà</t>
        </is>
      </c>
    </row>
    <row r="807" ht="15" customHeight="1" s="39">
      <c r="A807" s="38" t="inlineStr">
        <is>
          <t>[082785] Taradell</t>
        </is>
      </c>
      <c r="B807" s="42" t="inlineStr">
        <is>
          <t>082785</t>
        </is>
      </c>
      <c r="C807" s="38" t="inlineStr">
        <is>
          <t>Taradell</t>
        </is>
      </c>
      <c r="D807" s="42" t="inlineStr">
        <is>
          <t>24</t>
        </is>
      </c>
      <c r="E807" s="38" t="inlineStr">
        <is>
          <t>Osona</t>
        </is>
      </c>
    </row>
    <row r="808" ht="15" customHeight="1" s="39">
      <c r="A808" s="38" t="inlineStr">
        <is>
          <t>[431482] Tarragona</t>
        </is>
      </c>
      <c r="B808" s="42" t="inlineStr">
        <is>
          <t>431482</t>
        </is>
      </c>
      <c r="C808" s="38" t="inlineStr">
        <is>
          <t>Tarragona</t>
        </is>
      </c>
      <c r="D808" s="42" t="inlineStr">
        <is>
          <t>36</t>
        </is>
      </c>
      <c r="E808" s="38" t="inlineStr">
        <is>
          <t>Tarragonès</t>
        </is>
      </c>
    </row>
    <row r="809" ht="15" customHeight="1" s="39">
      <c r="A809" s="38" t="inlineStr">
        <is>
          <t>[252173] Tàrrega</t>
        </is>
      </c>
      <c r="B809" s="42" t="inlineStr">
        <is>
          <t>252173</t>
        </is>
      </c>
      <c r="C809" s="38" t="inlineStr">
        <is>
          <t>Tàrrega</t>
        </is>
      </c>
      <c r="D809" s="42" t="inlineStr">
        <is>
          <t>38</t>
        </is>
      </c>
      <c r="E809" s="38" t="inlineStr">
        <is>
          <t>Urgell</t>
        </is>
      </c>
    </row>
    <row r="810" ht="15" customHeight="1" s="39">
      <c r="A810" s="38" t="inlineStr">
        <is>
          <t>[252189] Tarrés</t>
        </is>
      </c>
      <c r="B810" s="42" t="inlineStr">
        <is>
          <t>252189</t>
        </is>
      </c>
      <c r="C810" s="38" t="inlineStr">
        <is>
          <t>Tarrés</t>
        </is>
      </c>
      <c r="D810" s="42" t="inlineStr">
        <is>
          <t>18</t>
        </is>
      </c>
      <c r="E810" s="38" t="inlineStr">
        <is>
          <t>Garrigues</t>
        </is>
      </c>
    </row>
    <row r="811" ht="15" customHeight="1" s="39">
      <c r="A811" s="38" t="inlineStr">
        <is>
          <t>[252192] Tarroja de Segarra</t>
        </is>
      </c>
      <c r="B811" s="42" t="inlineStr">
        <is>
          <t>252192</t>
        </is>
      </c>
      <c r="C811" s="38" t="inlineStr">
        <is>
          <t>Tarroja de Segarra</t>
        </is>
      </c>
      <c r="D811" s="42" t="inlineStr">
        <is>
          <t>32</t>
        </is>
      </c>
      <c r="E811" s="38" t="inlineStr">
        <is>
          <t>Segarra</t>
        </is>
      </c>
    </row>
    <row r="812" ht="15" customHeight="1" s="39">
      <c r="A812" s="38" t="inlineStr">
        <is>
          <t>[082750] Tavèrnoles</t>
        </is>
      </c>
      <c r="B812" s="42" t="inlineStr">
        <is>
          <t>082750</t>
        </is>
      </c>
      <c r="C812" s="38" t="inlineStr">
        <is>
          <t>Tavèrnoles</t>
        </is>
      </c>
      <c r="D812" s="42" t="inlineStr">
        <is>
          <t>24</t>
        </is>
      </c>
      <c r="E812" s="38" t="inlineStr">
        <is>
          <t>Osona</t>
        </is>
      </c>
    </row>
    <row r="813" ht="15" customHeight="1" s="39">
      <c r="A813" s="38" t="inlineStr">
        <is>
          <t>[082802] Tavertet</t>
        </is>
      </c>
      <c r="B813" s="42" t="inlineStr">
        <is>
          <t>082802</t>
        </is>
      </c>
      <c r="C813" s="38" t="inlineStr">
        <is>
          <t>Tavertet</t>
        </is>
      </c>
      <c r="D813" s="42" t="inlineStr">
        <is>
          <t>24</t>
        </is>
      </c>
      <c r="E813" s="38" t="inlineStr">
        <is>
          <t>Osona</t>
        </is>
      </c>
    </row>
    <row r="814" ht="15" customHeight="1" s="39">
      <c r="A814" s="38" t="inlineStr">
        <is>
          <t>[082819] Teià</t>
        </is>
      </c>
      <c r="B814" s="42" t="inlineStr">
        <is>
          <t>082819</t>
        </is>
      </c>
      <c r="C814" s="38" t="inlineStr">
        <is>
          <t>Teià</t>
        </is>
      </c>
      <c r="D814" s="42" t="inlineStr">
        <is>
          <t>21</t>
        </is>
      </c>
      <c r="E814" s="38" t="inlineStr">
        <is>
          <t>Maresme</t>
        </is>
      </c>
    </row>
    <row r="815" ht="15" customHeight="1" s="39">
      <c r="A815" s="38" t="inlineStr">
        <is>
          <t>[252206] Térmens</t>
        </is>
      </c>
      <c r="B815" s="42" t="inlineStr">
        <is>
          <t>252206</t>
        </is>
      </c>
      <c r="C815" s="38" t="inlineStr">
        <is>
          <t>Térmens</t>
        </is>
      </c>
      <c r="D815" s="42" t="inlineStr">
        <is>
          <t>23</t>
        </is>
      </c>
      <c r="E815" s="38" t="inlineStr">
        <is>
          <t>Noguera</t>
        </is>
      </c>
    </row>
    <row r="816" ht="15" customHeight="1" s="39">
      <c r="A816" s="38" t="inlineStr">
        <is>
          <t>[171962] Terrades</t>
        </is>
      </c>
      <c r="B816" s="42" t="inlineStr">
        <is>
          <t>171962</t>
        </is>
      </c>
      <c r="C816" s="38" t="inlineStr">
        <is>
          <t>Terrades</t>
        </is>
      </c>
      <c r="D816" s="42" t="inlineStr">
        <is>
          <t>02</t>
        </is>
      </c>
      <c r="E816" s="38" t="inlineStr">
        <is>
          <t>Alt Empordà</t>
        </is>
      </c>
    </row>
    <row r="817" ht="15" customHeight="1" s="39">
      <c r="A817" s="38" t="inlineStr">
        <is>
          <t>[082798] Terrassa</t>
        </is>
      </c>
      <c r="B817" s="42" t="inlineStr">
        <is>
          <t>082798</t>
        </is>
      </c>
      <c r="C817" s="38" t="inlineStr">
        <is>
          <t>Terrassa</t>
        </is>
      </c>
      <c r="D817" s="42" t="inlineStr">
        <is>
          <t>40</t>
        </is>
      </c>
      <c r="E817" s="38" t="inlineStr">
        <is>
          <t>Vallès Occidental</t>
        </is>
      </c>
    </row>
    <row r="818" ht="15" customHeight="1" s="39">
      <c r="A818" s="38" t="inlineStr">
        <is>
          <t>[082824] Tiana</t>
        </is>
      </c>
      <c r="B818" s="42" t="inlineStr">
        <is>
          <t>082824</t>
        </is>
      </c>
      <c r="C818" s="38" t="inlineStr">
        <is>
          <t>Tiana</t>
        </is>
      </c>
      <c r="D818" s="42" t="inlineStr">
        <is>
          <t>21</t>
        </is>
      </c>
      <c r="E818" s="38" t="inlineStr">
        <is>
          <t>Maresme</t>
        </is>
      </c>
    </row>
    <row r="819" ht="15" customHeight="1" s="39">
      <c r="A819" s="38" t="inlineStr">
        <is>
          <t>[252213] Tírvia</t>
        </is>
      </c>
      <c r="B819" s="42" t="inlineStr">
        <is>
          <t>252213</t>
        </is>
      </c>
      <c r="C819" s="38" t="inlineStr">
        <is>
          <t>Tírvia</t>
        </is>
      </c>
      <c r="D819" s="42" t="inlineStr">
        <is>
          <t>26</t>
        </is>
      </c>
      <c r="E819" s="38" t="inlineStr">
        <is>
          <t>Pallars Sobirà</t>
        </is>
      </c>
    </row>
    <row r="820" ht="15" customHeight="1" s="39">
      <c r="A820" s="38" t="inlineStr">
        <is>
          <t>[252228] Tiurana</t>
        </is>
      </c>
      <c r="B820" s="42" t="inlineStr">
        <is>
          <t>252228</t>
        </is>
      </c>
      <c r="C820" s="38" t="inlineStr">
        <is>
          <t>Tiurana</t>
        </is>
      </c>
      <c r="D820" s="42" t="inlineStr">
        <is>
          <t>23</t>
        </is>
      </c>
      <c r="E820" s="38" t="inlineStr">
        <is>
          <t>Noguera</t>
        </is>
      </c>
    </row>
    <row r="821" ht="15" customHeight="1" s="39">
      <c r="A821" s="38" t="inlineStr">
        <is>
          <t>[431495] Tivenys</t>
        </is>
      </c>
      <c r="B821" s="42" t="inlineStr">
        <is>
          <t>431495</t>
        </is>
      </c>
      <c r="C821" s="38" t="inlineStr">
        <is>
          <t>Tivenys</t>
        </is>
      </c>
      <c r="D821" s="42" t="inlineStr">
        <is>
          <t>09</t>
        </is>
      </c>
      <c r="E821" s="38" t="inlineStr">
        <is>
          <t>Baix Ebre</t>
        </is>
      </c>
    </row>
    <row r="822" ht="15" customHeight="1" s="39">
      <c r="A822" s="38" t="inlineStr">
        <is>
          <t>[431508] Tivissa</t>
        </is>
      </c>
      <c r="B822" s="42" t="inlineStr">
        <is>
          <t>431508</t>
        </is>
      </c>
      <c r="C822" s="38" t="inlineStr">
        <is>
          <t>Tivissa</t>
        </is>
      </c>
      <c r="D822" s="42" t="inlineStr">
        <is>
          <t>30</t>
        </is>
      </c>
      <c r="E822" s="38" t="inlineStr">
        <is>
          <t>Ribera d'Ebre</t>
        </is>
      </c>
    </row>
    <row r="823" ht="15" customHeight="1" s="39">
      <c r="A823" s="38" t="inlineStr">
        <is>
          <t>[082830] Tona</t>
        </is>
      </c>
      <c r="B823" s="42" t="inlineStr">
        <is>
          <t>082830</t>
        </is>
      </c>
      <c r="C823" s="38" t="inlineStr">
        <is>
          <t>Tona</t>
        </is>
      </c>
      <c r="D823" s="42" t="inlineStr">
        <is>
          <t>24</t>
        </is>
      </c>
      <c r="E823" s="38" t="inlineStr">
        <is>
          <t>Osona</t>
        </is>
      </c>
    </row>
    <row r="824" ht="15" customHeight="1" s="39">
      <c r="A824" s="38" t="inlineStr">
        <is>
          <t>[252234] Torà</t>
        </is>
      </c>
      <c r="B824" s="42" t="inlineStr">
        <is>
          <t>252234</t>
        </is>
      </c>
      <c r="C824" s="38" t="inlineStr">
        <is>
          <t>Torà</t>
        </is>
      </c>
      <c r="D824" s="42" t="inlineStr">
        <is>
          <t>35</t>
        </is>
      </c>
      <c r="E824" s="38" t="inlineStr">
        <is>
          <t>Solsonès</t>
        </is>
      </c>
    </row>
    <row r="825" ht="15" customHeight="1" s="39">
      <c r="A825" s="38" t="inlineStr">
        <is>
          <t>[082845] Tordera</t>
        </is>
      </c>
      <c r="B825" s="42" t="inlineStr">
        <is>
          <t>082845</t>
        </is>
      </c>
      <c r="C825" s="38" t="inlineStr">
        <is>
          <t>Tordera</t>
        </is>
      </c>
      <c r="D825" s="42" t="inlineStr">
        <is>
          <t>21</t>
        </is>
      </c>
      <c r="E825" s="38" t="inlineStr">
        <is>
          <t>Maresme</t>
        </is>
      </c>
    </row>
    <row r="826" ht="15" customHeight="1" s="39">
      <c r="A826" s="38" t="inlineStr">
        <is>
          <t>[082858] Torelló</t>
        </is>
      </c>
      <c r="B826" s="42" t="inlineStr">
        <is>
          <t>082858</t>
        </is>
      </c>
      <c r="C826" s="38" t="inlineStr">
        <is>
          <t>Torelló</t>
        </is>
      </c>
      <c r="D826" s="42" t="inlineStr">
        <is>
          <t>24</t>
        </is>
      </c>
      <c r="E826" s="38" t="inlineStr">
        <is>
          <t>Osona</t>
        </is>
      </c>
    </row>
    <row r="827" ht="15" customHeight="1" s="39">
      <c r="A827" s="38" t="inlineStr">
        <is>
          <t>[252249] Torms, els</t>
        </is>
      </c>
      <c r="B827" s="42" t="inlineStr">
        <is>
          <t>252249</t>
        </is>
      </c>
      <c r="C827" s="38" t="inlineStr">
        <is>
          <t>Torms, els</t>
        </is>
      </c>
      <c r="D827" s="42" t="inlineStr">
        <is>
          <t>18</t>
        </is>
      </c>
      <c r="E827" s="38" t="inlineStr">
        <is>
          <t>Garrigues</t>
        </is>
      </c>
    </row>
    <row r="828" ht="15" customHeight="1" s="39">
      <c r="A828" s="38" t="inlineStr">
        <is>
          <t>[252252] Tornabous</t>
        </is>
      </c>
      <c r="B828" s="42" t="inlineStr">
        <is>
          <t>252252</t>
        </is>
      </c>
      <c r="C828" s="38" t="inlineStr">
        <is>
          <t>Tornabous</t>
        </is>
      </c>
      <c r="D828" s="42" t="inlineStr">
        <is>
          <t>38</t>
        </is>
      </c>
      <c r="E828" s="38" t="inlineStr">
        <is>
          <t>Urgell</t>
        </is>
      </c>
    </row>
    <row r="829" ht="15" customHeight="1" s="39">
      <c r="A829" s="38" t="inlineStr">
        <is>
          <t>[252271] Torre de Cabdella, la</t>
        </is>
      </c>
      <c r="B829" s="42" t="inlineStr">
        <is>
          <t>252271</t>
        </is>
      </c>
      <c r="C829" s="38" t="inlineStr">
        <is>
          <t>Torre de Cabdella, la</t>
        </is>
      </c>
      <c r="D829" s="42" t="inlineStr">
        <is>
          <t>25</t>
        </is>
      </c>
      <c r="E829" s="38" t="inlineStr">
        <is>
          <t>Pallars Jussà</t>
        </is>
      </c>
    </row>
    <row r="830" ht="15" customHeight="1" s="39">
      <c r="A830" s="38" t="inlineStr">
        <is>
          <t>[082861] Torre de Claramunt, la</t>
        </is>
      </c>
      <c r="B830" s="42" t="inlineStr">
        <is>
          <t>082861</t>
        </is>
      </c>
      <c r="C830" s="38" t="inlineStr">
        <is>
          <t>Torre de Claramunt, la</t>
        </is>
      </c>
      <c r="D830" s="42" t="inlineStr">
        <is>
          <t>06</t>
        </is>
      </c>
      <c r="E830" s="38" t="inlineStr">
        <is>
          <t>Anoia</t>
        </is>
      </c>
    </row>
    <row r="831" ht="15" customHeight="1" s="39">
      <c r="A831" s="38" t="inlineStr">
        <is>
          <t>[431515] Torre de Fontaubella, la</t>
        </is>
      </c>
      <c r="B831" s="42" t="inlineStr">
        <is>
          <t>431515</t>
        </is>
      </c>
      <c r="C831" s="38" t="inlineStr">
        <is>
          <t>Torre de Fontaubella, la</t>
        </is>
      </c>
      <c r="D831" s="42" t="inlineStr">
        <is>
          <t>29</t>
        </is>
      </c>
      <c r="E831" s="38" t="inlineStr">
        <is>
          <t>Priorat</t>
        </is>
      </c>
    </row>
    <row r="832" ht="15" customHeight="1" s="39">
      <c r="A832" s="38" t="inlineStr">
        <is>
          <t>[431520] Torre de l'Espanyol, la</t>
        </is>
      </c>
      <c r="B832" s="42" t="inlineStr">
        <is>
          <t>431520</t>
        </is>
      </c>
      <c r="C832" s="38" t="inlineStr">
        <is>
          <t>Torre de l'Espanyol, la</t>
        </is>
      </c>
      <c r="D832" s="42" t="inlineStr">
        <is>
          <t>30</t>
        </is>
      </c>
      <c r="E832" s="38" t="inlineStr">
        <is>
          <t>Ribera d'Ebre</t>
        </is>
      </c>
    </row>
    <row r="833" ht="15" customHeight="1" s="39">
      <c r="A833" s="38" t="inlineStr">
        <is>
          <t>[252332] Torre-serona</t>
        </is>
      </c>
      <c r="B833" s="42" t="inlineStr">
        <is>
          <t>252332</t>
        </is>
      </c>
      <c r="C833" s="38" t="inlineStr">
        <is>
          <t>Torre-serona</t>
        </is>
      </c>
      <c r="D833" s="42" t="inlineStr">
        <is>
          <t>33</t>
        </is>
      </c>
      <c r="E833" s="38" t="inlineStr">
        <is>
          <t>Segrià</t>
        </is>
      </c>
    </row>
    <row r="834" ht="15" customHeight="1" s="39">
      <c r="A834" s="38" t="inlineStr">
        <is>
          <t>[252265] Torrebesses</t>
        </is>
      </c>
      <c r="B834" s="42" t="inlineStr">
        <is>
          <t>252265</t>
        </is>
      </c>
      <c r="C834" s="38" t="inlineStr">
        <is>
          <t>Torrebesses</t>
        </is>
      </c>
      <c r="D834" s="42" t="inlineStr">
        <is>
          <t>33</t>
        </is>
      </c>
      <c r="E834" s="38" t="inlineStr">
        <is>
          <t>Segrià</t>
        </is>
      </c>
    </row>
    <row r="835" ht="15" customHeight="1" s="39">
      <c r="A835" s="38" t="inlineStr">
        <is>
          <t>[431536] Torredembarra</t>
        </is>
      </c>
      <c r="B835" s="42" t="inlineStr">
        <is>
          <t>431536</t>
        </is>
      </c>
      <c r="C835" s="38" t="inlineStr">
        <is>
          <t>Torredembarra</t>
        </is>
      </c>
      <c r="D835" s="42" t="inlineStr">
        <is>
          <t>36</t>
        </is>
      </c>
      <c r="E835" s="38" t="inlineStr">
        <is>
          <t>Tarragonès</t>
        </is>
      </c>
    </row>
    <row r="836" ht="15" customHeight="1" s="39">
      <c r="A836" s="38" t="inlineStr">
        <is>
          <t>[252287] Torrefarrera</t>
        </is>
      </c>
      <c r="B836" s="42" t="inlineStr">
        <is>
          <t>252287</t>
        </is>
      </c>
      <c r="C836" s="38" t="inlineStr">
        <is>
          <t>Torrefarrera</t>
        </is>
      </c>
      <c r="D836" s="42" t="inlineStr">
        <is>
          <t>33</t>
        </is>
      </c>
      <c r="E836" s="38" t="inlineStr">
        <is>
          <t>Segrià</t>
        </is>
      </c>
    </row>
    <row r="837" ht="15" customHeight="1" s="39">
      <c r="A837" s="38" t="inlineStr">
        <is>
          <t>[259078] Torrefeta i Florejacs</t>
        </is>
      </c>
      <c r="B837" s="42" t="inlineStr">
        <is>
          <t>259078</t>
        </is>
      </c>
      <c r="C837" s="38" t="inlineStr">
        <is>
          <t>Torrefeta i Florejacs</t>
        </is>
      </c>
      <c r="D837" s="42" t="inlineStr">
        <is>
          <t>32</t>
        </is>
      </c>
      <c r="E837" s="38" t="inlineStr">
        <is>
          <t>Segarra</t>
        </is>
      </c>
    </row>
    <row r="838" ht="15" customHeight="1" s="39">
      <c r="A838" s="38" t="inlineStr">
        <is>
          <t>[252304] Torregrossa</t>
        </is>
      </c>
      <c r="B838" s="42" t="inlineStr">
        <is>
          <t>252304</t>
        </is>
      </c>
      <c r="C838" s="38" t="inlineStr">
        <is>
          <t>Torregrossa</t>
        </is>
      </c>
      <c r="D838" s="42" t="inlineStr">
        <is>
          <t>27</t>
        </is>
      </c>
      <c r="E838" s="38" t="inlineStr">
        <is>
          <t>Pla d'Urgell</t>
        </is>
      </c>
    </row>
    <row r="839" ht="15" customHeight="1" s="39">
      <c r="A839" s="38" t="inlineStr">
        <is>
          <t>[252311] Torrelameu</t>
        </is>
      </c>
      <c r="B839" s="42" t="inlineStr">
        <is>
          <t>252311</t>
        </is>
      </c>
      <c r="C839" s="38" t="inlineStr">
        <is>
          <t>Torrelameu</t>
        </is>
      </c>
      <c r="D839" s="42" t="inlineStr">
        <is>
          <t>23</t>
        </is>
      </c>
      <c r="E839" s="38" t="inlineStr">
        <is>
          <t>Noguera</t>
        </is>
      </c>
    </row>
    <row r="840" ht="15" customHeight="1" s="39">
      <c r="A840" s="38" t="inlineStr">
        <is>
          <t>[082877] Torrelavit</t>
        </is>
      </c>
      <c r="B840" s="42" t="inlineStr">
        <is>
          <t>082877</t>
        </is>
      </c>
      <c r="C840" s="38" t="inlineStr">
        <is>
          <t>Torrelavit</t>
        </is>
      </c>
      <c r="D840" s="42" t="inlineStr">
        <is>
          <t>03</t>
        </is>
      </c>
      <c r="E840" s="38" t="inlineStr">
        <is>
          <t>Alt Penedès</t>
        </is>
      </c>
    </row>
    <row r="841" ht="15" customHeight="1" s="39">
      <c r="A841" s="38" t="inlineStr">
        <is>
          <t>[082883] Torrelles de Foix</t>
        </is>
      </c>
      <c r="B841" s="42" t="inlineStr">
        <is>
          <t>082883</t>
        </is>
      </c>
      <c r="C841" s="38" t="inlineStr">
        <is>
          <t>Torrelles de Foix</t>
        </is>
      </c>
      <c r="D841" s="42" t="inlineStr">
        <is>
          <t>03</t>
        </is>
      </c>
      <c r="E841" s="38" t="inlineStr">
        <is>
          <t>Alt Penedès</t>
        </is>
      </c>
    </row>
    <row r="842" ht="15" customHeight="1" s="39">
      <c r="A842" s="38" t="inlineStr">
        <is>
          <t>[082896] Torrelles de Llobregat</t>
        </is>
      </c>
      <c r="B842" s="42" t="inlineStr">
        <is>
          <t>082896</t>
        </is>
      </c>
      <c r="C842" s="38" t="inlineStr">
        <is>
          <t>Torrelles de Llobregat</t>
        </is>
      </c>
      <c r="D842" s="42" t="inlineStr">
        <is>
          <t>11</t>
        </is>
      </c>
      <c r="E842" s="38" t="inlineStr">
        <is>
          <t>Baix Llobregat</t>
        </is>
      </c>
    </row>
    <row r="843" ht="15" customHeight="1" s="39">
      <c r="A843" s="38" t="inlineStr">
        <is>
          <t>[171978] Torrent</t>
        </is>
      </c>
      <c r="B843" s="42" t="inlineStr">
        <is>
          <t>171978</t>
        </is>
      </c>
      <c r="C843" s="38" t="inlineStr">
        <is>
          <t>Torrent</t>
        </is>
      </c>
      <c r="D843" s="42" t="inlineStr">
        <is>
          <t>10</t>
        </is>
      </c>
      <c r="E843" s="38" t="inlineStr">
        <is>
          <t>Baix Empordà</t>
        </is>
      </c>
    </row>
    <row r="844" ht="15" customHeight="1" s="39">
      <c r="A844" s="38" t="inlineStr">
        <is>
          <t>[252326] Torres de Segre</t>
        </is>
      </c>
      <c r="B844" s="42" t="inlineStr">
        <is>
          <t>252326</t>
        </is>
      </c>
      <c r="C844" s="38" t="inlineStr">
        <is>
          <t>Torres de Segre</t>
        </is>
      </c>
      <c r="D844" s="42" t="inlineStr">
        <is>
          <t>33</t>
        </is>
      </c>
      <c r="E844" s="38" t="inlineStr">
        <is>
          <t>Segrià</t>
        </is>
      </c>
    </row>
    <row r="845" ht="15" customHeight="1" s="39">
      <c r="A845" s="38" t="inlineStr">
        <is>
          <t>[171984] Torroella de Fluvià</t>
        </is>
      </c>
      <c r="B845" s="42" t="inlineStr">
        <is>
          <t>171984</t>
        </is>
      </c>
      <c r="C845" s="38" t="inlineStr">
        <is>
          <t>Torroella de Fluvià</t>
        </is>
      </c>
      <c r="D845" s="42" t="inlineStr">
        <is>
          <t>02</t>
        </is>
      </c>
      <c r="E845" s="38" t="inlineStr">
        <is>
          <t>Alt Empordà</t>
        </is>
      </c>
    </row>
    <row r="846" ht="15" customHeight="1" s="39">
      <c r="A846" s="38" t="inlineStr">
        <is>
          <t>[171997] Torroella de Montgrí</t>
        </is>
      </c>
      <c r="B846" s="42" t="inlineStr">
        <is>
          <t>171997</t>
        </is>
      </c>
      <c r="C846" s="38" t="inlineStr">
        <is>
          <t>Torroella de Montgrí</t>
        </is>
      </c>
      <c r="D846" s="42" t="inlineStr">
        <is>
          <t>10</t>
        </is>
      </c>
      <c r="E846" s="38" t="inlineStr">
        <is>
          <t>Baix Empordà</t>
        </is>
      </c>
    </row>
    <row r="847" ht="15" customHeight="1" s="39">
      <c r="A847" s="38" t="inlineStr">
        <is>
          <t>[431541] Torroja del Priorat</t>
        </is>
      </c>
      <c r="B847" s="42" t="inlineStr">
        <is>
          <t>431541</t>
        </is>
      </c>
      <c r="C847" s="38" t="inlineStr">
        <is>
          <t>Torroja del Priorat</t>
        </is>
      </c>
      <c r="D847" s="42" t="inlineStr">
        <is>
          <t>29</t>
        </is>
      </c>
      <c r="E847" s="38" t="inlineStr">
        <is>
          <t>Priorat</t>
        </is>
      </c>
    </row>
    <row r="848" ht="15" customHeight="1" s="39">
      <c r="A848" s="38" t="inlineStr">
        <is>
          <t>[172001] Tortellà</t>
        </is>
      </c>
      <c r="B848" s="42" t="inlineStr">
        <is>
          <t>172001</t>
        </is>
      </c>
      <c r="C848" s="38" t="inlineStr">
        <is>
          <t>Tortellà</t>
        </is>
      </c>
      <c r="D848" s="42" t="inlineStr">
        <is>
          <t>19</t>
        </is>
      </c>
      <c r="E848" s="38" t="inlineStr">
        <is>
          <t>Garrotxa</t>
        </is>
      </c>
    </row>
    <row r="849" ht="15" customHeight="1" s="39">
      <c r="A849" s="38" t="inlineStr">
        <is>
          <t>[431554] Tortosa</t>
        </is>
      </c>
      <c r="B849" s="42" t="inlineStr">
        <is>
          <t>431554</t>
        </is>
      </c>
      <c r="C849" s="38" t="inlineStr">
        <is>
          <t>Tortosa</t>
        </is>
      </c>
      <c r="D849" s="42" t="inlineStr">
        <is>
          <t>09</t>
        </is>
      </c>
      <c r="E849" s="38" t="inlineStr">
        <is>
          <t>Baix Ebre</t>
        </is>
      </c>
    </row>
    <row r="850" ht="15" customHeight="1" s="39">
      <c r="A850" s="38" t="inlineStr">
        <is>
          <t>[172018] Toses</t>
        </is>
      </c>
      <c r="B850" s="42" t="inlineStr">
        <is>
          <t>172018</t>
        </is>
      </c>
      <c r="C850" s="38" t="inlineStr">
        <is>
          <t>Toses</t>
        </is>
      </c>
      <c r="D850" s="42" t="inlineStr">
        <is>
          <t>31</t>
        </is>
      </c>
      <c r="E850" s="38" t="inlineStr">
        <is>
          <t>Ripollès</t>
        </is>
      </c>
    </row>
    <row r="851" ht="15" customHeight="1" s="39">
      <c r="A851" s="38" t="inlineStr">
        <is>
          <t>[172023] Tossa de Mar</t>
        </is>
      </c>
      <c r="B851" s="42" t="inlineStr">
        <is>
          <t>172023</t>
        </is>
      </c>
      <c r="C851" s="38" t="inlineStr">
        <is>
          <t>Tossa de Mar</t>
        </is>
      </c>
      <c r="D851" s="42" t="inlineStr">
        <is>
          <t>34</t>
        </is>
      </c>
      <c r="E851" s="38" t="inlineStr">
        <is>
          <t>Selva</t>
        </is>
      </c>
    </row>
    <row r="852" ht="15" customHeight="1" s="39">
      <c r="A852" s="38" t="inlineStr">
        <is>
          <t>[252347] Tremp</t>
        </is>
      </c>
      <c r="B852" s="42" t="inlineStr">
        <is>
          <t>252347</t>
        </is>
      </c>
      <c r="C852" s="38" t="inlineStr">
        <is>
          <t>Tremp</t>
        </is>
      </c>
      <c r="D852" s="42" t="inlineStr">
        <is>
          <t>25</t>
        </is>
      </c>
      <c r="E852" s="38" t="inlineStr">
        <is>
          <t>Pallars Jussà</t>
        </is>
      </c>
    </row>
    <row r="853" ht="15" customHeight="1" s="39">
      <c r="A853" s="38" t="inlineStr">
        <is>
          <t>[172044] Ullà</t>
        </is>
      </c>
      <c r="B853" s="42" t="inlineStr">
        <is>
          <t>172044</t>
        </is>
      </c>
      <c r="C853" s="38" t="inlineStr">
        <is>
          <t>Ullà</t>
        </is>
      </c>
      <c r="D853" s="42" t="inlineStr">
        <is>
          <t>10</t>
        </is>
      </c>
      <c r="E853" s="38" t="inlineStr">
        <is>
          <t>Baix Empordà</t>
        </is>
      </c>
    </row>
    <row r="854" ht="15" customHeight="1" s="39">
      <c r="A854" s="38" t="inlineStr">
        <is>
          <t>[082900] Ullastrell</t>
        </is>
      </c>
      <c r="B854" s="42" t="inlineStr">
        <is>
          <t>082900</t>
        </is>
      </c>
      <c r="C854" s="38" t="inlineStr">
        <is>
          <t>Ullastrell</t>
        </is>
      </c>
      <c r="D854" s="42" t="inlineStr">
        <is>
          <t>40</t>
        </is>
      </c>
      <c r="E854" s="38" t="inlineStr">
        <is>
          <t>Vallès Occidental</t>
        </is>
      </c>
    </row>
    <row r="855" ht="15" customHeight="1" s="39">
      <c r="A855" s="38" t="inlineStr">
        <is>
          <t>[172057] Ullastret</t>
        </is>
      </c>
      <c r="B855" s="42" t="inlineStr">
        <is>
          <t>172057</t>
        </is>
      </c>
      <c r="C855" s="38" t="inlineStr">
        <is>
          <t>Ullastret</t>
        </is>
      </c>
      <c r="D855" s="42" t="inlineStr">
        <is>
          <t>10</t>
        </is>
      </c>
      <c r="E855" s="38" t="inlineStr">
        <is>
          <t>Baix Empordà</t>
        </is>
      </c>
    </row>
    <row r="856" ht="15" customHeight="1" s="39">
      <c r="A856" s="38" t="inlineStr">
        <is>
          <t>[431567] Ulldecona</t>
        </is>
      </c>
      <c r="B856" s="42" t="inlineStr">
        <is>
          <t>431567</t>
        </is>
      </c>
      <c r="C856" s="38" t="inlineStr">
        <is>
          <t>Ulldecona</t>
        </is>
      </c>
      <c r="D856" s="42" t="inlineStr">
        <is>
          <t>22</t>
        </is>
      </c>
      <c r="E856" s="38" t="inlineStr">
        <is>
          <t>Montsià</t>
        </is>
      </c>
    </row>
    <row r="857" ht="15" customHeight="1" s="39">
      <c r="A857" s="38" t="inlineStr">
        <is>
          <t>[431573] Ulldemolins</t>
        </is>
      </c>
      <c r="B857" s="42" t="inlineStr">
        <is>
          <t>431573</t>
        </is>
      </c>
      <c r="C857" s="38" t="inlineStr">
        <is>
          <t>Ulldemolins</t>
        </is>
      </c>
      <c r="D857" s="42" t="inlineStr">
        <is>
          <t>29</t>
        </is>
      </c>
      <c r="E857" s="38" t="inlineStr">
        <is>
          <t>Priorat</t>
        </is>
      </c>
    </row>
    <row r="858" ht="15" customHeight="1" s="39">
      <c r="A858" s="38" t="inlineStr">
        <is>
          <t>[172039] Ultramort</t>
        </is>
      </c>
      <c r="B858" s="42" t="inlineStr">
        <is>
          <t>172039</t>
        </is>
      </c>
      <c r="C858" s="38" t="inlineStr">
        <is>
          <t>Ultramort</t>
        </is>
      </c>
      <c r="D858" s="42" t="inlineStr">
        <is>
          <t>10</t>
        </is>
      </c>
      <c r="E858" s="38" t="inlineStr">
        <is>
          <t>Baix Empordà</t>
        </is>
      </c>
    </row>
    <row r="859" ht="15" customHeight="1" s="39">
      <c r="A859" s="38" t="inlineStr">
        <is>
          <t>[172060] Urús</t>
        </is>
      </c>
      <c r="B859" s="42" t="inlineStr">
        <is>
          <t>172060</t>
        </is>
      </c>
      <c r="C859" s="38" t="inlineStr">
        <is>
          <t>Urús</t>
        </is>
      </c>
      <c r="D859" s="42" t="inlineStr">
        <is>
          <t>15</t>
        </is>
      </c>
      <c r="E859" s="38" t="inlineStr">
        <is>
          <t>Cerdanya</t>
        </is>
      </c>
    </row>
    <row r="860" ht="15" customHeight="1" s="39">
      <c r="A860" s="38" t="inlineStr">
        <is>
          <t>[082917] Vacarisses</t>
        </is>
      </c>
      <c r="B860" s="42" t="inlineStr">
        <is>
          <t>082917</t>
        </is>
      </c>
      <c r="C860" s="38" t="inlineStr">
        <is>
          <t>Vacarisses</t>
        </is>
      </c>
      <c r="D860" s="42" t="inlineStr">
        <is>
          <t>40</t>
        </is>
      </c>
      <c r="E860" s="38" t="inlineStr">
        <is>
          <t>Vallès Occidental</t>
        </is>
      </c>
    </row>
    <row r="861" ht="15" customHeight="1" s="39">
      <c r="A861" s="38" t="inlineStr">
        <is>
          <t>[170144] Vajol, la</t>
        </is>
      </c>
      <c r="B861" s="42" t="inlineStr">
        <is>
          <t>170144</t>
        </is>
      </c>
      <c r="C861" s="38" t="inlineStr">
        <is>
          <t>Vajol, la</t>
        </is>
      </c>
      <c r="D861" s="42" t="inlineStr">
        <is>
          <t>02</t>
        </is>
      </c>
      <c r="E861" s="38" t="inlineStr">
        <is>
          <t>Alt Empordà</t>
        </is>
      </c>
    </row>
    <row r="862" ht="15" customHeight="1" s="39">
      <c r="A862" s="38" t="inlineStr">
        <is>
          <t>[172076] Vall d'en Bas, la</t>
        </is>
      </c>
      <c r="B862" s="42" t="inlineStr">
        <is>
          <t>172076</t>
        </is>
      </c>
      <c r="C862" s="38" t="inlineStr">
        <is>
          <t>Vall d'en Bas, la</t>
        </is>
      </c>
      <c r="D862" s="42" t="inlineStr">
        <is>
          <t>19</t>
        </is>
      </c>
      <c r="E862" s="38" t="inlineStr">
        <is>
          <t>Garrotxa</t>
        </is>
      </c>
    </row>
    <row r="863" ht="15" customHeight="1" s="39">
      <c r="A863" s="38" t="inlineStr">
        <is>
          <t>[172082] Vall de Bianya, la</t>
        </is>
      </c>
      <c r="B863" s="42" t="inlineStr">
        <is>
          <t>172082</t>
        </is>
      </c>
      <c r="C863" s="38" t="inlineStr">
        <is>
          <t>Vall de Bianya, la</t>
        </is>
      </c>
      <c r="D863" s="42" t="inlineStr">
        <is>
          <t>19</t>
        </is>
      </c>
      <c r="E863" s="38" t="inlineStr">
        <is>
          <t>Garrotxa</t>
        </is>
      </c>
    </row>
    <row r="864" ht="15" customHeight="1" s="39">
      <c r="A864" s="38" t="inlineStr">
        <is>
          <t>[250432] Vall de Boí, la</t>
        </is>
      </c>
      <c r="B864" s="42" t="inlineStr">
        <is>
          <t>250432</t>
        </is>
      </c>
      <c r="C864" s="38" t="inlineStr">
        <is>
          <t>Vall de Boí, la</t>
        </is>
      </c>
      <c r="D864" s="42" t="inlineStr">
        <is>
          <t>05</t>
        </is>
      </c>
      <c r="E864" s="38" t="inlineStr">
        <is>
          <t>Alta Ribagorça</t>
        </is>
      </c>
    </row>
    <row r="865" ht="15" customHeight="1" s="39">
      <c r="A865" s="38" t="inlineStr">
        <is>
          <t>[259010] Vall de Cardós</t>
        </is>
      </c>
      <c r="B865" s="42" t="inlineStr">
        <is>
          <t>259010</t>
        </is>
      </c>
      <c r="C865" s="38" t="inlineStr">
        <is>
          <t>Vall de Cardós</t>
        </is>
      </c>
      <c r="D865" s="42" t="inlineStr">
        <is>
          <t>26</t>
        </is>
      </c>
      <c r="E865" s="38" t="inlineStr">
        <is>
          <t>Pallars Sobirà</t>
        </is>
      </c>
    </row>
    <row r="866" ht="15" customHeight="1" s="39">
      <c r="A866" s="38" t="inlineStr">
        <is>
          <t>[172095] Vall-llobrega</t>
        </is>
      </c>
      <c r="B866" s="42" t="inlineStr">
        <is>
          <t>172095</t>
        </is>
      </c>
      <c r="C866" s="38" t="inlineStr">
        <is>
          <t>Vall-llobrega</t>
        </is>
      </c>
      <c r="D866" s="42" t="inlineStr">
        <is>
          <t>10</t>
        </is>
      </c>
      <c r="E866" s="38" t="inlineStr">
        <is>
          <t>Baix Empordà</t>
        </is>
      </c>
    </row>
    <row r="867" ht="15" customHeight="1" s="39">
      <c r="A867" s="38" t="inlineStr">
        <is>
          <t>[082922] Vallbona d'Anoia</t>
        </is>
      </c>
      <c r="B867" s="42" t="inlineStr">
        <is>
          <t>082922</t>
        </is>
      </c>
      <c r="C867" s="38" t="inlineStr">
        <is>
          <t>Vallbona d'Anoia</t>
        </is>
      </c>
      <c r="D867" s="42" t="inlineStr">
        <is>
          <t>06</t>
        </is>
      </c>
      <c r="E867" s="38" t="inlineStr">
        <is>
          <t>Anoia</t>
        </is>
      </c>
    </row>
    <row r="868" ht="15" customHeight="1" s="39">
      <c r="A868" s="38" t="inlineStr">
        <is>
          <t>[252385] Vallbona de les Monges</t>
        </is>
      </c>
      <c r="B868" s="42" t="inlineStr">
        <is>
          <t>252385</t>
        </is>
      </c>
      <c r="C868" s="38" t="inlineStr">
        <is>
          <t>Vallbona de les Monges</t>
        </is>
      </c>
      <c r="D868" s="42" t="inlineStr">
        <is>
          <t>38</t>
        </is>
      </c>
      <c r="E868" s="38" t="inlineStr">
        <is>
          <t>Urgell</t>
        </is>
      </c>
    </row>
    <row r="869" ht="15" customHeight="1" s="39">
      <c r="A869" s="38" t="inlineStr">
        <is>
          <t>[082938] Vallcebre</t>
        </is>
      </c>
      <c r="B869" s="42" t="inlineStr">
        <is>
          <t>082938</t>
        </is>
      </c>
      <c r="C869" s="38" t="inlineStr">
        <is>
          <t>Vallcebre</t>
        </is>
      </c>
      <c r="D869" s="42" t="inlineStr">
        <is>
          <t>14</t>
        </is>
      </c>
      <c r="E869" s="38" t="inlineStr">
        <is>
          <t>Berguedà</t>
        </is>
      </c>
    </row>
    <row r="870" ht="15" customHeight="1" s="39">
      <c r="A870" s="38" t="inlineStr">
        <is>
          <t>[431589] Vallclara</t>
        </is>
      </c>
      <c r="B870" s="42" t="inlineStr">
        <is>
          <t>431589</t>
        </is>
      </c>
      <c r="C870" s="38" t="inlineStr">
        <is>
          <t>Vallclara</t>
        </is>
      </c>
      <c r="D870" s="42" t="inlineStr">
        <is>
          <t>16</t>
        </is>
      </c>
      <c r="E870" s="38" t="inlineStr">
        <is>
          <t>Conca de Barberà</t>
        </is>
      </c>
    </row>
    <row r="871" ht="15" customHeight="1" s="39">
      <c r="A871" s="38" t="inlineStr">
        <is>
          <t>[252402] Vallfogona de Balaguer</t>
        </is>
      </c>
      <c r="B871" s="42" t="inlineStr">
        <is>
          <t>252402</t>
        </is>
      </c>
      <c r="C871" s="38" t="inlineStr">
        <is>
          <t>Vallfogona de Balaguer</t>
        </is>
      </c>
      <c r="D871" s="42" t="inlineStr">
        <is>
          <t>23</t>
        </is>
      </c>
      <c r="E871" s="38" t="inlineStr">
        <is>
          <t>Noguera</t>
        </is>
      </c>
    </row>
    <row r="872" ht="15" customHeight="1" s="39">
      <c r="A872" s="38" t="inlineStr">
        <is>
          <t>[171707] Vallfogona de Ripollès</t>
        </is>
      </c>
      <c r="B872" s="42" t="inlineStr">
        <is>
          <t>171707</t>
        </is>
      </c>
      <c r="C872" s="38" t="inlineStr">
        <is>
          <t>Vallfogona de Ripollès</t>
        </is>
      </c>
      <c r="D872" s="42" t="inlineStr">
        <is>
          <t>31</t>
        </is>
      </c>
      <c r="E872" s="38" t="inlineStr">
        <is>
          <t>Ripollès</t>
        </is>
      </c>
    </row>
    <row r="873" ht="15" customHeight="1" s="39">
      <c r="A873" s="38" t="inlineStr">
        <is>
          <t>[431592] Vallfogona de Riucorb</t>
        </is>
      </c>
      <c r="B873" s="42" t="inlineStr">
        <is>
          <t>431592</t>
        </is>
      </c>
      <c r="C873" s="38" t="inlineStr">
        <is>
          <t>Vallfogona de Riucorb</t>
        </is>
      </c>
      <c r="D873" s="42" t="inlineStr">
        <is>
          <t>16</t>
        </is>
      </c>
      <c r="E873" s="38" t="inlineStr">
        <is>
          <t>Conca de Barberà</t>
        </is>
      </c>
    </row>
    <row r="874" ht="15" customHeight="1" s="39">
      <c r="A874" s="38" t="inlineStr">
        <is>
          <t>[082943] Vallgorguina</t>
        </is>
      </c>
      <c r="B874" s="42" t="inlineStr">
        <is>
          <t>082943</t>
        </is>
      </c>
      <c r="C874" s="38" t="inlineStr">
        <is>
          <t>Vallgorguina</t>
        </is>
      </c>
      <c r="D874" s="42" t="inlineStr">
        <is>
          <t>41</t>
        </is>
      </c>
      <c r="E874" s="38" t="inlineStr">
        <is>
          <t>Vallès Oriental</t>
        </is>
      </c>
    </row>
    <row r="875" ht="15" customHeight="1" s="39">
      <c r="A875" s="38" t="inlineStr">
        <is>
          <t>[082956] Vallirana</t>
        </is>
      </c>
      <c r="B875" s="42" t="inlineStr">
        <is>
          <t>082956</t>
        </is>
      </c>
      <c r="C875" s="38" t="inlineStr">
        <is>
          <t>Vallirana</t>
        </is>
      </c>
      <c r="D875" s="42" t="inlineStr">
        <is>
          <t>11</t>
        </is>
      </c>
      <c r="E875" s="38" t="inlineStr">
        <is>
          <t>Baix Llobregat</t>
        </is>
      </c>
    </row>
    <row r="876" ht="15" customHeight="1" s="39">
      <c r="A876" s="38" t="inlineStr">
        <is>
          <t>[431606] Vallmoll</t>
        </is>
      </c>
      <c r="B876" s="42" t="inlineStr">
        <is>
          <t>431606</t>
        </is>
      </c>
      <c r="C876" s="38" t="inlineStr">
        <is>
          <t>Vallmoll</t>
        </is>
      </c>
      <c r="D876" s="42" t="inlineStr">
        <is>
          <t>01</t>
        </is>
      </c>
      <c r="E876" s="38" t="inlineStr">
        <is>
          <t>Alt Camp</t>
        </is>
      </c>
    </row>
    <row r="877" ht="15" customHeight="1" s="39">
      <c r="A877" s="38" t="inlineStr">
        <is>
          <t>[082969] Vallromanes</t>
        </is>
      </c>
      <c r="B877" s="42" t="inlineStr">
        <is>
          <t>082969</t>
        </is>
      </c>
      <c r="C877" s="38" t="inlineStr">
        <is>
          <t>Vallromanes</t>
        </is>
      </c>
      <c r="D877" s="42" t="inlineStr">
        <is>
          <t>41</t>
        </is>
      </c>
      <c r="E877" s="38" t="inlineStr">
        <is>
          <t>Vallès Oriental</t>
        </is>
      </c>
    </row>
    <row r="878" ht="15" customHeight="1" s="39">
      <c r="A878" s="38" t="inlineStr">
        <is>
          <t>[431613] Valls</t>
        </is>
      </c>
      <c r="B878" s="42" t="inlineStr">
        <is>
          <t>431613</t>
        </is>
      </c>
      <c r="C878" s="38" t="inlineStr">
        <is>
          <t>Valls</t>
        </is>
      </c>
      <c r="D878" s="42" t="inlineStr">
        <is>
          <t>01</t>
        </is>
      </c>
      <c r="E878" s="38" t="inlineStr">
        <is>
          <t>Alt Camp</t>
        </is>
      </c>
    </row>
    <row r="879" ht="15" customHeight="1" s="39">
      <c r="A879" s="38" t="inlineStr">
        <is>
          <t>[259062] Valls d'Aguilar, les</t>
        </is>
      </c>
      <c r="B879" s="42" t="inlineStr">
        <is>
          <t>259062</t>
        </is>
      </c>
      <c r="C879" s="38" t="inlineStr">
        <is>
          <t>Valls d'Aguilar, les</t>
        </is>
      </c>
      <c r="D879" s="42" t="inlineStr">
        <is>
          <t>04</t>
        </is>
      </c>
      <c r="E879" s="38" t="inlineStr">
        <is>
          <t>Alt Urgell</t>
        </is>
      </c>
    </row>
    <row r="880" ht="15" customHeight="1" s="39">
      <c r="A880" s="38" t="inlineStr">
        <is>
          <t>[252398] Valls de Valira, les</t>
        </is>
      </c>
      <c r="B880" s="42" t="inlineStr">
        <is>
          <t>252398</t>
        </is>
      </c>
      <c r="C880" s="38" t="inlineStr">
        <is>
          <t>Valls de Valira, les</t>
        </is>
      </c>
      <c r="D880" s="42" t="inlineStr">
        <is>
          <t>04</t>
        </is>
      </c>
      <c r="E880" s="38" t="inlineStr">
        <is>
          <t>Alt Urgell</t>
        </is>
      </c>
    </row>
    <row r="881" ht="15" customHeight="1" s="39">
      <c r="A881" s="38" t="inlineStr">
        <is>
          <t>[431628] Vandellòs i l'Hospitalet de l'Infant</t>
        </is>
      </c>
      <c r="B881" s="42" t="inlineStr">
        <is>
          <t>431628</t>
        </is>
      </c>
      <c r="C881" s="38" t="inlineStr">
        <is>
          <t>Vandellòs i l'Hospitalet de l'Infant</t>
        </is>
      </c>
      <c r="D881" s="42" t="inlineStr">
        <is>
          <t>08</t>
        </is>
      </c>
      <c r="E881" s="38" t="inlineStr">
        <is>
          <t>Baix Camp</t>
        </is>
      </c>
    </row>
    <row r="882" ht="15" customHeight="1" s="39">
      <c r="A882" s="38" t="inlineStr">
        <is>
          <t>[259097] Vansa i Fórnols, la</t>
        </is>
      </c>
      <c r="B882" s="42" t="inlineStr">
        <is>
          <t>259097</t>
        </is>
      </c>
      <c r="C882" s="38" t="inlineStr">
        <is>
          <t>Vansa i Fórnols, la</t>
        </is>
      </c>
      <c r="D882" s="42" t="inlineStr">
        <is>
          <t>04</t>
        </is>
      </c>
      <c r="E882" s="38" t="inlineStr">
        <is>
          <t>Alt Urgell</t>
        </is>
      </c>
    </row>
    <row r="883" ht="15" customHeight="1" s="39">
      <c r="A883" s="38" t="inlineStr">
        <is>
          <t>[082975] Veciana</t>
        </is>
      </c>
      <c r="B883" s="42" t="inlineStr">
        <is>
          <t>082975</t>
        </is>
      </c>
      <c r="C883" s="38" t="inlineStr">
        <is>
          <t>Veciana</t>
        </is>
      </c>
      <c r="D883" s="42" t="inlineStr">
        <is>
          <t>06</t>
        </is>
      </c>
      <c r="E883" s="38" t="inlineStr">
        <is>
          <t>Anoia</t>
        </is>
      </c>
    </row>
    <row r="884" ht="15" customHeight="1" s="39">
      <c r="A884" s="38" t="inlineStr">
        <is>
          <t>[431634] Vendrell, el</t>
        </is>
      </c>
      <c r="B884" s="42" t="inlineStr">
        <is>
          <t>431634</t>
        </is>
      </c>
      <c r="C884" s="38" t="inlineStr">
        <is>
          <t>Vendrell, el</t>
        </is>
      </c>
      <c r="D884" s="42" t="inlineStr">
        <is>
          <t>12</t>
        </is>
      </c>
      <c r="E884" s="38" t="inlineStr">
        <is>
          <t>Baix Penedès</t>
        </is>
      </c>
    </row>
    <row r="885" ht="15" customHeight="1" s="39">
      <c r="A885" s="38" t="inlineStr">
        <is>
          <t>[172109] Ventalló</t>
        </is>
      </c>
      <c r="B885" s="42" t="inlineStr">
        <is>
          <t>172109</t>
        </is>
      </c>
      <c r="C885" s="38" t="inlineStr">
        <is>
          <t>Ventalló</t>
        </is>
      </c>
      <c r="D885" s="42" t="inlineStr">
        <is>
          <t>02</t>
        </is>
      </c>
      <c r="E885" s="38" t="inlineStr">
        <is>
          <t>Alt Empordà</t>
        </is>
      </c>
    </row>
    <row r="886" ht="15" customHeight="1" s="39">
      <c r="A886" s="38" t="inlineStr">
        <is>
          <t>[252424] Verdú</t>
        </is>
      </c>
      <c r="B886" s="42" t="inlineStr">
        <is>
          <t>252424</t>
        </is>
      </c>
      <c r="C886" s="38" t="inlineStr">
        <is>
          <t>Verdú</t>
        </is>
      </c>
      <c r="D886" s="42" t="inlineStr">
        <is>
          <t>38</t>
        </is>
      </c>
      <c r="E886" s="38" t="inlineStr">
        <is>
          <t>Urgell</t>
        </is>
      </c>
    </row>
    <row r="887" ht="15" customHeight="1" s="39">
      <c r="A887" s="38" t="inlineStr">
        <is>
          <t>[172116] Verges</t>
        </is>
      </c>
      <c r="B887" s="42" t="inlineStr">
        <is>
          <t>172116</t>
        </is>
      </c>
      <c r="C887" s="38" t="inlineStr">
        <is>
          <t>Verges</t>
        </is>
      </c>
      <c r="D887" s="42" t="inlineStr">
        <is>
          <t>10</t>
        </is>
      </c>
      <c r="E887" s="38" t="inlineStr">
        <is>
          <t>Baix Empordà</t>
        </is>
      </c>
    </row>
    <row r="888" ht="15" customHeight="1" s="39">
      <c r="A888" s="38" t="inlineStr">
        <is>
          <t>[431649] Vespella de Gaià</t>
        </is>
      </c>
      <c r="B888" s="42" t="inlineStr">
        <is>
          <t>431649</t>
        </is>
      </c>
      <c r="C888" s="38" t="inlineStr">
        <is>
          <t>Vespella de Gaià</t>
        </is>
      </c>
      <c r="D888" s="42" t="inlineStr">
        <is>
          <t>36</t>
        </is>
      </c>
      <c r="E888" s="38" t="inlineStr">
        <is>
          <t>Tarragonès</t>
        </is>
      </c>
    </row>
    <row r="889" ht="15" customHeight="1" s="39">
      <c r="A889" s="38" t="inlineStr">
        <is>
          <t>[082981] Vic</t>
        </is>
      </c>
      <c r="B889" s="42" t="inlineStr">
        <is>
          <t>082981</t>
        </is>
      </c>
      <c r="C889" s="38" t="inlineStr">
        <is>
          <t>Vic</t>
        </is>
      </c>
      <c r="D889" s="42" t="inlineStr">
        <is>
          <t>24</t>
        </is>
      </c>
      <c r="E889" s="38" t="inlineStr">
        <is>
          <t>Osona</t>
        </is>
      </c>
    </row>
    <row r="890" ht="15" customHeight="1" s="39">
      <c r="A890" s="38" t="inlineStr">
        <is>
          <t>[172121] Vidrà</t>
        </is>
      </c>
      <c r="B890" s="42" t="inlineStr">
        <is>
          <t>172121</t>
        </is>
      </c>
      <c r="C890" s="38" t="inlineStr">
        <is>
          <t>Vidrà</t>
        </is>
      </c>
      <c r="D890" s="42" t="inlineStr">
        <is>
          <t>24</t>
        </is>
      </c>
      <c r="E890" s="38" t="inlineStr">
        <is>
          <t>Osona</t>
        </is>
      </c>
    </row>
    <row r="891" ht="15" customHeight="1" s="39">
      <c r="A891" s="38" t="inlineStr">
        <is>
          <t>[172137] Vidreres</t>
        </is>
      </c>
      <c r="B891" s="42" t="inlineStr">
        <is>
          <t>172137</t>
        </is>
      </c>
      <c r="C891" s="38" t="inlineStr">
        <is>
          <t>Vidreres</t>
        </is>
      </c>
      <c r="D891" s="42" t="inlineStr">
        <is>
          <t>34</t>
        </is>
      </c>
      <c r="E891" s="38" t="inlineStr">
        <is>
          <t>Selva</t>
        </is>
      </c>
    </row>
    <row r="892" ht="15" customHeight="1" s="39">
      <c r="A892" s="38" t="inlineStr">
        <is>
          <t>[252430] Vielha e Mijaran</t>
        </is>
      </c>
      <c r="B892" s="42" t="inlineStr">
        <is>
          <t>252430</t>
        </is>
      </c>
      <c r="C892" s="38" t="inlineStr">
        <is>
          <t>Vielha e Mijaran</t>
        </is>
      </c>
      <c r="D892" s="42" t="inlineStr">
        <is>
          <t>39</t>
        </is>
      </c>
      <c r="E892" s="38" t="inlineStr">
        <is>
          <t>Aran</t>
        </is>
      </c>
    </row>
    <row r="893" ht="15" customHeight="1" s="39">
      <c r="A893" s="38" t="inlineStr">
        <is>
          <t>[431704] Vila-rodona</t>
        </is>
      </c>
      <c r="B893" s="42" t="inlineStr">
        <is>
          <t>431704</t>
        </is>
      </c>
      <c r="C893" s="38" t="inlineStr">
        <is>
          <t>Vila-rodona</t>
        </is>
      </c>
      <c r="D893" s="42" t="inlineStr">
        <is>
          <t>01</t>
        </is>
      </c>
      <c r="E893" s="38" t="inlineStr">
        <is>
          <t>Alt Camp</t>
        </is>
      </c>
    </row>
    <row r="894" ht="15" customHeight="1" s="39">
      <c r="A894" s="38" t="inlineStr">
        <is>
          <t>[172305] Vila-sacra</t>
        </is>
      </c>
      <c r="B894" s="42" t="inlineStr">
        <is>
          <t>172305</t>
        </is>
      </c>
      <c r="C894" s="38" t="inlineStr">
        <is>
          <t>Vila-sacra</t>
        </is>
      </c>
      <c r="D894" s="42" t="inlineStr">
        <is>
          <t>02</t>
        </is>
      </c>
      <c r="E894" s="38" t="inlineStr">
        <is>
          <t>Alt Empordà</t>
        </is>
      </c>
    </row>
    <row r="895" ht="15" customHeight="1" s="39">
      <c r="A895" s="38" t="inlineStr">
        <is>
          <t>[252521] Vila-sana</t>
        </is>
      </c>
      <c r="B895" s="42" t="inlineStr">
        <is>
          <t>252521</t>
        </is>
      </c>
      <c r="C895" s="38" t="inlineStr">
        <is>
          <t>Vila-sana</t>
        </is>
      </c>
      <c r="D895" s="42" t="inlineStr">
        <is>
          <t>27</t>
        </is>
      </c>
      <c r="E895" s="38" t="inlineStr">
        <is>
          <t>Pla d'Urgell</t>
        </is>
      </c>
    </row>
    <row r="896" ht="15" customHeight="1" s="39">
      <c r="A896" s="38" t="inlineStr">
        <is>
          <t>[431711] Vila-seca</t>
        </is>
      </c>
      <c r="B896" s="42" t="inlineStr">
        <is>
          <t>431711</t>
        </is>
      </c>
      <c r="C896" s="38" t="inlineStr">
        <is>
          <t>Vila-seca</t>
        </is>
      </c>
      <c r="D896" s="42" t="inlineStr">
        <is>
          <t>36</t>
        </is>
      </c>
      <c r="E896" s="38" t="inlineStr">
        <is>
          <t>Tarragonès</t>
        </is>
      </c>
    </row>
    <row r="897" ht="15" customHeight="1" s="39">
      <c r="A897" s="38" t="inlineStr">
        <is>
          <t>[431652] Vilabella</t>
        </is>
      </c>
      <c r="B897" s="42" t="inlineStr">
        <is>
          <t>431652</t>
        </is>
      </c>
      <c r="C897" s="38" t="inlineStr">
        <is>
          <t>Vilabella</t>
        </is>
      </c>
      <c r="D897" s="42" t="inlineStr">
        <is>
          <t>01</t>
        </is>
      </c>
      <c r="E897" s="38" t="inlineStr">
        <is>
          <t>Alt Camp</t>
        </is>
      </c>
    </row>
    <row r="898" ht="15" customHeight="1" s="39">
      <c r="A898" s="38" t="inlineStr">
        <is>
          <t>[172142] Vilabertran</t>
        </is>
      </c>
      <c r="B898" s="42" t="inlineStr">
        <is>
          <t>172142</t>
        </is>
      </c>
      <c r="C898" s="38" t="inlineStr">
        <is>
          <t>Vilabertran</t>
        </is>
      </c>
      <c r="D898" s="42" t="inlineStr">
        <is>
          <t>02</t>
        </is>
      </c>
      <c r="E898" s="38" t="inlineStr">
        <is>
          <t>Alt Empordà</t>
        </is>
      </c>
    </row>
    <row r="899" ht="15" customHeight="1" s="39">
      <c r="A899" s="38" t="inlineStr">
        <is>
          <t>[172155] Vilablareix</t>
        </is>
      </c>
      <c r="B899" s="42" t="inlineStr">
        <is>
          <t>172155</t>
        </is>
      </c>
      <c r="C899" s="38" t="inlineStr">
        <is>
          <t>Vilablareix</t>
        </is>
      </c>
      <c r="D899" s="42" t="inlineStr">
        <is>
          <t>20</t>
        </is>
      </c>
      <c r="E899" s="38" t="inlineStr">
        <is>
          <t>Gironès</t>
        </is>
      </c>
    </row>
    <row r="900" ht="15" customHeight="1" s="39">
      <c r="A900" s="38" t="inlineStr">
        <is>
          <t>[082994] Vilada</t>
        </is>
      </c>
      <c r="B900" s="42" t="inlineStr">
        <is>
          <t>082994</t>
        </is>
      </c>
      <c r="C900" s="38" t="inlineStr">
        <is>
          <t>Vilada</t>
        </is>
      </c>
      <c r="D900" s="42" t="inlineStr">
        <is>
          <t>14</t>
        </is>
      </c>
      <c r="E900" s="38" t="inlineStr">
        <is>
          <t>Berguedà</t>
        </is>
      </c>
    </row>
    <row r="901" ht="15" customHeight="1" s="39">
      <c r="A901" s="38" t="inlineStr">
        <is>
          <t>[172174] Viladamat</t>
        </is>
      </c>
      <c r="B901" s="42" t="inlineStr">
        <is>
          <t>172174</t>
        </is>
      </c>
      <c r="C901" s="38" t="inlineStr">
        <is>
          <t>Viladamat</t>
        </is>
      </c>
      <c r="D901" s="42" t="inlineStr">
        <is>
          <t>02</t>
        </is>
      </c>
      <c r="E901" s="38" t="inlineStr">
        <is>
          <t>Alt Empordà</t>
        </is>
      </c>
    </row>
    <row r="902" ht="15" customHeight="1" s="39">
      <c r="A902" s="38" t="inlineStr">
        <is>
          <t>[172168] Viladasens</t>
        </is>
      </c>
      <c r="B902" s="42" t="inlineStr">
        <is>
          <t>172168</t>
        </is>
      </c>
      <c r="C902" s="38" t="inlineStr">
        <is>
          <t>Viladasens</t>
        </is>
      </c>
      <c r="D902" s="42" t="inlineStr">
        <is>
          <t>20</t>
        </is>
      </c>
      <c r="E902" s="38" t="inlineStr">
        <is>
          <t>Gironès</t>
        </is>
      </c>
    </row>
    <row r="903" ht="15" customHeight="1" s="39">
      <c r="A903" s="38" t="inlineStr">
        <is>
          <t>[083015] Viladecans</t>
        </is>
      </c>
      <c r="B903" s="42" t="inlineStr">
        <is>
          <t>083015</t>
        </is>
      </c>
      <c r="C903" s="38" t="inlineStr">
        <is>
          <t>Viladecans</t>
        </is>
      </c>
      <c r="D903" s="42" t="inlineStr">
        <is>
          <t>11</t>
        </is>
      </c>
      <c r="E903" s="38" t="inlineStr">
        <is>
          <t>Baix Llobregat</t>
        </is>
      </c>
    </row>
    <row r="904" ht="15" customHeight="1" s="39">
      <c r="A904" s="38" t="inlineStr">
        <is>
          <t>[083008] Viladecavalls</t>
        </is>
      </c>
      <c r="B904" s="42" t="inlineStr">
        <is>
          <t>083008</t>
        </is>
      </c>
      <c r="C904" s="38" t="inlineStr">
        <is>
          <t>Viladecavalls</t>
        </is>
      </c>
      <c r="D904" s="42" t="inlineStr">
        <is>
          <t>40</t>
        </is>
      </c>
      <c r="E904" s="38" t="inlineStr">
        <is>
          <t>Vallès Occidental</t>
        </is>
      </c>
    </row>
    <row r="905" ht="15" customHeight="1" s="39">
      <c r="A905" s="38" t="inlineStr">
        <is>
          <t>[172180] Vilademuls</t>
        </is>
      </c>
      <c r="B905" s="42" t="inlineStr">
        <is>
          <t>172180</t>
        </is>
      </c>
      <c r="C905" s="38" t="inlineStr">
        <is>
          <t>Vilademuls</t>
        </is>
      </c>
      <c r="D905" s="42" t="inlineStr">
        <is>
          <t>28</t>
        </is>
      </c>
      <c r="E905" s="38" t="inlineStr">
        <is>
          <t>Pla de l'Estany</t>
        </is>
      </c>
    </row>
    <row r="906" ht="15" customHeight="1" s="39">
      <c r="A906" s="38" t="inlineStr">
        <is>
          <t>[172207] Viladrau</t>
        </is>
      </c>
      <c r="B906" s="42" t="inlineStr">
        <is>
          <t>172207</t>
        </is>
      </c>
      <c r="C906" s="38" t="inlineStr">
        <is>
          <t>Viladrau</t>
        </is>
      </c>
      <c r="D906" s="42" t="inlineStr">
        <is>
          <t>24</t>
        </is>
      </c>
      <c r="E906" s="38" t="inlineStr">
        <is>
          <t>Osona</t>
        </is>
      </c>
    </row>
    <row r="907" ht="15" customHeight="1" s="39">
      <c r="A907" s="38" t="inlineStr">
        <is>
          <t>[172214] Vilafant</t>
        </is>
      </c>
      <c r="B907" s="42" t="inlineStr">
        <is>
          <t>172214</t>
        </is>
      </c>
      <c r="C907" s="38" t="inlineStr">
        <is>
          <t>Vilafant</t>
        </is>
      </c>
      <c r="D907" s="42" t="inlineStr">
        <is>
          <t>02</t>
        </is>
      </c>
      <c r="E907" s="38" t="inlineStr">
        <is>
          <t>Alt Empordà</t>
        </is>
      </c>
    </row>
    <row r="908" ht="15" customHeight="1" s="39">
      <c r="A908" s="38" t="inlineStr">
        <is>
          <t>[083054] Vilafranca del Penedès</t>
        </is>
      </c>
      <c r="B908" s="42" t="inlineStr">
        <is>
          <t>083054</t>
        </is>
      </c>
      <c r="C908" s="38" t="inlineStr">
        <is>
          <t>Vilafranca del Penedès</t>
        </is>
      </c>
      <c r="D908" s="42" t="inlineStr">
        <is>
          <t>03</t>
        </is>
      </c>
      <c r="E908" s="38" t="inlineStr">
        <is>
          <t>Alt Penedès</t>
        </is>
      </c>
    </row>
    <row r="909" ht="15" customHeight="1" s="39">
      <c r="A909" s="38" t="inlineStr">
        <is>
          <t>[252445] Vilagrassa</t>
        </is>
      </c>
      <c r="B909" s="42" t="inlineStr">
        <is>
          <t>252445</t>
        </is>
      </c>
      <c r="C909" s="38" t="inlineStr">
        <is>
          <t>Vilagrassa</t>
        </is>
      </c>
      <c r="D909" s="42" t="inlineStr">
        <is>
          <t>38</t>
        </is>
      </c>
      <c r="E909" s="38" t="inlineStr">
        <is>
          <t>Urgell</t>
        </is>
      </c>
    </row>
    <row r="910" ht="15" customHeight="1" s="39">
      <c r="A910" s="38" t="inlineStr">
        <is>
          <t>[172235] Vilajuïga</t>
        </is>
      </c>
      <c r="B910" s="42" t="inlineStr">
        <is>
          <t>172235</t>
        </is>
      </c>
      <c r="C910" s="38" t="inlineStr">
        <is>
          <t>Vilajuïga</t>
        </is>
      </c>
      <c r="D910" s="42" t="inlineStr">
        <is>
          <t>02</t>
        </is>
      </c>
      <c r="E910" s="38" t="inlineStr">
        <is>
          <t>Alt Empordà</t>
        </is>
      </c>
    </row>
    <row r="911" ht="15" customHeight="1" s="39">
      <c r="A911" s="38" t="inlineStr">
        <is>
          <t>[431750] Vilalba dels Arcs</t>
        </is>
      </c>
      <c r="B911" s="42" t="inlineStr">
        <is>
          <t>431750</t>
        </is>
      </c>
      <c r="C911" s="38" t="inlineStr">
        <is>
          <t>Vilalba dels Arcs</t>
        </is>
      </c>
      <c r="D911" s="42" t="inlineStr">
        <is>
          <t>37</t>
        </is>
      </c>
      <c r="E911" s="38" t="inlineStr">
        <is>
          <t>Terra Alta</t>
        </is>
      </c>
    </row>
    <row r="912" ht="15" customHeight="1" s="39">
      <c r="A912" s="38" t="inlineStr">
        <is>
          <t>[083067] Vilalba Sasserra</t>
        </is>
      </c>
      <c r="B912" s="42" t="inlineStr">
        <is>
          <t>083067</t>
        </is>
      </c>
      <c r="C912" s="38" t="inlineStr">
        <is>
          <t>Vilalba Sasserra</t>
        </is>
      </c>
      <c r="D912" s="42" t="inlineStr">
        <is>
          <t>41</t>
        </is>
      </c>
      <c r="E912" s="38" t="inlineStr">
        <is>
          <t>Vallès Oriental</t>
        </is>
      </c>
    </row>
    <row r="913" ht="15" customHeight="1" s="39">
      <c r="A913" s="38" t="inlineStr">
        <is>
          <t>[252458] Vilaller</t>
        </is>
      </c>
      <c r="B913" s="42" t="inlineStr">
        <is>
          <t>252458</t>
        </is>
      </c>
      <c r="C913" s="38" t="inlineStr">
        <is>
          <t>Vilaller</t>
        </is>
      </c>
      <c r="D913" s="42" t="inlineStr">
        <is>
          <t>05</t>
        </is>
      </c>
      <c r="E913" s="38" t="inlineStr">
        <is>
          <t>Alta Ribagorça</t>
        </is>
      </c>
    </row>
    <row r="914" ht="15" customHeight="1" s="39">
      <c r="A914" s="38" t="inlineStr">
        <is>
          <t>[172240] Vilallonga de Ter</t>
        </is>
      </c>
      <c r="B914" s="42" t="inlineStr">
        <is>
          <t>172240</t>
        </is>
      </c>
      <c r="C914" s="38" t="inlineStr">
        <is>
          <t>Vilallonga de Ter</t>
        </is>
      </c>
      <c r="D914" s="42" t="inlineStr">
        <is>
          <t>31</t>
        </is>
      </c>
      <c r="E914" s="38" t="inlineStr">
        <is>
          <t>Ripollès</t>
        </is>
      </c>
    </row>
    <row r="915" ht="15" customHeight="1" s="39">
      <c r="A915" s="38" t="inlineStr">
        <is>
          <t>[431665] Vilallonga del Camp</t>
        </is>
      </c>
      <c r="B915" s="42" t="inlineStr">
        <is>
          <t>431665</t>
        </is>
      </c>
      <c r="C915" s="38" t="inlineStr">
        <is>
          <t>Vilallonga del Camp</t>
        </is>
      </c>
      <c r="D915" s="42" t="inlineStr">
        <is>
          <t>36</t>
        </is>
      </c>
      <c r="E915" s="38" t="inlineStr">
        <is>
          <t>Tarragonès</t>
        </is>
      </c>
    </row>
    <row r="916" ht="15" customHeight="1" s="39">
      <c r="A916" s="38" t="inlineStr">
        <is>
          <t>[172253] Vilamacolum</t>
        </is>
      </c>
      <c r="B916" s="42" t="inlineStr">
        <is>
          <t>172253</t>
        </is>
      </c>
      <c r="C916" s="38" t="inlineStr">
        <is>
          <t>Vilamacolum</t>
        </is>
      </c>
      <c r="D916" s="42" t="inlineStr">
        <is>
          <t>02</t>
        </is>
      </c>
      <c r="E916" s="38" t="inlineStr">
        <is>
          <t>Alt Empordà</t>
        </is>
      </c>
    </row>
    <row r="917" ht="15" customHeight="1" s="39">
      <c r="A917" s="38" t="inlineStr">
        <is>
          <t>[172266] Vilamalla</t>
        </is>
      </c>
      <c r="B917" s="42" t="inlineStr">
        <is>
          <t>172266</t>
        </is>
      </c>
      <c r="C917" s="38" t="inlineStr">
        <is>
          <t>Vilamalla</t>
        </is>
      </c>
      <c r="D917" s="42" t="inlineStr">
        <is>
          <t>02</t>
        </is>
      </c>
      <c r="E917" s="38" t="inlineStr">
        <is>
          <t>Alt Empordà</t>
        </is>
      </c>
    </row>
    <row r="918" ht="15" customHeight="1" s="39">
      <c r="A918" s="38" t="inlineStr">
        <is>
          <t>[172272] Vilamaniscle</t>
        </is>
      </c>
      <c r="B918" s="42" t="inlineStr">
        <is>
          <t>172272</t>
        </is>
      </c>
      <c r="C918" s="38" t="inlineStr">
        <is>
          <t>Vilamaniscle</t>
        </is>
      </c>
      <c r="D918" s="42" t="inlineStr">
        <is>
          <t>02</t>
        </is>
      </c>
      <c r="E918" s="38" t="inlineStr">
        <is>
          <t>Alt Empordà</t>
        </is>
      </c>
    </row>
    <row r="919" ht="15" customHeight="1" s="39">
      <c r="A919" s="38" t="inlineStr">
        <is>
          <t>[252477] Vilamòs</t>
        </is>
      </c>
      <c r="B919" s="42" t="inlineStr">
        <is>
          <t>252477</t>
        </is>
      </c>
      <c r="C919" s="38" t="inlineStr">
        <is>
          <t>Vilamòs</t>
        </is>
      </c>
      <c r="D919" s="42" t="inlineStr">
        <is>
          <t>39</t>
        </is>
      </c>
      <c r="E919" s="38" t="inlineStr">
        <is>
          <t>Aran</t>
        </is>
      </c>
    </row>
    <row r="920" ht="15" customHeight="1" s="39">
      <c r="A920" s="38" t="inlineStr">
        <is>
          <t>[172288] Vilanant</t>
        </is>
      </c>
      <c r="B920" s="42" t="inlineStr">
        <is>
          <t>172288</t>
        </is>
      </c>
      <c r="C920" s="38" t="inlineStr">
        <is>
          <t>Vilanant</t>
        </is>
      </c>
      <c r="D920" s="42" t="inlineStr">
        <is>
          <t>02</t>
        </is>
      </c>
      <c r="E920" s="38" t="inlineStr">
        <is>
          <t>Alt Empordà</t>
        </is>
      </c>
    </row>
    <row r="921" ht="15" customHeight="1" s="39">
      <c r="A921" s="38" t="inlineStr">
        <is>
          <t>[431671] Vilanova d'Escornalbou</t>
        </is>
      </c>
      <c r="B921" s="42" t="inlineStr">
        <is>
          <t>431671</t>
        </is>
      </c>
      <c r="C921" s="38" t="inlineStr">
        <is>
          <t>Vilanova d'Escornalbou</t>
        </is>
      </c>
      <c r="D921" s="42" t="inlineStr">
        <is>
          <t>08</t>
        </is>
      </c>
      <c r="E921" s="38" t="inlineStr">
        <is>
          <t>Baix Camp</t>
        </is>
      </c>
    </row>
    <row r="922" ht="15" customHeight="1" s="39">
      <c r="A922" s="38" t="inlineStr">
        <is>
          <t>[252483] Vilanova de Bellpuig</t>
        </is>
      </c>
      <c r="B922" s="42" t="inlineStr">
        <is>
          <t>252483</t>
        </is>
      </c>
      <c r="C922" s="38" t="inlineStr">
        <is>
          <t>Vilanova de Bellpuig</t>
        </is>
      </c>
      <c r="D922" s="42" t="inlineStr">
        <is>
          <t>27</t>
        </is>
      </c>
      <c r="E922" s="38" t="inlineStr">
        <is>
          <t>Pla d'Urgell</t>
        </is>
      </c>
    </row>
    <row r="923" ht="15" customHeight="1" s="39">
      <c r="A923" s="38" t="inlineStr">
        <is>
          <t>[252496] Vilanova de l'Aguda</t>
        </is>
      </c>
      <c r="B923" s="42" t="inlineStr">
        <is>
          <t>252496</t>
        </is>
      </c>
      <c r="C923" s="38" t="inlineStr">
        <is>
          <t>Vilanova de l'Aguda</t>
        </is>
      </c>
      <c r="D923" s="42" t="inlineStr">
        <is>
          <t>23</t>
        </is>
      </c>
      <c r="E923" s="38" t="inlineStr">
        <is>
          <t>Noguera</t>
        </is>
      </c>
    </row>
    <row r="924" ht="15" customHeight="1" s="39">
      <c r="A924" s="38" t="inlineStr">
        <is>
          <t>[252542] Vilanova de la Barca</t>
        </is>
      </c>
      <c r="B924" s="42" t="inlineStr">
        <is>
          <t>252542</t>
        </is>
      </c>
      <c r="C924" s="38" t="inlineStr">
        <is>
          <t>Vilanova de la Barca</t>
        </is>
      </c>
      <c r="D924" s="42" t="inlineStr">
        <is>
          <t>33</t>
        </is>
      </c>
      <c r="E924" s="38" t="inlineStr">
        <is>
          <t>Segrià</t>
        </is>
      </c>
    </row>
    <row r="925" ht="15" customHeight="1" s="39">
      <c r="A925" s="38" t="inlineStr">
        <is>
          <t>[252509] Vilanova de Meià</t>
        </is>
      </c>
      <c r="B925" s="42" t="inlineStr">
        <is>
          <t>252509</t>
        </is>
      </c>
      <c r="C925" s="38" t="inlineStr">
        <is>
          <t>Vilanova de Meià</t>
        </is>
      </c>
      <c r="D925" s="42" t="inlineStr">
        <is>
          <t>23</t>
        </is>
      </c>
      <c r="E925" s="38" t="inlineStr">
        <is>
          <t>Noguera</t>
        </is>
      </c>
    </row>
    <row r="926" ht="15" customHeight="1" s="39">
      <c r="A926" s="38" t="inlineStr">
        <is>
          <t>[431687] Vilanova de Prades</t>
        </is>
      </c>
      <c r="B926" s="42" t="inlineStr">
        <is>
          <t>431687</t>
        </is>
      </c>
      <c r="C926" s="38" t="inlineStr">
        <is>
          <t>Vilanova de Prades</t>
        </is>
      </c>
      <c r="D926" s="42" t="inlineStr">
        <is>
          <t>16</t>
        </is>
      </c>
      <c r="E926" s="38" t="inlineStr">
        <is>
          <t>Conca de Barberà</t>
        </is>
      </c>
    </row>
    <row r="927" ht="15" customHeight="1" s="39">
      <c r="A927" s="38" t="inlineStr">
        <is>
          <t>[083036] Vilanova de Sau</t>
        </is>
      </c>
      <c r="B927" s="42" t="inlineStr">
        <is>
          <t>083036</t>
        </is>
      </c>
      <c r="C927" s="38" t="inlineStr">
        <is>
          <t>Vilanova de Sau</t>
        </is>
      </c>
      <c r="D927" s="42" t="inlineStr">
        <is>
          <t>24</t>
        </is>
      </c>
      <c r="E927" s="38" t="inlineStr">
        <is>
          <t>Osona</t>
        </is>
      </c>
    </row>
    <row r="928" ht="15" customHeight="1" s="39">
      <c r="A928" s="38" t="inlineStr">
        <is>
          <t>[252516] Vilanova de Segrià</t>
        </is>
      </c>
      <c r="B928" s="42" t="inlineStr">
        <is>
          <t>252516</t>
        </is>
      </c>
      <c r="C928" s="38" t="inlineStr">
        <is>
          <t>Vilanova de Segrià</t>
        </is>
      </c>
      <c r="D928" s="42" t="inlineStr">
        <is>
          <t>33</t>
        </is>
      </c>
      <c r="E928" s="38" t="inlineStr">
        <is>
          <t>Segrià</t>
        </is>
      </c>
    </row>
    <row r="929" ht="15" customHeight="1" s="39">
      <c r="A929" s="38" t="inlineStr">
        <is>
          <t>[083020] Vilanova del Camí</t>
        </is>
      </c>
      <c r="B929" s="42" t="inlineStr">
        <is>
          <t>083020</t>
        </is>
      </c>
      <c r="C929" s="38" t="inlineStr">
        <is>
          <t>Vilanova del Camí</t>
        </is>
      </c>
      <c r="D929" s="42" t="inlineStr">
        <is>
          <t>06</t>
        </is>
      </c>
      <c r="E929" s="38" t="inlineStr">
        <is>
          <t>Anoia</t>
        </is>
      </c>
    </row>
    <row r="930" ht="15" customHeight="1" s="39">
      <c r="A930" s="38" t="inlineStr">
        <is>
          <t>[089024] Vilanova del Vallès</t>
        </is>
      </c>
      <c r="B930" s="42" t="inlineStr">
        <is>
          <t>089024</t>
        </is>
      </c>
      <c r="C930" s="38" t="inlineStr">
        <is>
          <t>Vilanova del Vallès</t>
        </is>
      </c>
      <c r="D930" s="42" t="inlineStr">
        <is>
          <t>41</t>
        </is>
      </c>
      <c r="E930" s="38" t="inlineStr">
        <is>
          <t>Vallès Oriental</t>
        </is>
      </c>
    </row>
    <row r="931" ht="15" customHeight="1" s="39">
      <c r="A931" s="38" t="inlineStr">
        <is>
          <t>[083073] Vilanova i la Geltrú</t>
        </is>
      </c>
      <c r="B931" s="42" t="inlineStr">
        <is>
          <t>083073</t>
        </is>
      </c>
      <c r="C931" s="38" t="inlineStr">
        <is>
          <t>Vilanova i la Geltrú</t>
        </is>
      </c>
      <c r="D931" s="42" t="inlineStr">
        <is>
          <t>17</t>
        </is>
      </c>
      <c r="E931" s="38" t="inlineStr">
        <is>
          <t>Garraf</t>
        </is>
      </c>
    </row>
    <row r="932" ht="15" customHeight="1" s="39">
      <c r="A932" s="38" t="inlineStr">
        <is>
          <t>[431690] Vilaplana</t>
        </is>
      </c>
      <c r="B932" s="42" t="inlineStr">
        <is>
          <t>431690</t>
        </is>
      </c>
      <c r="C932" s="38" t="inlineStr">
        <is>
          <t>Vilaplana</t>
        </is>
      </c>
      <c r="D932" s="42" t="inlineStr">
        <is>
          <t>08</t>
        </is>
      </c>
      <c r="E932" s="38" t="inlineStr">
        <is>
          <t>Baix Camp</t>
        </is>
      </c>
    </row>
    <row r="933" ht="15" customHeight="1" s="39">
      <c r="A933" s="38" t="inlineStr">
        <is>
          <t>[082140] Vilassar de Dalt</t>
        </is>
      </c>
      <c r="B933" s="42" t="inlineStr">
        <is>
          <t>082140</t>
        </is>
      </c>
      <c r="C933" s="38" t="inlineStr">
        <is>
          <t>Vilassar de Dalt</t>
        </is>
      </c>
      <c r="D933" s="42" t="inlineStr">
        <is>
          <t>21</t>
        </is>
      </c>
      <c r="E933" s="38" t="inlineStr">
        <is>
          <t>Maresme</t>
        </is>
      </c>
    </row>
    <row r="934" ht="15" customHeight="1" s="39">
      <c r="A934" s="38" t="inlineStr">
        <is>
          <t>[082191] Vilassar de Mar</t>
        </is>
      </c>
      <c r="B934" s="42" t="inlineStr">
        <is>
          <t>082191</t>
        </is>
      </c>
      <c r="C934" s="38" t="inlineStr">
        <is>
          <t>Vilassar de Mar</t>
        </is>
      </c>
      <c r="D934" s="42" t="inlineStr">
        <is>
          <t>21</t>
        </is>
      </c>
      <c r="E934" s="38" t="inlineStr">
        <is>
          <t>Maresme</t>
        </is>
      </c>
    </row>
    <row r="935" ht="15" customHeight="1" s="39">
      <c r="A935" s="38" t="inlineStr">
        <is>
          <t>[172229] Vilaür</t>
        </is>
      </c>
      <c r="B935" s="42" t="inlineStr">
        <is>
          <t>172229</t>
        </is>
      </c>
      <c r="C935" s="38" t="inlineStr">
        <is>
          <t>Vilaür</t>
        </is>
      </c>
      <c r="D935" s="42" t="inlineStr">
        <is>
          <t>02</t>
        </is>
      </c>
      <c r="E935" s="38" t="inlineStr">
        <is>
          <t>Alt Empordà</t>
        </is>
      </c>
    </row>
    <row r="936" ht="15" customHeight="1" s="39">
      <c r="A936" s="38" t="inlineStr">
        <is>
          <t>[431726] Vilaverd</t>
        </is>
      </c>
      <c r="B936" s="42" t="inlineStr">
        <is>
          <t>431726</t>
        </is>
      </c>
      <c r="C936" s="38" t="inlineStr">
        <is>
          <t>Vilaverd</t>
        </is>
      </c>
      <c r="D936" s="42" t="inlineStr">
        <is>
          <t>16</t>
        </is>
      </c>
      <c r="E936" s="38" t="inlineStr">
        <is>
          <t>Conca de Barberà</t>
        </is>
      </c>
    </row>
    <row r="937" ht="15" customHeight="1" s="39">
      <c r="A937" s="38" t="inlineStr">
        <is>
          <t>[431732] Vilella Alta, la</t>
        </is>
      </c>
      <c r="B937" s="42" t="inlineStr">
        <is>
          <t>431732</t>
        </is>
      </c>
      <c r="C937" s="38" t="inlineStr">
        <is>
          <t>Vilella Alta, la</t>
        </is>
      </c>
      <c r="D937" s="42" t="inlineStr">
        <is>
          <t>29</t>
        </is>
      </c>
      <c r="E937" s="38" t="inlineStr">
        <is>
          <t>Priorat</t>
        </is>
      </c>
    </row>
    <row r="938" ht="15" customHeight="1" s="39">
      <c r="A938" s="38" t="inlineStr">
        <is>
          <t>[431747] Vilella Baixa, la</t>
        </is>
      </c>
      <c r="B938" s="42" t="inlineStr">
        <is>
          <t>431747</t>
        </is>
      </c>
      <c r="C938" s="38" t="inlineStr">
        <is>
          <t>Vilella Baixa, la</t>
        </is>
      </c>
      <c r="D938" s="42" t="inlineStr">
        <is>
          <t>29</t>
        </is>
      </c>
      <c r="E938" s="38" t="inlineStr">
        <is>
          <t>Priorat</t>
        </is>
      </c>
    </row>
    <row r="939" ht="15" customHeight="1" s="39">
      <c r="A939" s="38" t="inlineStr">
        <is>
          <t>[172333] Vilobí d'Onyar</t>
        </is>
      </c>
      <c r="B939" s="42" t="inlineStr">
        <is>
          <t>172333</t>
        </is>
      </c>
      <c r="C939" s="38" t="inlineStr">
        <is>
          <t>Vilobí d'Onyar</t>
        </is>
      </c>
      <c r="D939" s="42" t="inlineStr">
        <is>
          <t>34</t>
        </is>
      </c>
      <c r="E939" s="38" t="inlineStr">
        <is>
          <t>Selva</t>
        </is>
      </c>
    </row>
    <row r="940" ht="15" customHeight="1" s="39">
      <c r="A940" s="38" t="inlineStr">
        <is>
          <t>[083041] Vilobí del Penedès</t>
        </is>
      </c>
      <c r="B940" s="42" t="inlineStr">
        <is>
          <t>083041</t>
        </is>
      </c>
      <c r="C940" s="38" t="inlineStr">
        <is>
          <t>Vilobí del Penedès</t>
        </is>
      </c>
      <c r="D940" s="42" t="inlineStr">
        <is>
          <t>03</t>
        </is>
      </c>
      <c r="E940" s="38" t="inlineStr">
        <is>
          <t>Alt Penedès</t>
        </is>
      </c>
    </row>
    <row r="941" ht="15" customHeight="1" s="39">
      <c r="A941" s="38" t="inlineStr">
        <is>
          <t>[172327] Vilopriu</t>
        </is>
      </c>
      <c r="B941" s="42" t="inlineStr">
        <is>
          <t>172327</t>
        </is>
      </c>
      <c r="C941" s="38" t="inlineStr">
        <is>
          <t>Vilopriu</t>
        </is>
      </c>
      <c r="D941" s="42" t="inlineStr">
        <is>
          <t>10</t>
        </is>
      </c>
      <c r="E941" s="38" t="inlineStr">
        <is>
          <t>Baix Empordà</t>
        </is>
      </c>
    </row>
    <row r="942" ht="15" customHeight="1" s="39">
      <c r="A942" s="38" t="inlineStr">
        <is>
          <t>[252537] Vilosell, el</t>
        </is>
      </c>
      <c r="B942" s="42" t="inlineStr">
        <is>
          <t>252537</t>
        </is>
      </c>
      <c r="C942" s="38" t="inlineStr">
        <is>
          <t>Vilosell, el</t>
        </is>
      </c>
      <c r="D942" s="42" t="inlineStr">
        <is>
          <t>18</t>
        </is>
      </c>
      <c r="E942" s="38" t="inlineStr">
        <is>
          <t>Garrigues</t>
        </is>
      </c>
    </row>
    <row r="943" ht="15" customHeight="1" s="39">
      <c r="A943" s="38" t="inlineStr">
        <is>
          <t>[431763] Vimbodí i Poblet</t>
        </is>
      </c>
      <c r="B943" s="42" t="inlineStr">
        <is>
          <t>431763</t>
        </is>
      </c>
      <c r="C943" s="38" t="inlineStr">
        <is>
          <t>Vimbodí i Poblet</t>
        </is>
      </c>
      <c r="D943" s="42" t="inlineStr">
        <is>
          <t>16</t>
        </is>
      </c>
      <c r="E943" s="38" t="inlineStr">
        <is>
          <t>Conca de Barberà</t>
        </is>
      </c>
    </row>
    <row r="944" ht="15" customHeight="1" s="39">
      <c r="A944" s="38" t="inlineStr">
        <is>
          <t>[252555] Vinaixa</t>
        </is>
      </c>
      <c r="B944" s="42" t="inlineStr">
        <is>
          <t>252555</t>
        </is>
      </c>
      <c r="C944" s="38" t="inlineStr">
        <is>
          <t>Vinaixa</t>
        </is>
      </c>
      <c r="D944" s="42" t="inlineStr">
        <is>
          <t>18</t>
        </is>
      </c>
      <c r="E944" s="38" t="inlineStr">
        <is>
          <t>Garrigues</t>
        </is>
      </c>
    </row>
    <row r="945" ht="15" customHeight="1" s="39">
      <c r="A945" s="38" t="inlineStr">
        <is>
          <t>[431779] Vinebre</t>
        </is>
      </c>
      <c r="B945" s="42" t="inlineStr">
        <is>
          <t>431779</t>
        </is>
      </c>
      <c r="C945" s="38" t="inlineStr">
        <is>
          <t>Vinebre</t>
        </is>
      </c>
      <c r="D945" s="42" t="inlineStr">
        <is>
          <t>30</t>
        </is>
      </c>
      <c r="E945" s="38" t="inlineStr">
        <is>
          <t>Ribera d'Ebre</t>
        </is>
      </c>
    </row>
    <row r="946" ht="15" customHeight="1" s="39">
      <c r="A946" s="38" t="inlineStr">
        <is>
          <t>[431785] Vinyols i els Arcs</t>
        </is>
      </c>
      <c r="B946" s="42" t="inlineStr">
        <is>
          <t>431785</t>
        </is>
      </c>
      <c r="C946" s="38" t="inlineStr">
        <is>
          <t>Vinyols i els Arcs</t>
        </is>
      </c>
      <c r="D946" s="42" t="inlineStr">
        <is>
          <t>08</t>
        </is>
      </c>
      <c r="E946" s="38" t="inlineStr">
        <is>
          <t>Baix Camp</t>
        </is>
      </c>
    </row>
    <row r="947" ht="15" customHeight="1" s="39">
      <c r="A947" s="38" t="inlineStr">
        <is>
          <t>[083089] Viver i Serrateix</t>
        </is>
      </c>
      <c r="B947" s="42" t="inlineStr">
        <is>
          <t>083089</t>
        </is>
      </c>
      <c r="C947" s="38" t="inlineStr">
        <is>
          <t>Viver i Serrateix</t>
        </is>
      </c>
      <c r="D947" s="42" t="inlineStr">
        <is>
          <t>14</t>
        </is>
      </c>
      <c r="E947" s="38" t="inlineStr">
        <is>
          <t>Berguedà</t>
        </is>
      </c>
    </row>
    <row r="948" ht="15" customHeight="1" s="39">
      <c r="A948" s="38" t="inlineStr">
        <is>
          <t>[430521] Xerta</t>
        </is>
      </c>
      <c r="B948" s="42" t="inlineStr">
        <is>
          <t>430521</t>
        </is>
      </c>
      <c r="C948" s="38" t="inlineStr">
        <is>
          <t>Xerta</t>
        </is>
      </c>
      <c r="D948" s="42" t="inlineStr">
        <is>
          <t>09</t>
        </is>
      </c>
      <c r="E948" s="38" t="inlineStr">
        <is>
          <t>Baix Ebre</t>
        </is>
      </c>
    </row>
  </sheetData>
  <autoFilter ref="A1:F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42" customWidth="1" style="38" min="1" max="1"/>
    <col width="19" customWidth="1" style="38" min="2" max="2"/>
    <col width="39" customWidth="1" style="38" min="3" max="3"/>
    <col width="13" customWidth="1" style="38" min="4" max="4"/>
    <col width="14" customWidth="1" style="38" min="5" max="5"/>
    <col width="42" customWidth="1" style="38" min="6" max="6"/>
  </cols>
  <sheetData>
    <row r="1" ht="30.75" customHeight="1" s="39">
      <c r="A1" s="40" t="inlineStr">
        <is>
          <t>raw_municipality</t>
        </is>
      </c>
      <c r="B1" s="41" t="inlineStr">
        <is>
          <t>municipality_code</t>
        </is>
      </c>
      <c r="C1" s="40" t="inlineStr">
        <is>
          <t>municipality_name</t>
        </is>
      </c>
      <c r="D1" s="43" t="inlineStr">
        <is>
          <t>surface_km2</t>
        </is>
      </c>
      <c r="E1" s="40" t="inlineStr">
        <is>
          <t>value_status</t>
        </is>
      </c>
      <c r="F1" s="40" t="inlineStr">
        <is>
          <t>import_notes</t>
        </is>
      </c>
    </row>
    <row r="2" ht="15" customHeight="1" s="39">
      <c r="A2" s="38" t="inlineStr">
        <is>
          <t>[250019] Abella de la Conca</t>
        </is>
      </c>
      <c r="B2" s="42" t="inlineStr">
        <is>
          <t>250019</t>
        </is>
      </c>
      <c r="C2" s="38" t="inlineStr">
        <is>
          <t>Abella de la Conca</t>
        </is>
      </c>
      <c r="D2" s="44" t="n">
        <v>78.27</v>
      </c>
      <c r="F2" s="38" t="inlineStr">
        <is>
          <t>Publicació municipal 2025; la superfície s'utilitza com a magnitud territorial</t>
        </is>
      </c>
    </row>
    <row r="3" ht="15" customHeight="1" s="39">
      <c r="A3" s="38" t="inlineStr">
        <is>
          <t>[080018] Abrera</t>
        </is>
      </c>
      <c r="B3" s="42" t="inlineStr">
        <is>
          <t>080018</t>
        </is>
      </c>
      <c r="C3" s="38" t="inlineStr">
        <is>
          <t>Abrera</t>
        </is>
      </c>
      <c r="D3" s="44" t="n">
        <v>19.94</v>
      </c>
      <c r="F3" s="38" t="inlineStr">
        <is>
          <t>Publicació municipal 2025; la superfície s'utilitza com a magnitud territorial</t>
        </is>
      </c>
    </row>
    <row r="4" ht="15" customHeight="1" s="39">
      <c r="A4" s="38" t="inlineStr">
        <is>
          <t>[250024] Àger</t>
        </is>
      </c>
      <c r="B4" s="42" t="inlineStr">
        <is>
          <t>250024</t>
        </is>
      </c>
      <c r="C4" s="38" t="inlineStr">
        <is>
          <t>Àger</t>
        </is>
      </c>
      <c r="D4" s="44" t="n">
        <v>160.57</v>
      </c>
      <c r="F4" s="38" t="inlineStr">
        <is>
          <t>Publicació municipal 2025; la superfície s'utilitza com a magnitud territorial</t>
        </is>
      </c>
    </row>
    <row r="5" ht="15" customHeight="1" s="39">
      <c r="A5" s="38" t="inlineStr">
        <is>
          <t>[250030] Agramunt</t>
        </is>
      </c>
      <c r="B5" s="42" t="inlineStr">
        <is>
          <t>250030</t>
        </is>
      </c>
      <c r="C5" s="38" t="inlineStr">
        <is>
          <t>Agramunt</t>
        </is>
      </c>
      <c r="D5" s="44" t="n">
        <v>79.65000000000001</v>
      </c>
      <c r="F5" s="38" t="inlineStr">
        <is>
          <t>Publicació municipal 2025; la superfície s'utilitza com a magnitud territorial</t>
        </is>
      </c>
    </row>
    <row r="6" ht="15" customHeight="1" s="39">
      <c r="A6" s="38" t="inlineStr">
        <is>
          <t>[080023] Aguilar de Segarra</t>
        </is>
      </c>
      <c r="B6" s="42" t="inlineStr">
        <is>
          <t>080023</t>
        </is>
      </c>
      <c r="C6" s="38" t="inlineStr">
        <is>
          <t>Aguilar de Segarra</t>
        </is>
      </c>
      <c r="D6" s="44" t="n">
        <v>43.32</v>
      </c>
      <c r="F6" s="38" t="inlineStr">
        <is>
          <t>Publicació municipal 2025; la superfície s'utilitza com a magnitud territorial</t>
        </is>
      </c>
    </row>
    <row r="7" ht="15" customHeight="1" s="39">
      <c r="A7" s="38" t="inlineStr">
        <is>
          <t>[170010] Agullana</t>
        </is>
      </c>
      <c r="B7" s="42" t="inlineStr">
        <is>
          <t>170010</t>
        </is>
      </c>
      <c r="C7" s="38" t="inlineStr">
        <is>
          <t>Agullana</t>
        </is>
      </c>
      <c r="D7" s="44" t="n">
        <v>27.73</v>
      </c>
      <c r="F7" s="38" t="inlineStr">
        <is>
          <t>Publicació municipal 2025; la superfície s'utilitza com a magnitud territorial</t>
        </is>
      </c>
    </row>
    <row r="8" ht="15" customHeight="1" s="39">
      <c r="A8" s="38" t="inlineStr">
        <is>
          <t>[080142] Aiguafreda</t>
        </is>
      </c>
      <c r="B8" s="42" t="inlineStr">
        <is>
          <t>080142</t>
        </is>
      </c>
      <c r="C8" s="38" t="inlineStr">
        <is>
          <t>Aiguafreda</t>
        </is>
      </c>
      <c r="D8" s="44" t="n">
        <v>7.9</v>
      </c>
      <c r="F8" s="38" t="inlineStr">
        <is>
          <t>Publicació municipal 2025; la superfície s'utilitza com a magnitud territorial</t>
        </is>
      </c>
    </row>
    <row r="9" ht="15" customHeight="1" s="39">
      <c r="A9" s="38" t="inlineStr">
        <is>
          <t>[430017] Aiguamúrcia</t>
        </is>
      </c>
      <c r="B9" s="42" t="inlineStr">
        <is>
          <t>430017</t>
        </is>
      </c>
      <c r="C9" s="38" t="inlineStr">
        <is>
          <t>Aiguamúrcia</t>
        </is>
      </c>
      <c r="D9" s="44" t="n">
        <v>72.95</v>
      </c>
      <c r="F9" s="38" t="inlineStr">
        <is>
          <t>Publicació municipal 2025; la superfície s'utilitza com a magnitud territorial</t>
        </is>
      </c>
    </row>
    <row r="10" ht="15" customHeight="1" s="39">
      <c r="A10" s="38" t="inlineStr">
        <is>
          <t>[170025] Aiguaviva</t>
        </is>
      </c>
      <c r="B10" s="42" t="inlineStr">
        <is>
          <t>170025</t>
        </is>
      </c>
      <c r="C10" s="38" t="inlineStr">
        <is>
          <t>Aiguaviva</t>
        </is>
      </c>
      <c r="D10" s="44" t="n">
        <v>13.91</v>
      </c>
      <c r="F10" s="38" t="inlineStr">
        <is>
          <t>Publicació municipal 2025; la superfície s'utilitza com a magnitud territorial</t>
        </is>
      </c>
    </row>
    <row r="11" ht="15" customHeight="1" s="39">
      <c r="A11" s="38" t="inlineStr">
        <is>
          <t>[250387] Aitona</t>
        </is>
      </c>
      <c r="B11" s="42" t="inlineStr">
        <is>
          <t>250387</t>
        </is>
      </c>
      <c r="C11" s="38" t="inlineStr">
        <is>
          <t>Aitona</t>
        </is>
      </c>
      <c r="D11" s="44" t="n">
        <v>66.90000000000001</v>
      </c>
      <c r="F11" s="38" t="inlineStr">
        <is>
          <t>Publicació municipal 2025; la superfície s'utilitza com a magnitud territorial</t>
        </is>
      </c>
    </row>
    <row r="12" ht="15" customHeight="1" s="39">
      <c r="A12" s="38" t="inlineStr">
        <is>
          <t>[250045] Alamús, els</t>
        </is>
      </c>
      <c r="B12" s="42" t="inlineStr">
        <is>
          <t>250045</t>
        </is>
      </c>
      <c r="C12" s="38" t="inlineStr">
        <is>
          <t>Alamús, els</t>
        </is>
      </c>
      <c r="D12" s="44" t="n">
        <v>20.53</v>
      </c>
      <c r="F12" s="38" t="inlineStr">
        <is>
          <t>Publicació municipal 2025; la superfície s'utilitza com a magnitud territorial</t>
        </is>
      </c>
    </row>
    <row r="13" ht="15" customHeight="1" s="39">
      <c r="A13" s="38" t="inlineStr">
        <is>
          <t>[250058] Alàs i Cerc</t>
        </is>
      </c>
      <c r="B13" s="42" t="inlineStr">
        <is>
          <t>250058</t>
        </is>
      </c>
      <c r="C13" s="38" t="inlineStr">
        <is>
          <t>Alàs i Cerc</t>
        </is>
      </c>
      <c r="D13" s="44" t="n">
        <v>57.67</v>
      </c>
      <c r="F13" s="38" t="inlineStr">
        <is>
          <t>Publicació municipal 2025; la superfície s'utilitza com a magnitud territorial</t>
        </is>
      </c>
    </row>
    <row r="14" ht="15" customHeight="1" s="39">
      <c r="A14" s="38" t="inlineStr">
        <is>
          <t>[250061] Albagés, l'</t>
        </is>
      </c>
      <c r="B14" s="42" t="inlineStr">
        <is>
          <t>250061</t>
        </is>
      </c>
      <c r="C14" s="38" t="inlineStr">
        <is>
          <t>Albagés, l'</t>
        </is>
      </c>
      <c r="D14" s="44" t="n">
        <v>25.7</v>
      </c>
      <c r="F14" s="38" t="inlineStr">
        <is>
          <t>Publicació municipal 2025; la superfície s'utilitza com a magnitud territorial</t>
        </is>
      </c>
    </row>
    <row r="15" ht="15" customHeight="1" s="39">
      <c r="A15" s="38" t="inlineStr">
        <is>
          <t>[170031] Albanyà</t>
        </is>
      </c>
      <c r="B15" s="42" t="inlineStr">
        <is>
          <t>170031</t>
        </is>
      </c>
      <c r="C15" s="38" t="inlineStr">
        <is>
          <t>Albanyà</t>
        </is>
      </c>
      <c r="D15" s="44" t="n">
        <v>94.39</v>
      </c>
      <c r="F15" s="38" t="inlineStr">
        <is>
          <t>Publicació municipal 2025; la superfície s'utilitza com a magnitud territorial</t>
        </is>
      </c>
    </row>
    <row r="16" ht="15" customHeight="1" s="39">
      <c r="A16" s="38" t="inlineStr">
        <is>
          <t>[250077] Albatàrrec</t>
        </is>
      </c>
      <c r="B16" s="42" t="inlineStr">
        <is>
          <t>250077</t>
        </is>
      </c>
      <c r="C16" s="38" t="inlineStr">
        <is>
          <t>Albatàrrec</t>
        </is>
      </c>
      <c r="D16" s="44" t="n">
        <v>10.46</v>
      </c>
      <c r="F16" s="38" t="inlineStr">
        <is>
          <t>Publicació municipal 2025; la superfície s'utilitza com a magnitud territorial</t>
        </is>
      </c>
    </row>
    <row r="17" ht="15" customHeight="1" s="39">
      <c r="A17" s="38" t="inlineStr">
        <is>
          <t>[250083] Albesa</t>
        </is>
      </c>
      <c r="B17" s="42" t="inlineStr">
        <is>
          <t>250083</t>
        </is>
      </c>
      <c r="C17" s="38" t="inlineStr">
        <is>
          <t>Albesa</t>
        </is>
      </c>
      <c r="D17" s="44" t="n">
        <v>37.61</v>
      </c>
      <c r="F17" s="38" t="inlineStr">
        <is>
          <t>Publicació municipal 2025; la superfície s'utilitza com a magnitud territorial</t>
        </is>
      </c>
    </row>
    <row r="18" ht="15" customHeight="1" s="39">
      <c r="A18" s="38" t="inlineStr">
        <is>
          <t>[250096] Albi, l'</t>
        </is>
      </c>
      <c r="B18" s="42" t="inlineStr">
        <is>
          <t>250096</t>
        </is>
      </c>
      <c r="C18" s="38" t="inlineStr">
        <is>
          <t>Albi, l'</t>
        </is>
      </c>
      <c r="D18" s="44" t="n">
        <v>32.54</v>
      </c>
      <c r="F18" s="38" t="inlineStr">
        <is>
          <t>Publicació municipal 2025; la superfície s'utilitza com a magnitud territorial</t>
        </is>
      </c>
    </row>
    <row r="19" ht="15" customHeight="1" s="39">
      <c r="A19" s="38" t="inlineStr">
        <is>
          <t>[430022] Albinyana</t>
        </is>
      </c>
      <c r="B19" s="42" t="inlineStr">
        <is>
          <t>430022</t>
        </is>
      </c>
      <c r="C19" s="38" t="inlineStr">
        <is>
          <t>Albinyana</t>
        </is>
      </c>
      <c r="D19" s="44" t="n">
        <v>19.37</v>
      </c>
      <c r="F19" s="38" t="inlineStr">
        <is>
          <t>Publicació municipal 2025; la superfície s'utilitza com a magnitud territorial</t>
        </is>
      </c>
    </row>
    <row r="20" ht="15" customHeight="1" s="39">
      <c r="A20" s="38" t="inlineStr">
        <is>
          <t>[430038] Albiol, l'</t>
        </is>
      </c>
      <c r="B20" s="42" t="inlineStr">
        <is>
          <t>430038</t>
        </is>
      </c>
      <c r="C20" s="38" t="inlineStr">
        <is>
          <t>Albiol, l'</t>
        </is>
      </c>
      <c r="D20" s="44" t="n">
        <v>20.34</v>
      </c>
      <c r="F20" s="38" t="inlineStr">
        <is>
          <t>Publicació municipal 2025; la superfície s'utilitza com a magnitud territorial</t>
        </is>
      </c>
    </row>
    <row r="21" ht="15" customHeight="1" s="39">
      <c r="A21" s="38" t="inlineStr">
        <is>
          <t>[170046] Albons</t>
        </is>
      </c>
      <c r="B21" s="42" t="inlineStr">
        <is>
          <t>170046</t>
        </is>
      </c>
      <c r="C21" s="38" t="inlineStr">
        <is>
          <t>Albons</t>
        </is>
      </c>
      <c r="D21" s="44" t="n">
        <v>11.13</v>
      </c>
      <c r="F21" s="38" t="inlineStr">
        <is>
          <t>Publicació municipal 2025; la superfície s'utilitza com a magnitud territorial</t>
        </is>
      </c>
    </row>
    <row r="22" ht="15" customHeight="1" s="39">
      <c r="A22" s="38" t="inlineStr">
        <is>
          <t>[430043] Alcanar</t>
        </is>
      </c>
      <c r="B22" s="42" t="inlineStr">
        <is>
          <t>430043</t>
        </is>
      </c>
      <c r="C22" s="38" t="inlineStr">
        <is>
          <t>Alcanar</t>
        </is>
      </c>
      <c r="D22" s="44" t="n">
        <v>47.07</v>
      </c>
      <c r="F22" s="38" t="inlineStr">
        <is>
          <t>Publicació municipal 2025; la superfície s'utilitza com a magnitud territorial</t>
        </is>
      </c>
    </row>
    <row r="23" ht="15" customHeight="1" s="39">
      <c r="A23" s="38" t="inlineStr">
        <is>
          <t>[250100] Alcanó</t>
        </is>
      </c>
      <c r="B23" s="42" t="inlineStr">
        <is>
          <t>250100</t>
        </is>
      </c>
      <c r="C23" s="38" t="inlineStr">
        <is>
          <t>Alcanó</t>
        </is>
      </c>
      <c r="D23" s="44" t="n">
        <v>21.03</v>
      </c>
      <c r="F23" s="38" t="inlineStr">
        <is>
          <t>Publicació municipal 2025; la superfície s'utilitza com a magnitud territorial</t>
        </is>
      </c>
    </row>
    <row r="24" ht="15" customHeight="1" s="39">
      <c r="A24" s="38" t="inlineStr">
        <is>
          <t>[250117] Alcarràs</t>
        </is>
      </c>
      <c r="B24" s="42" t="inlineStr">
        <is>
          <t>250117</t>
        </is>
      </c>
      <c r="C24" s="38" t="inlineStr">
        <is>
          <t>Alcarràs</t>
        </is>
      </c>
      <c r="D24" s="44" t="n">
        <v>114.29</v>
      </c>
      <c r="F24" s="38" t="inlineStr">
        <is>
          <t>Publicació municipal 2025; la superfície s'utilitza com a magnitud territorial</t>
        </is>
      </c>
    </row>
    <row r="25" ht="15" customHeight="1" s="39">
      <c r="A25" s="38" t="inlineStr">
        <is>
          <t>[250122] Alcoletge</t>
        </is>
      </c>
      <c r="B25" s="42" t="inlineStr">
        <is>
          <t>250122</t>
        </is>
      </c>
      <c r="C25" s="38" t="inlineStr">
        <is>
          <t>Alcoletge</t>
        </is>
      </c>
      <c r="D25" s="44" t="n">
        <v>16.7</v>
      </c>
      <c r="F25" s="38" t="inlineStr">
        <is>
          <t>Publicació municipal 2025; la superfície s'utilitza com a magnitud territorial</t>
        </is>
      </c>
    </row>
    <row r="26" ht="15" customHeight="1" s="39">
      <c r="A26" s="38" t="inlineStr">
        <is>
          <t>[430056] Alcover</t>
        </is>
      </c>
      <c r="B26" s="42" t="inlineStr">
        <is>
          <t>430056</t>
        </is>
      </c>
      <c r="C26" s="38" t="inlineStr">
        <is>
          <t>Alcover</t>
        </is>
      </c>
      <c r="D26" s="44" t="n">
        <v>46</v>
      </c>
      <c r="F26" s="38" t="inlineStr">
        <is>
          <t>Publicació municipal 2025; la superfície s'utilitza com a magnitud territorial</t>
        </is>
      </c>
    </row>
    <row r="27" ht="15" customHeight="1" s="39">
      <c r="A27" s="38" t="inlineStr">
        <is>
          <t>[439044] Aldea, l'</t>
        </is>
      </c>
      <c r="B27" s="42" t="inlineStr">
        <is>
          <t>439044</t>
        </is>
      </c>
      <c r="C27" s="38" t="inlineStr">
        <is>
          <t>Aldea, l'</t>
        </is>
      </c>
      <c r="D27" s="44" t="n">
        <v>35.21</v>
      </c>
      <c r="F27" s="38" t="inlineStr">
        <is>
          <t>Publicació municipal 2025; la superfície s'utilitza com a magnitud territorial</t>
        </is>
      </c>
    </row>
    <row r="28" ht="15" customHeight="1" s="39">
      <c r="A28" s="38" t="inlineStr">
        <is>
          <t>[430069] Aldover</t>
        </is>
      </c>
      <c r="B28" s="42" t="inlineStr">
        <is>
          <t>430069</t>
        </is>
      </c>
      <c r="C28" s="38" t="inlineStr">
        <is>
          <t>Aldover</t>
        </is>
      </c>
      <c r="D28" s="44" t="n">
        <v>20.2</v>
      </c>
      <c r="F28" s="38" t="inlineStr">
        <is>
          <t>Publicació municipal 2025; la superfície s'utilitza com a magnitud territorial</t>
        </is>
      </c>
    </row>
    <row r="29" ht="15" customHeight="1" s="39">
      <c r="A29" s="38" t="inlineStr">
        <is>
          <t>[430075] Aleixar, l'</t>
        </is>
      </c>
      <c r="B29" s="42" t="inlineStr">
        <is>
          <t>430075</t>
        </is>
      </c>
      <c r="C29" s="38" t="inlineStr">
        <is>
          <t>Aleixar, l'</t>
        </is>
      </c>
      <c r="D29" s="44" t="n">
        <v>26.1</v>
      </c>
      <c r="F29" s="38" t="inlineStr">
        <is>
          <t>Publicació municipal 2025; la superfície s'utilitza com a magnitud territorial</t>
        </is>
      </c>
    </row>
    <row r="30" ht="15" customHeight="1" s="39">
      <c r="A30" s="38" t="inlineStr">
        <is>
          <t>[080039] Alella</t>
        </is>
      </c>
      <c r="B30" s="42" t="inlineStr">
        <is>
          <t>080039</t>
        </is>
      </c>
      <c r="C30" s="38" t="inlineStr">
        <is>
          <t>Alella</t>
        </is>
      </c>
      <c r="D30" s="44" t="n">
        <v>9.58</v>
      </c>
      <c r="F30" s="38" t="inlineStr">
        <is>
          <t>Publicació municipal 2025; la superfície s'utilitza com a magnitud territorial</t>
        </is>
      </c>
    </row>
    <row r="31" ht="15" customHeight="1" s="39">
      <c r="A31" s="38" t="inlineStr">
        <is>
          <t>[430081] Alfara de Carles</t>
        </is>
      </c>
      <c r="B31" s="42" t="inlineStr">
        <is>
          <t>430081</t>
        </is>
      </c>
      <c r="C31" s="38" t="inlineStr">
        <is>
          <t>Alfara de Carles</t>
        </is>
      </c>
      <c r="D31" s="44" t="n">
        <v>63.87</v>
      </c>
      <c r="F31" s="38" t="inlineStr">
        <is>
          <t>Publicació municipal 2025; la superfície s'utilitza com a magnitud territorial</t>
        </is>
      </c>
    </row>
    <row r="32" ht="15" customHeight="1" s="39">
      <c r="A32" s="38" t="inlineStr">
        <is>
          <t>[250138] Alfarràs</t>
        </is>
      </c>
      <c r="B32" s="42" t="inlineStr">
        <is>
          <t>250138</t>
        </is>
      </c>
      <c r="C32" s="38" t="inlineStr">
        <is>
          <t>Alfarràs</t>
        </is>
      </c>
      <c r="D32" s="44" t="n">
        <v>11.4</v>
      </c>
      <c r="F32" s="38" t="inlineStr">
        <is>
          <t>Publicació municipal 2025; la superfície s'utilitza com a magnitud territorial</t>
        </is>
      </c>
    </row>
    <row r="33" ht="15" customHeight="1" s="39">
      <c r="A33" s="38" t="inlineStr">
        <is>
          <t>[250143] Alfés</t>
        </is>
      </c>
      <c r="B33" s="42" t="inlineStr">
        <is>
          <t>250143</t>
        </is>
      </c>
      <c r="C33" s="38" t="inlineStr">
        <is>
          <t>Alfés</t>
        </is>
      </c>
      <c r="D33" s="44" t="n">
        <v>31.94</v>
      </c>
      <c r="F33" s="38" t="inlineStr">
        <is>
          <t>Publicació municipal 2025; la superfície s'utilitza com a magnitud territorial</t>
        </is>
      </c>
    </row>
    <row r="34" ht="15" customHeight="1" s="39">
      <c r="A34" s="38" t="inlineStr">
        <is>
          <t>[430094] Alforja</t>
        </is>
      </c>
      <c r="B34" s="42" t="inlineStr">
        <is>
          <t>430094</t>
        </is>
      </c>
      <c r="C34" s="38" t="inlineStr">
        <is>
          <t>Alforja</t>
        </is>
      </c>
      <c r="D34" s="44" t="n">
        <v>38.24</v>
      </c>
      <c r="F34" s="38" t="inlineStr">
        <is>
          <t>Publicació municipal 2025; la superfície s'utilitza com a magnitud territorial</t>
        </is>
      </c>
    </row>
    <row r="35" ht="15" customHeight="1" s="39">
      <c r="A35" s="38" t="inlineStr">
        <is>
          <t>[250156] Algerri</t>
        </is>
      </c>
      <c r="B35" s="42" t="inlineStr">
        <is>
          <t>250156</t>
        </is>
      </c>
      <c r="C35" s="38" t="inlineStr">
        <is>
          <t>Algerri</t>
        </is>
      </c>
      <c r="D35" s="44" t="n">
        <v>54.32</v>
      </c>
      <c r="F35" s="38" t="inlineStr">
        <is>
          <t>Publicació municipal 2025; la superfície s'utilitza com a magnitud territorial</t>
        </is>
      </c>
    </row>
    <row r="36" ht="15" customHeight="1" s="39">
      <c r="A36" s="38" t="inlineStr">
        <is>
          <t>[250169] Alguaire</t>
        </is>
      </c>
      <c r="B36" s="42" t="inlineStr">
        <is>
          <t>250169</t>
        </is>
      </c>
      <c r="C36" s="38" t="inlineStr">
        <is>
          <t>Alguaire</t>
        </is>
      </c>
      <c r="D36" s="44" t="n">
        <v>50.11</v>
      </c>
      <c r="F36" s="38" t="inlineStr">
        <is>
          <t>Publicació municipal 2025; la superfície s'utilitza com a magnitud territorial</t>
        </is>
      </c>
    </row>
    <row r="37" ht="15" customHeight="1" s="39">
      <c r="A37" s="38" t="inlineStr">
        <is>
          <t>[250175] Alins</t>
        </is>
      </c>
      <c r="B37" s="42" t="inlineStr">
        <is>
          <t>250175</t>
        </is>
      </c>
      <c r="C37" s="38" t="inlineStr">
        <is>
          <t>Alins</t>
        </is>
      </c>
      <c r="D37" s="44" t="n">
        <v>183.19</v>
      </c>
      <c r="F37" s="38" t="inlineStr">
        <is>
          <t>Publicació municipal 2025; la superfície s'utilitza com a magnitud territorial</t>
        </is>
      </c>
    </row>
    <row r="38" ht="15" customHeight="1" s="39">
      <c r="A38" s="38" t="inlineStr">
        <is>
          <t>[430108] Alió</t>
        </is>
      </c>
      <c r="B38" s="42" t="inlineStr">
        <is>
          <t>430108</t>
        </is>
      </c>
      <c r="C38" s="38" t="inlineStr">
        <is>
          <t>Alió</t>
        </is>
      </c>
      <c r="D38" s="44" t="n">
        <v>7.25</v>
      </c>
      <c r="F38" s="38" t="inlineStr">
        <is>
          <t>Publicació municipal 2025; la superfície s'utilitza com a magnitud territorial</t>
        </is>
      </c>
    </row>
    <row r="39" ht="15" customHeight="1" s="39">
      <c r="A39" s="38" t="inlineStr">
        <is>
          <t>[250194] Almacelles</t>
        </is>
      </c>
      <c r="B39" s="42" t="inlineStr">
        <is>
          <t>250194</t>
        </is>
      </c>
      <c r="C39" s="38" t="inlineStr">
        <is>
          <t>Almacelles</t>
        </is>
      </c>
      <c r="D39" s="44" t="n">
        <v>49.03</v>
      </c>
      <c r="F39" s="38" t="inlineStr">
        <is>
          <t>Publicació municipal 2025; la superfície s'utilitza com a magnitud territorial</t>
        </is>
      </c>
    </row>
    <row r="40" ht="15" customHeight="1" s="39">
      <c r="A40" s="38" t="inlineStr">
        <is>
          <t>[250208] Almatret</t>
        </is>
      </c>
      <c r="B40" s="42" t="inlineStr">
        <is>
          <t>250208</t>
        </is>
      </c>
      <c r="C40" s="38" t="inlineStr">
        <is>
          <t>Almatret</t>
        </is>
      </c>
      <c r="D40" s="44" t="n">
        <v>56.83</v>
      </c>
      <c r="F40" s="38" t="inlineStr">
        <is>
          <t>Publicació municipal 2025; la superfície s'utilitza com a magnitud territorial</t>
        </is>
      </c>
    </row>
    <row r="41" ht="15" customHeight="1" s="39">
      <c r="A41" s="38" t="inlineStr">
        <is>
          <t>[250215] Almenar</t>
        </is>
      </c>
      <c r="B41" s="42" t="inlineStr">
        <is>
          <t>250215</t>
        </is>
      </c>
      <c r="C41" s="38" t="inlineStr">
        <is>
          <t>Almenar</t>
        </is>
      </c>
      <c r="D41" s="44" t="n">
        <v>66.59</v>
      </c>
      <c r="F41" s="38" t="inlineStr">
        <is>
          <t>Publicació municipal 2025; la superfície s'utilitza com a magnitud territorial</t>
        </is>
      </c>
    </row>
    <row r="42" ht="15" customHeight="1" s="39">
      <c r="A42" s="38" t="inlineStr">
        <is>
          <t>[430115] Almoster</t>
        </is>
      </c>
      <c r="B42" s="42" t="inlineStr">
        <is>
          <t>430115</t>
        </is>
      </c>
      <c r="C42" s="38" t="inlineStr">
        <is>
          <t>Almoster</t>
        </is>
      </c>
      <c r="D42" s="44" t="n">
        <v>5.96</v>
      </c>
      <c r="F42" s="38" t="inlineStr">
        <is>
          <t>Publicació municipal 2025; la superfície s'utilitza com a magnitud territorial</t>
        </is>
      </c>
    </row>
    <row r="43" ht="15" customHeight="1" s="39">
      <c r="A43" s="38" t="inlineStr">
        <is>
          <t>[250220] Alòs de Balaguer</t>
        </is>
      </c>
      <c r="B43" s="42" t="inlineStr">
        <is>
          <t>250220</t>
        </is>
      </c>
      <c r="C43" s="38" t="inlineStr">
        <is>
          <t>Alòs de Balaguer</t>
        </is>
      </c>
      <c r="D43" s="44" t="n">
        <v>69.08</v>
      </c>
      <c r="F43" s="38" t="inlineStr">
        <is>
          <t>Publicació municipal 2025; la superfície s'utilitza com a magnitud territorial</t>
        </is>
      </c>
    </row>
    <row r="44" ht="15" customHeight="1" s="39">
      <c r="A44" s="38" t="inlineStr">
        <is>
          <t>[170062] Alp</t>
        </is>
      </c>
      <c r="B44" s="42" t="inlineStr">
        <is>
          <t>170062</t>
        </is>
      </c>
      <c r="C44" s="38" t="inlineStr">
        <is>
          <t>Alp</t>
        </is>
      </c>
      <c r="D44" s="44" t="n">
        <v>44.29</v>
      </c>
      <c r="F44" s="38" t="inlineStr">
        <is>
          <t>Publicació municipal 2025; la superfície s'utilitza com a magnitud territorial</t>
        </is>
      </c>
    </row>
    <row r="45" ht="15" customHeight="1" s="39">
      <c r="A45" s="38" t="inlineStr">
        <is>
          <t>[080044] Alpens</t>
        </is>
      </c>
      <c r="B45" s="42" t="inlineStr">
        <is>
          <t>080044</t>
        </is>
      </c>
      <c r="C45" s="38" t="inlineStr">
        <is>
          <t>Alpens</t>
        </is>
      </c>
      <c r="D45" s="44" t="n">
        <v>13.8</v>
      </c>
      <c r="F45" s="38" t="inlineStr">
        <is>
          <t>Publicació municipal 2025; la superfície s'utilitza com a magnitud territorial</t>
        </is>
      </c>
    </row>
    <row r="46" ht="15" customHeight="1" s="39">
      <c r="A46" s="38" t="inlineStr">
        <is>
          <t>[250236] Alpicat</t>
        </is>
      </c>
      <c r="B46" s="42" t="inlineStr">
        <is>
          <t>250236</t>
        </is>
      </c>
      <c r="C46" s="38" t="inlineStr">
        <is>
          <t>Alpicat</t>
        </is>
      </c>
      <c r="D46" s="44" t="n">
        <v>15.33</v>
      </c>
      <c r="F46" s="38" t="inlineStr">
        <is>
          <t>Publicació municipal 2025; la superfície s'utilitza com a magnitud territorial</t>
        </is>
      </c>
    </row>
    <row r="47" ht="15" customHeight="1" s="39">
      <c r="A47" s="38" t="inlineStr">
        <is>
          <t>[250241] Alt Àneu</t>
        </is>
      </c>
      <c r="B47" s="42" t="inlineStr">
        <is>
          <t>250241</t>
        </is>
      </c>
      <c r="C47" s="38" t="inlineStr">
        <is>
          <t>Alt Àneu</t>
        </is>
      </c>
      <c r="D47" s="44" t="n">
        <v>217.76</v>
      </c>
      <c r="F47" s="38" t="inlineStr">
        <is>
          <t>Publicació municipal 2025; la superfície s'utilitza com a magnitud territorial</t>
        </is>
      </c>
    </row>
    <row r="48" ht="15" customHeight="1" s="39">
      <c r="A48" s="38" t="inlineStr">
        <is>
          <t>[430120] Altafulla</t>
        </is>
      </c>
      <c r="B48" s="42" t="inlineStr">
        <is>
          <t>430120</t>
        </is>
      </c>
      <c r="C48" s="38" t="inlineStr">
        <is>
          <t>Altafulla</t>
        </is>
      </c>
      <c r="D48" s="44" t="n">
        <v>6.95</v>
      </c>
      <c r="F48" s="38" t="inlineStr">
        <is>
          <t>Publicació municipal 2025; la superfície s'utilitza com a magnitud territorial</t>
        </is>
      </c>
    </row>
    <row r="49" ht="15" customHeight="1" s="39">
      <c r="A49" s="38" t="inlineStr">
        <is>
          <t>[170078] Amer</t>
        </is>
      </c>
      <c r="B49" s="42" t="inlineStr">
        <is>
          <t>170078</t>
        </is>
      </c>
      <c r="C49" s="38" t="inlineStr">
        <is>
          <t>Amer</t>
        </is>
      </c>
      <c r="D49" s="44" t="n">
        <v>40.08</v>
      </c>
      <c r="F49" s="38" t="inlineStr">
        <is>
          <t>Publicació municipal 2025; la superfície s'utilitza com a magnitud territorial</t>
        </is>
      </c>
    </row>
    <row r="50" ht="15" customHeight="1" s="39">
      <c r="A50" s="38" t="inlineStr">
        <is>
          <t>[430136] Ametlla de Mar, l'</t>
        </is>
      </c>
      <c r="B50" s="42" t="inlineStr">
        <is>
          <t>430136</t>
        </is>
      </c>
      <c r="C50" s="38" t="inlineStr">
        <is>
          <t>Ametlla de Mar, l'</t>
        </is>
      </c>
      <c r="D50" s="44" t="n">
        <v>66.86</v>
      </c>
      <c r="F50" s="38" t="inlineStr">
        <is>
          <t>Publicació municipal 2025; la superfície s'utilitza com a magnitud territorial</t>
        </is>
      </c>
    </row>
    <row r="51" ht="15" customHeight="1" s="39">
      <c r="A51" s="38" t="inlineStr">
        <is>
          <t>[080057] Ametlla del Vallès, l'</t>
        </is>
      </c>
      <c r="B51" s="42" t="inlineStr">
        <is>
          <t>080057</t>
        </is>
      </c>
      <c r="C51" s="38" t="inlineStr">
        <is>
          <t>Ametlla del Vallès, l'</t>
        </is>
      </c>
      <c r="D51" s="44" t="n">
        <v>14.24</v>
      </c>
      <c r="F51" s="38" t="inlineStr">
        <is>
          <t>Publicació municipal 2025; la superfície s'utilitza com a magnitud territorial</t>
        </is>
      </c>
    </row>
    <row r="52" ht="15" customHeight="1" s="39">
      <c r="A52" s="38" t="inlineStr">
        <is>
          <t>[439060] Ampolla, l'</t>
        </is>
      </c>
      <c r="B52" s="42" t="inlineStr">
        <is>
          <t>439060</t>
        </is>
      </c>
      <c r="C52" s="38" t="inlineStr">
        <is>
          <t>Ampolla, l'</t>
        </is>
      </c>
      <c r="D52" s="44" t="n">
        <v>35.65</v>
      </c>
      <c r="F52" s="38" t="inlineStr">
        <is>
          <t>Publicació municipal 2025; la superfície s'utilitza com a magnitud territorial</t>
        </is>
      </c>
    </row>
    <row r="53" ht="15" customHeight="1" s="39">
      <c r="A53" s="38" t="inlineStr">
        <is>
          <t>[430141] Amposta</t>
        </is>
      </c>
      <c r="B53" s="42" t="inlineStr">
        <is>
          <t>430141</t>
        </is>
      </c>
      <c r="C53" s="38" t="inlineStr">
        <is>
          <t>Amposta</t>
        </is>
      </c>
      <c r="D53" s="44" t="n">
        <v>138.31</v>
      </c>
      <c r="F53" s="38" t="inlineStr">
        <is>
          <t>Publicació municipal 2025; la superfície s'utilitza com a magnitud territorial</t>
        </is>
      </c>
    </row>
    <row r="54" ht="15" customHeight="1" s="39">
      <c r="A54" s="38" t="inlineStr">
        <is>
          <t>[170084] Anglès</t>
        </is>
      </c>
      <c r="B54" s="42" t="inlineStr">
        <is>
          <t>170084</t>
        </is>
      </c>
      <c r="C54" s="38" t="inlineStr">
        <is>
          <t>Anglès</t>
        </is>
      </c>
      <c r="D54" s="44" t="n">
        <v>16.31</v>
      </c>
      <c r="F54" s="38" t="inlineStr">
        <is>
          <t>Publicació municipal 2025; la superfície s'utilitza com a magnitud territorial</t>
        </is>
      </c>
    </row>
    <row r="55" ht="15" customHeight="1" s="39">
      <c r="A55" s="38" t="inlineStr">
        <is>
          <t>[250273] Anglesola</t>
        </is>
      </c>
      <c r="B55" s="42" t="inlineStr">
        <is>
          <t>250273</t>
        </is>
      </c>
      <c r="C55" s="38" t="inlineStr">
        <is>
          <t>Anglesola</t>
        </is>
      </c>
      <c r="D55" s="44" t="n">
        <v>23.53</v>
      </c>
      <c r="F55" s="38" t="inlineStr">
        <is>
          <t>Publicació municipal 2025; la superfície s'utilitza com a magnitud territorial</t>
        </is>
      </c>
    </row>
    <row r="56" ht="15" customHeight="1" s="39">
      <c r="A56" s="38" t="inlineStr">
        <is>
          <t>[250292] Arbeca</t>
        </is>
      </c>
      <c r="B56" s="42" t="inlineStr">
        <is>
          <t>250292</t>
        </is>
      </c>
      <c r="C56" s="38" t="inlineStr">
        <is>
          <t>Arbeca</t>
        </is>
      </c>
      <c r="D56" s="44" t="n">
        <v>58.34</v>
      </c>
      <c r="F56" s="38" t="inlineStr">
        <is>
          <t>Publicació municipal 2025; la superfície s'utilitza com a magnitud territorial</t>
        </is>
      </c>
    </row>
    <row r="57" ht="15" customHeight="1" s="39">
      <c r="A57" s="38" t="inlineStr">
        <is>
          <t>[430167] Arboç, l'</t>
        </is>
      </c>
      <c r="B57" s="42" t="inlineStr">
        <is>
          <t>430167</t>
        </is>
      </c>
      <c r="C57" s="38" t="inlineStr">
        <is>
          <t>Arboç, l'</t>
        </is>
      </c>
      <c r="D57" s="44" t="n">
        <v>14.13</v>
      </c>
      <c r="F57" s="38" t="inlineStr">
        <is>
          <t>Publicació municipal 2025; la superfície s'utilitza com a magnitud territorial</t>
        </is>
      </c>
    </row>
    <row r="58" ht="15" customHeight="1" s="39">
      <c r="A58" s="38" t="inlineStr">
        <is>
          <t>[430154] Arbolí</t>
        </is>
      </c>
      <c r="B58" s="42" t="inlineStr">
        <is>
          <t>430154</t>
        </is>
      </c>
      <c r="C58" s="38" t="inlineStr">
        <is>
          <t>Arbolí</t>
        </is>
      </c>
      <c r="D58" s="44" t="n">
        <v>20.78</v>
      </c>
      <c r="F58" s="38" t="inlineStr">
        <is>
          <t>Publicació municipal 2025; la superfície s'utilitza com a magnitud territorial</t>
        </is>
      </c>
    </row>
    <row r="59" ht="15" customHeight="1" s="39">
      <c r="A59" s="38" t="inlineStr">
        <is>
          <t>[170097] Arbúcies</t>
        </is>
      </c>
      <c r="B59" s="42" t="inlineStr">
        <is>
          <t>170097</t>
        </is>
      </c>
      <c r="C59" s="38" t="inlineStr">
        <is>
          <t>Arbúcies</t>
        </is>
      </c>
      <c r="D59" s="44" t="n">
        <v>86.22</v>
      </c>
      <c r="F59" s="38" t="inlineStr">
        <is>
          <t>Publicació municipal 2025; la superfície s'utilitza com a magnitud territorial</t>
        </is>
      </c>
    </row>
    <row r="60" ht="15" customHeight="1" s="39">
      <c r="A60" s="38" t="inlineStr">
        <is>
          <t>[080060] Arenys de Mar</t>
        </is>
      </c>
      <c r="B60" s="42" t="inlineStr">
        <is>
          <t>080060</t>
        </is>
      </c>
      <c r="C60" s="38" t="inlineStr">
        <is>
          <t>Arenys de Mar</t>
        </is>
      </c>
      <c r="D60" s="44" t="n">
        <v>6.75</v>
      </c>
      <c r="F60" s="38" t="inlineStr">
        <is>
          <t>Publicació municipal 2025; la superfície s'utilitza com a magnitud territorial</t>
        </is>
      </c>
    </row>
    <row r="61" ht="15" customHeight="1" s="39">
      <c r="A61" s="38" t="inlineStr">
        <is>
          <t>[080076] Arenys de Munt</t>
        </is>
      </c>
      <c r="B61" s="42" t="inlineStr">
        <is>
          <t>080076</t>
        </is>
      </c>
      <c r="C61" s="38" t="inlineStr">
        <is>
          <t>Arenys de Munt</t>
        </is>
      </c>
      <c r="D61" s="44" t="n">
        <v>21.29</v>
      </c>
      <c r="F61" s="38" t="inlineStr">
        <is>
          <t>Publicació municipal 2025; la superfície s'utilitza com a magnitud territorial</t>
        </is>
      </c>
    </row>
    <row r="62" ht="15" customHeight="1" s="39">
      <c r="A62" s="38" t="inlineStr">
        <is>
          <t>[170101] Argelaguer</t>
        </is>
      </c>
      <c r="B62" s="42" t="inlineStr">
        <is>
          <t>170101</t>
        </is>
      </c>
      <c r="C62" s="38" t="inlineStr">
        <is>
          <t>Argelaguer</t>
        </is>
      </c>
      <c r="D62" s="44" t="n">
        <v>12.54</v>
      </c>
      <c r="F62" s="38" t="inlineStr">
        <is>
          <t>Publicació municipal 2025; la superfície s'utilitza com a magnitud territorial</t>
        </is>
      </c>
    </row>
    <row r="63" ht="15" customHeight="1" s="39">
      <c r="A63" s="38" t="inlineStr">
        <is>
          <t>[080082] Argençola</t>
        </is>
      </c>
      <c r="B63" s="42" t="inlineStr">
        <is>
          <t>080082</t>
        </is>
      </c>
      <c r="C63" s="38" t="inlineStr">
        <is>
          <t>Argençola</t>
        </is>
      </c>
      <c r="D63" s="44" t="n">
        <v>47.09</v>
      </c>
      <c r="F63" s="38" t="inlineStr">
        <is>
          <t>Publicació municipal 2025; la superfície s'utilitza com a magnitud territorial</t>
        </is>
      </c>
    </row>
    <row r="64" ht="15" customHeight="1" s="39">
      <c r="A64" s="38" t="inlineStr">
        <is>
          <t>[430173] Argentera, l'</t>
        </is>
      </c>
      <c r="B64" s="42" t="inlineStr">
        <is>
          <t>430173</t>
        </is>
      </c>
      <c r="C64" s="38" t="inlineStr">
        <is>
          <t>Argentera, l'</t>
        </is>
      </c>
      <c r="D64" s="44" t="n">
        <v>10.12</v>
      </c>
      <c r="F64" s="38" t="inlineStr">
        <is>
          <t>Publicació municipal 2025; la superfície s'utilitza com a magnitud territorial</t>
        </is>
      </c>
    </row>
    <row r="65" ht="15" customHeight="1" s="39">
      <c r="A65" s="38" t="inlineStr">
        <is>
          <t>[080095] Argentona</t>
        </is>
      </c>
      <c r="B65" s="42" t="inlineStr">
        <is>
          <t>080095</t>
        </is>
      </c>
      <c r="C65" s="38" t="inlineStr">
        <is>
          <t>Argentona</t>
        </is>
      </c>
      <c r="D65" s="44" t="n">
        <v>25.4</v>
      </c>
      <c r="F65" s="38" t="inlineStr">
        <is>
          <t>Publicació municipal 2025; la superfície s'utilitza com a magnitud territorial</t>
        </is>
      </c>
    </row>
    <row r="66" ht="15" customHeight="1" s="39">
      <c r="A66" s="38" t="inlineStr">
        <is>
          <t>[170118] Armentera, l'</t>
        </is>
      </c>
      <c r="B66" s="42" t="inlineStr">
        <is>
          <t>170118</t>
        </is>
      </c>
      <c r="C66" s="38" t="inlineStr">
        <is>
          <t>Armentera, l'</t>
        </is>
      </c>
      <c r="D66" s="44" t="n">
        <v>5.6</v>
      </c>
      <c r="F66" s="38" t="inlineStr">
        <is>
          <t>Publicació municipal 2025; la superfície s'utilitza com a magnitud territorial</t>
        </is>
      </c>
    </row>
    <row r="67" ht="15" customHeight="1" s="39">
      <c r="A67" s="38" t="inlineStr">
        <is>
          <t>[430189] Arnes</t>
        </is>
      </c>
      <c r="B67" s="42" t="inlineStr">
        <is>
          <t>430189</t>
        </is>
      </c>
      <c r="C67" s="38" t="inlineStr">
        <is>
          <t>Arnes</t>
        </is>
      </c>
      <c r="D67" s="44" t="n">
        <v>42.97</v>
      </c>
      <c r="F67" s="38" t="inlineStr">
        <is>
          <t>Publicació municipal 2025; la superfície s'utilitza com a magnitud territorial</t>
        </is>
      </c>
    </row>
    <row r="68" ht="15" customHeight="1" s="39">
      <c r="A68" s="38" t="inlineStr">
        <is>
          <t>[250313] Arres</t>
        </is>
      </c>
      <c r="B68" s="42" t="inlineStr">
        <is>
          <t>250313</t>
        </is>
      </c>
      <c r="C68" s="38" t="inlineStr">
        <is>
          <t>Arres</t>
        </is>
      </c>
      <c r="D68" s="44" t="n">
        <v>11.57</v>
      </c>
      <c r="F68" s="38" t="inlineStr">
        <is>
          <t>Publicació municipal 2025; la superfície s'utilitza com a magnitud territorial</t>
        </is>
      </c>
    </row>
    <row r="69" ht="15" customHeight="1" s="39">
      <c r="A69" s="38" t="inlineStr">
        <is>
          <t>[250328] Arsèguel</t>
        </is>
      </c>
      <c r="B69" s="42" t="inlineStr">
        <is>
          <t>250328</t>
        </is>
      </c>
      <c r="C69" s="38" t="inlineStr">
        <is>
          <t>Arsèguel</t>
        </is>
      </c>
      <c r="D69" s="44" t="n">
        <v>10.59</v>
      </c>
      <c r="F69" s="38" t="inlineStr">
        <is>
          <t>Publicació municipal 2025; la superfície s'utilitza com a magnitud territorial</t>
        </is>
      </c>
    </row>
    <row r="70" ht="15" customHeight="1" s="39">
      <c r="A70" s="38" t="inlineStr">
        <is>
          <t>[080109] Artés</t>
        </is>
      </c>
      <c r="B70" s="42" t="inlineStr">
        <is>
          <t>080109</t>
        </is>
      </c>
      <c r="C70" s="38" t="inlineStr">
        <is>
          <t>Artés</t>
        </is>
      </c>
      <c r="D70" s="44" t="n">
        <v>17.87</v>
      </c>
      <c r="F70" s="38" t="inlineStr">
        <is>
          <t>Publicació municipal 2025; la superfície s'utilitza com a magnitud territorial</t>
        </is>
      </c>
    </row>
    <row r="71" ht="15" customHeight="1" s="39">
      <c r="A71" s="38" t="inlineStr">
        <is>
          <t>[250334] Artesa de Lleida</t>
        </is>
      </c>
      <c r="B71" s="42" t="inlineStr">
        <is>
          <t>250334</t>
        </is>
      </c>
      <c r="C71" s="38" t="inlineStr">
        <is>
          <t>Artesa de Lleida</t>
        </is>
      </c>
      <c r="D71" s="44" t="n">
        <v>23.94</v>
      </c>
      <c r="F71" s="38" t="inlineStr">
        <is>
          <t>Publicació municipal 2025; la superfície s'utilitza com a magnitud territorial</t>
        </is>
      </c>
    </row>
    <row r="72" ht="15" customHeight="1" s="39">
      <c r="A72" s="38" t="inlineStr">
        <is>
          <t>[250349] Artesa de Segre</t>
        </is>
      </c>
      <c r="B72" s="42" t="inlineStr">
        <is>
          <t>250349</t>
        </is>
      </c>
      <c r="C72" s="38" t="inlineStr">
        <is>
          <t>Artesa de Segre</t>
        </is>
      </c>
      <c r="D72" s="44" t="n">
        <v>175.9</v>
      </c>
      <c r="F72" s="38" t="inlineStr">
        <is>
          <t>Publicació municipal 2025; la superfície s'utilitza com a magnitud territorial</t>
        </is>
      </c>
    </row>
    <row r="73" ht="15" customHeight="1" s="39">
      <c r="A73" s="38" t="inlineStr">
        <is>
          <t>[430192] Ascó</t>
        </is>
      </c>
      <c r="B73" s="42" t="inlineStr">
        <is>
          <t>430192</t>
        </is>
      </c>
      <c r="C73" s="38" t="inlineStr">
        <is>
          <t>Ascó</t>
        </is>
      </c>
      <c r="D73" s="44" t="n">
        <v>73.63</v>
      </c>
      <c r="F73" s="38" t="inlineStr">
        <is>
          <t>Publicació municipal 2025; la superfície s'utilitza com a magnitud territorial</t>
        </is>
      </c>
    </row>
    <row r="74" ht="15" customHeight="1" s="39">
      <c r="A74" s="38" t="inlineStr">
        <is>
          <t>[250365] Aspa</t>
        </is>
      </c>
      <c r="B74" s="42" t="inlineStr">
        <is>
          <t>250365</t>
        </is>
      </c>
      <c r="C74" s="38" t="inlineStr">
        <is>
          <t>Aspa</t>
        </is>
      </c>
      <c r="D74" s="44" t="n">
        <v>10.21</v>
      </c>
      <c r="F74" s="38" t="inlineStr">
        <is>
          <t>Publicació municipal 2025; la superfície s'utilitza com a magnitud territorial</t>
        </is>
      </c>
    </row>
    <row r="75" ht="15" customHeight="1" s="39">
      <c r="A75" s="38" t="inlineStr">
        <is>
          <t>[250371] Avellanes i Santa Linya, les</t>
        </is>
      </c>
      <c r="B75" s="42" t="inlineStr">
        <is>
          <t>250371</t>
        </is>
      </c>
      <c r="C75" s="38" t="inlineStr">
        <is>
          <t>Avellanes i Santa Linya, les</t>
        </is>
      </c>
      <c r="D75" s="44" t="n">
        <v>102.96</v>
      </c>
      <c r="F75" s="38" t="inlineStr">
        <is>
          <t>Publicació municipal 2025; la superfície s'utilitza com a magnitud territorial</t>
        </is>
      </c>
    </row>
    <row r="76" ht="15" customHeight="1" s="39">
      <c r="A76" s="38" t="inlineStr">
        <is>
          <t>[080116] Avià</t>
        </is>
      </c>
      <c r="B76" s="42" t="inlineStr">
        <is>
          <t>080116</t>
        </is>
      </c>
      <c r="C76" s="38" t="inlineStr">
        <is>
          <t>Avià</t>
        </is>
      </c>
      <c r="D76" s="44" t="n">
        <v>27.23</v>
      </c>
      <c r="F76" s="38" t="inlineStr">
        <is>
          <t>Publicació municipal 2025; la superfície s'utilitza com a magnitud territorial</t>
        </is>
      </c>
    </row>
    <row r="77" ht="15" customHeight="1" s="39">
      <c r="A77" s="38" t="inlineStr">
        <is>
          <t>[080121] Avinyó</t>
        </is>
      </c>
      <c r="B77" s="42" t="inlineStr">
        <is>
          <t>080121</t>
        </is>
      </c>
      <c r="C77" s="38" t="inlineStr">
        <is>
          <t>Avinyó</t>
        </is>
      </c>
      <c r="D77" s="44" t="n">
        <v>63.23</v>
      </c>
      <c r="F77" s="38" t="inlineStr">
        <is>
          <t>Publicació municipal 2025; la superfície s'utilitza com a magnitud territorial</t>
        </is>
      </c>
    </row>
    <row r="78" ht="15" customHeight="1" s="39">
      <c r="A78" s="38" t="inlineStr">
        <is>
          <t>[170123] Avinyonet de Puigventós</t>
        </is>
      </c>
      <c r="B78" s="42" t="inlineStr">
        <is>
          <t>170123</t>
        </is>
      </c>
      <c r="C78" s="38" t="inlineStr">
        <is>
          <t>Avinyonet de Puigventós</t>
        </is>
      </c>
      <c r="D78" s="44" t="n">
        <v>12.3</v>
      </c>
      <c r="F78" s="38" t="inlineStr">
        <is>
          <t>Publicació municipal 2025; la superfície s'utilitza com a magnitud territorial</t>
        </is>
      </c>
    </row>
    <row r="79" ht="15" customHeight="1" s="39">
      <c r="A79" s="38" t="inlineStr">
        <is>
          <t>[080137] Avinyonet del Penedès</t>
        </is>
      </c>
      <c r="B79" s="42" t="inlineStr">
        <is>
          <t>080137</t>
        </is>
      </c>
      <c r="C79" s="38" t="inlineStr">
        <is>
          <t>Avinyonet del Penedès</t>
        </is>
      </c>
      <c r="D79" s="44" t="n">
        <v>29.13</v>
      </c>
      <c r="F79" s="38" t="inlineStr">
        <is>
          <t>Publicació municipal 2025; la superfície s'utilitza com a magnitud territorial</t>
        </is>
      </c>
    </row>
    <row r="80" ht="15" customHeight="1" s="39">
      <c r="A80" s="38" t="inlineStr">
        <is>
          <t>[080155] Badalona</t>
        </is>
      </c>
      <c r="B80" s="42" t="inlineStr">
        <is>
          <t>080155</t>
        </is>
      </c>
      <c r="C80" s="38" t="inlineStr">
        <is>
          <t>Badalona</t>
        </is>
      </c>
      <c r="D80" s="44" t="n">
        <v>21.18</v>
      </c>
      <c r="F80" s="38" t="inlineStr">
        <is>
          <t>Publicació municipal 2025; la superfície s'utilitza com a magnitud territorial</t>
        </is>
      </c>
    </row>
    <row r="81" ht="15" customHeight="1" s="39">
      <c r="A81" s="38" t="inlineStr">
        <is>
          <t>[089045] Badia del Vallès</t>
        </is>
      </c>
      <c r="B81" s="42" t="inlineStr">
        <is>
          <t>089045</t>
        </is>
      </c>
      <c r="C81" s="38" t="inlineStr">
        <is>
          <t>Badia del Vallès</t>
        </is>
      </c>
      <c r="D81" s="44" t="n">
        <v>0.93</v>
      </c>
      <c r="F81" s="38" t="inlineStr">
        <is>
          <t>Publicació municipal 2025; la superfície s'utilitza com a magnitud territorial</t>
        </is>
      </c>
    </row>
    <row r="82" ht="15" customHeight="1" s="39">
      <c r="A82" s="38" t="inlineStr">
        <is>
          <t>[080168] Bagà</t>
        </is>
      </c>
      <c r="B82" s="42" t="inlineStr">
        <is>
          <t>080168</t>
        </is>
      </c>
      <c r="C82" s="38" t="inlineStr">
        <is>
          <t>Bagà</t>
        </is>
      </c>
      <c r="D82" s="44" t="n">
        <v>43.13</v>
      </c>
      <c r="F82" s="38" t="inlineStr">
        <is>
          <t>Publicació municipal 2025; la superfície s'utilitza com a magnitud territorial</t>
        </is>
      </c>
    </row>
    <row r="83" ht="15" customHeight="1" s="39">
      <c r="A83" s="38" t="inlineStr">
        <is>
          <t>[250390] Baix Pallars</t>
        </is>
      </c>
      <c r="B83" s="42" t="inlineStr">
        <is>
          <t>250390</t>
        </is>
      </c>
      <c r="C83" s="38" t="inlineStr">
        <is>
          <t>Baix Pallars</t>
        </is>
      </c>
      <c r="D83" s="44" t="n">
        <v>129.41</v>
      </c>
      <c r="F83" s="38" t="inlineStr">
        <is>
          <t>Publicació municipal 2025; la superfície s'utilitza com a magnitud territorial</t>
        </is>
      </c>
    </row>
    <row r="84" ht="15" customHeight="1" s="39">
      <c r="A84" s="38" t="inlineStr">
        <is>
          <t>[250404] Balaguer</t>
        </is>
      </c>
      <c r="B84" s="42" t="inlineStr">
        <is>
          <t>250404</t>
        </is>
      </c>
      <c r="C84" s="38" t="inlineStr">
        <is>
          <t>Balaguer</t>
        </is>
      </c>
      <c r="D84" s="44" t="n">
        <v>57.32</v>
      </c>
      <c r="F84" s="38" t="inlineStr">
        <is>
          <t>Publicació municipal 2025; la superfície s'utilitza com a magnitud territorial</t>
        </is>
      </c>
    </row>
    <row r="85" ht="15" customHeight="1" s="39">
      <c r="A85" s="38" t="inlineStr">
        <is>
          <t>[080174] Balenyà</t>
        </is>
      </c>
      <c r="B85" s="42" t="inlineStr">
        <is>
          <t>080174</t>
        </is>
      </c>
      <c r="C85" s="38" t="inlineStr">
        <is>
          <t>Balenyà</t>
        </is>
      </c>
      <c r="D85" s="44" t="n">
        <v>17.35</v>
      </c>
      <c r="F85" s="38" t="inlineStr">
        <is>
          <t>Publicació municipal 2025; la superfície s'utilitza com a magnitud territorial</t>
        </is>
      </c>
    </row>
    <row r="86" ht="15" customHeight="1" s="39">
      <c r="A86" s="38" t="inlineStr">
        <is>
          <t>[080180] Balsareny</t>
        </is>
      </c>
      <c r="B86" s="42" t="inlineStr">
        <is>
          <t>080180</t>
        </is>
      </c>
      <c r="C86" s="38" t="inlineStr">
        <is>
          <t>Balsareny</t>
        </is>
      </c>
      <c r="D86" s="44" t="n">
        <v>36.91</v>
      </c>
      <c r="F86" s="38" t="inlineStr">
        <is>
          <t>Publicació municipal 2025; la superfície s'utilitza com a magnitud territorial</t>
        </is>
      </c>
    </row>
    <row r="87" ht="15" customHeight="1" s="39">
      <c r="A87" s="38" t="inlineStr">
        <is>
          <t>[430206] Banyeres del Penedès</t>
        </is>
      </c>
      <c r="B87" s="42" t="inlineStr">
        <is>
          <t>430206</t>
        </is>
      </c>
      <c r="C87" s="38" t="inlineStr">
        <is>
          <t>Banyeres del Penedès</t>
        </is>
      </c>
      <c r="D87" s="44" t="n">
        <v>12.19</v>
      </c>
      <c r="F87" s="38" t="inlineStr">
        <is>
          <t>Publicació municipal 2025; la superfície s'utilitza com a magnitud territorial</t>
        </is>
      </c>
    </row>
    <row r="88" ht="15" customHeight="1" s="39">
      <c r="A88" s="38" t="inlineStr">
        <is>
          <t>[170157] Banyoles</t>
        </is>
      </c>
      <c r="B88" s="42" t="inlineStr">
        <is>
          <t>170157</t>
        </is>
      </c>
      <c r="C88" s="38" t="inlineStr">
        <is>
          <t>Banyoles</t>
        </is>
      </c>
      <c r="D88" s="44" t="n">
        <v>11.05</v>
      </c>
      <c r="F88" s="38" t="inlineStr">
        <is>
          <t>Publicació municipal 2025; la superfície s'utilitza com a magnitud territorial</t>
        </is>
      </c>
    </row>
    <row r="89" ht="15" customHeight="1" s="39">
      <c r="A89" s="38" t="inlineStr">
        <is>
          <t>[250411] Barbens</t>
        </is>
      </c>
      <c r="B89" s="42" t="inlineStr">
        <is>
          <t>250411</t>
        </is>
      </c>
      <c r="C89" s="38" t="inlineStr">
        <is>
          <t>Barbens</t>
        </is>
      </c>
      <c r="D89" s="44" t="n">
        <v>7.56</v>
      </c>
      <c r="F89" s="38" t="inlineStr">
        <is>
          <t>Publicació municipal 2025; la superfície s'utilitza com a magnitud territorial</t>
        </is>
      </c>
    </row>
    <row r="90" ht="15" customHeight="1" s="39">
      <c r="A90" s="38" t="inlineStr">
        <is>
          <t>[430213] Barberà de la Conca</t>
        </is>
      </c>
      <c r="B90" s="42" t="inlineStr">
        <is>
          <t>430213</t>
        </is>
      </c>
      <c r="C90" s="38" t="inlineStr">
        <is>
          <t>Barberà de la Conca</t>
        </is>
      </c>
      <c r="D90" s="44" t="n">
        <v>26.6</v>
      </c>
      <c r="F90" s="38" t="inlineStr">
        <is>
          <t>Publicació municipal 2025; la superfície s'utilitza com a magnitud territorial</t>
        </is>
      </c>
    </row>
    <row r="91" ht="15" customHeight="1" s="39">
      <c r="A91" s="38" t="inlineStr">
        <is>
          <t>[082520] Barberà del Vallès</t>
        </is>
      </c>
      <c r="B91" s="42" t="inlineStr">
        <is>
          <t>082520</t>
        </is>
      </c>
      <c r="C91" s="38" t="inlineStr">
        <is>
          <t>Barberà del Vallès</t>
        </is>
      </c>
      <c r="D91" s="44" t="n">
        <v>8.31</v>
      </c>
      <c r="F91" s="38" t="inlineStr">
        <is>
          <t>Publicació municipal 2025; la superfície s'utilitza com a magnitud territorial</t>
        </is>
      </c>
    </row>
    <row r="92" ht="15" customHeight="1" s="39">
      <c r="A92" s="38" t="inlineStr">
        <is>
          <t>[080193] Barcelona</t>
        </is>
      </c>
      <c r="B92" s="42" t="inlineStr">
        <is>
          <t>080193</t>
        </is>
      </c>
      <c r="C92" s="38" t="inlineStr">
        <is>
          <t>Barcelona</t>
        </is>
      </c>
      <c r="D92" s="44" t="n">
        <v>101.35</v>
      </c>
      <c r="F92" s="38" t="inlineStr">
        <is>
          <t>Publicació municipal 2025; la superfície s'utilitza com a magnitud territorial</t>
        </is>
      </c>
    </row>
    <row r="93" ht="15" customHeight="1" s="39">
      <c r="A93" s="38" t="inlineStr">
        <is>
          <t>[250426] Baronia de Rialb, la</t>
        </is>
      </c>
      <c r="B93" s="42" t="inlineStr">
        <is>
          <t>250426</t>
        </is>
      </c>
      <c r="C93" s="38" t="inlineStr">
        <is>
          <t>Baronia de Rialb, la</t>
        </is>
      </c>
      <c r="D93" s="44" t="n">
        <v>145.08</v>
      </c>
      <c r="F93" s="38" t="inlineStr">
        <is>
          <t>Publicació municipal 2025; la superfície s'utilitza com a magnitud territorial</t>
        </is>
      </c>
    </row>
    <row r="94" ht="15" customHeight="1" s="39">
      <c r="A94" s="38" t="inlineStr">
        <is>
          <t>[170160] Bàscara</t>
        </is>
      </c>
      <c r="B94" s="42" t="inlineStr">
        <is>
          <t>170160</t>
        </is>
      </c>
      <c r="C94" s="38" t="inlineStr">
        <is>
          <t>Bàscara</t>
        </is>
      </c>
      <c r="D94" s="44" t="n">
        <v>17.5</v>
      </c>
      <c r="F94" s="38" t="inlineStr">
        <is>
          <t>Publicació municipal 2025; la superfície s'utilitza com a magnitud territorial</t>
        </is>
      </c>
    </row>
    <row r="95" ht="15" customHeight="1" s="39">
      <c r="A95" s="38" t="inlineStr">
        <is>
          <t>[250447] Bassella</t>
        </is>
      </c>
      <c r="B95" s="42" t="inlineStr">
        <is>
          <t>250447</t>
        </is>
      </c>
      <c r="C95" s="38" t="inlineStr">
        <is>
          <t>Bassella</t>
        </is>
      </c>
      <c r="D95" s="44" t="n">
        <v>70.25</v>
      </c>
      <c r="F95" s="38" t="inlineStr">
        <is>
          <t>Publicació municipal 2025; la superfície s'utilitza com a magnitud territorial</t>
        </is>
      </c>
    </row>
    <row r="96" ht="15" customHeight="1" s="39">
      <c r="A96" s="38" t="inlineStr">
        <is>
          <t>[430228] Batea</t>
        </is>
      </c>
      <c r="B96" s="42" t="inlineStr">
        <is>
          <t>430228</t>
        </is>
      </c>
      <c r="C96" s="38" t="inlineStr">
        <is>
          <t>Batea</t>
        </is>
      </c>
      <c r="D96" s="44" t="n">
        <v>128.41</v>
      </c>
      <c r="F96" s="38" t="inlineStr">
        <is>
          <t>Publicació municipal 2025; la superfície s'utilitza com a magnitud territorial</t>
        </is>
      </c>
    </row>
    <row r="97" ht="15" customHeight="1" s="39">
      <c r="A97" s="38" t="inlineStr">
        <is>
          <t>[250450] Bausen</t>
        </is>
      </c>
      <c r="B97" s="42" t="inlineStr">
        <is>
          <t>250450</t>
        </is>
      </c>
      <c r="C97" s="38" t="inlineStr">
        <is>
          <t>Bausen</t>
        </is>
      </c>
      <c r="D97" s="44" t="n">
        <v>17.72</v>
      </c>
      <c r="F97" s="38" t="inlineStr">
        <is>
          <t>Publicació municipal 2025; la superfície s'utilitza com a magnitud territorial</t>
        </is>
      </c>
    </row>
    <row r="98" ht="15" customHeight="1" s="39">
      <c r="A98" s="38" t="inlineStr">
        <is>
          <t>[080207] Begues</t>
        </is>
      </c>
      <c r="B98" s="42" t="inlineStr">
        <is>
          <t>080207</t>
        </is>
      </c>
      <c r="C98" s="38" t="inlineStr">
        <is>
          <t>Begues</t>
        </is>
      </c>
      <c r="D98" s="44" t="n">
        <v>50.44</v>
      </c>
      <c r="F98" s="38" t="inlineStr">
        <is>
          <t>Publicació municipal 2025; la superfície s'utilitza com a magnitud territorial</t>
        </is>
      </c>
    </row>
    <row r="99" ht="15" customHeight="1" s="39">
      <c r="A99" s="38" t="inlineStr">
        <is>
          <t>[170139] Begur</t>
        </is>
      </c>
      <c r="B99" s="42" t="inlineStr">
        <is>
          <t>170139</t>
        </is>
      </c>
      <c r="C99" s="38" t="inlineStr">
        <is>
          <t>Begur</t>
        </is>
      </c>
      <c r="D99" s="44" t="n">
        <v>20.66</v>
      </c>
      <c r="F99" s="38" t="inlineStr">
        <is>
          <t>Publicació municipal 2025; la superfície s'utilitza com a magnitud territorial</t>
        </is>
      </c>
    </row>
    <row r="100" ht="15" customHeight="1" s="39">
      <c r="A100" s="38" t="inlineStr">
        <is>
          <t>[250463] Belianes</t>
        </is>
      </c>
      <c r="B100" s="42" t="inlineStr">
        <is>
          <t>250463</t>
        </is>
      </c>
      <c r="C100" s="38" t="inlineStr">
        <is>
          <t>Belianes</t>
        </is>
      </c>
      <c r="D100" s="44" t="n">
        <v>15.69</v>
      </c>
      <c r="F100" s="38" t="inlineStr">
        <is>
          <t>Publicació municipal 2025; la superfície s'utilitza com a magnitud territorial</t>
        </is>
      </c>
    </row>
    <row r="101" ht="15" customHeight="1" s="39">
      <c r="A101" s="38" t="inlineStr">
        <is>
          <t>[251706] Bellaguarda</t>
        </is>
      </c>
      <c r="B101" s="42" t="inlineStr">
        <is>
          <t>251706</t>
        </is>
      </c>
      <c r="C101" s="38" t="inlineStr">
        <is>
          <t>Bellaguarda</t>
        </is>
      </c>
      <c r="D101" s="44" t="n">
        <v>17.14</v>
      </c>
      <c r="F101" s="38" t="inlineStr">
        <is>
          <t>Publicació municipal 2025; la superfície s'utilitza com a magnitud territorial</t>
        </is>
      </c>
    </row>
    <row r="102" ht="15" customHeight="1" s="39">
      <c r="A102" s="38" t="inlineStr">
        <is>
          <t>[170182] Bellcaire d'Empordà</t>
        </is>
      </c>
      <c r="B102" s="42" t="inlineStr">
        <is>
          <t>170182</t>
        </is>
      </c>
      <c r="C102" s="38" t="inlineStr">
        <is>
          <t>Bellcaire d'Empordà</t>
        </is>
      </c>
      <c r="D102" s="44" t="n">
        <v>12.64</v>
      </c>
      <c r="F102" s="38" t="inlineStr">
        <is>
          <t>Publicació municipal 2025; la superfície s'utilitza com a magnitud territorial</t>
        </is>
      </c>
    </row>
    <row r="103" ht="15" customHeight="1" s="39">
      <c r="A103" s="38" t="inlineStr">
        <is>
          <t>[250479] Bellcaire d'Urgell</t>
        </is>
      </c>
      <c r="B103" s="42" t="inlineStr">
        <is>
          <t>250479</t>
        </is>
      </c>
      <c r="C103" s="38" t="inlineStr">
        <is>
          <t>Bellcaire d'Urgell</t>
        </is>
      </c>
      <c r="D103" s="44" t="n">
        <v>31.38</v>
      </c>
      <c r="F103" s="38" t="inlineStr">
        <is>
          <t>Publicació municipal 2025; la superfície s'utilitza com a magnitud territorial</t>
        </is>
      </c>
    </row>
    <row r="104" ht="15" customHeight="1" s="39">
      <c r="A104" s="38" t="inlineStr">
        <is>
          <t>[250485] Bell-lloc d'Urgell</t>
        </is>
      </c>
      <c r="B104" s="42" t="inlineStr">
        <is>
          <t>250485</t>
        </is>
      </c>
      <c r="C104" s="38" t="inlineStr">
        <is>
          <t>Bell-lloc d'Urgell</t>
        </is>
      </c>
      <c r="D104" s="44" t="n">
        <v>34.92</v>
      </c>
      <c r="F104" s="38" t="inlineStr">
        <is>
          <t>Publicació municipal 2025; la superfície s'utilitza com a magnitud territorial</t>
        </is>
      </c>
    </row>
    <row r="105" ht="15" customHeight="1" s="39">
      <c r="A105" s="38" t="inlineStr">
        <is>
          <t>[250498] Bellmunt d'Urgell</t>
        </is>
      </c>
      <c r="B105" s="42" t="inlineStr">
        <is>
          <t>250498</t>
        </is>
      </c>
      <c r="C105" s="38" t="inlineStr">
        <is>
          <t>Bellmunt d'Urgell</t>
        </is>
      </c>
      <c r="D105" s="44" t="n">
        <v>5.11</v>
      </c>
      <c r="F105" s="38" t="inlineStr">
        <is>
          <t>Publicació municipal 2025; la superfície s'utilitza com a magnitud territorial</t>
        </is>
      </c>
    </row>
    <row r="106" ht="15" customHeight="1" s="39">
      <c r="A106" s="38" t="inlineStr">
        <is>
          <t>[430234] Bellmunt del Priorat</t>
        </is>
      </c>
      <c r="B106" s="42" t="inlineStr">
        <is>
          <t>430234</t>
        </is>
      </c>
      <c r="C106" s="38" t="inlineStr">
        <is>
          <t>Bellmunt del Priorat</t>
        </is>
      </c>
      <c r="D106" s="44" t="n">
        <v>8.859999999999999</v>
      </c>
      <c r="F106" s="38" t="inlineStr">
        <is>
          <t>Publicació municipal 2025; la superfície s'utilitza com a magnitud territorial</t>
        </is>
      </c>
    </row>
    <row r="107" ht="15" customHeight="1" s="39">
      <c r="A107" s="38" t="inlineStr">
        <is>
          <t>[080214] Bellprat</t>
        </is>
      </c>
      <c r="B107" s="42" t="inlineStr">
        <is>
          <t>080214</t>
        </is>
      </c>
      <c r="C107" s="38" t="inlineStr">
        <is>
          <t>Bellprat</t>
        </is>
      </c>
      <c r="D107" s="44" t="n">
        <v>30.97</v>
      </c>
      <c r="F107" s="38" t="inlineStr">
        <is>
          <t>Publicació municipal 2025; la superfície s'utilitza com a magnitud territorial</t>
        </is>
      </c>
    </row>
    <row r="108" ht="15" customHeight="1" s="39">
      <c r="A108" s="38" t="inlineStr">
        <is>
          <t>[250501] Bellpuig</t>
        </is>
      </c>
      <c r="B108" s="42" t="inlineStr">
        <is>
          <t>250501</t>
        </is>
      </c>
      <c r="C108" s="38" t="inlineStr">
        <is>
          <t>Bellpuig</t>
        </is>
      </c>
      <c r="D108" s="44" t="n">
        <v>34.98</v>
      </c>
      <c r="F108" s="38" t="inlineStr">
        <is>
          <t>Publicació municipal 2025; la superfície s'utilitza com a magnitud territorial</t>
        </is>
      </c>
    </row>
    <row r="109" ht="15" customHeight="1" s="39">
      <c r="A109" s="38" t="inlineStr">
        <is>
          <t>[430249] Bellvei</t>
        </is>
      </c>
      <c r="B109" s="42" t="inlineStr">
        <is>
          <t>430249</t>
        </is>
      </c>
      <c r="C109" s="38" t="inlineStr">
        <is>
          <t>Bellvei</t>
        </is>
      </c>
      <c r="D109" s="44" t="n">
        <v>8.27</v>
      </c>
      <c r="F109" s="38" t="inlineStr">
        <is>
          <t>Publicació municipal 2025; la superfície s'utilitza com a magnitud territorial</t>
        </is>
      </c>
    </row>
    <row r="110" ht="15" customHeight="1" s="39">
      <c r="A110" s="38" t="inlineStr">
        <is>
          <t>[250518] Bellver de Cerdanya</t>
        </is>
      </c>
      <c r="B110" s="42" t="inlineStr">
        <is>
          <t>250518</t>
        </is>
      </c>
      <c r="C110" s="38" t="inlineStr">
        <is>
          <t>Bellver de Cerdanya</t>
        </is>
      </c>
      <c r="D110" s="44" t="n">
        <v>98.15000000000001</v>
      </c>
      <c r="F110" s="38" t="inlineStr">
        <is>
          <t>Publicació municipal 2025; la superfície s'utilitza com a magnitud territorial</t>
        </is>
      </c>
    </row>
    <row r="111" ht="15" customHeight="1" s="39">
      <c r="A111" s="38" t="inlineStr">
        <is>
          <t>[250523] Bellvís</t>
        </is>
      </c>
      <c r="B111" s="42" t="inlineStr">
        <is>
          <t>250523</t>
        </is>
      </c>
      <c r="C111" s="38" t="inlineStr">
        <is>
          <t>Bellvís</t>
        </is>
      </c>
      <c r="D111" s="44" t="n">
        <v>46.7</v>
      </c>
      <c r="F111" s="38" t="inlineStr">
        <is>
          <t>Publicació municipal 2025; la superfície s'utilitza com a magnitud territorial</t>
        </is>
      </c>
    </row>
    <row r="112" ht="15" customHeight="1" s="39">
      <c r="A112" s="38" t="inlineStr">
        <is>
          <t>[250539] Benavent de Segrià</t>
        </is>
      </c>
      <c r="B112" s="42" t="inlineStr">
        <is>
          <t>250539</t>
        </is>
      </c>
      <c r="C112" s="38" t="inlineStr">
        <is>
          <t>Benavent de Segrià</t>
        </is>
      </c>
      <c r="D112" s="44" t="n">
        <v>7.43</v>
      </c>
      <c r="F112" s="38" t="inlineStr">
        <is>
          <t>Publicació municipal 2025; la superfície s'utilitza com a magnitud territorial</t>
        </is>
      </c>
    </row>
    <row r="113" ht="15" customHeight="1" s="39">
      <c r="A113" s="38" t="inlineStr">
        <is>
          <t>[430252] Benifallet</t>
        </is>
      </c>
      <c r="B113" s="42" t="inlineStr">
        <is>
          <t>430252</t>
        </is>
      </c>
      <c r="C113" s="38" t="inlineStr">
        <is>
          <t>Benifallet</t>
        </is>
      </c>
      <c r="D113" s="44" t="n">
        <v>62.42</v>
      </c>
      <c r="F113" s="38" t="inlineStr">
        <is>
          <t>Publicació municipal 2025; la superfície s'utilitza com a magnitud territorial</t>
        </is>
      </c>
    </row>
    <row r="114" ht="15" customHeight="1" s="39">
      <c r="A114" s="38" t="inlineStr">
        <is>
          <t>[430265] Benissanet</t>
        </is>
      </c>
      <c r="B114" s="42" t="inlineStr">
        <is>
          <t>430265</t>
        </is>
      </c>
      <c r="C114" s="38" t="inlineStr">
        <is>
          <t>Benissanet</t>
        </is>
      </c>
      <c r="D114" s="44" t="n">
        <v>23.06</v>
      </c>
      <c r="F114" s="38" t="inlineStr">
        <is>
          <t>Publicació municipal 2025; la superfície s'utilitza com a magnitud territorial</t>
        </is>
      </c>
    </row>
    <row r="115" ht="15" customHeight="1" s="39">
      <c r="A115" s="38" t="inlineStr">
        <is>
          <t>[080229] Berga</t>
        </is>
      </c>
      <c r="B115" s="42" t="inlineStr">
        <is>
          <t>080229</t>
        </is>
      </c>
      <c r="C115" s="38" t="inlineStr">
        <is>
          <t>Berga</t>
        </is>
      </c>
      <c r="D115" s="44" t="n">
        <v>22.57</v>
      </c>
      <c r="F115" s="38" t="inlineStr">
        <is>
          <t>Publicació municipal 2025; la superfície s'utilitza com a magnitud territorial</t>
        </is>
      </c>
    </row>
    <row r="116" ht="15" customHeight="1" s="39">
      <c r="A116" s="38" t="inlineStr">
        <is>
          <t>[170195] Besalú</t>
        </is>
      </c>
      <c r="B116" s="42" t="inlineStr">
        <is>
          <t>170195</t>
        </is>
      </c>
      <c r="C116" s="38" t="inlineStr">
        <is>
          <t>Besalú</t>
        </is>
      </c>
      <c r="D116" s="44" t="n">
        <v>4.93</v>
      </c>
      <c r="F116" s="38" t="inlineStr">
        <is>
          <t>Publicació municipal 2025; la superfície s'utilitza com a magnitud territorial</t>
        </is>
      </c>
    </row>
    <row r="117" ht="15" customHeight="1" s="39">
      <c r="A117" s="38" t="inlineStr">
        <is>
          <t>[170209] Bescanó</t>
        </is>
      </c>
      <c r="B117" s="42" t="inlineStr">
        <is>
          <t>170209</t>
        </is>
      </c>
      <c r="C117" s="38" t="inlineStr">
        <is>
          <t>Bescanó</t>
        </is>
      </c>
      <c r="D117" s="44" t="n">
        <v>35.92</v>
      </c>
      <c r="F117" s="38" t="inlineStr">
        <is>
          <t>Publicació municipal 2025; la superfície s'utilitza com a magnitud territorial</t>
        </is>
      </c>
    </row>
    <row r="118" ht="15" customHeight="1" s="39">
      <c r="A118" s="38" t="inlineStr">
        <is>
          <t>[170216] Beuda</t>
        </is>
      </c>
      <c r="B118" s="42" t="inlineStr">
        <is>
          <t>170216</t>
        </is>
      </c>
      <c r="C118" s="38" t="inlineStr">
        <is>
          <t>Beuda</t>
        </is>
      </c>
      <c r="D118" s="44" t="n">
        <v>35.91</v>
      </c>
      <c r="F118" s="38" t="inlineStr">
        <is>
          <t>Publicació municipal 2025; la superfície s'utilitza com a magnitud territorial</t>
        </is>
      </c>
    </row>
    <row r="119" ht="15" customHeight="1" s="39">
      <c r="A119" s="38" t="inlineStr">
        <is>
          <t>[080235] Bigues i Riells del Fai</t>
        </is>
      </c>
      <c r="B119" s="42" t="inlineStr">
        <is>
          <t>080235</t>
        </is>
      </c>
      <c r="C119" s="38" t="inlineStr">
        <is>
          <t>Bigues i Riells del Fai</t>
        </is>
      </c>
      <c r="D119" s="44" t="n">
        <v>28.64</v>
      </c>
      <c r="F119" s="38" t="inlineStr">
        <is>
          <t>Publicació municipal 2025; la superfície s'utilitza com a magnitud territorial</t>
        </is>
      </c>
    </row>
    <row r="120" ht="15" customHeight="1" s="39">
      <c r="A120" s="38" t="inlineStr">
        <is>
          <t>[250557] Biosca</t>
        </is>
      </c>
      <c r="B120" s="42" t="inlineStr">
        <is>
          <t>250557</t>
        </is>
      </c>
      <c r="C120" s="38" t="inlineStr">
        <is>
          <t>Biosca</t>
        </is>
      </c>
      <c r="D120" s="44" t="n">
        <v>66.20999999999999</v>
      </c>
      <c r="F120" s="38" t="inlineStr">
        <is>
          <t>Publicació municipal 2025; la superfície s'utilitza com a magnitud territorial</t>
        </is>
      </c>
    </row>
    <row r="121" ht="15" customHeight="1" s="39">
      <c r="A121" s="38" t="inlineStr">
        <is>
          <t>[170221] Bisbal d'Empordà, la</t>
        </is>
      </c>
      <c r="B121" s="42" t="inlineStr">
        <is>
          <t>170221</t>
        </is>
      </c>
      <c r="C121" s="38" t="inlineStr">
        <is>
          <t>Bisbal d'Empordà, la</t>
        </is>
      </c>
      <c r="D121" s="44" t="n">
        <v>20.62</v>
      </c>
      <c r="F121" s="38" t="inlineStr">
        <is>
          <t>Publicació municipal 2025; la superfície s'utilitza com a magnitud territorial</t>
        </is>
      </c>
    </row>
    <row r="122" ht="15" customHeight="1" s="39">
      <c r="A122" s="38" t="inlineStr">
        <is>
          <t>[430271] Bisbal de Montsant, la</t>
        </is>
      </c>
      <c r="B122" s="42" t="inlineStr">
        <is>
          <t>430271</t>
        </is>
      </c>
      <c r="C122" s="38" t="inlineStr">
        <is>
          <t>Bisbal de Montsant, la</t>
        </is>
      </c>
      <c r="D122" s="44" t="n">
        <v>14.14</v>
      </c>
      <c r="F122" s="38" t="inlineStr">
        <is>
          <t>Publicació municipal 2025; la superfície s'utilitza com a magnitud territorial</t>
        </is>
      </c>
    </row>
    <row r="123" ht="15" customHeight="1" s="39">
      <c r="A123" s="38" t="inlineStr">
        <is>
          <t>[430287] Bisbal del Penedès, la</t>
        </is>
      </c>
      <c r="B123" s="42" t="inlineStr">
        <is>
          <t>430287</t>
        </is>
      </c>
      <c r="C123" s="38" t="inlineStr">
        <is>
          <t>Bisbal del Penedès, la</t>
        </is>
      </c>
      <c r="D123" s="44" t="n">
        <v>32.54</v>
      </c>
      <c r="F123" s="38" t="inlineStr">
        <is>
          <t>Publicació municipal 2025; la superfície s'utilitza com a magnitud territorial</t>
        </is>
      </c>
    </row>
    <row r="124" ht="15" customHeight="1" s="39">
      <c r="A124" s="38" t="inlineStr">
        <is>
          <t>[172348] Biure</t>
        </is>
      </c>
      <c r="B124" s="42" t="inlineStr">
        <is>
          <t>172348</t>
        </is>
      </c>
      <c r="C124" s="38" t="inlineStr">
        <is>
          <t>Biure</t>
        </is>
      </c>
      <c r="D124" s="44" t="n">
        <v>10.02</v>
      </c>
      <c r="F124" s="38" t="inlineStr">
        <is>
          <t>Publicació municipal 2025; la superfície s'utilitza com a magnitud territorial</t>
        </is>
      </c>
    </row>
    <row r="125" ht="15" customHeight="1" s="39">
      <c r="A125" s="38" t="inlineStr">
        <is>
          <t>[430290] Blancafort</t>
        </is>
      </c>
      <c r="B125" s="42" t="inlineStr">
        <is>
          <t>430290</t>
        </is>
      </c>
      <c r="C125" s="38" t="inlineStr">
        <is>
          <t>Blancafort</t>
        </is>
      </c>
      <c r="D125" s="44" t="n">
        <v>14.48</v>
      </c>
      <c r="F125" s="38" t="inlineStr">
        <is>
          <t>Publicació municipal 2025; la superfície s'utilitza com a magnitud territorial</t>
        </is>
      </c>
    </row>
    <row r="126" ht="15" customHeight="1" s="39">
      <c r="A126" s="38" t="inlineStr">
        <is>
          <t>[170237] Blanes</t>
        </is>
      </c>
      <c r="B126" s="42" t="inlineStr">
        <is>
          <t>170237</t>
        </is>
      </c>
      <c r="C126" s="38" t="inlineStr">
        <is>
          <t>Blanes</t>
        </is>
      </c>
      <c r="D126" s="44" t="n">
        <v>17.66</v>
      </c>
      <c r="F126" s="38" t="inlineStr">
        <is>
          <t>Publicació municipal 2025; la superfície s'utilitza com a magnitud territorial</t>
        </is>
      </c>
    </row>
    <row r="127" ht="15" customHeight="1" s="39">
      <c r="A127" s="38" t="inlineStr">
        <is>
          <t>[170293] Boadella i les Escaules</t>
        </is>
      </c>
      <c r="B127" s="42" t="inlineStr">
        <is>
          <t>170293</t>
        </is>
      </c>
      <c r="C127" s="38" t="inlineStr">
        <is>
          <t>Boadella i les Escaules</t>
        </is>
      </c>
      <c r="D127" s="44" t="n">
        <v>10.78</v>
      </c>
      <c r="F127" s="38" t="inlineStr">
        <is>
          <t>Publicació municipal 2025; la superfície s'utilitza com a magnitud territorial</t>
        </is>
      </c>
    </row>
    <row r="128" ht="15" customHeight="1" s="39">
      <c r="A128" s="38" t="inlineStr">
        <is>
          <t>[170242] Bolvir</t>
        </is>
      </c>
      <c r="B128" s="42" t="inlineStr">
        <is>
          <t>170242</t>
        </is>
      </c>
      <c r="C128" s="38" t="inlineStr">
        <is>
          <t>Bolvir</t>
        </is>
      </c>
      <c r="D128" s="44" t="n">
        <v>10.34</v>
      </c>
      <c r="F128" s="38" t="inlineStr">
        <is>
          <t>Publicació municipal 2025; la superfície s'utilitza com a magnitud territorial</t>
        </is>
      </c>
    </row>
    <row r="129" ht="15" customHeight="1" s="39">
      <c r="A129" s="38" t="inlineStr">
        <is>
          <t>[430304] Bonastre</t>
        </is>
      </c>
      <c r="B129" s="42" t="inlineStr">
        <is>
          <t>430304</t>
        </is>
      </c>
      <c r="C129" s="38" t="inlineStr">
        <is>
          <t>Bonastre</t>
        </is>
      </c>
      <c r="D129" s="44" t="n">
        <v>24.97</v>
      </c>
      <c r="F129" s="38" t="inlineStr">
        <is>
          <t>Publicació municipal 2025; la superfície s'utilitza com a magnitud territorial</t>
        </is>
      </c>
    </row>
    <row r="130" ht="15" customHeight="1" s="39">
      <c r="A130" s="38" t="inlineStr">
        <is>
          <t>[250576] Bòrdes, Es</t>
        </is>
      </c>
      <c r="B130" s="42" t="inlineStr">
        <is>
          <t>250576</t>
        </is>
      </c>
      <c r="C130" s="38" t="inlineStr">
        <is>
          <t>Bòrdes, Es</t>
        </is>
      </c>
      <c r="D130" s="44" t="n">
        <v>21.44</v>
      </c>
      <c r="F130" s="38" t="inlineStr">
        <is>
          <t>Publicació municipal 2025; la superfície s'utilitza com a magnitud territorial</t>
        </is>
      </c>
    </row>
    <row r="131" ht="15" customHeight="1" s="39">
      <c r="A131" s="38" t="inlineStr">
        <is>
          <t>[170255] Bordils</t>
        </is>
      </c>
      <c r="B131" s="42" t="inlineStr">
        <is>
          <t>170255</t>
        </is>
      </c>
      <c r="C131" s="38" t="inlineStr">
        <is>
          <t>Bordils</t>
        </is>
      </c>
      <c r="D131" s="44" t="n">
        <v>7.32</v>
      </c>
      <c r="F131" s="38" t="inlineStr">
        <is>
          <t>Publicació municipal 2025; la superfície s'utilitza com a magnitud territorial</t>
        </is>
      </c>
    </row>
    <row r="132" ht="15" customHeight="1" s="39">
      <c r="A132" s="38" t="inlineStr">
        <is>
          <t>[250582] Borges Blanques, les</t>
        </is>
      </c>
      <c r="B132" s="42" t="inlineStr">
        <is>
          <t>250582</t>
        </is>
      </c>
      <c r="C132" s="38" t="inlineStr">
        <is>
          <t>Borges Blanques, les</t>
        </is>
      </c>
      <c r="D132" s="44" t="n">
        <v>61.55</v>
      </c>
      <c r="F132" s="38" t="inlineStr">
        <is>
          <t>Publicació municipal 2025; la superfície s'utilitza com a magnitud territorial</t>
        </is>
      </c>
    </row>
    <row r="133" ht="15" customHeight="1" s="39">
      <c r="A133" s="38" t="inlineStr">
        <is>
          <t>[430311] Borges del Camp, les</t>
        </is>
      </c>
      <c r="B133" s="42" t="inlineStr">
        <is>
          <t>430311</t>
        </is>
      </c>
      <c r="C133" s="38" t="inlineStr">
        <is>
          <t>Borges del Camp, les</t>
        </is>
      </c>
      <c r="D133" s="44" t="n">
        <v>8.24</v>
      </c>
      <c r="F133" s="38" t="inlineStr">
        <is>
          <t>Publicació municipal 2025; la superfície s'utilitza com a magnitud territorial</t>
        </is>
      </c>
    </row>
    <row r="134" ht="15" customHeight="1" s="39">
      <c r="A134" s="38" t="inlineStr">
        <is>
          <t>[170268] Borrassà</t>
        </is>
      </c>
      <c r="B134" s="42" t="inlineStr">
        <is>
          <t>170268</t>
        </is>
      </c>
      <c r="C134" s="38" t="inlineStr">
        <is>
          <t>Borrassà</t>
        </is>
      </c>
      <c r="D134" s="44" t="n">
        <v>9.449999999999999</v>
      </c>
      <c r="F134" s="38" t="inlineStr">
        <is>
          <t>Publicació municipal 2025; la superfície s'utilitza com a magnitud territorial</t>
        </is>
      </c>
    </row>
    <row r="135" ht="15" customHeight="1" s="39">
      <c r="A135" s="38" t="inlineStr">
        <is>
          <t>[080240] Borredà</t>
        </is>
      </c>
      <c r="B135" s="42" t="inlineStr">
        <is>
          <t>080240</t>
        </is>
      </c>
      <c r="C135" s="38" t="inlineStr">
        <is>
          <t>Borredà</t>
        </is>
      </c>
      <c r="D135" s="44" t="n">
        <v>43.45</v>
      </c>
      <c r="F135" s="38" t="inlineStr">
        <is>
          <t>Publicació municipal 2025; la superfície s'utilitza com a magnitud territorial</t>
        </is>
      </c>
    </row>
    <row r="136" ht="15" customHeight="1" s="39">
      <c r="A136" s="38" t="inlineStr">
        <is>
          <t>[250595] Bossòst</t>
        </is>
      </c>
      <c r="B136" s="42" t="inlineStr">
        <is>
          <t>250595</t>
        </is>
      </c>
      <c r="C136" s="38" t="inlineStr">
        <is>
          <t>Bossòst</t>
        </is>
      </c>
      <c r="D136" s="44" t="n">
        <v>28.17</v>
      </c>
      <c r="F136" s="38" t="inlineStr">
        <is>
          <t>Publicació municipal 2025; la superfície s'utilitza com a magnitud territorial</t>
        </is>
      </c>
    </row>
    <row r="137" ht="15" customHeight="1" s="39">
      <c r="A137" s="38" t="inlineStr">
        <is>
          <t>[430326] Bot</t>
        </is>
      </c>
      <c r="B137" s="42" t="inlineStr">
        <is>
          <t>430326</t>
        </is>
      </c>
      <c r="C137" s="38" t="inlineStr">
        <is>
          <t>Bot</t>
        </is>
      </c>
      <c r="D137" s="44" t="n">
        <v>34.94</v>
      </c>
      <c r="F137" s="38" t="inlineStr">
        <is>
          <t>Publicació municipal 2025; la superfície s'utilitza com a magnitud territorial</t>
        </is>
      </c>
    </row>
    <row r="138" ht="15" customHeight="1" s="39">
      <c r="A138" s="38" t="inlineStr">
        <is>
          <t>[430332] Botarell</t>
        </is>
      </c>
      <c r="B138" s="42" t="inlineStr">
        <is>
          <t>430332</t>
        </is>
      </c>
      <c r="C138" s="38" t="inlineStr">
        <is>
          <t>Botarell</t>
        </is>
      </c>
      <c r="D138" s="44" t="n">
        <v>11.95</v>
      </c>
      <c r="F138" s="38" t="inlineStr">
        <is>
          <t>Publicació municipal 2025; la superfície s'utilitza com a magnitud territorial</t>
        </is>
      </c>
    </row>
    <row r="139" ht="15" customHeight="1" s="39">
      <c r="A139" s="38" t="inlineStr">
        <is>
          <t>[250560] Bovera</t>
        </is>
      </c>
      <c r="B139" s="42" t="inlineStr">
        <is>
          <t>250560</t>
        </is>
      </c>
      <c r="C139" s="38" t="inlineStr">
        <is>
          <t>Bovera</t>
        </is>
      </c>
      <c r="D139" s="44" t="n">
        <v>31.12</v>
      </c>
      <c r="F139" s="38" t="inlineStr">
        <is>
          <t>Publicació municipal 2025; la superfície s'utilitza com a magnitud territorial</t>
        </is>
      </c>
    </row>
    <row r="140" ht="15" customHeight="1" s="39">
      <c r="A140" s="38" t="inlineStr">
        <is>
          <t>[430347] Bràfim</t>
        </is>
      </c>
      <c r="B140" s="42" t="inlineStr">
        <is>
          <t>430347</t>
        </is>
      </c>
      <c r="C140" s="38" t="inlineStr">
        <is>
          <t>Bràfim</t>
        </is>
      </c>
      <c r="D140" s="44" t="n">
        <v>6.42</v>
      </c>
      <c r="F140" s="38" t="inlineStr">
        <is>
          <t>Publicació municipal 2025; la superfície s'utilitza com a magnitud territorial</t>
        </is>
      </c>
    </row>
    <row r="141" ht="15" customHeight="1" s="39">
      <c r="A141" s="38" t="inlineStr">
        <is>
          <t>[170274] Breda</t>
        </is>
      </c>
      <c r="B141" s="42" t="inlineStr">
        <is>
          <t>170274</t>
        </is>
      </c>
      <c r="C141" s="38" t="inlineStr">
        <is>
          <t>Breda</t>
        </is>
      </c>
      <c r="D141" s="44" t="n">
        <v>5.02</v>
      </c>
      <c r="F141" s="38" t="inlineStr">
        <is>
          <t>Publicació municipal 2025; la superfície s'utilitza com a magnitud territorial</t>
        </is>
      </c>
    </row>
    <row r="142" ht="15" customHeight="1" s="39">
      <c r="A142" s="38" t="inlineStr">
        <is>
          <t>[080253] Bruc, el</t>
        </is>
      </c>
      <c r="B142" s="42" t="inlineStr">
        <is>
          <t>080253</t>
        </is>
      </c>
      <c r="C142" s="38" t="inlineStr">
        <is>
          <t>Bruc, el</t>
        </is>
      </c>
      <c r="D142" s="44" t="n">
        <v>47.2</v>
      </c>
      <c r="F142" s="38" t="inlineStr">
        <is>
          <t>Publicació municipal 2025; la superfície s'utilitza com a magnitud territorial</t>
        </is>
      </c>
    </row>
    <row r="143" ht="15" customHeight="1" s="39">
      <c r="A143" s="38" t="inlineStr">
        <is>
          <t>[080266] Brull, el</t>
        </is>
      </c>
      <c r="B143" s="42" t="inlineStr">
        <is>
          <t>080266</t>
        </is>
      </c>
      <c r="C143" s="38" t="inlineStr">
        <is>
          <t>Brull, el</t>
        </is>
      </c>
      <c r="D143" s="44" t="n">
        <v>41.03</v>
      </c>
      <c r="F143" s="38" t="inlineStr">
        <is>
          <t>Publicació municipal 2025; la superfície s'utilitza com a magnitud territorial</t>
        </is>
      </c>
    </row>
    <row r="144" ht="15" customHeight="1" s="39">
      <c r="A144" s="38" t="inlineStr">
        <is>
          <t>[170280] Brunyola i Sant Martí Sapresa</t>
        </is>
      </c>
      <c r="B144" s="42" t="inlineStr">
        <is>
          <t>170280</t>
        </is>
      </c>
      <c r="C144" s="38" t="inlineStr">
        <is>
          <t>Brunyola i Sant Martí Sapresa</t>
        </is>
      </c>
      <c r="D144" s="44" t="n">
        <v>36.82</v>
      </c>
      <c r="F144" s="38" t="inlineStr">
        <is>
          <t>Publicació municipal 2025; la superfície s'utilitza com a magnitud territorial</t>
        </is>
      </c>
    </row>
    <row r="145" ht="15" customHeight="1" s="39">
      <c r="A145" s="38" t="inlineStr">
        <is>
          <t>[430350] Cabacés</t>
        </is>
      </c>
      <c r="B145" s="42" t="inlineStr">
        <is>
          <t>430350</t>
        </is>
      </c>
      <c r="C145" s="38" t="inlineStr">
        <is>
          <t>Cabacés</t>
        </is>
      </c>
      <c r="D145" s="44" t="n">
        <v>31.27</v>
      </c>
      <c r="F145" s="38" t="inlineStr">
        <is>
          <t>Publicació municipal 2025; la superfície s'utilitza com a magnitud territorial</t>
        </is>
      </c>
    </row>
    <row r="146" ht="15" customHeight="1" s="39">
      <c r="A146" s="38" t="inlineStr">
        <is>
          <t>[250609] Cabanabona</t>
        </is>
      </c>
      <c r="B146" s="42" t="inlineStr">
        <is>
          <t>250609</t>
        </is>
      </c>
      <c r="C146" s="38" t="inlineStr">
        <is>
          <t>Cabanabona</t>
        </is>
      </c>
      <c r="D146" s="44" t="n">
        <v>14.16</v>
      </c>
      <c r="F146" s="38" t="inlineStr">
        <is>
          <t>Publicació municipal 2025; la superfície s'utilitza com a magnitud territorial</t>
        </is>
      </c>
    </row>
    <row r="147" ht="15" customHeight="1" s="39">
      <c r="A147" s="38" t="inlineStr">
        <is>
          <t>[170314] Cabanelles</t>
        </is>
      </c>
      <c r="B147" s="42" t="inlineStr">
        <is>
          <t>170314</t>
        </is>
      </c>
      <c r="C147" s="38" t="inlineStr">
        <is>
          <t>Cabanelles</t>
        </is>
      </c>
      <c r="D147" s="44" t="n">
        <v>55.58</v>
      </c>
      <c r="F147" s="38" t="inlineStr">
        <is>
          <t>Publicació municipal 2025; la superfície s'utilitza com a magnitud territorial</t>
        </is>
      </c>
    </row>
    <row r="148" ht="15" customHeight="1" s="39">
      <c r="A148" s="38" t="inlineStr">
        <is>
          <t>[170307] Cabanes</t>
        </is>
      </c>
      <c r="B148" s="42" t="inlineStr">
        <is>
          <t>170307</t>
        </is>
      </c>
      <c r="C148" s="38" t="inlineStr">
        <is>
          <t>Cabanes</t>
        </is>
      </c>
      <c r="D148" s="44" t="n">
        <v>15.02</v>
      </c>
      <c r="F148" s="38" t="inlineStr">
        <is>
          <t>Publicació municipal 2025; la superfície s'utilitza com a magnitud territorial</t>
        </is>
      </c>
    </row>
    <row r="149" ht="15" customHeight="1" s="39">
      <c r="A149" s="38" t="inlineStr">
        <is>
          <t>[080272] Cabanyes, les</t>
        </is>
      </c>
      <c r="B149" s="42" t="inlineStr">
        <is>
          <t>080272</t>
        </is>
      </c>
      <c r="C149" s="38" t="inlineStr">
        <is>
          <t>Cabanyes, les</t>
        </is>
      </c>
      <c r="D149" s="44" t="n">
        <v>1.15</v>
      </c>
      <c r="F149" s="38" t="inlineStr">
        <is>
          <t>Publicació municipal 2025; la superfície s'utilitza com a magnitud territorial</t>
        </is>
      </c>
    </row>
    <row r="150" ht="15" customHeight="1" s="39">
      <c r="A150" s="38" t="inlineStr">
        <is>
          <t>[250616] Cabó</t>
        </is>
      </c>
      <c r="B150" s="42" t="inlineStr">
        <is>
          <t>250616</t>
        </is>
      </c>
      <c r="C150" s="38" t="inlineStr">
        <is>
          <t>Cabó</t>
        </is>
      </c>
      <c r="D150" s="44" t="n">
        <v>80.33</v>
      </c>
      <c r="F150" s="38" t="inlineStr">
        <is>
          <t>Publicació municipal 2025; la superfície s'utilitza com a magnitud territorial</t>
        </is>
      </c>
    </row>
    <row r="151" ht="15" customHeight="1" s="39">
      <c r="A151" s="38" t="inlineStr">
        <is>
          <t>[430363] Cabra del Camp</t>
        </is>
      </c>
      <c r="B151" s="42" t="inlineStr">
        <is>
          <t>430363</t>
        </is>
      </c>
      <c r="C151" s="38" t="inlineStr">
        <is>
          <t>Cabra del Camp</t>
        </is>
      </c>
      <c r="D151" s="44" t="n">
        <v>26.95</v>
      </c>
      <c r="F151" s="38" t="inlineStr">
        <is>
          <t>Publicació municipal 2025; la superfície s'utilitza com a magnitud territorial</t>
        </is>
      </c>
    </row>
    <row r="152" ht="15" customHeight="1" s="39">
      <c r="A152" s="38" t="inlineStr">
        <is>
          <t>[080288] Cabrera d'Anoia</t>
        </is>
      </c>
      <c r="B152" s="42" t="inlineStr">
        <is>
          <t>080288</t>
        </is>
      </c>
      <c r="C152" s="38" t="inlineStr">
        <is>
          <t>Cabrera d'Anoia</t>
        </is>
      </c>
      <c r="D152" s="44" t="n">
        <v>17</v>
      </c>
      <c r="F152" s="38" t="inlineStr">
        <is>
          <t>Publicació municipal 2025; la superfície s'utilitza com a magnitud territorial</t>
        </is>
      </c>
    </row>
    <row r="153" ht="15" customHeight="1" s="39">
      <c r="A153" s="38" t="inlineStr">
        <is>
          <t>[080291] Cabrera de Mar</t>
        </is>
      </c>
      <c r="B153" s="42" t="inlineStr">
        <is>
          <t>080291</t>
        </is>
      </c>
      <c r="C153" s="38" t="inlineStr">
        <is>
          <t>Cabrera de Mar</t>
        </is>
      </c>
      <c r="D153" s="44" t="n">
        <v>8.98</v>
      </c>
      <c r="F153" s="38" t="inlineStr">
        <is>
          <t>Publicació municipal 2025; la superfície s'utilitza com a magnitud territorial</t>
        </is>
      </c>
    </row>
    <row r="154" ht="15" customHeight="1" s="39">
      <c r="A154" s="38" t="inlineStr">
        <is>
          <t>[080305] Cabrils</t>
        </is>
      </c>
      <c r="B154" s="42" t="inlineStr">
        <is>
          <t>080305</t>
        </is>
      </c>
      <c r="C154" s="38" t="inlineStr">
        <is>
          <t>Cabrils</t>
        </is>
      </c>
      <c r="D154" s="44" t="n">
        <v>7.05</v>
      </c>
      <c r="F154" s="38" t="inlineStr">
        <is>
          <t>Publicació municipal 2025; la superfície s'utilitza com a magnitud territorial</t>
        </is>
      </c>
    </row>
    <row r="155" ht="15" customHeight="1" s="39">
      <c r="A155" s="38" t="inlineStr">
        <is>
          <t>[170329] Cadaqués</t>
        </is>
      </c>
      <c r="B155" s="42" t="inlineStr">
        <is>
          <t>170329</t>
        </is>
      </c>
      <c r="C155" s="38" t="inlineStr">
        <is>
          <t>Cadaqués</t>
        </is>
      </c>
      <c r="D155" s="44" t="n">
        <v>26.43</v>
      </c>
      <c r="F155" s="38" t="inlineStr">
        <is>
          <t>Publicació municipal 2025; la superfície s'utilitza com a magnitud territorial</t>
        </is>
      </c>
    </row>
    <row r="156" ht="15" customHeight="1" s="39">
      <c r="A156" s="38" t="inlineStr">
        <is>
          <t>[080312] Calaf</t>
        </is>
      </c>
      <c r="B156" s="42" t="inlineStr">
        <is>
          <t>080312</t>
        </is>
      </c>
      <c r="C156" s="38" t="inlineStr">
        <is>
          <t>Calaf</t>
        </is>
      </c>
      <c r="D156" s="44" t="n">
        <v>9.220000000000001</v>
      </c>
      <c r="F156" s="38" t="inlineStr">
        <is>
          <t>Publicació municipal 2025; la superfície s'utilitza com a magnitud territorial</t>
        </is>
      </c>
    </row>
    <row r="157" ht="15" customHeight="1" s="39">
      <c r="A157" s="38" t="inlineStr">
        <is>
          <t>[430379] Calafell</t>
        </is>
      </c>
      <c r="B157" s="42" t="inlineStr">
        <is>
          <t>430379</t>
        </is>
      </c>
      <c r="C157" s="38" t="inlineStr">
        <is>
          <t>Calafell</t>
        </is>
      </c>
      <c r="D157" s="44" t="n">
        <v>20.38</v>
      </c>
      <c r="F157" s="38" t="inlineStr">
        <is>
          <t>Publicació municipal 2025; la superfície s'utilitza com a magnitud territorial</t>
        </is>
      </c>
    </row>
    <row r="158" ht="15" customHeight="1" s="39">
      <c r="A158" s="38" t="inlineStr">
        <is>
          <t>[080348] Calders</t>
        </is>
      </c>
      <c r="B158" s="42" t="inlineStr">
        <is>
          <t>080348</t>
        </is>
      </c>
      <c r="C158" s="38" t="inlineStr">
        <is>
          <t>Calders</t>
        </is>
      </c>
      <c r="D158" s="44" t="n">
        <v>33.09</v>
      </c>
      <c r="F158" s="38" t="inlineStr">
        <is>
          <t>Publicació municipal 2025; la superfície s'utilitza com a magnitud territorial</t>
        </is>
      </c>
    </row>
    <row r="159" ht="15" customHeight="1" s="39">
      <c r="A159" s="38" t="inlineStr">
        <is>
          <t>[080327] Caldes d'Estrac</t>
        </is>
      </c>
      <c r="B159" s="42" t="inlineStr">
        <is>
          <t>080327</t>
        </is>
      </c>
      <c r="C159" s="38" t="inlineStr">
        <is>
          <t>Caldes d'Estrac</t>
        </is>
      </c>
      <c r="D159" s="44" t="n">
        <v>0.88</v>
      </c>
      <c r="F159" s="38" t="inlineStr">
        <is>
          <t>Publicació municipal 2025; la superfície s'utilitza com a magnitud territorial</t>
        </is>
      </c>
    </row>
    <row r="160" ht="15" customHeight="1" s="39">
      <c r="A160" s="38" t="inlineStr">
        <is>
          <t>[170335] Caldes de Malavella</t>
        </is>
      </c>
      <c r="B160" s="42" t="inlineStr">
        <is>
          <t>170335</t>
        </is>
      </c>
      <c r="C160" s="38" t="inlineStr">
        <is>
          <t>Caldes de Malavella</t>
        </is>
      </c>
      <c r="D160" s="44" t="n">
        <v>57.33</v>
      </c>
      <c r="F160" s="38" t="inlineStr">
        <is>
          <t>Publicació municipal 2025; la superfície s'utilitza com a magnitud territorial</t>
        </is>
      </c>
    </row>
    <row r="161" ht="15" customHeight="1" s="39">
      <c r="A161" s="38" t="inlineStr">
        <is>
          <t>[080333] Caldes de Montbui</t>
        </is>
      </c>
      <c r="B161" s="42" t="inlineStr">
        <is>
          <t>080333</t>
        </is>
      </c>
      <c r="C161" s="38" t="inlineStr">
        <is>
          <t>Caldes de Montbui</t>
        </is>
      </c>
      <c r="D161" s="44" t="n">
        <v>37.45</v>
      </c>
      <c r="F161" s="38" t="inlineStr">
        <is>
          <t>Publicació municipal 2025; la superfície s'utilitza com a magnitud territorial</t>
        </is>
      </c>
    </row>
    <row r="162" ht="15" customHeight="1" s="39">
      <c r="A162" s="38" t="inlineStr">
        <is>
          <t>[080351] Calella</t>
        </is>
      </c>
      <c r="B162" s="42" t="inlineStr">
        <is>
          <t>080351</t>
        </is>
      </c>
      <c r="C162" s="38" t="inlineStr">
        <is>
          <t>Calella</t>
        </is>
      </c>
      <c r="D162" s="44" t="n">
        <v>8</v>
      </c>
      <c r="F162" s="38" t="inlineStr">
        <is>
          <t>Publicació municipal 2025; la superfície s'utilitza com a magnitud territorial</t>
        </is>
      </c>
    </row>
    <row r="163" ht="15" customHeight="1" s="39">
      <c r="A163" s="38" t="inlineStr">
        <is>
          <t>[080370] Calldetenes</t>
        </is>
      </c>
      <c r="B163" s="42" t="inlineStr">
        <is>
          <t>080370</t>
        </is>
      </c>
      <c r="C163" s="38" t="inlineStr">
        <is>
          <t>Calldetenes</t>
        </is>
      </c>
      <c r="D163" s="44" t="n">
        <v>5.8</v>
      </c>
      <c r="F163" s="38" t="inlineStr">
        <is>
          <t>Publicació municipal 2025; la superfície s'utilitza com a magnitud territorial</t>
        </is>
      </c>
    </row>
    <row r="164" ht="15" customHeight="1" s="39">
      <c r="A164" s="38" t="inlineStr">
        <is>
          <t>[080386] Callús</t>
        </is>
      </c>
      <c r="B164" s="42" t="inlineStr">
        <is>
          <t>080386</t>
        </is>
      </c>
      <c r="C164" s="38" t="inlineStr">
        <is>
          <t>Callús</t>
        </is>
      </c>
      <c r="D164" s="44" t="n">
        <v>12.5</v>
      </c>
      <c r="F164" s="38" t="inlineStr">
        <is>
          <t>Publicació municipal 2025; la superfície s'utilitza com a magnitud territorial</t>
        </is>
      </c>
    </row>
    <row r="165" ht="15" customHeight="1" s="39">
      <c r="A165" s="38" t="inlineStr">
        <is>
          <t>[080364] Calonge de Segarra</t>
        </is>
      </c>
      <c r="B165" s="42" t="inlineStr">
        <is>
          <t>080364</t>
        </is>
      </c>
      <c r="C165" s="38" t="inlineStr">
        <is>
          <t>Calonge de Segarra</t>
        </is>
      </c>
      <c r="D165" s="44" t="n">
        <v>37.15</v>
      </c>
      <c r="F165" s="38" t="inlineStr">
        <is>
          <t>Publicació municipal 2025; la superfície s'utilitza com a magnitud territorial</t>
        </is>
      </c>
    </row>
    <row r="166" ht="15" customHeight="1" s="39">
      <c r="A166" s="38" t="inlineStr">
        <is>
          <t>[170340] Calonge i Sant Antoni</t>
        </is>
      </c>
      <c r="B166" s="42" t="inlineStr">
        <is>
          <t>170340</t>
        </is>
      </c>
      <c r="C166" s="38" t="inlineStr">
        <is>
          <t>Calonge i Sant Antoni</t>
        </is>
      </c>
      <c r="D166" s="44" t="n">
        <v>33.57</v>
      </c>
      <c r="F166" s="38" t="inlineStr">
        <is>
          <t>Publicació municipal 2025; la superfície s'utilitza com a magnitud territorial</t>
        </is>
      </c>
    </row>
    <row r="167" ht="15" customHeight="1" s="39">
      <c r="A167" s="38" t="inlineStr">
        <is>
          <t>[250621] Camarasa</t>
        </is>
      </c>
      <c r="B167" s="42" t="inlineStr">
        <is>
          <t>250621</t>
        </is>
      </c>
      <c r="C167" s="38" t="inlineStr">
        <is>
          <t>Camarasa</t>
        </is>
      </c>
      <c r="D167" s="44" t="n">
        <v>157.13</v>
      </c>
      <c r="F167" s="38" t="inlineStr">
        <is>
          <t>Publicació municipal 2025; la superfície s'utilitza com a magnitud territorial</t>
        </is>
      </c>
    </row>
    <row r="168" ht="15" customHeight="1" s="39">
      <c r="A168" s="38" t="inlineStr">
        <is>
          <t>[439039] Camarles</t>
        </is>
      </c>
      <c r="B168" s="42" t="inlineStr">
        <is>
          <t>439039</t>
        </is>
      </c>
      <c r="C168" s="38" t="inlineStr">
        <is>
          <t>Camarles</t>
        </is>
      </c>
      <c r="D168" s="44" t="n">
        <v>25.16</v>
      </c>
      <c r="F168" s="38" t="inlineStr">
        <is>
          <t>Publicació municipal 2025; la superfície s'utilitza com a magnitud territorial</t>
        </is>
      </c>
    </row>
    <row r="169" ht="15" customHeight="1" s="39">
      <c r="A169" s="38" t="inlineStr">
        <is>
          <t>[430385] Cambrils</t>
        </is>
      </c>
      <c r="B169" s="42" t="inlineStr">
        <is>
          <t>430385</t>
        </is>
      </c>
      <c r="C169" s="38" t="inlineStr">
        <is>
          <t>Cambrils</t>
        </is>
      </c>
      <c r="D169" s="44" t="n">
        <v>35.21</v>
      </c>
      <c r="F169" s="38" t="inlineStr">
        <is>
          <t>Publicació municipal 2025; la superfície s'utilitza com a magnitud territorial</t>
        </is>
      </c>
    </row>
    <row r="170" ht="15" customHeight="1" s="39">
      <c r="A170" s="38" t="inlineStr">
        <is>
          <t>[170353] Camós</t>
        </is>
      </c>
      <c r="B170" s="42" t="inlineStr">
        <is>
          <t>170353</t>
        </is>
      </c>
      <c r="C170" s="38" t="inlineStr">
        <is>
          <t>Camós</t>
        </is>
      </c>
      <c r="D170" s="44" t="n">
        <v>15.66</v>
      </c>
      <c r="F170" s="38" t="inlineStr">
        <is>
          <t>Publicació municipal 2025; la superfície s'utilitza com a magnitud territorial</t>
        </is>
      </c>
    </row>
    <row r="171" ht="15" customHeight="1" s="39">
      <c r="A171" s="38" t="inlineStr">
        <is>
          <t>[170366] Campdevànol</t>
        </is>
      </c>
      <c r="B171" s="42" t="inlineStr">
        <is>
          <t>170366</t>
        </is>
      </c>
      <c r="C171" s="38" t="inlineStr">
        <is>
          <t>Campdevànol</t>
        </is>
      </c>
      <c r="D171" s="44" t="n">
        <v>32.62</v>
      </c>
      <c r="F171" s="38" t="inlineStr">
        <is>
          <t>Publicació municipal 2025; la superfície s'utilitza com a magnitud territorial</t>
        </is>
      </c>
    </row>
    <row r="172" ht="15" customHeight="1" s="39">
      <c r="A172" s="38" t="inlineStr">
        <is>
          <t>[170372] Campelles</t>
        </is>
      </c>
      <c r="B172" s="42" t="inlineStr">
        <is>
          <t>170372</t>
        </is>
      </c>
      <c r="C172" s="38" t="inlineStr">
        <is>
          <t>Campelles</t>
        </is>
      </c>
      <c r="D172" s="44" t="n">
        <v>18.64</v>
      </c>
      <c r="F172" s="38" t="inlineStr">
        <is>
          <t>Publicació municipal 2025; la superfície s'utilitza com a magnitud territorial</t>
        </is>
      </c>
    </row>
    <row r="173" ht="15" customHeight="1" s="39">
      <c r="A173" s="38" t="inlineStr">
        <is>
          <t>[080399] Campins</t>
        </is>
      </c>
      <c r="B173" s="42" t="inlineStr">
        <is>
          <t>080399</t>
        </is>
      </c>
      <c r="C173" s="38" t="inlineStr">
        <is>
          <t>Campins</t>
        </is>
      </c>
      <c r="D173" s="44" t="n">
        <v>7.29</v>
      </c>
      <c r="F173" s="38" t="inlineStr">
        <is>
          <t>Publicació municipal 2025; la superfície s'utilitza com a magnitud territorial</t>
        </is>
      </c>
    </row>
    <row r="174" ht="15" customHeight="1" s="39">
      <c r="A174" s="38" t="inlineStr">
        <is>
          <t>[170388] Campllong</t>
        </is>
      </c>
      <c r="B174" s="42" t="inlineStr">
        <is>
          <t>170388</t>
        </is>
      </c>
      <c r="C174" s="38" t="inlineStr">
        <is>
          <t>Campllong</t>
        </is>
      </c>
      <c r="D174" s="44" t="n">
        <v>8.59</v>
      </c>
      <c r="F174" s="38" t="inlineStr">
        <is>
          <t>Publicació municipal 2025; la superfície s'utilitza com a magnitud territorial</t>
        </is>
      </c>
    </row>
    <row r="175" ht="15" customHeight="1" s="39">
      <c r="A175" s="38" t="inlineStr">
        <is>
          <t>[170391] Camprodon</t>
        </is>
      </c>
      <c r="B175" s="42" t="inlineStr">
        <is>
          <t>170391</t>
        </is>
      </c>
      <c r="C175" s="38" t="inlineStr">
        <is>
          <t>Camprodon</t>
        </is>
      </c>
      <c r="D175" s="44" t="n">
        <v>103.38</v>
      </c>
      <c r="F175" s="38" t="inlineStr">
        <is>
          <t>Publicació municipal 2025; la superfície s'utilitza com a magnitud territorial</t>
        </is>
      </c>
    </row>
    <row r="176" ht="15" customHeight="1" s="39">
      <c r="A176" s="38" t="inlineStr">
        <is>
          <t>[250637] Canejan</t>
        </is>
      </c>
      <c r="B176" s="42" t="inlineStr">
        <is>
          <t>250637</t>
        </is>
      </c>
      <c r="C176" s="38" t="inlineStr">
        <is>
          <t>Canejan</t>
        </is>
      </c>
      <c r="D176" s="44" t="n">
        <v>48.32</v>
      </c>
      <c r="F176" s="38" t="inlineStr">
        <is>
          <t>Publicació municipal 2025; la superfície s'utilitza com a magnitud territorial</t>
        </is>
      </c>
    </row>
    <row r="177" ht="15" customHeight="1" s="39">
      <c r="A177" s="38" t="inlineStr">
        <is>
          <t>[170405] Canet d'Adri</t>
        </is>
      </c>
      <c r="B177" s="42" t="inlineStr">
        <is>
          <t>170405</t>
        </is>
      </c>
      <c r="C177" s="38" t="inlineStr">
        <is>
          <t>Canet d'Adri</t>
        </is>
      </c>
      <c r="D177" s="44" t="n">
        <v>44.41</v>
      </c>
      <c r="F177" s="38" t="inlineStr">
        <is>
          <t>Publicació municipal 2025; la superfície s'utilitza com a magnitud territorial</t>
        </is>
      </c>
    </row>
    <row r="178" ht="15" customHeight="1" s="39">
      <c r="A178" s="38" t="inlineStr">
        <is>
          <t>[080403] Canet de Mar</t>
        </is>
      </c>
      <c r="B178" s="42" t="inlineStr">
        <is>
          <t>080403</t>
        </is>
      </c>
      <c r="C178" s="38" t="inlineStr">
        <is>
          <t>Canet de Mar</t>
        </is>
      </c>
      <c r="D178" s="44" t="n">
        <v>5.56</v>
      </c>
      <c r="F178" s="38" t="inlineStr">
        <is>
          <t>Publicació municipal 2025; la superfície s'utilitza com a magnitud territorial</t>
        </is>
      </c>
    </row>
    <row r="179" ht="15" customHeight="1" s="39">
      <c r="A179" s="38" t="inlineStr">
        <is>
          <t>[439076] Canonja, la</t>
        </is>
      </c>
      <c r="B179" s="42" t="inlineStr">
        <is>
          <t>439076</t>
        </is>
      </c>
      <c r="C179" s="38" t="inlineStr">
        <is>
          <t>Canonja, la</t>
        </is>
      </c>
      <c r="D179" s="44" t="n">
        <v>7.32</v>
      </c>
      <c r="F179" s="38" t="inlineStr">
        <is>
          <t>Publicació municipal 2025; la superfície s'utilitza com a magnitud territorial</t>
        </is>
      </c>
    </row>
    <row r="180" ht="15" customHeight="1" s="39">
      <c r="A180" s="38" t="inlineStr">
        <is>
          <t>[080410] Canovelles</t>
        </is>
      </c>
      <c r="B180" s="42" t="inlineStr">
        <is>
          <t>080410</t>
        </is>
      </c>
      <c r="C180" s="38" t="inlineStr">
        <is>
          <t>Canovelles</t>
        </is>
      </c>
      <c r="D180" s="44" t="n">
        <v>6.66</v>
      </c>
      <c r="F180" s="38" t="inlineStr">
        <is>
          <t>Publicació municipal 2025; la superfície s'utilitza com a magnitud territorial</t>
        </is>
      </c>
    </row>
    <row r="181" ht="15" customHeight="1" s="39">
      <c r="A181" s="38" t="inlineStr">
        <is>
          <t>[080425] Cànoves i Samalús</t>
        </is>
      </c>
      <c r="B181" s="42" t="inlineStr">
        <is>
          <t>080425</t>
        </is>
      </c>
      <c r="C181" s="38" t="inlineStr">
        <is>
          <t>Cànoves i Samalús</t>
        </is>
      </c>
      <c r="D181" s="44" t="n">
        <v>29.19</v>
      </c>
      <c r="F181" s="38" t="inlineStr">
        <is>
          <t>Publicació municipal 2025; la superfície s'utilitza com a magnitud territorial</t>
        </is>
      </c>
    </row>
    <row r="182" ht="15" customHeight="1" s="39">
      <c r="A182" s="38" t="inlineStr">
        <is>
          <t>[170412] Cantallops</t>
        </is>
      </c>
      <c r="B182" s="42" t="inlineStr">
        <is>
          <t>170412</t>
        </is>
      </c>
      <c r="C182" s="38" t="inlineStr">
        <is>
          <t>Cantallops</t>
        </is>
      </c>
      <c r="D182" s="44" t="n">
        <v>19.62</v>
      </c>
      <c r="F182" s="38" t="inlineStr">
        <is>
          <t>Publicació municipal 2025; la superfície s'utilitza com a magnitud territorial</t>
        </is>
      </c>
    </row>
    <row r="183" ht="15" customHeight="1" s="39">
      <c r="A183" s="38" t="inlineStr">
        <is>
          <t>[080431] Canyelles</t>
        </is>
      </c>
      <c r="B183" s="42" t="inlineStr">
        <is>
          <t>080431</t>
        </is>
      </c>
      <c r="C183" s="38" t="inlineStr">
        <is>
          <t>Canyelles</t>
        </is>
      </c>
      <c r="D183" s="44" t="n">
        <v>14.23</v>
      </c>
      <c r="F183" s="38" t="inlineStr">
        <is>
          <t>Publicació municipal 2025; la superfície s'utilitza com a magnitud territorial</t>
        </is>
      </c>
    </row>
    <row r="184" ht="15" customHeight="1" s="39">
      <c r="A184" s="38" t="inlineStr">
        <is>
          <t>[430398] Capafonts</t>
        </is>
      </c>
      <c r="B184" s="42" t="inlineStr">
        <is>
          <t>430398</t>
        </is>
      </c>
      <c r="C184" s="38" t="inlineStr">
        <is>
          <t>Capafonts</t>
        </is>
      </c>
      <c r="D184" s="44" t="n">
        <v>13.35</v>
      </c>
      <c r="F184" s="38" t="inlineStr">
        <is>
          <t>Publicació municipal 2025; la superfície s'utilitza com a magnitud territorial</t>
        </is>
      </c>
    </row>
    <row r="185" ht="15" customHeight="1" s="39">
      <c r="A185" s="38" t="inlineStr">
        <is>
          <t>[430402] Capçanes</t>
        </is>
      </c>
      <c r="B185" s="42" t="inlineStr">
        <is>
          <t>430402</t>
        </is>
      </c>
      <c r="C185" s="38" t="inlineStr">
        <is>
          <t>Capçanes</t>
        </is>
      </c>
      <c r="D185" s="44" t="n">
        <v>22.49</v>
      </c>
      <c r="F185" s="38" t="inlineStr">
        <is>
          <t>Publicació municipal 2025; la superfície s'utilitza com a magnitud territorial</t>
        </is>
      </c>
    </row>
    <row r="186" ht="15" customHeight="1" s="39">
      <c r="A186" s="38" t="inlineStr">
        <is>
          <t>[080446] Capellades</t>
        </is>
      </c>
      <c r="B186" s="42" t="inlineStr">
        <is>
          <t>080446</t>
        </is>
      </c>
      <c r="C186" s="38" t="inlineStr">
        <is>
          <t>Capellades</t>
        </is>
      </c>
      <c r="D186" s="44" t="n">
        <v>2.94</v>
      </c>
      <c r="F186" s="38" t="inlineStr">
        <is>
          <t>Publicació municipal 2025; la superfície s'utilitza com a magnitud territorial</t>
        </is>
      </c>
    </row>
    <row r="187" ht="15" customHeight="1" s="39">
      <c r="A187" s="38" t="inlineStr">
        <is>
          <t>[170427] Capmany</t>
        </is>
      </c>
      <c r="B187" s="42" t="inlineStr">
        <is>
          <t>170427</t>
        </is>
      </c>
      <c r="C187" s="38" t="inlineStr">
        <is>
          <t>Capmany</t>
        </is>
      </c>
      <c r="D187" s="44" t="n">
        <v>26.4</v>
      </c>
      <c r="F187" s="38" t="inlineStr">
        <is>
          <t>Publicació municipal 2025; la superfície s'utilitza com a magnitud territorial</t>
        </is>
      </c>
    </row>
    <row r="188" ht="15" customHeight="1" s="39">
      <c r="A188" s="38" t="inlineStr">
        <is>
          <t>[080459] Capolat</t>
        </is>
      </c>
      <c r="B188" s="42" t="inlineStr">
        <is>
          <t>080459</t>
        </is>
      </c>
      <c r="C188" s="38" t="inlineStr">
        <is>
          <t>Capolat</t>
        </is>
      </c>
      <c r="D188" s="44" t="n">
        <v>34.13</v>
      </c>
      <c r="F188" s="38" t="inlineStr">
        <is>
          <t>Publicació municipal 2025; la superfície s'utilitza com a magnitud territorial</t>
        </is>
      </c>
    </row>
    <row r="189" ht="15" customHeight="1" s="39">
      <c r="A189" s="38" t="inlineStr">
        <is>
          <t>[080462] Cardedeu</t>
        </is>
      </c>
      <c r="B189" s="42" t="inlineStr">
        <is>
          <t>080462</t>
        </is>
      </c>
      <c r="C189" s="38" t="inlineStr">
        <is>
          <t>Cardedeu</t>
        </is>
      </c>
      <c r="D189" s="44" t="n">
        <v>12.1</v>
      </c>
      <c r="F189" s="38" t="inlineStr">
        <is>
          <t>Publicació municipal 2025; la superfície s'utilitza com a magnitud territorial</t>
        </is>
      </c>
    </row>
    <row r="190" ht="15" customHeight="1" s="39">
      <c r="A190" s="38" t="inlineStr">
        <is>
          <t>[080478] Cardona</t>
        </is>
      </c>
      <c r="B190" s="42" t="inlineStr">
        <is>
          <t>080478</t>
        </is>
      </c>
      <c r="C190" s="38" t="inlineStr">
        <is>
          <t>Cardona</t>
        </is>
      </c>
      <c r="D190" s="44" t="n">
        <v>66.7</v>
      </c>
      <c r="F190" s="38" t="inlineStr">
        <is>
          <t>Publicació municipal 2025; la superfície s'utilitza com a magnitud territorial</t>
        </is>
      </c>
    </row>
    <row r="191" ht="15" customHeight="1" s="39">
      <c r="A191" s="38" t="inlineStr">
        <is>
          <t>[080484] Carme</t>
        </is>
      </c>
      <c r="B191" s="42" t="inlineStr">
        <is>
          <t>080484</t>
        </is>
      </c>
      <c r="C191" s="38" t="inlineStr">
        <is>
          <t>Carme</t>
        </is>
      </c>
      <c r="D191" s="44" t="n">
        <v>11.68</v>
      </c>
      <c r="F191" s="38" t="inlineStr">
        <is>
          <t>Publicació municipal 2025; la superfície s'utilitza com a magnitud territorial</t>
        </is>
      </c>
    </row>
    <row r="192" ht="15" customHeight="1" s="39">
      <c r="A192" s="38" t="inlineStr">
        <is>
          <t>[430419] Caseres</t>
        </is>
      </c>
      <c r="B192" s="42" t="inlineStr">
        <is>
          <t>430419</t>
        </is>
      </c>
      <c r="C192" s="38" t="inlineStr">
        <is>
          <t>Caseres</t>
        </is>
      </c>
      <c r="D192" s="44" t="n">
        <v>42.9</v>
      </c>
      <c r="F192" s="38" t="inlineStr">
        <is>
          <t>Publicació municipal 2025; la superfície s'utilitza com a magnitud territorial</t>
        </is>
      </c>
    </row>
    <row r="193" ht="15" customHeight="1" s="39">
      <c r="A193" s="38" t="inlineStr">
        <is>
          <t>[170448] Cassà de la Selva</t>
        </is>
      </c>
      <c r="B193" s="42" t="inlineStr">
        <is>
          <t>170448</t>
        </is>
      </c>
      <c r="C193" s="38" t="inlineStr">
        <is>
          <t>Cassà de la Selva</t>
        </is>
      </c>
      <c r="D193" s="44" t="n">
        <v>45.21</v>
      </c>
      <c r="F193" s="38" t="inlineStr">
        <is>
          <t>Publicació municipal 2025; la superfície s'utilitza com a magnitud territorial</t>
        </is>
      </c>
    </row>
    <row r="194" ht="15" customHeight="1" s="39">
      <c r="A194" s="38" t="inlineStr">
        <is>
          <t>[080497] Casserres</t>
        </is>
      </c>
      <c r="B194" s="42" t="inlineStr">
        <is>
          <t>080497</t>
        </is>
      </c>
      <c r="C194" s="38" t="inlineStr">
        <is>
          <t>Casserres</t>
        </is>
      </c>
      <c r="D194" s="44" t="n">
        <v>29.46</v>
      </c>
      <c r="F194" s="38" t="inlineStr">
        <is>
          <t>Publicació municipal 2025; la superfície s'utilitza com a magnitud territorial</t>
        </is>
      </c>
    </row>
    <row r="195" ht="15" customHeight="1" s="39">
      <c r="A195" s="38" t="inlineStr">
        <is>
          <t>[170486] Castell d'Aro, Platja d'Aro i s'Agaró</t>
        </is>
      </c>
      <c r="B195" s="42" t="inlineStr">
        <is>
          <t>170486</t>
        </is>
      </c>
      <c r="C195" s="38" t="inlineStr">
        <is>
          <t>Castell d'Aro, Platja d'Aro i s'Agaró</t>
        </is>
      </c>
      <c r="D195" s="44" t="n">
        <v>21.74</v>
      </c>
      <c r="F195" s="38" t="inlineStr">
        <is>
          <t>Publicació municipal 2025; la superfície s'utilitza com a magnitud territorial</t>
        </is>
      </c>
    </row>
    <row r="196" ht="15" customHeight="1" s="39">
      <c r="A196" s="38" t="inlineStr">
        <is>
          <t>[080575] Castell de l'Areny</t>
        </is>
      </c>
      <c r="B196" s="42" t="inlineStr">
        <is>
          <t>080575</t>
        </is>
      </c>
      <c r="C196" s="38" t="inlineStr">
        <is>
          <t>Castell de l'Areny</t>
        </is>
      </c>
      <c r="D196" s="44" t="n">
        <v>24.35</v>
      </c>
      <c r="F196" s="38" t="inlineStr">
        <is>
          <t>Publicació municipal 2025; la superfície s'utilitza com a magnitud territorial</t>
        </is>
      </c>
    </row>
    <row r="197" ht="15" customHeight="1" s="39">
      <c r="A197" s="38" t="inlineStr">
        <is>
          <t>[259046] Castell de Mur</t>
        </is>
      </c>
      <c r="B197" s="42" t="inlineStr">
        <is>
          <t>259046</t>
        </is>
      </c>
      <c r="C197" s="38" t="inlineStr">
        <is>
          <t>Castell de Mur</t>
        </is>
      </c>
      <c r="D197" s="44" t="n">
        <v>62.42</v>
      </c>
      <c r="F197" s="38" t="inlineStr">
        <is>
          <t>Publicació municipal 2025; la superfície s'utilitza com a magnitud territorial</t>
        </is>
      </c>
    </row>
    <row r="198" ht="15" customHeight="1" s="39">
      <c r="A198" s="38" t="inlineStr">
        <is>
          <t>[250642] Castellar de la Ribera</t>
        </is>
      </c>
      <c r="B198" s="42" t="inlineStr">
        <is>
          <t>250642</t>
        </is>
      </c>
      <c r="C198" s="38" t="inlineStr">
        <is>
          <t>Castellar de la Ribera</t>
        </is>
      </c>
      <c r="D198" s="44" t="n">
        <v>60.19</v>
      </c>
      <c r="F198" s="38" t="inlineStr">
        <is>
          <t>Publicació municipal 2025; la superfície s'utilitza com a magnitud territorial</t>
        </is>
      </c>
    </row>
    <row r="199" ht="15" customHeight="1" s="39">
      <c r="A199" s="38" t="inlineStr">
        <is>
          <t>[080522] Castellar de n'Hug</t>
        </is>
      </c>
      <c r="B199" s="42" t="inlineStr">
        <is>
          <t>080522</t>
        </is>
      </c>
      <c r="C199" s="38" t="inlineStr">
        <is>
          <t>Castellar de n'Hug</t>
        </is>
      </c>
      <c r="D199" s="44" t="n">
        <v>47.12</v>
      </c>
      <c r="F199" s="38" t="inlineStr">
        <is>
          <t>Publicació municipal 2025; la superfície s'utilitza com a magnitud territorial</t>
        </is>
      </c>
    </row>
    <row r="200" ht="15" customHeight="1" s="39">
      <c r="A200" s="38" t="inlineStr">
        <is>
          <t>[080500] Castellar del Riu</t>
        </is>
      </c>
      <c r="B200" s="42" t="inlineStr">
        <is>
          <t>080500</t>
        </is>
      </c>
      <c r="C200" s="38" t="inlineStr">
        <is>
          <t>Castellar del Riu</t>
        </is>
      </c>
      <c r="D200" s="44" t="n">
        <v>32.74</v>
      </c>
      <c r="F200" s="38" t="inlineStr">
        <is>
          <t>Publicació municipal 2025; la superfície s'utilitza com a magnitud territorial</t>
        </is>
      </c>
    </row>
    <row r="201" ht="15" customHeight="1" s="39">
      <c r="A201" s="38" t="inlineStr">
        <is>
          <t>[080517] Castellar del Vallès</t>
        </is>
      </c>
      <c r="B201" s="42" t="inlineStr">
        <is>
          <t>080517</t>
        </is>
      </c>
      <c r="C201" s="38" t="inlineStr">
        <is>
          <t>Castellar del Vallès</t>
        </is>
      </c>
      <c r="D201" s="44" t="n">
        <v>44.91</v>
      </c>
      <c r="F201" s="38" t="inlineStr">
        <is>
          <t>Publicació municipal 2025; la superfície s'utilitza com a magnitud territorial</t>
        </is>
      </c>
    </row>
    <row r="202" ht="15" customHeight="1" s="39">
      <c r="A202" s="38" t="inlineStr">
        <is>
          <t>[080538] Castellbell i el Vilar</t>
        </is>
      </c>
      <c r="B202" s="42" t="inlineStr">
        <is>
          <t>080538</t>
        </is>
      </c>
      <c r="C202" s="38" t="inlineStr">
        <is>
          <t>Castellbell i el Vilar</t>
        </is>
      </c>
      <c r="D202" s="44" t="n">
        <v>28.47</v>
      </c>
      <c r="F202" s="38" t="inlineStr">
        <is>
          <t>Publicació municipal 2025; la superfície s'utilitza com a magnitud territorial</t>
        </is>
      </c>
    </row>
    <row r="203" ht="15" customHeight="1" s="39">
      <c r="A203" s="38" t="inlineStr">
        <is>
          <t>[080543] Castellbisbal</t>
        </is>
      </c>
      <c r="B203" s="42" t="inlineStr">
        <is>
          <t>080543</t>
        </is>
      </c>
      <c r="C203" s="38" t="inlineStr">
        <is>
          <t>Castellbisbal</t>
        </is>
      </c>
      <c r="D203" s="44" t="n">
        <v>31.03</v>
      </c>
      <c r="F203" s="38" t="inlineStr">
        <is>
          <t>Publicació municipal 2025; la superfície s'utilitza com a magnitud territorial</t>
        </is>
      </c>
    </row>
    <row r="204" ht="15" customHeight="1" s="39">
      <c r="A204" s="38" t="inlineStr">
        <is>
          <t>[080556] Castellcir</t>
        </is>
      </c>
      <c r="B204" s="42" t="inlineStr">
        <is>
          <t>080556</t>
        </is>
      </c>
      <c r="C204" s="38" t="inlineStr">
        <is>
          <t>Castellcir</t>
        </is>
      </c>
      <c r="D204" s="44" t="n">
        <v>34.18</v>
      </c>
      <c r="F204" s="38" t="inlineStr">
        <is>
          <t>Publicació municipal 2025; la superfície s'utilitza com a magnitud territorial</t>
        </is>
      </c>
    </row>
    <row r="205" ht="15" customHeight="1" s="39">
      <c r="A205" s="38" t="inlineStr">
        <is>
          <t>[250674] Castelldans</t>
        </is>
      </c>
      <c r="B205" s="42" t="inlineStr">
        <is>
          <t>250674</t>
        </is>
      </c>
      <c r="C205" s="38" t="inlineStr">
        <is>
          <t>Castelldans</t>
        </is>
      </c>
      <c r="D205" s="44" t="n">
        <v>65.09999999999999</v>
      </c>
      <c r="F205" s="38" t="inlineStr">
        <is>
          <t>Publicació municipal 2025; la superfície s'utilitza com a magnitud territorial</t>
        </is>
      </c>
    </row>
    <row r="206" ht="15" customHeight="1" s="39">
      <c r="A206" s="38" t="inlineStr">
        <is>
          <t>[080569] Castelldefels</t>
        </is>
      </c>
      <c r="B206" s="42" t="inlineStr">
        <is>
          <t>080569</t>
        </is>
      </c>
      <c r="C206" s="38" t="inlineStr">
        <is>
          <t>Castelldefels</t>
        </is>
      </c>
      <c r="D206" s="44" t="n">
        <v>12.87</v>
      </c>
      <c r="F206" s="38" t="inlineStr">
        <is>
          <t>Publicació municipal 2025; la superfície s'utilitza com a magnitud territorial</t>
        </is>
      </c>
    </row>
    <row r="207" ht="15" customHeight="1" s="39">
      <c r="A207" s="38" t="inlineStr">
        <is>
          <t>[080581] Castellet i la Gornal</t>
        </is>
      </c>
      <c r="B207" s="42" t="inlineStr">
        <is>
          <t>080581</t>
        </is>
      </c>
      <c r="C207" s="38" t="inlineStr">
        <is>
          <t>Castellet i la Gornal</t>
        </is>
      </c>
      <c r="D207" s="44" t="n">
        <v>47.48</v>
      </c>
      <c r="F207" s="38" t="inlineStr">
        <is>
          <t>Publicació municipal 2025; la superfície s'utilitza com a magnitud territorial</t>
        </is>
      </c>
    </row>
    <row r="208" ht="15" customHeight="1" s="39">
      <c r="A208" s="38" t="inlineStr">
        <is>
          <t>[170464] Castellfollit de la Roca</t>
        </is>
      </c>
      <c r="B208" s="42" t="inlineStr">
        <is>
          <t>170464</t>
        </is>
      </c>
      <c r="C208" s="38" t="inlineStr">
        <is>
          <t>Castellfollit de la Roca</t>
        </is>
      </c>
      <c r="D208" s="44" t="n">
        <v>0.73</v>
      </c>
      <c r="F208" s="38" t="inlineStr">
        <is>
          <t>Publicació municipal 2025; la superfície s'utilitza com a magnitud territorial</t>
        </is>
      </c>
    </row>
    <row r="209" ht="15" customHeight="1" s="39">
      <c r="A209" s="38" t="inlineStr">
        <is>
          <t>[080608] Castellfollit de Riubregós</t>
        </is>
      </c>
      <c r="B209" s="42" t="inlineStr">
        <is>
          <t>080608</t>
        </is>
      </c>
      <c r="C209" s="38" t="inlineStr">
        <is>
          <t>Castellfollit de Riubregós</t>
        </is>
      </c>
      <c r="D209" s="44" t="n">
        <v>26.21</v>
      </c>
      <c r="F209" s="38" t="inlineStr">
        <is>
          <t>Publicació municipal 2025; la superfície s'utilitza com a magnitud territorial</t>
        </is>
      </c>
    </row>
    <row r="210" ht="15" customHeight="1" s="39">
      <c r="A210" s="38" t="inlineStr">
        <is>
          <t>[080594] Castellfollit del Boix</t>
        </is>
      </c>
      <c r="B210" s="42" t="inlineStr">
        <is>
          <t>080594</t>
        </is>
      </c>
      <c r="C210" s="38" t="inlineStr">
        <is>
          <t>Castellfollit del Boix</t>
        </is>
      </c>
      <c r="D210" s="44" t="n">
        <v>58.9</v>
      </c>
      <c r="F210" s="38" t="inlineStr">
        <is>
          <t>Publicació municipal 2025; la superfície s'utilitza com a magnitud territorial</t>
        </is>
      </c>
    </row>
    <row r="211" ht="15" customHeight="1" s="39">
      <c r="A211" s="38" t="inlineStr">
        <is>
          <t>[080615] Castellgalí</t>
        </is>
      </c>
      <c r="B211" s="42" t="inlineStr">
        <is>
          <t>080615</t>
        </is>
      </c>
      <c r="C211" s="38" t="inlineStr">
        <is>
          <t>Castellgalí</t>
        </is>
      </c>
      <c r="D211" s="44" t="n">
        <v>17.21</v>
      </c>
      <c r="F211" s="38" t="inlineStr">
        <is>
          <t>Publicació municipal 2025; la superfície s'utilitza com a magnitud territorial</t>
        </is>
      </c>
    </row>
    <row r="212" ht="15" customHeight="1" s="39">
      <c r="A212" s="38" t="inlineStr">
        <is>
          <t>[080620] Castellnou de Bages</t>
        </is>
      </c>
      <c r="B212" s="42" t="inlineStr">
        <is>
          <t>080620</t>
        </is>
      </c>
      <c r="C212" s="38" t="inlineStr">
        <is>
          <t>Castellnou de Bages</t>
        </is>
      </c>
      <c r="D212" s="44" t="n">
        <v>29.16</v>
      </c>
      <c r="F212" s="38" t="inlineStr">
        <is>
          <t>Publicació municipal 2025; la superfície s'utilitza com a magnitud territorial</t>
        </is>
      </c>
    </row>
    <row r="213" ht="15" customHeight="1" s="39">
      <c r="A213" s="38" t="inlineStr">
        <is>
          <t>[250680] Castellnou de Seana</t>
        </is>
      </c>
      <c r="B213" s="42" t="inlineStr">
        <is>
          <t>250680</t>
        </is>
      </c>
      <c r="C213" s="38" t="inlineStr">
        <is>
          <t>Castellnou de Seana</t>
        </is>
      </c>
      <c r="D213" s="44" t="n">
        <v>16.11</v>
      </c>
      <c r="F213" s="38" t="inlineStr">
        <is>
          <t>Publicació municipal 2025; la superfície s'utilitza com a magnitud territorial</t>
        </is>
      </c>
    </row>
    <row r="214" ht="15" customHeight="1" s="39">
      <c r="A214" s="38" t="inlineStr">
        <is>
          <t>[170470] Castelló d'Empúries</t>
        </is>
      </c>
      <c r="B214" s="42" t="inlineStr">
        <is>
          <t>170470</t>
        </is>
      </c>
      <c r="C214" s="38" t="inlineStr">
        <is>
          <t>Castelló d'Empúries</t>
        </is>
      </c>
      <c r="D214" s="44" t="n">
        <v>42.3</v>
      </c>
      <c r="F214" s="38" t="inlineStr">
        <is>
          <t>Publicació municipal 2025; la superfície s'utilitza com a magnitud territorial</t>
        </is>
      </c>
    </row>
    <row r="215" ht="15" customHeight="1" s="39">
      <c r="A215" s="38" t="inlineStr">
        <is>
          <t>[250693] Castelló de Farfanya</t>
        </is>
      </c>
      <c r="B215" s="42" t="inlineStr">
        <is>
          <t>250693</t>
        </is>
      </c>
      <c r="C215" s="38" t="inlineStr">
        <is>
          <t>Castelló de Farfanya</t>
        </is>
      </c>
      <c r="D215" s="44" t="n">
        <v>52.62</v>
      </c>
      <c r="F215" s="38" t="inlineStr">
        <is>
          <t>Publicació municipal 2025; la superfície s'utilitza com a magnitud territorial</t>
        </is>
      </c>
    </row>
    <row r="216" ht="15" customHeight="1" s="39">
      <c r="A216" s="38" t="inlineStr">
        <is>
          <t>[080636] Castellolí</t>
        </is>
      </c>
      <c r="B216" s="42" t="inlineStr">
        <is>
          <t>080636</t>
        </is>
      </c>
      <c r="C216" s="38" t="inlineStr">
        <is>
          <t>Castellolí</t>
        </is>
      </c>
      <c r="D216" s="44" t="n">
        <v>25.28</v>
      </c>
      <c r="F216" s="38" t="inlineStr">
        <is>
          <t>Publicació municipal 2025; la superfície s'utilitza com a magnitud territorial</t>
        </is>
      </c>
    </row>
    <row r="217" ht="15" customHeight="1" s="39">
      <c r="A217" s="38" t="inlineStr">
        <is>
          <t>[250707] Castellserà</t>
        </is>
      </c>
      <c r="B217" s="42" t="inlineStr">
        <is>
          <t>250707</t>
        </is>
      </c>
      <c r="C217" s="38" t="inlineStr">
        <is>
          <t>Castellserà</t>
        </is>
      </c>
      <c r="D217" s="44" t="n">
        <v>15.84</v>
      </c>
      <c r="F217" s="38" t="inlineStr">
        <is>
          <t>Publicació municipal 2025; la superfície s'utilitza com a magnitud territorial</t>
        </is>
      </c>
    </row>
    <row r="218" ht="15" customHeight="1" s="39">
      <c r="A218" s="38" t="inlineStr">
        <is>
          <t>[080641] Castellterçol</t>
        </is>
      </c>
      <c r="B218" s="42" t="inlineStr">
        <is>
          <t>080641</t>
        </is>
      </c>
      <c r="C218" s="38" t="inlineStr">
        <is>
          <t>Castellterçol</t>
        </is>
      </c>
      <c r="D218" s="44" t="n">
        <v>31.9</v>
      </c>
      <c r="F218" s="38" t="inlineStr">
        <is>
          <t>Publicació municipal 2025; la superfície s'utilitza com a magnitud territorial</t>
        </is>
      </c>
    </row>
    <row r="219" ht="15" customHeight="1" s="39">
      <c r="A219" s="38" t="inlineStr">
        <is>
          <t>[430424] Castellvell del Camp</t>
        </is>
      </c>
      <c r="B219" s="42" t="inlineStr">
        <is>
          <t>430424</t>
        </is>
      </c>
      <c r="C219" s="38" t="inlineStr">
        <is>
          <t>Castellvell del Camp</t>
        </is>
      </c>
      <c r="D219" s="44" t="n">
        <v>5.21</v>
      </c>
      <c r="F219" s="38" t="inlineStr">
        <is>
          <t>Publicació municipal 2025; la superfície s'utilitza com a magnitud territorial</t>
        </is>
      </c>
    </row>
    <row r="220" ht="15" customHeight="1" s="39">
      <c r="A220" s="38" t="inlineStr">
        <is>
          <t>[080654] Castellví de la Marca</t>
        </is>
      </c>
      <c r="B220" s="42" t="inlineStr">
        <is>
          <t>080654</t>
        </is>
      </c>
      <c r="C220" s="38" t="inlineStr">
        <is>
          <t>Castellví de la Marca</t>
        </is>
      </c>
      <c r="D220" s="44" t="n">
        <v>28.4</v>
      </c>
      <c r="F220" s="38" t="inlineStr">
        <is>
          <t>Publicació municipal 2025; la superfície s'utilitza com a magnitud territorial</t>
        </is>
      </c>
    </row>
    <row r="221" ht="15" customHeight="1" s="39">
      <c r="A221" s="38" t="inlineStr">
        <is>
          <t>[080667] Castellví de Rosanes</t>
        </is>
      </c>
      <c r="B221" s="42" t="inlineStr">
        <is>
          <t>080667</t>
        </is>
      </c>
      <c r="C221" s="38" t="inlineStr">
        <is>
          <t>Castellví de Rosanes</t>
        </is>
      </c>
      <c r="D221" s="44" t="n">
        <v>16.38</v>
      </c>
      <c r="F221" s="38" t="inlineStr">
        <is>
          <t>Publicació municipal 2025; la superfície s'utilitza com a magnitud territorial</t>
        </is>
      </c>
    </row>
    <row r="222" ht="15" customHeight="1" s="39">
      <c r="A222" s="38" t="inlineStr">
        <is>
          <t>[430430] Catllar, el</t>
        </is>
      </c>
      <c r="B222" s="42" t="inlineStr">
        <is>
          <t>430430</t>
        </is>
      </c>
      <c r="C222" s="38" t="inlineStr">
        <is>
          <t>Catllar, el</t>
        </is>
      </c>
      <c r="D222" s="44" t="n">
        <v>26.43</v>
      </c>
      <c r="F222" s="38" t="inlineStr">
        <is>
          <t>Publicació municipal 2025; la superfície s'utilitza com a magnitud territorial</t>
        </is>
      </c>
    </row>
    <row r="223" ht="15" customHeight="1" s="39">
      <c r="A223" s="38" t="inlineStr">
        <is>
          <t>[250714] Cava</t>
        </is>
      </c>
      <c r="B223" s="42" t="inlineStr">
        <is>
          <t>250714</t>
        </is>
      </c>
      <c r="C223" s="38" t="inlineStr">
        <is>
          <t>Cava</t>
        </is>
      </c>
      <c r="D223" s="44" t="n">
        <v>42.19</v>
      </c>
      <c r="F223" s="38" t="inlineStr">
        <is>
          <t>Publicació municipal 2025; la superfície s'utilitza com a magnitud territorial</t>
        </is>
      </c>
    </row>
    <row r="224" ht="15" customHeight="1" s="39">
      <c r="A224" s="38" t="inlineStr">
        <is>
          <t>[171899] Cellera de Ter, la</t>
        </is>
      </c>
      <c r="B224" s="42" t="inlineStr">
        <is>
          <t>171899</t>
        </is>
      </c>
      <c r="C224" s="38" t="inlineStr">
        <is>
          <t>Cellera de Ter, la</t>
        </is>
      </c>
      <c r="D224" s="44" t="n">
        <v>14.63</v>
      </c>
      <c r="F224" s="38" t="inlineStr">
        <is>
          <t>Publicació municipal 2025; la superfície s'utilitza com a magnitud territorial</t>
        </is>
      </c>
    </row>
    <row r="225" ht="15" customHeight="1" s="39">
      <c r="A225" s="38" t="inlineStr">
        <is>
          <t>[170499] Celrà</t>
        </is>
      </c>
      <c r="B225" s="42" t="inlineStr">
        <is>
          <t>170499</t>
        </is>
      </c>
      <c r="C225" s="38" t="inlineStr">
        <is>
          <t>Celrà</t>
        </is>
      </c>
      <c r="D225" s="44" t="n">
        <v>19.53</v>
      </c>
      <c r="F225" s="38" t="inlineStr">
        <is>
          <t>Publicació municipal 2025; la superfície s'utilitza com a magnitud territorial</t>
        </is>
      </c>
    </row>
    <row r="226" ht="15" customHeight="1" s="39">
      <c r="A226" s="38" t="inlineStr">
        <is>
          <t>[080673] Centelles</t>
        </is>
      </c>
      <c r="B226" s="42" t="inlineStr">
        <is>
          <t>080673</t>
        </is>
      </c>
      <c r="C226" s="38" t="inlineStr">
        <is>
          <t>Centelles</t>
        </is>
      </c>
      <c r="D226" s="44" t="n">
        <v>15.18</v>
      </c>
      <c r="F226" s="38" t="inlineStr">
        <is>
          <t>Publicació municipal 2025; la superfície s'utilitza com a magnitud territorial</t>
        </is>
      </c>
    </row>
    <row r="227" ht="15" customHeight="1" s="39">
      <c r="A227" s="38" t="inlineStr">
        <is>
          <t>[082687] Cercs</t>
        </is>
      </c>
      <c r="B227" s="42" t="inlineStr">
        <is>
          <t>082687</t>
        </is>
      </c>
      <c r="C227" s="38" t="inlineStr">
        <is>
          <t>Cercs</t>
        </is>
      </c>
      <c r="D227" s="44" t="n">
        <v>47.35</v>
      </c>
      <c r="F227" s="38" t="inlineStr">
        <is>
          <t>Publicació municipal 2025; la superfície s'utilitza com a magnitud territorial</t>
        </is>
      </c>
    </row>
    <row r="228" ht="15" customHeight="1" s="39">
      <c r="A228" s="38" t="inlineStr">
        <is>
          <t>[082665] Cerdanyola del Vallès</t>
        </is>
      </c>
      <c r="B228" s="42" t="inlineStr">
        <is>
          <t>082665</t>
        </is>
      </c>
      <c r="C228" s="38" t="inlineStr">
        <is>
          <t>Cerdanyola del Vallès</t>
        </is>
      </c>
      <c r="D228" s="44" t="n">
        <v>30.56</v>
      </c>
      <c r="F228" s="38" t="inlineStr">
        <is>
          <t>Publicació municipal 2025; la superfície s'utilitza com a magnitud territorial</t>
        </is>
      </c>
    </row>
    <row r="229" ht="15" customHeight="1" s="39">
      <c r="A229" s="38" t="inlineStr">
        <is>
          <t>[080689] Cervelló</t>
        </is>
      </c>
      <c r="B229" s="42" t="inlineStr">
        <is>
          <t>080689</t>
        </is>
      </c>
      <c r="C229" s="38" t="inlineStr">
        <is>
          <t>Cervelló</t>
        </is>
      </c>
      <c r="D229" s="44" t="n">
        <v>24.1</v>
      </c>
      <c r="F229" s="38" t="inlineStr">
        <is>
          <t>Publicació municipal 2025; la superfície s'utilitza com a magnitud territorial</t>
        </is>
      </c>
    </row>
    <row r="230" ht="15" customHeight="1" s="39">
      <c r="A230" s="38" t="inlineStr">
        <is>
          <t>[250729] Cervera</t>
        </is>
      </c>
      <c r="B230" s="42" t="inlineStr">
        <is>
          <t>250729</t>
        </is>
      </c>
      <c r="C230" s="38" t="inlineStr">
        <is>
          <t>Cervera</t>
        </is>
      </c>
      <c r="D230" s="44" t="n">
        <v>55.19</v>
      </c>
      <c r="F230" s="38" t="inlineStr">
        <is>
          <t>Publicació municipal 2025; la superfície s'utilitza com a magnitud territorial</t>
        </is>
      </c>
    </row>
    <row r="231" ht="15" customHeight="1" s="39">
      <c r="A231" s="38" t="inlineStr">
        <is>
          <t>[250735] Cervià de les Garrigues</t>
        </is>
      </c>
      <c r="B231" s="42" t="inlineStr">
        <is>
          <t>250735</t>
        </is>
      </c>
      <c r="C231" s="38" t="inlineStr">
        <is>
          <t>Cervià de les Garrigues</t>
        </is>
      </c>
      <c r="D231" s="44" t="n">
        <v>34.2</v>
      </c>
      <c r="F231" s="38" t="inlineStr">
        <is>
          <t>Publicació municipal 2025; la superfície s'utilitza com a magnitud territorial</t>
        </is>
      </c>
    </row>
    <row r="232" ht="15" customHeight="1" s="39">
      <c r="A232" s="38" t="inlineStr">
        <is>
          <t>[170502] Cervià de Ter</t>
        </is>
      </c>
      <c r="B232" s="42" t="inlineStr">
        <is>
          <t>170502</t>
        </is>
      </c>
      <c r="C232" s="38" t="inlineStr">
        <is>
          <t>Cervià de Ter</t>
        </is>
      </c>
      <c r="D232" s="44" t="n">
        <v>9.9</v>
      </c>
      <c r="F232" s="38" t="inlineStr">
        <is>
          <t>Publicació municipal 2025; la superfície s'utilitza com a magnitud territorial</t>
        </is>
      </c>
    </row>
    <row r="233" ht="15" customHeight="1" s="39">
      <c r="A233" s="38" t="inlineStr">
        <is>
          <t>[170519] Cistella</t>
        </is>
      </c>
      <c r="B233" s="42" t="inlineStr">
        <is>
          <t>170519</t>
        </is>
      </c>
      <c r="C233" s="38" t="inlineStr">
        <is>
          <t>Cistella</t>
        </is>
      </c>
      <c r="D233" s="44" t="n">
        <v>25.55</v>
      </c>
      <c r="F233" s="38" t="inlineStr">
        <is>
          <t>Publicació municipal 2025; la superfície s'utilitza com a magnitud territorial</t>
        </is>
      </c>
    </row>
    <row r="234" ht="15" customHeight="1" s="39">
      <c r="A234" s="38" t="inlineStr">
        <is>
          <t>[250740] Ciutadilla</t>
        </is>
      </c>
      <c r="B234" s="42" t="inlineStr">
        <is>
          <t>250740</t>
        </is>
      </c>
      <c r="C234" s="38" t="inlineStr">
        <is>
          <t>Ciutadilla</t>
        </is>
      </c>
      <c r="D234" s="44" t="n">
        <v>17.03</v>
      </c>
      <c r="F234" s="38" t="inlineStr">
        <is>
          <t>Publicació municipal 2025; la superfície s'utilitza com a magnitud territorial</t>
        </is>
      </c>
    </row>
    <row r="235" ht="15" customHeight="1" s="39">
      <c r="A235" s="38" t="inlineStr">
        <is>
          <t>[250753] Clariana de Cardener</t>
        </is>
      </c>
      <c r="B235" s="42" t="inlineStr">
        <is>
          <t>250753</t>
        </is>
      </c>
      <c r="C235" s="38" t="inlineStr">
        <is>
          <t>Clariana de Cardener</t>
        </is>
      </c>
      <c r="D235" s="44" t="n">
        <v>40.78</v>
      </c>
      <c r="F235" s="38" t="inlineStr">
        <is>
          <t>Publicació municipal 2025; la superfície s'utilitza com a magnitud territorial</t>
        </is>
      </c>
    </row>
    <row r="236" ht="15" customHeight="1" s="39">
      <c r="A236" s="38" t="inlineStr">
        <is>
          <t>[250766] Cogul, el</t>
        </is>
      </c>
      <c r="B236" s="42" t="inlineStr">
        <is>
          <t>250766</t>
        </is>
      </c>
      <c r="C236" s="38" t="inlineStr">
        <is>
          <t>Cogul, el</t>
        </is>
      </c>
      <c r="D236" s="44" t="n">
        <v>17.51</v>
      </c>
      <c r="F236" s="38" t="inlineStr">
        <is>
          <t>Publicació municipal 2025; la superfície s'utilitza com a magnitud territorial</t>
        </is>
      </c>
    </row>
    <row r="237" ht="15" customHeight="1" s="39">
      <c r="A237" s="38" t="inlineStr">
        <is>
          <t>[170545] Colera</t>
        </is>
      </c>
      <c r="B237" s="42" t="inlineStr">
        <is>
          <t>170545</t>
        </is>
      </c>
      <c r="C237" s="38" t="inlineStr">
        <is>
          <t>Colera</t>
        </is>
      </c>
      <c r="D237" s="44" t="n">
        <v>24.35</v>
      </c>
      <c r="F237" s="38" t="inlineStr">
        <is>
          <t>Publicació municipal 2025; la superfície s'utilitza com a magnitud territorial</t>
        </is>
      </c>
    </row>
    <row r="238" ht="15" customHeight="1" s="39">
      <c r="A238" s="38" t="inlineStr">
        <is>
          <t>[250772] Coll de Nargó</t>
        </is>
      </c>
      <c r="B238" s="42" t="inlineStr">
        <is>
          <t>250772</t>
        </is>
      </c>
      <c r="C238" s="38" t="inlineStr">
        <is>
          <t>Coll de Nargó</t>
        </is>
      </c>
      <c r="D238" s="44" t="n">
        <v>151.41</v>
      </c>
      <c r="F238" s="38" t="inlineStr">
        <is>
          <t>Publicació municipal 2025; la superfície s'utilitza com a magnitud territorial</t>
        </is>
      </c>
    </row>
    <row r="239" ht="15" customHeight="1" s="39">
      <c r="A239" s="38" t="inlineStr">
        <is>
          <t>[080692] Collbató</t>
        </is>
      </c>
      <c r="B239" s="42" t="inlineStr">
        <is>
          <t>080692</t>
        </is>
      </c>
      <c r="C239" s="38" t="inlineStr">
        <is>
          <t>Collbató</t>
        </is>
      </c>
      <c r="D239" s="44" t="n">
        <v>18.07</v>
      </c>
      <c r="F239" s="38" t="inlineStr">
        <is>
          <t>Publicació municipal 2025; la superfície s'utilitza com a magnitud territorial</t>
        </is>
      </c>
    </row>
    <row r="240" ht="15" customHeight="1" s="39">
      <c r="A240" s="38" t="inlineStr">
        <is>
          <t>[430458] Colldejou</t>
        </is>
      </c>
      <c r="B240" s="42" t="inlineStr">
        <is>
          <t>430458</t>
        </is>
      </c>
      <c r="C240" s="38" t="inlineStr">
        <is>
          <t>Colldejou</t>
        </is>
      </c>
      <c r="D240" s="44" t="n">
        <v>14.48</v>
      </c>
      <c r="F240" s="38" t="inlineStr">
        <is>
          <t>Publicació municipal 2025; la superfície s'utilitza com a magnitud territorial</t>
        </is>
      </c>
    </row>
    <row r="241" ht="15" customHeight="1" s="39">
      <c r="A241" s="38" t="inlineStr">
        <is>
          <t>[080706] Collsuspina</t>
        </is>
      </c>
      <c r="B241" s="42" t="inlineStr">
        <is>
          <t>080706</t>
        </is>
      </c>
      <c r="C241" s="38" t="inlineStr">
        <is>
          <t>Collsuspina</t>
        </is>
      </c>
      <c r="D241" s="44" t="n">
        <v>15.08</v>
      </c>
      <c r="F241" s="38" t="inlineStr">
        <is>
          <t>Publicació municipal 2025; la superfície s'utilitza com a magnitud territorial</t>
        </is>
      </c>
    </row>
    <row r="242" ht="15" customHeight="1" s="39">
      <c r="A242" s="38" t="inlineStr">
        <is>
          <t>[170558] Colomers</t>
        </is>
      </c>
      <c r="B242" s="42" t="inlineStr">
        <is>
          <t>170558</t>
        </is>
      </c>
      <c r="C242" s="38" t="inlineStr">
        <is>
          <t>Colomers</t>
        </is>
      </c>
      <c r="D242" s="44" t="n">
        <v>4.35</v>
      </c>
      <c r="F242" s="38" t="inlineStr">
        <is>
          <t>Publicació municipal 2025; la superfície s'utilitza com a magnitud territorial</t>
        </is>
      </c>
    </row>
    <row r="243" ht="15" customHeight="1" s="39">
      <c r="A243" s="38" t="inlineStr">
        <is>
          <t>[251636] Coma i la Pedra, la</t>
        </is>
      </c>
      <c r="B243" s="42" t="inlineStr">
        <is>
          <t>251636</t>
        </is>
      </c>
      <c r="C243" s="38" t="inlineStr">
        <is>
          <t>Coma i la Pedra, la</t>
        </is>
      </c>
      <c r="D243" s="44" t="n">
        <v>60.62</v>
      </c>
      <c r="F243" s="38" t="inlineStr">
        <is>
          <t>Publicació municipal 2025; la superfície s'utilitza com a magnitud territorial</t>
        </is>
      </c>
    </row>
    <row r="244" ht="15" customHeight="1" s="39">
      <c r="A244" s="38" t="inlineStr">
        <is>
          <t>[251615] Conca de Dalt</t>
        </is>
      </c>
      <c r="B244" s="42" t="inlineStr">
        <is>
          <t>251615</t>
        </is>
      </c>
      <c r="C244" s="38" t="inlineStr">
        <is>
          <t>Conca de Dalt</t>
        </is>
      </c>
      <c r="D244" s="44" t="n">
        <v>166.48</v>
      </c>
      <c r="F244" s="38" t="inlineStr">
        <is>
          <t>Publicació municipal 2025; la superfície s'utilitza com a magnitud territorial</t>
        </is>
      </c>
    </row>
    <row r="245" ht="15" customHeight="1" s="39">
      <c r="A245" s="38" t="inlineStr">
        <is>
          <t>[430461] Conesa</t>
        </is>
      </c>
      <c r="B245" s="42" t="inlineStr">
        <is>
          <t>430461</t>
        </is>
      </c>
      <c r="C245" s="38" t="inlineStr">
        <is>
          <t>Conesa</t>
        </is>
      </c>
      <c r="D245" s="44" t="n">
        <v>29.02</v>
      </c>
      <c r="F245" s="38" t="inlineStr">
        <is>
          <t>Publicació municipal 2025; la superfície s'utilitza com a magnitud territorial</t>
        </is>
      </c>
    </row>
    <row r="246" ht="15" customHeight="1" s="39">
      <c r="A246" s="38" t="inlineStr">
        <is>
          <t>[430477] Constantí</t>
        </is>
      </c>
      <c r="B246" s="42" t="inlineStr">
        <is>
          <t>430477</t>
        </is>
      </c>
      <c r="C246" s="38" t="inlineStr">
        <is>
          <t>Constantí</t>
        </is>
      </c>
      <c r="D246" s="44" t="n">
        <v>30.87</v>
      </c>
      <c r="F246" s="38" t="inlineStr">
        <is>
          <t>Publicació municipal 2025; la superfície s'utilitza com a magnitud territorial</t>
        </is>
      </c>
    </row>
    <row r="247" ht="15" customHeight="1" s="39">
      <c r="A247" s="38" t="inlineStr">
        <is>
          <t>[080713] Copons</t>
        </is>
      </c>
      <c r="B247" s="42" t="inlineStr">
        <is>
          <t>080713</t>
        </is>
      </c>
      <c r="C247" s="38" t="inlineStr">
        <is>
          <t>Copons</t>
        </is>
      </c>
      <c r="D247" s="44" t="n">
        <v>18.66</v>
      </c>
      <c r="F247" s="38" t="inlineStr">
        <is>
          <t>Publicació municipal 2025; la superfície s'utilitza com a magnitud territorial</t>
        </is>
      </c>
    </row>
    <row r="248" ht="15" customHeight="1" s="39">
      <c r="A248" s="38" t="inlineStr">
        <is>
          <t>[430483] Corbera d'Ebre</t>
        </is>
      </c>
      <c r="B248" s="42" t="inlineStr">
        <is>
          <t>430483</t>
        </is>
      </c>
      <c r="C248" s="38" t="inlineStr">
        <is>
          <t>Corbera d'Ebre</t>
        </is>
      </c>
      <c r="D248" s="44" t="n">
        <v>53.09</v>
      </c>
      <c r="F248" s="38" t="inlineStr">
        <is>
          <t>Publicació municipal 2025; la superfície s'utilitza com a magnitud territorial</t>
        </is>
      </c>
    </row>
    <row r="249" ht="15" customHeight="1" s="39">
      <c r="A249" s="38" t="inlineStr">
        <is>
          <t>[080728] Corbera de Llobregat</t>
        </is>
      </c>
      <c r="B249" s="42" t="inlineStr">
        <is>
          <t>080728</t>
        </is>
      </c>
      <c r="C249" s="38" t="inlineStr">
        <is>
          <t>Corbera de Llobregat</t>
        </is>
      </c>
      <c r="D249" s="44" t="n">
        <v>18.41</v>
      </c>
      <c r="F249" s="38" t="inlineStr">
        <is>
          <t>Publicació municipal 2025; la superfície s'utilitza com a magnitud territorial</t>
        </is>
      </c>
    </row>
    <row r="250" ht="15" customHeight="1" s="39">
      <c r="A250" s="38" t="inlineStr">
        <is>
          <t>[250788] Corbins</t>
        </is>
      </c>
      <c r="B250" s="42" t="inlineStr">
        <is>
          <t>250788</t>
        </is>
      </c>
      <c r="C250" s="38" t="inlineStr">
        <is>
          <t>Corbins</t>
        </is>
      </c>
      <c r="D250" s="44" t="n">
        <v>21.01</v>
      </c>
      <c r="F250" s="38" t="inlineStr">
        <is>
          <t>Publicació municipal 2025; la superfície s'utilitza com a magnitud territorial</t>
        </is>
      </c>
    </row>
    <row r="251" ht="15" customHeight="1" s="39">
      <c r="A251" s="38" t="inlineStr">
        <is>
          <t>[170577] Corçà</t>
        </is>
      </c>
      <c r="B251" s="42" t="inlineStr">
        <is>
          <t>170577</t>
        </is>
      </c>
      <c r="C251" s="38" t="inlineStr">
        <is>
          <t>Corçà</t>
        </is>
      </c>
      <c r="D251" s="44" t="n">
        <v>16.29</v>
      </c>
      <c r="F251" s="38" t="inlineStr">
        <is>
          <t>Publicació municipal 2025; la superfície s'utilitza com a magnitud territorial</t>
        </is>
      </c>
    </row>
    <row r="252" ht="15" customHeight="1" s="39">
      <c r="A252" s="38" t="inlineStr">
        <is>
          <t>[080734] Cornellà de Llobregat</t>
        </is>
      </c>
      <c r="B252" s="42" t="inlineStr">
        <is>
          <t>080734</t>
        </is>
      </c>
      <c r="C252" s="38" t="inlineStr">
        <is>
          <t>Cornellà de Llobregat</t>
        </is>
      </c>
      <c r="D252" s="44" t="n">
        <v>6.99</v>
      </c>
      <c r="F252" s="38" t="inlineStr">
        <is>
          <t>Publicació municipal 2025; la superfície s'utilitza com a magnitud territorial</t>
        </is>
      </c>
    </row>
    <row r="253" ht="15" customHeight="1" s="39">
      <c r="A253" s="38" t="inlineStr">
        <is>
          <t>[170561] Cornellà del Terri</t>
        </is>
      </c>
      <c r="B253" s="42" t="inlineStr">
        <is>
          <t>170561</t>
        </is>
      </c>
      <c r="C253" s="38" t="inlineStr">
        <is>
          <t>Cornellà del Terri</t>
        </is>
      </c>
      <c r="D253" s="44" t="n">
        <v>27.71</v>
      </c>
      <c r="F253" s="38" t="inlineStr">
        <is>
          <t>Publicació municipal 2025; la superfície s'utilitza com a magnitud territorial</t>
        </is>
      </c>
    </row>
    <row r="254" ht="15" customHeight="1" s="39">
      <c r="A254" s="38" t="inlineStr">
        <is>
          <t>[430496] Cornudella de Montsant</t>
        </is>
      </c>
      <c r="B254" s="42" t="inlineStr">
        <is>
          <t>430496</t>
        </is>
      </c>
      <c r="C254" s="38" t="inlineStr">
        <is>
          <t>Cornudella de Montsant</t>
        </is>
      </c>
      <c r="D254" s="44" t="n">
        <v>63.5</v>
      </c>
      <c r="F254" s="38" t="inlineStr">
        <is>
          <t>Publicació municipal 2025; la superfície s'utilitza com a magnitud territorial</t>
        </is>
      </c>
    </row>
    <row r="255" ht="15" customHeight="1" s="39">
      <c r="A255" s="38" t="inlineStr">
        <is>
          <t>[430509] Creixell</t>
        </is>
      </c>
      <c r="B255" s="42" t="inlineStr">
        <is>
          <t>430509</t>
        </is>
      </c>
      <c r="C255" s="38" t="inlineStr">
        <is>
          <t>Creixell</t>
        </is>
      </c>
      <c r="D255" s="44" t="n">
        <v>10.46</v>
      </c>
      <c r="F255" s="38" t="inlineStr">
        <is>
          <t>Publicació municipal 2025; la superfície s'utilitza com a magnitud territorial</t>
        </is>
      </c>
    </row>
    <row r="256" ht="15" customHeight="1" s="39">
      <c r="A256" s="38" t="inlineStr">
        <is>
          <t>[170583] Crespià</t>
        </is>
      </c>
      <c r="B256" s="42" t="inlineStr">
        <is>
          <t>170583</t>
        </is>
      </c>
      <c r="C256" s="38" t="inlineStr">
        <is>
          <t>Crespià</t>
        </is>
      </c>
      <c r="D256" s="44" t="n">
        <v>11.38</v>
      </c>
      <c r="F256" s="38" t="inlineStr">
        <is>
          <t>Publicació municipal 2025; la superfície s'utilitza com a magnitud territorial</t>
        </is>
      </c>
    </row>
    <row r="257" ht="15" customHeight="1" s="39">
      <c r="A257" s="38" t="inlineStr">
        <is>
          <t>[179011] Cruïlles, Monells i Sant Sadurní de l'Heura</t>
        </is>
      </c>
      <c r="B257" s="42" t="inlineStr">
        <is>
          <t>179011</t>
        </is>
      </c>
      <c r="C257" s="38" t="inlineStr">
        <is>
          <t>Cruïlles, Monells i Sant Sadurní de l'Heura</t>
        </is>
      </c>
      <c r="D257" s="44" t="n">
        <v>99.84</v>
      </c>
      <c r="F257" s="38" t="inlineStr">
        <is>
          <t>Publicació municipal 2025; la superfície s'utilitza com a magnitud territorial</t>
        </is>
      </c>
    </row>
    <row r="258" ht="15" customHeight="1" s="39">
      <c r="A258" s="38" t="inlineStr">
        <is>
          <t>[080749] Cubelles</t>
        </is>
      </c>
      <c r="B258" s="42" t="inlineStr">
        <is>
          <t>080749</t>
        </is>
      </c>
      <c r="C258" s="38" t="inlineStr">
        <is>
          <t>Cubelles</t>
        </is>
      </c>
      <c r="D258" s="44" t="n">
        <v>13.49</v>
      </c>
      <c r="F258" s="38" t="inlineStr">
        <is>
          <t>Publicació municipal 2025; la superfície s'utilitza com a magnitud territorial</t>
        </is>
      </c>
    </row>
    <row r="259" ht="15" customHeight="1" s="39">
      <c r="A259" s="38" t="inlineStr">
        <is>
          <t>[250791] Cubells</t>
        </is>
      </c>
      <c r="B259" s="42" t="inlineStr">
        <is>
          <t>250791</t>
        </is>
      </c>
      <c r="C259" s="38" t="inlineStr">
        <is>
          <t>Cubells</t>
        </is>
      </c>
      <c r="D259" s="44" t="n">
        <v>39.17</v>
      </c>
      <c r="F259" s="38" t="inlineStr">
        <is>
          <t>Publicació municipal 2025; la superfície s'utilitza com a magnitud territorial</t>
        </is>
      </c>
    </row>
    <row r="260" ht="15" customHeight="1" s="39">
      <c r="A260" s="38" t="inlineStr">
        <is>
          <t>[430516] Cunit</t>
        </is>
      </c>
      <c r="B260" s="42" t="inlineStr">
        <is>
          <t>430516</t>
        </is>
      </c>
      <c r="C260" s="38" t="inlineStr">
        <is>
          <t>Cunit</t>
        </is>
      </c>
      <c r="D260" s="44" t="n">
        <v>9.74</v>
      </c>
      <c r="F260" s="38" t="inlineStr">
        <is>
          <t>Publicació municipal 2025; la superfície s'utilitza com a magnitud territorial</t>
        </is>
      </c>
    </row>
    <row r="261" ht="15" customHeight="1" s="39">
      <c r="A261" s="38" t="inlineStr">
        <is>
          <t>[170600] Darnius</t>
        </is>
      </c>
      <c r="B261" s="42" t="inlineStr">
        <is>
          <t>170600</t>
        </is>
      </c>
      <c r="C261" s="38" t="inlineStr">
        <is>
          <t>Darnius</t>
        </is>
      </c>
      <c r="D261" s="44" t="n">
        <v>34.93</v>
      </c>
      <c r="F261" s="38" t="inlineStr">
        <is>
          <t>Publicació municipal 2025; la superfície s'utilitza com a magnitud territorial</t>
        </is>
      </c>
    </row>
    <row r="262" ht="15" customHeight="1" s="39">
      <c r="A262" s="38" t="inlineStr">
        <is>
          <t>[170617] Das</t>
        </is>
      </c>
      <c r="B262" s="42" t="inlineStr">
        <is>
          <t>170617</t>
        </is>
      </c>
      <c r="C262" s="38" t="inlineStr">
        <is>
          <t>Das</t>
        </is>
      </c>
      <c r="D262" s="44" t="n">
        <v>14.58</v>
      </c>
      <c r="F262" s="38" t="inlineStr">
        <is>
          <t>Publicació municipal 2025; la superfície s'utilitza com a magnitud territorial</t>
        </is>
      </c>
    </row>
    <row r="263" ht="15" customHeight="1" s="39">
      <c r="A263" s="38" t="inlineStr">
        <is>
          <t>[439018] Deltebre</t>
        </is>
      </c>
      <c r="B263" s="42" t="inlineStr">
        <is>
          <t>439018</t>
        </is>
      </c>
      <c r="C263" s="38" t="inlineStr">
        <is>
          <t>Deltebre</t>
        </is>
      </c>
      <c r="D263" s="44" t="n">
        <v>107.44</v>
      </c>
      <c r="F263" s="38" t="inlineStr">
        <is>
          <t>Publicació municipal 2025; la superfície s'utilitza com a magnitud territorial</t>
        </is>
      </c>
    </row>
    <row r="264" ht="15" customHeight="1" s="39">
      <c r="A264" s="38" t="inlineStr">
        <is>
          <t>[080752] Dosrius</t>
        </is>
      </c>
      <c r="B264" s="42" t="inlineStr">
        <is>
          <t>080752</t>
        </is>
      </c>
      <c r="C264" s="38" t="inlineStr">
        <is>
          <t>Dosrius</t>
        </is>
      </c>
      <c r="D264" s="44" t="n">
        <v>40.73</v>
      </c>
      <c r="F264" s="38" t="inlineStr">
        <is>
          <t>Publicació municipal 2025; la superfície s'utilitza com a magnitud territorial</t>
        </is>
      </c>
    </row>
    <row r="265" ht="15" customHeight="1" s="39">
      <c r="A265" s="38" t="inlineStr">
        <is>
          <t>[430537] Duesaigües</t>
        </is>
      </c>
      <c r="B265" s="42" t="inlineStr">
        <is>
          <t>430537</t>
        </is>
      </c>
      <c r="C265" s="38" t="inlineStr">
        <is>
          <t>Duesaigües</t>
        </is>
      </c>
      <c r="D265" s="44" t="n">
        <v>13.58</v>
      </c>
      <c r="F265" s="38" t="inlineStr">
        <is>
          <t>Publicació municipal 2025; la superfície s'utilitza com a magnitud territorial</t>
        </is>
      </c>
    </row>
    <row r="266" ht="15" customHeight="1" s="39">
      <c r="A266" s="38" t="inlineStr">
        <is>
          <t>[170622] Escala, l'</t>
        </is>
      </c>
      <c r="B266" s="42" t="inlineStr">
        <is>
          <t>170622</t>
        </is>
      </c>
      <c r="C266" s="38" t="inlineStr">
        <is>
          <t>Escala, l'</t>
        </is>
      </c>
      <c r="D266" s="44" t="n">
        <v>16.31</v>
      </c>
      <c r="F266" s="38" t="inlineStr">
        <is>
          <t>Publicació municipal 2025; la superfície s'utilitza com a magnitud territorial</t>
        </is>
      </c>
    </row>
    <row r="267" ht="15" customHeight="1" s="39">
      <c r="A267" s="38" t="inlineStr">
        <is>
          <t>[080765] Esparreguera</t>
        </is>
      </c>
      <c r="B267" s="42" t="inlineStr">
        <is>
          <t>080765</t>
        </is>
      </c>
      <c r="C267" s="38" t="inlineStr">
        <is>
          <t>Esparreguera</t>
        </is>
      </c>
      <c r="D267" s="44" t="n">
        <v>27.4</v>
      </c>
      <c r="F267" s="38" t="inlineStr">
        <is>
          <t>Publicació municipal 2025; la superfície s'utilitza com a magnitud territorial</t>
        </is>
      </c>
    </row>
    <row r="268" ht="15" customHeight="1" s="39">
      <c r="A268" s="38" t="inlineStr">
        <is>
          <t>[170638] Espinelves</t>
        </is>
      </c>
      <c r="B268" s="42" t="inlineStr">
        <is>
          <t>170638</t>
        </is>
      </c>
      <c r="C268" s="38" t="inlineStr">
        <is>
          <t>Espinelves</t>
        </is>
      </c>
      <c r="D268" s="44" t="n">
        <v>17.43</v>
      </c>
      <c r="F268" s="38" t="inlineStr">
        <is>
          <t>Publicació municipal 2025; la superfície s'utilitza com a magnitud territorial</t>
        </is>
      </c>
    </row>
    <row r="269" ht="15" customHeight="1" s="39">
      <c r="A269" s="38" t="inlineStr">
        <is>
          <t>[250812] Espluga Calba, l'</t>
        </is>
      </c>
      <c r="B269" s="42" t="inlineStr">
        <is>
          <t>250812</t>
        </is>
      </c>
      <c r="C269" s="38" t="inlineStr">
        <is>
          <t>Espluga Calba, l'</t>
        </is>
      </c>
      <c r="D269" s="44" t="n">
        <v>21.53</v>
      </c>
      <c r="F269" s="38" t="inlineStr">
        <is>
          <t>Publicació municipal 2025; la superfície s'utilitza com a magnitud territorial</t>
        </is>
      </c>
    </row>
    <row r="270" ht="15" customHeight="1" s="39">
      <c r="A270" s="38" t="inlineStr">
        <is>
          <t>[430542] Espluga de Francolí, l'</t>
        </is>
      </c>
      <c r="B270" s="42" t="inlineStr">
        <is>
          <t>430542</t>
        </is>
      </c>
      <c r="C270" s="38" t="inlineStr">
        <is>
          <t>Espluga de Francolí, l'</t>
        </is>
      </c>
      <c r="D270" s="44" t="n">
        <v>56.97</v>
      </c>
      <c r="F270" s="38" t="inlineStr">
        <is>
          <t>Publicació municipal 2025; la superfície s'utilitza com a magnitud territorial</t>
        </is>
      </c>
    </row>
    <row r="271" ht="15" customHeight="1" s="39">
      <c r="A271" s="38" t="inlineStr">
        <is>
          <t>[080771] Esplugues de Llobregat</t>
        </is>
      </c>
      <c r="B271" s="42" t="inlineStr">
        <is>
          <t>080771</t>
        </is>
      </c>
      <c r="C271" s="38" t="inlineStr">
        <is>
          <t>Esplugues de Llobregat</t>
        </is>
      </c>
      <c r="D271" s="44" t="n">
        <v>4.6</v>
      </c>
      <c r="F271" s="38" t="inlineStr">
        <is>
          <t>Publicació municipal 2025; la superfície s'utilitza com a magnitud territorial</t>
        </is>
      </c>
    </row>
    <row r="272" ht="15" customHeight="1" s="39">
      <c r="A272" s="38" t="inlineStr">
        <is>
          <t>[170643] Espolla</t>
        </is>
      </c>
      <c r="B272" s="42" t="inlineStr">
        <is>
          <t>170643</t>
        </is>
      </c>
      <c r="C272" s="38" t="inlineStr">
        <is>
          <t>Espolla</t>
        </is>
      </c>
      <c r="D272" s="44" t="n">
        <v>43.55</v>
      </c>
      <c r="F272" s="38" t="inlineStr">
        <is>
          <t>Publicació municipal 2025; la superfície s'utilitza com a magnitud territorial</t>
        </is>
      </c>
    </row>
    <row r="273" ht="15" customHeight="1" s="39">
      <c r="A273" s="38" t="inlineStr">
        <is>
          <t>[170656] Esponellà</t>
        </is>
      </c>
      <c r="B273" s="42" t="inlineStr">
        <is>
          <t>170656</t>
        </is>
      </c>
      <c r="C273" s="38" t="inlineStr">
        <is>
          <t>Esponellà</t>
        </is>
      </c>
      <c r="D273" s="44" t="n">
        <v>16.06</v>
      </c>
      <c r="F273" s="38" t="inlineStr">
        <is>
          <t>Publicació municipal 2025; la superfície s'utilitza com a magnitud territorial</t>
        </is>
      </c>
    </row>
    <row r="274" ht="15" customHeight="1" s="39">
      <c r="A274" s="38" t="inlineStr">
        <is>
          <t>[250827] Espot</t>
        </is>
      </c>
      <c r="B274" s="42" t="inlineStr">
        <is>
          <t>250827</t>
        </is>
      </c>
      <c r="C274" s="38" t="inlineStr">
        <is>
          <t>Espot</t>
        </is>
      </c>
      <c r="D274" s="44" t="n">
        <v>97.3</v>
      </c>
      <c r="F274" s="38" t="inlineStr">
        <is>
          <t>Publicació municipal 2025; la superfície s'utilitza com a magnitud territorial</t>
        </is>
      </c>
    </row>
    <row r="275" ht="15" customHeight="1" s="39">
      <c r="A275" s="38" t="inlineStr">
        <is>
          <t>[080787] Espunyola, l'</t>
        </is>
      </c>
      <c r="B275" s="42" t="inlineStr">
        <is>
          <t>080787</t>
        </is>
      </c>
      <c r="C275" s="38" t="inlineStr">
        <is>
          <t>Espunyola, l'</t>
        </is>
      </c>
      <c r="D275" s="44" t="n">
        <v>35.46</v>
      </c>
      <c r="F275" s="38" t="inlineStr">
        <is>
          <t>Publicació municipal 2025; la superfície s'utilitza com a magnitud territorial</t>
        </is>
      </c>
    </row>
    <row r="276" ht="15" customHeight="1" s="39">
      <c r="A276" s="38" t="inlineStr">
        <is>
          <t>[082541] Esquirol, l'</t>
        </is>
      </c>
      <c r="B276" s="42" t="inlineStr">
        <is>
          <t>082541</t>
        </is>
      </c>
      <c r="C276" s="38" t="inlineStr">
        <is>
          <t>Esquirol, l'</t>
        </is>
      </c>
      <c r="D276" s="44" t="n">
        <v>61.8</v>
      </c>
      <c r="F276" s="38" t="inlineStr">
        <is>
          <t>Publicació municipal 2025; la superfície s'utilitza com a magnitud territorial</t>
        </is>
      </c>
    </row>
    <row r="277" ht="15" customHeight="1" s="39">
      <c r="A277" s="38" t="inlineStr">
        <is>
          <t>[250886] Estamariu</t>
        </is>
      </c>
      <c r="B277" s="42" t="inlineStr">
        <is>
          <t>250886</t>
        </is>
      </c>
      <c r="C277" s="38" t="inlineStr">
        <is>
          <t>Estamariu</t>
        </is>
      </c>
      <c r="D277" s="44" t="n">
        <v>21.16</v>
      </c>
      <c r="F277" s="38" t="inlineStr">
        <is>
          <t>Publicació municipal 2025; la superfície s'utilitza com a magnitud territorial</t>
        </is>
      </c>
    </row>
    <row r="278" ht="15" customHeight="1" s="39">
      <c r="A278" s="38" t="inlineStr">
        <is>
          <t>[080790] Estany, l'</t>
        </is>
      </c>
      <c r="B278" s="42" t="inlineStr">
        <is>
          <t>080790</t>
        </is>
      </c>
      <c r="C278" s="38" t="inlineStr">
        <is>
          <t>Estany, l'</t>
        </is>
      </c>
      <c r="D278" s="44" t="n">
        <v>10.25</v>
      </c>
      <c r="F278" s="38" t="inlineStr">
        <is>
          <t>Publicació municipal 2025; la superfície s'utilitza com a magnitud territorial</t>
        </is>
      </c>
    </row>
    <row r="279" ht="15" customHeight="1" s="39">
      <c r="A279" s="38" t="inlineStr">
        <is>
          <t>[250851] Estaràs</t>
        </is>
      </c>
      <c r="B279" s="42" t="inlineStr">
        <is>
          <t>250851</t>
        </is>
      </c>
      <c r="C279" s="38" t="inlineStr">
        <is>
          <t>Estaràs</t>
        </is>
      </c>
      <c r="D279" s="44" t="n">
        <v>20.99</v>
      </c>
      <c r="F279" s="38" t="inlineStr">
        <is>
          <t>Publicació municipal 2025; la superfície s'utilitza com a magnitud territorial</t>
        </is>
      </c>
    </row>
    <row r="280" ht="15" customHeight="1" s="39">
      <c r="A280" s="38" t="inlineStr">
        <is>
          <t>[250864] Esterri d'Àneu</t>
        </is>
      </c>
      <c r="B280" s="42" t="inlineStr">
        <is>
          <t>250864</t>
        </is>
      </c>
      <c r="C280" s="38" t="inlineStr">
        <is>
          <t>Esterri d'Àneu</t>
        </is>
      </c>
      <c r="D280" s="44" t="n">
        <v>8.49</v>
      </c>
      <c r="F280" s="38" t="inlineStr">
        <is>
          <t>Publicació municipal 2025; la superfície s'utilitza com a magnitud territorial</t>
        </is>
      </c>
    </row>
    <row r="281" ht="15" customHeight="1" s="39">
      <c r="A281" s="38" t="inlineStr">
        <is>
          <t>[250870] Esterri de Cardós</t>
        </is>
      </c>
      <c r="B281" s="42" t="inlineStr">
        <is>
          <t>250870</t>
        </is>
      </c>
      <c r="C281" s="38" t="inlineStr">
        <is>
          <t>Esterri de Cardós</t>
        </is>
      </c>
      <c r="D281" s="44" t="n">
        <v>16.55</v>
      </c>
      <c r="F281" s="38" t="inlineStr">
        <is>
          <t>Publicació municipal 2025; la superfície s'utilitza com a magnitud territorial</t>
        </is>
      </c>
    </row>
    <row r="282" ht="15" customHeight="1" s="39">
      <c r="A282" s="38" t="inlineStr">
        <is>
          <t>[430555] Falset</t>
        </is>
      </c>
      <c r="B282" s="42" t="inlineStr">
        <is>
          <t>430555</t>
        </is>
      </c>
      <c r="C282" s="38" t="inlineStr">
        <is>
          <t>Falset</t>
        </is>
      </c>
      <c r="D282" s="44" t="n">
        <v>31.62</v>
      </c>
      <c r="F282" s="38" t="inlineStr">
        <is>
          <t>Publicació municipal 2025; la superfície s'utilitza com a magnitud territorial</t>
        </is>
      </c>
    </row>
    <row r="283" ht="15" customHeight="1" s="39">
      <c r="A283" s="38" t="inlineStr">
        <is>
          <t>[170059] Far d'Empordà, el</t>
        </is>
      </c>
      <c r="B283" s="42" t="inlineStr">
        <is>
          <t>170059</t>
        </is>
      </c>
      <c r="C283" s="38" t="inlineStr">
        <is>
          <t>Far d'Empordà, el</t>
        </is>
      </c>
      <c r="D283" s="44" t="n">
        <v>9</v>
      </c>
      <c r="F283" s="38" t="inlineStr">
        <is>
          <t>Publicació municipal 2025; la superfície s'utilitza com a magnitud territorial</t>
        </is>
      </c>
    </row>
    <row r="284" ht="15" customHeight="1" s="39">
      <c r="A284" s="38" t="inlineStr">
        <is>
          <t>[250899] Farrera</t>
        </is>
      </c>
      <c r="B284" s="42" t="inlineStr">
        <is>
          <t>250899</t>
        </is>
      </c>
      <c r="C284" s="38" t="inlineStr">
        <is>
          <t>Farrera</t>
        </is>
      </c>
      <c r="D284" s="44" t="n">
        <v>61.87</v>
      </c>
      <c r="F284" s="38" t="inlineStr">
        <is>
          <t>Publicació municipal 2025; la superfície s'utilitza com a magnitud territorial</t>
        </is>
      </c>
    </row>
    <row r="285" ht="15" customHeight="1" s="39">
      <c r="A285" s="38" t="inlineStr">
        <is>
          <t>[430568] Fatarella, la</t>
        </is>
      </c>
      <c r="B285" s="42" t="inlineStr">
        <is>
          <t>430568</t>
        </is>
      </c>
      <c r="C285" s="38" t="inlineStr">
        <is>
          <t>Fatarella, la</t>
        </is>
      </c>
      <c r="D285" s="44" t="n">
        <v>56.52</v>
      </c>
      <c r="F285" s="38" t="inlineStr">
        <is>
          <t>Publicació municipal 2025; la superfície s'utilitza com a magnitud territorial</t>
        </is>
      </c>
    </row>
    <row r="286" ht="15" customHeight="1" s="39">
      <c r="A286" s="38" t="inlineStr">
        <is>
          <t>[430574] Febró, la</t>
        </is>
      </c>
      <c r="B286" s="42" t="inlineStr">
        <is>
          <t>430574</t>
        </is>
      </c>
      <c r="C286" s="38" t="inlineStr">
        <is>
          <t>Febró, la</t>
        </is>
      </c>
      <c r="D286" s="44" t="n">
        <v>16.08</v>
      </c>
      <c r="F286" s="38" t="inlineStr">
        <is>
          <t>Publicació municipal 2025; la superfície s'utilitza com a magnitud territorial</t>
        </is>
      </c>
    </row>
    <row r="287" ht="15" customHeight="1" s="39">
      <c r="A287" s="38" t="inlineStr">
        <is>
          <t>[081347] Figaró-Montmany</t>
        </is>
      </c>
      <c r="B287" s="42" t="inlineStr">
        <is>
          <t>081347</t>
        </is>
      </c>
      <c r="C287" s="38" t="inlineStr">
        <is>
          <t>Figaró-Montmany</t>
        </is>
      </c>
      <c r="D287" s="44" t="n">
        <v>14.99</v>
      </c>
      <c r="F287" s="38" t="inlineStr">
        <is>
          <t>Publicació municipal 2025; la superfície s'utilitza com a magnitud territorial</t>
        </is>
      </c>
    </row>
    <row r="288" ht="15" customHeight="1" s="39">
      <c r="A288" s="38" t="inlineStr">
        <is>
          <t>[080804] Fígols</t>
        </is>
      </c>
      <c r="B288" s="42" t="inlineStr">
        <is>
          <t>080804</t>
        </is>
      </c>
      <c r="C288" s="38" t="inlineStr">
        <is>
          <t>Fígols</t>
        </is>
      </c>
      <c r="D288" s="44" t="n">
        <v>29.31</v>
      </c>
      <c r="F288" s="38" t="inlineStr">
        <is>
          <t>Publicació municipal 2025; la superfície s'utilitza com a magnitud territorial</t>
        </is>
      </c>
    </row>
    <row r="289" ht="15" customHeight="1" s="39">
      <c r="A289" s="38" t="inlineStr">
        <is>
          <t>[259084] Fígols i Alinyà</t>
        </is>
      </c>
      <c r="B289" s="42" t="inlineStr">
        <is>
          <t>259084</t>
        </is>
      </c>
      <c r="C289" s="38" t="inlineStr">
        <is>
          <t>Fígols i Alinyà</t>
        </is>
      </c>
      <c r="D289" s="44" t="n">
        <v>101.8</v>
      </c>
      <c r="F289" s="38" t="inlineStr">
        <is>
          <t>Publicació municipal 2025; la superfície s'utilitza com a magnitud territorial</t>
        </is>
      </c>
    </row>
    <row r="290" ht="15" customHeight="1" s="39">
      <c r="A290" s="38" t="inlineStr">
        <is>
          <t>[430580] Figuera, la</t>
        </is>
      </c>
      <c r="B290" s="42" t="inlineStr">
        <is>
          <t>430580</t>
        </is>
      </c>
      <c r="C290" s="38" t="inlineStr">
        <is>
          <t>Figuera, la</t>
        </is>
      </c>
      <c r="D290" s="44" t="n">
        <v>18.69</v>
      </c>
      <c r="F290" s="38" t="inlineStr">
        <is>
          <t>Publicació municipal 2025; la superfície s'utilitza com a magnitud territorial</t>
        </is>
      </c>
    </row>
    <row r="291" ht="15" customHeight="1" s="39">
      <c r="A291" s="38" t="inlineStr">
        <is>
          <t>[170669] Figueres</t>
        </is>
      </c>
      <c r="B291" s="42" t="inlineStr">
        <is>
          <t>170669</t>
        </is>
      </c>
      <c r="C291" s="38" t="inlineStr">
        <is>
          <t>Figueres</t>
        </is>
      </c>
      <c r="D291" s="44" t="n">
        <v>19.3</v>
      </c>
      <c r="F291" s="38" t="inlineStr">
        <is>
          <t>Publicació municipal 2025; la superfície s'utilitza com a magnitud territorial</t>
        </is>
      </c>
    </row>
    <row r="292" ht="15" customHeight="1" s="39">
      <c r="A292" s="38" t="inlineStr">
        <is>
          <t>[430593] Figuerola del Camp</t>
        </is>
      </c>
      <c r="B292" s="42" t="inlineStr">
        <is>
          <t>430593</t>
        </is>
      </c>
      <c r="C292" s="38" t="inlineStr">
        <is>
          <t>Figuerola del Camp</t>
        </is>
      </c>
      <c r="D292" s="44" t="n">
        <v>22.72</v>
      </c>
      <c r="F292" s="38" t="inlineStr">
        <is>
          <t>Publicació municipal 2025; la superfície s'utilitza com a magnitud territorial</t>
        </is>
      </c>
    </row>
    <row r="293" ht="15" customHeight="1" s="39">
      <c r="A293" s="38" t="inlineStr">
        <is>
          <t>[170675] Flaçà</t>
        </is>
      </c>
      <c r="B293" s="42" t="inlineStr">
        <is>
          <t>170675</t>
        </is>
      </c>
      <c r="C293" s="38" t="inlineStr">
        <is>
          <t>Flaçà</t>
        </is>
      </c>
      <c r="D293" s="44" t="n">
        <v>6.53</v>
      </c>
      <c r="F293" s="38" t="inlineStr">
        <is>
          <t>Publicació municipal 2025; la superfície s'utilitza com a magnitud territorial</t>
        </is>
      </c>
    </row>
    <row r="294" ht="15" customHeight="1" s="39">
      <c r="A294" s="38" t="inlineStr">
        <is>
          <t>[430607] Flix</t>
        </is>
      </c>
      <c r="B294" s="42" t="inlineStr">
        <is>
          <t>430607</t>
        </is>
      </c>
      <c r="C294" s="38" t="inlineStr">
        <is>
          <t>Flix</t>
        </is>
      </c>
      <c r="D294" s="44" t="n">
        <v>116.9</v>
      </c>
      <c r="F294" s="38" t="inlineStr">
        <is>
          <t>Publicació municipal 2025; la superfície s'utilitza com a magnitud territorial</t>
        </is>
      </c>
    </row>
    <row r="295" ht="15" customHeight="1" s="39">
      <c r="A295" s="38" t="inlineStr">
        <is>
          <t>[250925] Floresta, la</t>
        </is>
      </c>
      <c r="B295" s="42" t="inlineStr">
        <is>
          <t>250925</t>
        </is>
      </c>
      <c r="C295" s="38" t="inlineStr">
        <is>
          <t>Floresta, la</t>
        </is>
      </c>
      <c r="D295" s="44" t="n">
        <v>5.46</v>
      </c>
      <c r="F295" s="38" t="inlineStr">
        <is>
          <t>Publicació municipal 2025; la superfície s'utilitza com a magnitud territorial</t>
        </is>
      </c>
    </row>
    <row r="296" ht="15" customHeight="1" s="39">
      <c r="A296" s="38" t="inlineStr">
        <is>
          <t>[080826] Fogars de la Selva</t>
        </is>
      </c>
      <c r="B296" s="42" t="inlineStr">
        <is>
          <t>080826</t>
        </is>
      </c>
      <c r="C296" s="38" t="inlineStr">
        <is>
          <t>Fogars de la Selva</t>
        </is>
      </c>
      <c r="D296" s="44" t="n">
        <v>32.12</v>
      </c>
      <c r="F296" s="38" t="inlineStr">
        <is>
          <t>Publicació municipal 2025; la superfície s'utilitza com a magnitud territorial</t>
        </is>
      </c>
    </row>
    <row r="297" ht="15" customHeight="1" s="39">
      <c r="A297" s="38" t="inlineStr">
        <is>
          <t>[080811] Fogars de Montclús</t>
        </is>
      </c>
      <c r="B297" s="42" t="inlineStr">
        <is>
          <t>080811</t>
        </is>
      </c>
      <c r="C297" s="38" t="inlineStr">
        <is>
          <t>Fogars de Montclús</t>
        </is>
      </c>
      <c r="D297" s="44" t="n">
        <v>39.72</v>
      </c>
      <c r="F297" s="38" t="inlineStr">
        <is>
          <t>Publicació municipal 2025; la superfície s'utilitza com a magnitud territorial</t>
        </is>
      </c>
    </row>
    <row r="298" ht="15" customHeight="1" s="39">
      <c r="A298" s="38" t="inlineStr">
        <is>
          <t>[170681] Foixà</t>
        </is>
      </c>
      <c r="B298" s="42" t="inlineStr">
        <is>
          <t>170681</t>
        </is>
      </c>
      <c r="C298" s="38" t="inlineStr">
        <is>
          <t>Foixà</t>
        </is>
      </c>
      <c r="D298" s="44" t="n">
        <v>18.8</v>
      </c>
      <c r="F298" s="38" t="inlineStr">
        <is>
          <t>Publicació municipal 2025; la superfície s'utilitza com a magnitud territorial</t>
        </is>
      </c>
    </row>
    <row r="299" ht="15" customHeight="1" s="39">
      <c r="A299" s="38" t="inlineStr">
        <is>
          <t>[080832] Folgueroles</t>
        </is>
      </c>
      <c r="B299" s="42" t="inlineStr">
        <is>
          <t>080832</t>
        </is>
      </c>
      <c r="C299" s="38" t="inlineStr">
        <is>
          <t>Folgueroles</t>
        </is>
      </c>
      <c r="D299" s="44" t="n">
        <v>10.47</v>
      </c>
      <c r="F299" s="38" t="inlineStr">
        <is>
          <t>Publicació municipal 2025; la superfície s'utilitza com a magnitud territorial</t>
        </is>
      </c>
    </row>
    <row r="300" ht="15" customHeight="1" s="39">
      <c r="A300" s="38" t="inlineStr">
        <is>
          <t>[250931] Fondarella</t>
        </is>
      </c>
      <c r="B300" s="42" t="inlineStr">
        <is>
          <t>250931</t>
        </is>
      </c>
      <c r="C300" s="38" t="inlineStr">
        <is>
          <t>Fondarella</t>
        </is>
      </c>
      <c r="D300" s="44" t="n">
        <v>5.43</v>
      </c>
      <c r="F300" s="38" t="inlineStr">
        <is>
          <t>Publicació municipal 2025; la superfície s'utilitza com a magnitud territorial</t>
        </is>
      </c>
    </row>
    <row r="301" ht="15" customHeight="1" s="39">
      <c r="A301" s="38" t="inlineStr">
        <is>
          <t>[080847] Fonollosa</t>
        </is>
      </c>
      <c r="B301" s="42" t="inlineStr">
        <is>
          <t>080847</t>
        </is>
      </c>
      <c r="C301" s="38" t="inlineStr">
        <is>
          <t>Fonollosa</t>
        </is>
      </c>
      <c r="D301" s="44" t="n">
        <v>51.67</v>
      </c>
      <c r="F301" s="38" t="inlineStr">
        <is>
          <t>Publicació municipal 2025; la superfície s'utilitza com a magnitud territorial</t>
        </is>
      </c>
    </row>
    <row r="302" ht="15" customHeight="1" s="39">
      <c r="A302" s="38" t="inlineStr">
        <is>
          <t>[170694] Fontanals de Cerdanya</t>
        </is>
      </c>
      <c r="B302" s="42" t="inlineStr">
        <is>
          <t>170694</t>
        </is>
      </c>
      <c r="C302" s="38" t="inlineStr">
        <is>
          <t>Fontanals de Cerdanya</t>
        </is>
      </c>
      <c r="D302" s="44" t="n">
        <v>28.65</v>
      </c>
      <c r="F302" s="38" t="inlineStr">
        <is>
          <t>Publicació municipal 2025; la superfície s'utilitza com a magnitud territorial</t>
        </is>
      </c>
    </row>
    <row r="303" ht="15" customHeight="1" s="39">
      <c r="A303" s="38" t="inlineStr">
        <is>
          <t>[170708] Fontanilles</t>
        </is>
      </c>
      <c r="B303" s="42" t="inlineStr">
        <is>
          <t>170708</t>
        </is>
      </c>
      <c r="C303" s="38" t="inlineStr">
        <is>
          <t>Fontanilles</t>
        </is>
      </c>
      <c r="D303" s="44" t="n">
        <v>9.279999999999999</v>
      </c>
      <c r="F303" s="38" t="inlineStr">
        <is>
          <t>Publicació municipal 2025; la superfície s'utilitza com a magnitud territorial</t>
        </is>
      </c>
    </row>
    <row r="304" ht="15" customHeight="1" s="39">
      <c r="A304" s="38" t="inlineStr">
        <is>
          <t>[170715] Fontcoberta</t>
        </is>
      </c>
      <c r="B304" s="42" t="inlineStr">
        <is>
          <t>170715</t>
        </is>
      </c>
      <c r="C304" s="38" t="inlineStr">
        <is>
          <t>Fontcoberta</t>
        </is>
      </c>
      <c r="D304" s="44" t="n">
        <v>17.28</v>
      </c>
      <c r="F304" s="38" t="inlineStr">
        <is>
          <t>Publicació municipal 2025; la superfície s'utilitza com a magnitud territorial</t>
        </is>
      </c>
    </row>
    <row r="305" ht="15" customHeight="1" s="39">
      <c r="A305" s="38" t="inlineStr">
        <is>
          <t>[080850] Font-rubí</t>
        </is>
      </c>
      <c r="B305" s="42" t="inlineStr">
        <is>
          <t>080850</t>
        </is>
      </c>
      <c r="C305" s="38" t="inlineStr">
        <is>
          <t>Font-rubí</t>
        </is>
      </c>
      <c r="D305" s="44" t="n">
        <v>37.42</v>
      </c>
      <c r="F305" s="38" t="inlineStr">
        <is>
          <t>Publicació municipal 2025; la superfície s'utilitza com a magnitud territorial</t>
        </is>
      </c>
    </row>
    <row r="306" ht="15" customHeight="1" s="39">
      <c r="A306" s="38" t="inlineStr">
        <is>
          <t>[250946] Foradada</t>
        </is>
      </c>
      <c r="B306" s="42" t="inlineStr">
        <is>
          <t>250946</t>
        </is>
      </c>
      <c r="C306" s="38" t="inlineStr">
        <is>
          <t>Foradada</t>
        </is>
      </c>
      <c r="D306" s="44" t="n">
        <v>28.55</v>
      </c>
      <c r="F306" s="38" t="inlineStr">
        <is>
          <t>Publicació municipal 2025; la superfície s'utilitza com a magnitud territorial</t>
        </is>
      </c>
    </row>
    <row r="307" ht="15" customHeight="1" s="39">
      <c r="A307" s="38" t="inlineStr">
        <is>
          <t>[179026] Forallac</t>
        </is>
      </c>
      <c r="B307" s="42" t="inlineStr">
        <is>
          <t>179026</t>
        </is>
      </c>
      <c r="C307" s="38" t="inlineStr">
        <is>
          <t>Forallac</t>
        </is>
      </c>
      <c r="D307" s="44" t="n">
        <v>50.63</v>
      </c>
      <c r="F307" s="38" t="inlineStr">
        <is>
          <t>Publicació municipal 2025; la superfície s'utilitza com a magnitud territorial</t>
        </is>
      </c>
    </row>
    <row r="308" ht="15" customHeight="1" s="39">
      <c r="A308" s="38" t="inlineStr">
        <is>
          <t>[430614] Forès</t>
        </is>
      </c>
      <c r="B308" s="42" t="inlineStr">
        <is>
          <t>430614</t>
        </is>
      </c>
      <c r="C308" s="38" t="inlineStr">
        <is>
          <t>Forès</t>
        </is>
      </c>
      <c r="D308" s="44" t="n">
        <v>16.03</v>
      </c>
      <c r="F308" s="38" t="inlineStr">
        <is>
          <t>Publicació municipal 2025; la superfície s'utilitza com a magnitud territorial</t>
        </is>
      </c>
    </row>
    <row r="309" ht="15" customHeight="1" s="39">
      <c r="A309" s="38" t="inlineStr">
        <is>
          <t>[170736] Fornells de la Selva</t>
        </is>
      </c>
      <c r="B309" s="42" t="inlineStr">
        <is>
          <t>170736</t>
        </is>
      </c>
      <c r="C309" s="38" t="inlineStr">
        <is>
          <t>Fornells de la Selva</t>
        </is>
      </c>
      <c r="D309" s="44" t="n">
        <v>11.86</v>
      </c>
      <c r="F309" s="38" t="inlineStr">
        <is>
          <t>Publicació municipal 2025; la superfície s'utilitza com a magnitud territorial</t>
        </is>
      </c>
    </row>
    <row r="310" ht="15" customHeight="1" s="39">
      <c r="A310" s="38" t="inlineStr">
        <is>
          <t>[170741] Fortià</t>
        </is>
      </c>
      <c r="B310" s="42" t="inlineStr">
        <is>
          <t>170741</t>
        </is>
      </c>
      <c r="C310" s="38" t="inlineStr">
        <is>
          <t>Fortià</t>
        </is>
      </c>
      <c r="D310" s="44" t="n">
        <v>10.76</v>
      </c>
      <c r="F310" s="38" t="inlineStr">
        <is>
          <t>Publicació municipal 2025; la superfície s'utilitza com a magnitud territorial</t>
        </is>
      </c>
    </row>
    <row r="311" ht="15" customHeight="1" s="39">
      <c r="A311" s="38" t="inlineStr">
        <is>
          <t>[080863] Franqueses del Vallès, les</t>
        </is>
      </c>
      <c r="B311" s="42" t="inlineStr">
        <is>
          <t>080863</t>
        </is>
      </c>
      <c r="C311" s="38" t="inlineStr">
        <is>
          <t>Franqueses del Vallès, les</t>
        </is>
      </c>
      <c r="D311" s="44" t="n">
        <v>29.14</v>
      </c>
      <c r="F311" s="38" t="inlineStr">
        <is>
          <t>Publicació municipal 2025; la superfície s'utilitza com a magnitud territorial</t>
        </is>
      </c>
    </row>
    <row r="312" ht="15" customHeight="1" s="39">
      <c r="A312" s="38" t="inlineStr">
        <is>
          <t>[430629] Freginals</t>
        </is>
      </c>
      <c r="B312" s="42" t="inlineStr">
        <is>
          <t>430629</t>
        </is>
      </c>
      <c r="C312" s="38" t="inlineStr">
        <is>
          <t>Freginals</t>
        </is>
      </c>
      <c r="D312" s="44" t="n">
        <v>17.59</v>
      </c>
      <c r="F312" s="38" t="inlineStr">
        <is>
          <t>Publicació municipal 2025; la superfície s'utilitza com a magnitud territorial</t>
        </is>
      </c>
    </row>
    <row r="313" ht="15" customHeight="1" s="39">
      <c r="A313" s="38" t="inlineStr">
        <is>
          <t>[250962] Fuliola, la</t>
        </is>
      </c>
      <c r="B313" s="42" t="inlineStr">
        <is>
          <t>250962</t>
        </is>
      </c>
      <c r="C313" s="38" t="inlineStr">
        <is>
          <t>Fuliola, la</t>
        </is>
      </c>
      <c r="D313" s="44" t="n">
        <v>11.05</v>
      </c>
      <c r="F313" s="38" t="inlineStr">
        <is>
          <t>Publicació municipal 2025; la superfície s'utilitza com a magnitud territorial</t>
        </is>
      </c>
    </row>
    <row r="314" ht="15" customHeight="1" s="39">
      <c r="A314" s="38" t="inlineStr">
        <is>
          <t>[250978] Fulleda</t>
        </is>
      </c>
      <c r="B314" s="42" t="inlineStr">
        <is>
          <t>250978</t>
        </is>
      </c>
      <c r="C314" s="38" t="inlineStr">
        <is>
          <t>Fulleda</t>
        </is>
      </c>
      <c r="D314" s="44" t="n">
        <v>16.18</v>
      </c>
      <c r="F314" s="38" t="inlineStr">
        <is>
          <t>Publicació municipal 2025; la superfície s'utilitza com a magnitud territorial</t>
        </is>
      </c>
    </row>
    <row r="315" ht="15" customHeight="1" s="39">
      <c r="A315" s="38" t="inlineStr">
        <is>
          <t>[080902] Gaià</t>
        </is>
      </c>
      <c r="B315" s="42" t="inlineStr">
        <is>
          <t>080902</t>
        </is>
      </c>
      <c r="C315" s="38" t="inlineStr">
        <is>
          <t>Gaià</t>
        </is>
      </c>
      <c r="D315" s="44" t="n">
        <v>39.48</v>
      </c>
      <c r="F315" s="38" t="inlineStr">
        <is>
          <t>Publicació municipal 2025; la superfície s'utilitza com a magnitud territorial</t>
        </is>
      </c>
    </row>
    <row r="316" ht="15" customHeight="1" s="39">
      <c r="A316" s="38" t="inlineStr">
        <is>
          <t>[430635] Galera, la</t>
        </is>
      </c>
      <c r="B316" s="42" t="inlineStr">
        <is>
          <t>430635</t>
        </is>
      </c>
      <c r="C316" s="38" t="inlineStr">
        <is>
          <t>Galera, la</t>
        </is>
      </c>
      <c r="D316" s="44" t="n">
        <v>27.47</v>
      </c>
      <c r="F316" s="38" t="inlineStr">
        <is>
          <t>Publicació municipal 2025; la superfície s'utilitza com a magnitud territorial</t>
        </is>
      </c>
    </row>
    <row r="317" ht="15" customHeight="1" s="39">
      <c r="A317" s="38" t="inlineStr">
        <is>
          <t>[080879] Gallifa</t>
        </is>
      </c>
      <c r="B317" s="42" t="inlineStr">
        <is>
          <t>080879</t>
        </is>
      </c>
      <c r="C317" s="38" t="inlineStr">
        <is>
          <t>Gallifa</t>
        </is>
      </c>
      <c r="D317" s="44" t="n">
        <v>16.33</v>
      </c>
      <c r="F317" s="38" t="inlineStr">
        <is>
          <t>Publicació municipal 2025; la superfície s'utilitza com a magnitud territorial</t>
        </is>
      </c>
    </row>
    <row r="318" ht="15" customHeight="1" s="39">
      <c r="A318" s="38" t="inlineStr">
        <is>
          <t>[430640] Gandesa</t>
        </is>
      </c>
      <c r="B318" s="42" t="inlineStr">
        <is>
          <t>430640</t>
        </is>
      </c>
      <c r="C318" s="38" t="inlineStr">
        <is>
          <t>Gandesa</t>
        </is>
      </c>
      <c r="D318" s="44" t="n">
        <v>71.15000000000001</v>
      </c>
      <c r="F318" s="38" t="inlineStr">
        <is>
          <t>Publicació municipal 2025; la superfície s'utilitza com a magnitud territorial</t>
        </is>
      </c>
    </row>
    <row r="319" ht="15" customHeight="1" s="39">
      <c r="A319" s="38" t="inlineStr">
        <is>
          <t>[430653] Garcia</t>
        </is>
      </c>
      <c r="B319" s="42" t="inlineStr">
        <is>
          <t>430653</t>
        </is>
      </c>
      <c r="C319" s="38" t="inlineStr">
        <is>
          <t>Garcia</t>
        </is>
      </c>
      <c r="D319" s="44" t="n">
        <v>52.37</v>
      </c>
      <c r="F319" s="38" t="inlineStr">
        <is>
          <t>Publicació municipal 2025; la superfície s'utilitza com a magnitud territorial</t>
        </is>
      </c>
    </row>
    <row r="320" ht="15" customHeight="1" s="39">
      <c r="A320" s="38" t="inlineStr">
        <is>
          <t>[430666] Garidells, els</t>
        </is>
      </c>
      <c r="B320" s="42" t="inlineStr">
        <is>
          <t>430666</t>
        </is>
      </c>
      <c r="C320" s="38" t="inlineStr">
        <is>
          <t>Garidells, els</t>
        </is>
      </c>
      <c r="D320" s="44" t="n">
        <v>3.07</v>
      </c>
      <c r="F320" s="38" t="inlineStr">
        <is>
          <t>Publicació municipal 2025; la superfície s'utilitza com a magnitud territorial</t>
        </is>
      </c>
    </row>
    <row r="321" ht="15" customHeight="1" s="39">
      <c r="A321" s="38" t="inlineStr">
        <is>
          <t>[080885] Garriga, la</t>
        </is>
      </c>
      <c r="B321" s="42" t="inlineStr">
        <is>
          <t>080885</t>
        </is>
      </c>
      <c r="C321" s="38" t="inlineStr">
        <is>
          <t>Garriga, la</t>
        </is>
      </c>
      <c r="D321" s="44" t="n">
        <v>18.8</v>
      </c>
      <c r="F321" s="38" t="inlineStr">
        <is>
          <t>Publicació municipal 2025; la superfície s'utilitza com a magnitud territorial</t>
        </is>
      </c>
    </row>
    <row r="322" ht="15" customHeight="1" s="39">
      <c r="A322" s="38" t="inlineStr">
        <is>
          <t>[170754] Garrigàs</t>
        </is>
      </c>
      <c r="B322" s="42" t="inlineStr">
        <is>
          <t>170754</t>
        </is>
      </c>
      <c r="C322" s="38" t="inlineStr">
        <is>
          <t>Garrigàs</t>
        </is>
      </c>
      <c r="D322" s="44" t="n">
        <v>19.89</v>
      </c>
      <c r="F322" s="38" t="inlineStr">
        <is>
          <t>Publicació municipal 2025; la superfície s'utilitza com a magnitud territorial</t>
        </is>
      </c>
    </row>
    <row r="323" ht="15" customHeight="1" s="39">
      <c r="A323" s="38" t="inlineStr">
        <is>
          <t>[170767] Garrigoles</t>
        </is>
      </c>
      <c r="B323" s="42" t="inlineStr">
        <is>
          <t>170767</t>
        </is>
      </c>
      <c r="C323" s="38" t="inlineStr">
        <is>
          <t>Garrigoles</t>
        </is>
      </c>
      <c r="D323" s="44" t="n">
        <v>9.4</v>
      </c>
      <c r="F323" s="38" t="inlineStr">
        <is>
          <t>Publicació municipal 2025; la superfície s'utilitza com a magnitud territorial</t>
        </is>
      </c>
    </row>
    <row r="324" ht="15" customHeight="1" s="39">
      <c r="A324" s="38" t="inlineStr">
        <is>
          <t>[170773] Garriguella</t>
        </is>
      </c>
      <c r="B324" s="42" t="inlineStr">
        <is>
          <t>170773</t>
        </is>
      </c>
      <c r="C324" s="38" t="inlineStr">
        <is>
          <t>Garriguella</t>
        </is>
      </c>
      <c r="D324" s="44" t="n">
        <v>21.01</v>
      </c>
      <c r="F324" s="38" t="inlineStr">
        <is>
          <t>Publicació municipal 2025; la superfície s'utilitza com a magnitud territorial</t>
        </is>
      </c>
    </row>
    <row r="325" ht="15" customHeight="1" s="39">
      <c r="A325" s="38" t="inlineStr">
        <is>
          <t>[080898] Gavà</t>
        </is>
      </c>
      <c r="B325" s="42" t="inlineStr">
        <is>
          <t>080898</t>
        </is>
      </c>
      <c r="C325" s="38" t="inlineStr">
        <is>
          <t>Gavà</t>
        </is>
      </c>
      <c r="D325" s="44" t="n">
        <v>30.75</v>
      </c>
      <c r="F325" s="38" t="inlineStr">
        <is>
          <t>Publicació municipal 2025; la superfície s'utilitza com a magnitud territorial</t>
        </is>
      </c>
    </row>
    <row r="326" ht="15" customHeight="1" s="39">
      <c r="A326" s="38" t="inlineStr">
        <is>
          <t>[250984] Gavet de la Conca</t>
        </is>
      </c>
      <c r="B326" s="42" t="inlineStr">
        <is>
          <t>250984</t>
        </is>
      </c>
      <c r="C326" s="38" t="inlineStr">
        <is>
          <t>Gavet de la Conca</t>
        </is>
      </c>
      <c r="D326" s="44" t="n">
        <v>90.90000000000001</v>
      </c>
      <c r="F326" s="38" t="inlineStr">
        <is>
          <t>Publicació municipal 2025; la superfície s'utilitza com a magnitud territorial</t>
        </is>
      </c>
    </row>
    <row r="327" ht="15" customHeight="1" s="39">
      <c r="A327" s="38" t="inlineStr">
        <is>
          <t>[080919] Gelida</t>
        </is>
      </c>
      <c r="B327" s="42" t="inlineStr">
        <is>
          <t>080919</t>
        </is>
      </c>
      <c r="C327" s="38" t="inlineStr">
        <is>
          <t>Gelida</t>
        </is>
      </c>
      <c r="D327" s="44" t="n">
        <v>26.7</v>
      </c>
      <c r="F327" s="38" t="inlineStr">
        <is>
          <t>Publicació municipal 2025; la superfície s'utilitza com a magnitud territorial</t>
        </is>
      </c>
    </row>
    <row r="328" ht="15" customHeight="1" s="39">
      <c r="A328" s="38" t="inlineStr">
        <is>
          <t>[170789] Ger</t>
        </is>
      </c>
      <c r="B328" s="42" t="inlineStr">
        <is>
          <t>170789</t>
        </is>
      </c>
      <c r="C328" s="38" t="inlineStr">
        <is>
          <t>Ger</t>
        </is>
      </c>
      <c r="D328" s="44" t="n">
        <v>33.38</v>
      </c>
      <c r="F328" s="38" t="inlineStr">
        <is>
          <t>Publicació municipal 2025; la superfície s'utilitza com a magnitud territorial</t>
        </is>
      </c>
    </row>
    <row r="329" ht="15" customHeight="1" s="39">
      <c r="A329" s="38" t="inlineStr">
        <is>
          <t>[259123] Gimenells i el Pla de la Font</t>
        </is>
      </c>
      <c r="B329" s="42" t="inlineStr">
        <is>
          <t>259123</t>
        </is>
      </c>
      <c r="C329" s="38" t="inlineStr">
        <is>
          <t>Gimenells i el Pla de la Font</t>
        </is>
      </c>
      <c r="D329" s="44" t="n">
        <v>55.84</v>
      </c>
      <c r="F329" s="38" t="inlineStr">
        <is>
          <t>Publicació municipal 2025; la superfície s'utilitza com a magnitud territorial</t>
        </is>
      </c>
    </row>
    <row r="330" ht="15" customHeight="1" s="39">
      <c r="A330" s="38" t="inlineStr">
        <is>
          <t>[430672] Ginestar</t>
        </is>
      </c>
      <c r="B330" s="42" t="inlineStr">
        <is>
          <t>430672</t>
        </is>
      </c>
      <c r="C330" s="38" t="inlineStr">
        <is>
          <t>Ginestar</t>
        </is>
      </c>
      <c r="D330" s="44" t="n">
        <v>15.84</v>
      </c>
      <c r="F330" s="38" t="inlineStr">
        <is>
          <t>Publicació municipal 2025; la superfície s'utilitza com a magnitud territorial</t>
        </is>
      </c>
    </row>
    <row r="331" ht="15" customHeight="1" s="39">
      <c r="A331" s="38" t="inlineStr">
        <is>
          <t>[170792] Girona</t>
        </is>
      </c>
      <c r="B331" s="42" t="inlineStr">
        <is>
          <t>170792</t>
        </is>
      </c>
      <c r="C331" s="38" t="inlineStr">
        <is>
          <t>Girona</t>
        </is>
      </c>
      <c r="D331" s="44" t="n">
        <v>39.12</v>
      </c>
      <c r="F331" s="38" t="inlineStr">
        <is>
          <t>Publicació municipal 2025; la superfície s'utilitza com a magnitud territorial</t>
        </is>
      </c>
    </row>
    <row r="332" ht="15" customHeight="1" s="39">
      <c r="A332" s="38" t="inlineStr">
        <is>
          <t>[080924] Gironella</t>
        </is>
      </c>
      <c r="B332" s="42" t="inlineStr">
        <is>
          <t>080924</t>
        </is>
      </c>
      <c r="C332" s="38" t="inlineStr">
        <is>
          <t>Gironella</t>
        </is>
      </c>
      <c r="D332" s="44" t="n">
        <v>6.78</v>
      </c>
      <c r="F332" s="38" t="inlineStr">
        <is>
          <t>Publicació municipal 2025; la superfície s'utilitza com a magnitud territorial</t>
        </is>
      </c>
    </row>
    <row r="333" ht="15" customHeight="1" s="39">
      <c r="A333" s="38" t="inlineStr">
        <is>
          <t>[080930] Gisclareny</t>
        </is>
      </c>
      <c r="B333" s="42" t="inlineStr">
        <is>
          <t>080930</t>
        </is>
      </c>
      <c r="C333" s="38" t="inlineStr">
        <is>
          <t>Gisclareny</t>
        </is>
      </c>
      <c r="D333" s="44" t="n">
        <v>36.47</v>
      </c>
      <c r="F333" s="38" t="inlineStr">
        <is>
          <t>Publicació municipal 2025; la superfície s'utilitza com a magnitud territorial</t>
        </is>
      </c>
    </row>
    <row r="334" ht="15" customHeight="1" s="39">
      <c r="A334" s="38" t="inlineStr">
        <is>
          <t>[430688] Godall</t>
        </is>
      </c>
      <c r="B334" s="42" t="inlineStr">
        <is>
          <t>430688</t>
        </is>
      </c>
      <c r="C334" s="38" t="inlineStr">
        <is>
          <t>Godall</t>
        </is>
      </c>
      <c r="D334" s="44" t="n">
        <v>33.62</v>
      </c>
      <c r="F334" s="38" t="inlineStr">
        <is>
          <t>Publicació municipal 2025; la superfície s'utilitza com a magnitud territorial</t>
        </is>
      </c>
    </row>
    <row r="335" ht="15" customHeight="1" s="39">
      <c r="A335" s="38" t="inlineStr">
        <is>
          <t>[250997] Golmés</t>
        </is>
      </c>
      <c r="B335" s="42" t="inlineStr">
        <is>
          <t>250997</t>
        </is>
      </c>
      <c r="C335" s="38" t="inlineStr">
        <is>
          <t>Golmés</t>
        </is>
      </c>
      <c r="D335" s="44" t="n">
        <v>16.62</v>
      </c>
      <c r="F335" s="38" t="inlineStr">
        <is>
          <t>Publicació municipal 2025; la superfície s'utilitza com a magnitud territorial</t>
        </is>
      </c>
    </row>
    <row r="336" ht="15" customHeight="1" s="39">
      <c r="A336" s="38" t="inlineStr">
        <is>
          <t>[170806] Gombrèn</t>
        </is>
      </c>
      <c r="B336" s="42" t="inlineStr">
        <is>
          <t>170806</t>
        </is>
      </c>
      <c r="C336" s="38" t="inlineStr">
        <is>
          <t>Gombrèn</t>
        </is>
      </c>
      <c r="D336" s="44" t="n">
        <v>43.26</v>
      </c>
      <c r="F336" s="38" t="inlineStr">
        <is>
          <t>Publicació municipal 2025; la superfície s'utilitza com a magnitud territorial</t>
        </is>
      </c>
    </row>
    <row r="337" ht="15" customHeight="1" s="39">
      <c r="A337" s="38" t="inlineStr">
        <is>
          <t>[251001] Gósol</t>
        </is>
      </c>
      <c r="B337" s="42" t="inlineStr">
        <is>
          <t>251001</t>
        </is>
      </c>
      <c r="C337" s="38" t="inlineStr">
        <is>
          <t>Gósol</t>
        </is>
      </c>
      <c r="D337" s="44" t="n">
        <v>56.29</v>
      </c>
      <c r="F337" s="38" t="inlineStr">
        <is>
          <t>Publicació municipal 2025; la superfície s'utilitza com a magnitud territorial</t>
        </is>
      </c>
    </row>
    <row r="338" ht="15" customHeight="1" s="39">
      <c r="A338" s="38" t="inlineStr">
        <is>
          <t>[080945] Granada, la</t>
        </is>
      </c>
      <c r="B338" s="42" t="inlineStr">
        <is>
          <t>080945</t>
        </is>
      </c>
      <c r="C338" s="38" t="inlineStr">
        <is>
          <t>Granada, la</t>
        </is>
      </c>
      <c r="D338" s="44" t="n">
        <v>6.52</v>
      </c>
      <c r="F338" s="38" t="inlineStr">
        <is>
          <t>Publicació municipal 2025; la superfície s'utilitza com a magnitud territorial</t>
        </is>
      </c>
    </row>
    <row r="339" ht="15" customHeight="1" s="39">
      <c r="A339" s="38" t="inlineStr">
        <is>
          <t>[251018] Granadella, la</t>
        </is>
      </c>
      <c r="B339" s="42" t="inlineStr">
        <is>
          <t>251018</t>
        </is>
      </c>
      <c r="C339" s="38" t="inlineStr">
        <is>
          <t>Granadella, la</t>
        </is>
      </c>
      <c r="D339" s="44" t="n">
        <v>88.7</v>
      </c>
      <c r="F339" s="38" t="inlineStr">
        <is>
          <t>Publicació municipal 2025; la superfície s'utilitza com a magnitud territorial</t>
        </is>
      </c>
    </row>
    <row r="340" ht="15" customHeight="1" s="39">
      <c r="A340" s="38" t="inlineStr">
        <is>
          <t>[080958] Granera</t>
        </is>
      </c>
      <c r="B340" s="42" t="inlineStr">
        <is>
          <t>080958</t>
        </is>
      </c>
      <c r="C340" s="38" t="inlineStr">
        <is>
          <t>Granera</t>
        </is>
      </c>
      <c r="D340" s="44" t="n">
        <v>23.73</v>
      </c>
      <c r="F340" s="38" t="inlineStr">
        <is>
          <t>Publicació municipal 2025; la superfície s'utilitza com a magnitud territorial</t>
        </is>
      </c>
    </row>
    <row r="341" ht="15" customHeight="1" s="39">
      <c r="A341" s="38" t="inlineStr">
        <is>
          <t>[251023] Granja d'Escarp, la</t>
        </is>
      </c>
      <c r="B341" s="42" t="inlineStr">
        <is>
          <t>251023</t>
        </is>
      </c>
      <c r="C341" s="38" t="inlineStr">
        <is>
          <t>Granja d'Escarp, la</t>
        </is>
      </c>
      <c r="D341" s="44" t="n">
        <v>38.51</v>
      </c>
      <c r="F341" s="38" t="inlineStr">
        <is>
          <t>Publicació municipal 2025; la superfície s'utilitza com a magnitud territorial</t>
        </is>
      </c>
    </row>
    <row r="342" ht="15" customHeight="1" s="39">
      <c r="A342" s="38" t="inlineStr">
        <is>
          <t>[080961] Granollers</t>
        </is>
      </c>
      <c r="B342" s="42" t="inlineStr">
        <is>
          <t>080961</t>
        </is>
      </c>
      <c r="C342" s="38" t="inlineStr">
        <is>
          <t>Granollers</t>
        </is>
      </c>
      <c r="D342" s="44" t="n">
        <v>14.87</v>
      </c>
      <c r="F342" s="38" t="inlineStr">
        <is>
          <t>Publicació municipal 2025; la superfície s'utilitza com a magnitud territorial</t>
        </is>
      </c>
    </row>
    <row r="343" ht="15" customHeight="1" s="39">
      <c r="A343" s="38" t="inlineStr">
        <is>
          <t>[251039] Granyanella</t>
        </is>
      </c>
      <c r="B343" s="42" t="inlineStr">
        <is>
          <t>251039</t>
        </is>
      </c>
      <c r="C343" s="38" t="inlineStr">
        <is>
          <t>Granyanella</t>
        </is>
      </c>
      <c r="D343" s="44" t="n">
        <v>24.35</v>
      </c>
      <c r="F343" s="38" t="inlineStr">
        <is>
          <t>Publicació municipal 2025; la superfície s'utilitza com a magnitud territorial</t>
        </is>
      </c>
    </row>
    <row r="344" ht="15" customHeight="1" s="39">
      <c r="A344" s="38" t="inlineStr">
        <is>
          <t>[251057] Granyena de les Garrigues</t>
        </is>
      </c>
      <c r="B344" s="42" t="inlineStr">
        <is>
          <t>251057</t>
        </is>
      </c>
      <c r="C344" s="38" t="inlineStr">
        <is>
          <t>Granyena de les Garrigues</t>
        </is>
      </c>
      <c r="D344" s="44" t="n">
        <v>20.47</v>
      </c>
      <c r="F344" s="38" t="inlineStr">
        <is>
          <t>Publicació municipal 2025; la superfície s'utilitza com a magnitud territorial</t>
        </is>
      </c>
    </row>
    <row r="345" ht="15" customHeight="1" s="39">
      <c r="A345" s="38" t="inlineStr">
        <is>
          <t>[251044] Granyena de Segarra</t>
        </is>
      </c>
      <c r="B345" s="42" t="inlineStr">
        <is>
          <t>251044</t>
        </is>
      </c>
      <c r="C345" s="38" t="inlineStr">
        <is>
          <t>Granyena de Segarra</t>
        </is>
      </c>
      <c r="D345" s="44" t="n">
        <v>16.3</v>
      </c>
      <c r="F345" s="38" t="inlineStr">
        <is>
          <t>Publicació municipal 2025; la superfície s'utilitza com a magnitud territorial</t>
        </is>
      </c>
    </row>
    <row r="346" ht="15" customHeight="1" s="39">
      <c r="A346" s="38" t="inlineStr">
        <is>
          <t>[430691] Gratallops</t>
        </is>
      </c>
      <c r="B346" s="42" t="inlineStr">
        <is>
          <t>430691</t>
        </is>
      </c>
      <c r="C346" s="38" t="inlineStr">
        <is>
          <t>Gratallops</t>
        </is>
      </c>
      <c r="D346" s="44" t="n">
        <v>13.52</v>
      </c>
      <c r="F346" s="38" t="inlineStr">
        <is>
          <t>Publicació municipal 2025; la superfície s'utilitza com a magnitud territorial</t>
        </is>
      </c>
    </row>
    <row r="347" ht="15" customHeight="1" s="39">
      <c r="A347" s="38" t="inlineStr">
        <is>
          <t>[080977] Gualba</t>
        </is>
      </c>
      <c r="B347" s="42" t="inlineStr">
        <is>
          <t>080977</t>
        </is>
      </c>
      <c r="C347" s="38" t="inlineStr">
        <is>
          <t>Gualba</t>
        </is>
      </c>
      <c r="D347" s="44" t="n">
        <v>23.29</v>
      </c>
      <c r="F347" s="38" t="inlineStr">
        <is>
          <t>Publicació municipal 2025; la superfície s'utilitza com a magnitud territorial</t>
        </is>
      </c>
    </row>
    <row r="348" ht="15" customHeight="1" s="39">
      <c r="A348" s="38" t="inlineStr">
        <is>
          <t>[170813] Gualta</t>
        </is>
      </c>
      <c r="B348" s="42" t="inlineStr">
        <is>
          <t>170813</t>
        </is>
      </c>
      <c r="C348" s="38" t="inlineStr">
        <is>
          <t>Gualta</t>
        </is>
      </c>
      <c r="D348" s="44" t="n">
        <v>9.02</v>
      </c>
      <c r="F348" s="38" t="inlineStr">
        <is>
          <t>Publicació municipal 2025; la superfície s'utilitza com a magnitud territorial</t>
        </is>
      </c>
    </row>
    <row r="349" ht="15" customHeight="1" s="39">
      <c r="A349" s="38" t="inlineStr">
        <is>
          <t>[080996] Guardiola de Berguedà</t>
        </is>
      </c>
      <c r="B349" s="42" t="inlineStr">
        <is>
          <t>080996</t>
        </is>
      </c>
      <c r="C349" s="38" t="inlineStr">
        <is>
          <t>Guardiola de Berguedà</t>
        </is>
      </c>
      <c r="D349" s="44" t="n">
        <v>61.73</v>
      </c>
      <c r="F349" s="38" t="inlineStr">
        <is>
          <t>Publicació municipal 2025; la superfície s'utilitza com a magnitud territorial</t>
        </is>
      </c>
    </row>
    <row r="350" ht="15" customHeight="1" s="39">
      <c r="A350" s="38" t="inlineStr">
        <is>
          <t>[430705] Guiamets, els</t>
        </is>
      </c>
      <c r="B350" s="42" t="inlineStr">
        <is>
          <t>430705</t>
        </is>
      </c>
      <c r="C350" s="38" t="inlineStr">
        <is>
          <t>Guiamets, els</t>
        </is>
      </c>
      <c r="D350" s="44" t="n">
        <v>12.14</v>
      </c>
      <c r="F350" s="38" t="inlineStr">
        <is>
          <t>Publicació municipal 2025; la superfície s'utilitza com a magnitud territorial</t>
        </is>
      </c>
    </row>
    <row r="351" ht="15" customHeight="1" s="39">
      <c r="A351" s="38" t="inlineStr">
        <is>
          <t>[170828] Guils de Cerdanya</t>
        </is>
      </c>
      <c r="B351" s="42" t="inlineStr">
        <is>
          <t>170828</t>
        </is>
      </c>
      <c r="C351" s="38" t="inlineStr">
        <is>
          <t>Guils de Cerdanya</t>
        </is>
      </c>
      <c r="D351" s="44" t="n">
        <v>22.02</v>
      </c>
      <c r="F351" s="38" t="inlineStr">
        <is>
          <t>Publicació municipal 2025; la superfície s'utilitza com a magnitud territorial</t>
        </is>
      </c>
    </row>
    <row r="352" ht="15" customHeight="1" s="39">
      <c r="A352" s="38" t="inlineStr">
        <is>
          <t>[251095] Guimerà</t>
        </is>
      </c>
      <c r="B352" s="42" t="inlineStr">
        <is>
          <t>251095</t>
        </is>
      </c>
      <c r="C352" s="38" t="inlineStr">
        <is>
          <t>Guimerà</t>
        </is>
      </c>
      <c r="D352" s="44" t="n">
        <v>25.76</v>
      </c>
      <c r="F352" s="38" t="inlineStr">
        <is>
          <t>Publicació municipal 2025; la superfície s'utilitza com a magnitud territorial</t>
        </is>
      </c>
    </row>
    <row r="353" ht="15" customHeight="1" s="39">
      <c r="A353" s="38" t="inlineStr">
        <is>
          <t>[259031] Guingueta d'Àneu, la</t>
        </is>
      </c>
      <c r="B353" s="42" t="inlineStr">
        <is>
          <t>259031</t>
        </is>
      </c>
      <c r="C353" s="38" t="inlineStr">
        <is>
          <t>Guingueta d'Àneu, la</t>
        </is>
      </c>
      <c r="D353" s="44" t="n">
        <v>108.42</v>
      </c>
      <c r="F353" s="38" t="inlineStr">
        <is>
          <t>Publicació municipal 2025; la superfície s'utilitza com a magnitud territorial</t>
        </is>
      </c>
    </row>
    <row r="354" ht="15" customHeight="1" s="39">
      <c r="A354" s="38" t="inlineStr">
        <is>
          <t>[251109] Guissona</t>
        </is>
      </c>
      <c r="B354" s="42" t="inlineStr">
        <is>
          <t>251109</t>
        </is>
      </c>
      <c r="C354" s="38" t="inlineStr">
        <is>
          <t>Guissona</t>
        </is>
      </c>
      <c r="D354" s="44" t="n">
        <v>18.1</v>
      </c>
      <c r="F354" s="38" t="inlineStr">
        <is>
          <t>Publicació municipal 2025; la superfície s'utilitza com a magnitud territorial</t>
        </is>
      </c>
    </row>
    <row r="355" ht="15" customHeight="1" s="39">
      <c r="A355" s="38" t="inlineStr">
        <is>
          <t>[251116] Guixers</t>
        </is>
      </c>
      <c r="B355" s="42" t="inlineStr">
        <is>
          <t>251116</t>
        </is>
      </c>
      <c r="C355" s="38" t="inlineStr">
        <is>
          <t>Guixers</t>
        </is>
      </c>
      <c r="D355" s="44" t="n">
        <v>66.44</v>
      </c>
      <c r="F355" s="38" t="inlineStr">
        <is>
          <t>Publicació municipal 2025; la superfície s'utilitza com a magnitud territorial</t>
        </is>
      </c>
    </row>
    <row r="356" ht="15" customHeight="1" s="39">
      <c r="A356" s="38" t="inlineStr">
        <is>
          <t>[081000] Gurb</t>
        </is>
      </c>
      <c r="B356" s="42" t="inlineStr">
        <is>
          <t>081000</t>
        </is>
      </c>
      <c r="C356" s="38" t="inlineStr">
        <is>
          <t>Gurb</t>
        </is>
      </c>
      <c r="D356" s="44" t="n">
        <v>51.57</v>
      </c>
      <c r="F356" s="38" t="inlineStr">
        <is>
          <t>Publicació municipal 2025; la superfície s'utilitza com a magnitud territorial</t>
        </is>
      </c>
    </row>
    <row r="357" ht="15" customHeight="1" s="39">
      <c r="A357" s="38" t="inlineStr">
        <is>
          <t>[430712] Horta de Sant Joan</t>
        </is>
      </c>
      <c r="B357" s="42" t="inlineStr">
        <is>
          <t>430712</t>
        </is>
      </c>
      <c r="C357" s="38" t="inlineStr">
        <is>
          <t>Horta de Sant Joan</t>
        </is>
      </c>
      <c r="D357" s="44" t="n">
        <v>118.99</v>
      </c>
      <c r="F357" s="38" t="inlineStr">
        <is>
          <t>Publicació municipal 2025; la superfície s'utilitza com a magnitud territorial</t>
        </is>
      </c>
    </row>
    <row r="358" ht="15" customHeight="1" s="39">
      <c r="A358" s="38" t="inlineStr">
        <is>
          <t>[081017] Hospitalet de Llobregat, l'</t>
        </is>
      </c>
      <c r="B358" s="42" t="inlineStr">
        <is>
          <t>081017</t>
        </is>
      </c>
      <c r="C358" s="38" t="inlineStr">
        <is>
          <t>Hospitalet de Llobregat, l'</t>
        </is>
      </c>
      <c r="D358" s="44" t="n">
        <v>12.4</v>
      </c>
      <c r="F358" s="38" t="inlineStr">
        <is>
          <t>Publicació municipal 2025; la superfície s'utilitza com a magnitud territorial</t>
        </is>
      </c>
    </row>
    <row r="359" ht="15" customHeight="1" s="39">
      <c r="A359" s="38" t="inlineStr">
        <is>
          <t>[081629] Hostalets de Pierola, els</t>
        </is>
      </c>
      <c r="B359" s="42" t="inlineStr">
        <is>
          <t>081629</t>
        </is>
      </c>
      <c r="C359" s="38" t="inlineStr">
        <is>
          <t>Hostalets de Pierola, els</t>
        </is>
      </c>
      <c r="D359" s="44" t="n">
        <v>33.49</v>
      </c>
      <c r="F359" s="38" t="inlineStr">
        <is>
          <t>Publicació municipal 2025; la superfície s'utilitza com a magnitud territorial</t>
        </is>
      </c>
    </row>
    <row r="360" ht="15" customHeight="1" s="39">
      <c r="A360" s="38" t="inlineStr">
        <is>
          <t>[170834] Hostalric</t>
        </is>
      </c>
      <c r="B360" s="42" t="inlineStr">
        <is>
          <t>170834</t>
        </is>
      </c>
      <c r="C360" s="38" t="inlineStr">
        <is>
          <t>Hostalric</t>
        </is>
      </c>
      <c r="D360" s="44" t="n">
        <v>3.39</v>
      </c>
      <c r="F360" s="38" t="inlineStr">
        <is>
          <t>Publicació municipal 2025; la superfície s'utilitza com a magnitud territorial</t>
        </is>
      </c>
    </row>
    <row r="361" ht="15" customHeight="1" s="39">
      <c r="A361" s="38" t="inlineStr">
        <is>
          <t>[081022] Igualada</t>
        </is>
      </c>
      <c r="B361" s="42" t="inlineStr">
        <is>
          <t>081022</t>
        </is>
      </c>
      <c r="C361" s="38" t="inlineStr">
        <is>
          <t>Igualada</t>
        </is>
      </c>
      <c r="D361" s="44" t="n">
        <v>8.109999999999999</v>
      </c>
      <c r="F361" s="38" t="inlineStr">
        <is>
          <t>Publicació municipal 2025; la superfície s'utilitza com a magnitud territorial</t>
        </is>
      </c>
    </row>
    <row r="362" ht="15" customHeight="1" s="39">
      <c r="A362" s="38" t="inlineStr">
        <is>
          <t>[251155] Isona i Conca Dellà</t>
        </is>
      </c>
      <c r="B362" s="42" t="inlineStr">
        <is>
          <t>251155</t>
        </is>
      </c>
      <c r="C362" s="38" t="inlineStr">
        <is>
          <t>Isona i Conca Dellà</t>
        </is>
      </c>
      <c r="D362" s="44" t="n">
        <v>139.37</v>
      </c>
      <c r="F362" s="38" t="inlineStr">
        <is>
          <t>Publicació municipal 2025; la superfície s'utilitza com a magnitud territorial</t>
        </is>
      </c>
    </row>
    <row r="363" ht="15" customHeight="1" s="39">
      <c r="A363" s="38" t="inlineStr">
        <is>
          <t>[170849] Isòvol</t>
        </is>
      </c>
      <c r="B363" s="42" t="inlineStr">
        <is>
          <t>170849</t>
        </is>
      </c>
      <c r="C363" s="38" t="inlineStr">
        <is>
          <t>Isòvol</t>
        </is>
      </c>
      <c r="D363" s="44" t="n">
        <v>10.81</v>
      </c>
      <c r="F363" s="38" t="inlineStr">
        <is>
          <t>Publicació municipal 2025; la superfície s'utilitza com a magnitud territorial</t>
        </is>
      </c>
    </row>
    <row r="364" ht="15" customHeight="1" s="39">
      <c r="A364" s="38" t="inlineStr">
        <is>
          <t>[251137] Ivars d'Urgell</t>
        </is>
      </c>
      <c r="B364" s="42" t="inlineStr">
        <is>
          <t>251137</t>
        </is>
      </c>
      <c r="C364" s="38" t="inlineStr">
        <is>
          <t>Ivars d'Urgell</t>
        </is>
      </c>
      <c r="D364" s="44" t="n">
        <v>24.32</v>
      </c>
      <c r="F364" s="38" t="inlineStr">
        <is>
          <t>Publicació municipal 2025; la superfície s'utilitza com a magnitud territorial</t>
        </is>
      </c>
    </row>
    <row r="365" ht="15" customHeight="1" s="39">
      <c r="A365" s="38" t="inlineStr">
        <is>
          <t>[251121] Ivars de Noguera</t>
        </is>
      </c>
      <c r="B365" s="42" t="inlineStr">
        <is>
          <t>251121</t>
        </is>
      </c>
      <c r="C365" s="38" t="inlineStr">
        <is>
          <t>Ivars de Noguera</t>
        </is>
      </c>
      <c r="D365" s="44" t="n">
        <v>27.14</v>
      </c>
      <c r="F365" s="38" t="inlineStr">
        <is>
          <t>Publicació municipal 2025; la superfície s'utilitza com a magnitud territorial</t>
        </is>
      </c>
    </row>
    <row r="366" ht="15" customHeight="1" s="39">
      <c r="A366" s="38" t="inlineStr">
        <is>
          <t>[251142] Ivorra</t>
        </is>
      </c>
      <c r="B366" s="42" t="inlineStr">
        <is>
          <t>251142</t>
        </is>
      </c>
      <c r="C366" s="38" t="inlineStr">
        <is>
          <t>Ivorra</t>
        </is>
      </c>
      <c r="D366" s="44" t="n">
        <v>15.36</v>
      </c>
      <c r="F366" s="38" t="inlineStr">
        <is>
          <t>Publicació municipal 2025; la superfície s'utilitza com a magnitud territorial</t>
        </is>
      </c>
    </row>
    <row r="367" ht="15" customHeight="1" s="39">
      <c r="A367" s="38" t="inlineStr">
        <is>
          <t>[170852] Jafre</t>
        </is>
      </c>
      <c r="B367" s="42" t="inlineStr">
        <is>
          <t>170852</t>
        </is>
      </c>
      <c r="C367" s="38" t="inlineStr">
        <is>
          <t>Jafre</t>
        </is>
      </c>
      <c r="D367" s="44" t="n">
        <v>6.64</v>
      </c>
      <c r="F367" s="38" t="inlineStr">
        <is>
          <t>Publicació municipal 2025; la superfície s'utilitza com a magnitud territorial</t>
        </is>
      </c>
    </row>
    <row r="368" ht="15" customHeight="1" s="39">
      <c r="A368" s="38" t="inlineStr">
        <is>
          <t>[170865] Jonquera, la</t>
        </is>
      </c>
      <c r="B368" s="42" t="inlineStr">
        <is>
          <t>170865</t>
        </is>
      </c>
      <c r="C368" s="38" t="inlineStr">
        <is>
          <t>Jonquera, la</t>
        </is>
      </c>
      <c r="D368" s="44" t="n">
        <v>56.93</v>
      </c>
      <c r="F368" s="38" t="inlineStr">
        <is>
          <t>Publicació municipal 2025; la superfície s'utilitza com a magnitud territorial</t>
        </is>
      </c>
    </row>
    <row r="369" ht="15" customHeight="1" s="39">
      <c r="A369" s="38" t="inlineStr">
        <is>
          <t>[081038] Jorba</t>
        </is>
      </c>
      <c r="B369" s="42" t="inlineStr">
        <is>
          <t>081038</t>
        </is>
      </c>
      <c r="C369" s="38" t="inlineStr">
        <is>
          <t>Jorba</t>
        </is>
      </c>
      <c r="D369" s="44" t="n">
        <v>30.9</v>
      </c>
      <c r="F369" s="38" t="inlineStr">
        <is>
          <t>Publicació municipal 2025; la superfície s'utilitza com a magnitud territorial</t>
        </is>
      </c>
    </row>
    <row r="370" ht="15" customHeight="1" s="39">
      <c r="A370" s="38" t="inlineStr">
        <is>
          <t>[259101] Josa i Tuixén</t>
        </is>
      </c>
      <c r="B370" s="42" t="inlineStr">
        <is>
          <t>259101</t>
        </is>
      </c>
      <c r="C370" s="38" t="inlineStr">
        <is>
          <t>Josa i Tuixén</t>
        </is>
      </c>
      <c r="D370" s="44" t="n">
        <v>68.16</v>
      </c>
      <c r="F370" s="38" t="inlineStr">
        <is>
          <t>Publicació municipal 2025; la superfície s'utilitza com a magnitud territorial</t>
        </is>
      </c>
    </row>
    <row r="371" ht="15" customHeight="1" s="39">
      <c r="A371" s="38" t="inlineStr">
        <is>
          <t>[170871] Juià</t>
        </is>
      </c>
      <c r="B371" s="42" t="inlineStr">
        <is>
          <t>170871</t>
        </is>
      </c>
      <c r="C371" s="38" t="inlineStr">
        <is>
          <t>Juià</t>
        </is>
      </c>
      <c r="D371" s="44" t="n">
        <v>8.359999999999999</v>
      </c>
      <c r="F371" s="38" t="inlineStr">
        <is>
          <t>Publicació municipal 2025; la superfície s'utilitza com a magnitud territorial</t>
        </is>
      </c>
    </row>
    <row r="372" ht="15" customHeight="1" s="39">
      <c r="A372" s="38" t="inlineStr">
        <is>
          <t>[251180] Juncosa</t>
        </is>
      </c>
      <c r="B372" s="42" t="inlineStr">
        <is>
          <t>251180</t>
        </is>
      </c>
      <c r="C372" s="38" t="inlineStr">
        <is>
          <t>Juncosa</t>
        </is>
      </c>
      <c r="D372" s="44" t="n">
        <v>76.48999999999999</v>
      </c>
      <c r="F372" s="38" t="inlineStr">
        <is>
          <t>Publicació municipal 2025; la superfície s'utilitza com a magnitud territorial</t>
        </is>
      </c>
    </row>
    <row r="373" ht="15" customHeight="1" s="39">
      <c r="A373" s="38" t="inlineStr">
        <is>
          <t>[251193] Juneda</t>
        </is>
      </c>
      <c r="B373" s="42" t="inlineStr">
        <is>
          <t>251193</t>
        </is>
      </c>
      <c r="C373" s="38" t="inlineStr">
        <is>
          <t>Juneda</t>
        </is>
      </c>
      <c r="D373" s="44" t="n">
        <v>47.33</v>
      </c>
      <c r="F373" s="38" t="inlineStr">
        <is>
          <t>Publicació municipal 2025; la superfície s'utilitza com a magnitud territorial</t>
        </is>
      </c>
    </row>
    <row r="374" ht="15" customHeight="1" s="39">
      <c r="A374" s="38" t="inlineStr">
        <is>
          <t>[251214] Les</t>
        </is>
      </c>
      <c r="B374" s="42" t="inlineStr">
        <is>
          <t>251214</t>
        </is>
      </c>
      <c r="C374" s="38" t="inlineStr">
        <is>
          <t>Les</t>
        </is>
      </c>
      <c r="D374" s="44" t="n">
        <v>23.45</v>
      </c>
      <c r="F374" s="38" t="inlineStr">
        <is>
          <t>Publicació municipal 2025; la superfície s'utilitza com a magnitud territorial</t>
        </is>
      </c>
    </row>
    <row r="375" ht="15" customHeight="1" s="39">
      <c r="A375" s="38" t="inlineStr">
        <is>
          <t>[251229] Linyola</t>
        </is>
      </c>
      <c r="B375" s="42" t="inlineStr">
        <is>
          <t>251229</t>
        </is>
      </c>
      <c r="C375" s="38" t="inlineStr">
        <is>
          <t>Linyola</t>
        </is>
      </c>
      <c r="D375" s="44" t="n">
        <v>28.66</v>
      </c>
      <c r="F375" s="38" t="inlineStr">
        <is>
          <t>Publicació municipal 2025; la superfície s'utilitza com a magnitud territorial</t>
        </is>
      </c>
    </row>
    <row r="376" ht="15" customHeight="1" s="39">
      <c r="A376" s="38" t="inlineStr">
        <is>
          <t>[081043] Llacuna, la</t>
        </is>
      </c>
      <c r="B376" s="42" t="inlineStr">
        <is>
          <t>081043</t>
        </is>
      </c>
      <c r="C376" s="38" t="inlineStr">
        <is>
          <t>Llacuna, la</t>
        </is>
      </c>
      <c r="D376" s="44" t="n">
        <v>52.23</v>
      </c>
      <c r="F376" s="38" t="inlineStr">
        <is>
          <t>Publicació municipal 2025; la superfície s'utilitza com a magnitud territorial</t>
        </is>
      </c>
    </row>
    <row r="377" ht="15" customHeight="1" s="39">
      <c r="A377" s="38" t="inlineStr">
        <is>
          <t>[170887] Lladó</t>
        </is>
      </c>
      <c r="B377" s="42" t="inlineStr">
        <is>
          <t>170887</t>
        </is>
      </c>
      <c r="C377" s="38" t="inlineStr">
        <is>
          <t>Lladó</t>
        </is>
      </c>
      <c r="D377" s="44" t="n">
        <v>13.5</v>
      </c>
      <c r="F377" s="38" t="inlineStr">
        <is>
          <t>Publicació municipal 2025; la superfície s'utilitza com a magnitud territorial</t>
        </is>
      </c>
    </row>
    <row r="378" ht="15" customHeight="1" s="39">
      <c r="A378" s="38" t="inlineStr">
        <is>
          <t>[251235] Lladorre</t>
        </is>
      </c>
      <c r="B378" s="42" t="inlineStr">
        <is>
          <t>251235</t>
        </is>
      </c>
      <c r="C378" s="38" t="inlineStr">
        <is>
          <t>Lladorre</t>
        </is>
      </c>
      <c r="D378" s="44" t="n">
        <v>146.98</v>
      </c>
      <c r="F378" s="38" t="inlineStr">
        <is>
          <t>Publicació municipal 2025; la superfície s'utilitza com a magnitud territorial</t>
        </is>
      </c>
    </row>
    <row r="379" ht="15" customHeight="1" s="39">
      <c r="A379" s="38" t="inlineStr">
        <is>
          <t>[251240] Lladurs</t>
        </is>
      </c>
      <c r="B379" s="42" t="inlineStr">
        <is>
          <t>251240</t>
        </is>
      </c>
      <c r="C379" s="38" t="inlineStr">
        <is>
          <t>Lladurs</t>
        </is>
      </c>
      <c r="D379" s="44" t="n">
        <v>128.03</v>
      </c>
      <c r="F379" s="38" t="inlineStr">
        <is>
          <t>Publicació municipal 2025; la superfície s'utilitza com a magnitud territorial</t>
        </is>
      </c>
    </row>
    <row r="380" ht="15" customHeight="1" s="39">
      <c r="A380" s="38" t="inlineStr">
        <is>
          <t>[081056] Llagosta, la</t>
        </is>
      </c>
      <c r="B380" s="42" t="inlineStr">
        <is>
          <t>081056</t>
        </is>
      </c>
      <c r="C380" s="38" t="inlineStr">
        <is>
          <t>Llagosta, la</t>
        </is>
      </c>
      <c r="D380" s="44" t="n">
        <v>3.03</v>
      </c>
      <c r="F380" s="38" t="inlineStr">
        <is>
          <t>Publicació municipal 2025; la superfície s'utilitza com a magnitud territorial</t>
        </is>
      </c>
    </row>
    <row r="381" ht="15" customHeight="1" s="39">
      <c r="A381" s="38" t="inlineStr">
        <is>
          <t>[170890] Llagostera</t>
        </is>
      </c>
      <c r="B381" s="42" t="inlineStr">
        <is>
          <t>170890</t>
        </is>
      </c>
      <c r="C381" s="38" t="inlineStr">
        <is>
          <t>Llagostera</t>
        </is>
      </c>
      <c r="D381" s="44" t="n">
        <v>76.38</v>
      </c>
      <c r="F381" s="38" t="inlineStr">
        <is>
          <t>Publicació municipal 2025; la superfície s'utilitza com a magnitud territorial</t>
        </is>
      </c>
    </row>
    <row r="382" ht="15" customHeight="1" s="39">
      <c r="A382" s="38" t="inlineStr">
        <is>
          <t>[170904] Llambilles</t>
        </is>
      </c>
      <c r="B382" s="42" t="inlineStr">
        <is>
          <t>170904</t>
        </is>
      </c>
      <c r="C382" s="38" t="inlineStr">
        <is>
          <t>Llambilles</t>
        </is>
      </c>
      <c r="D382" s="44" t="n">
        <v>14.58</v>
      </c>
      <c r="F382" s="38" t="inlineStr">
        <is>
          <t>Publicació municipal 2025; la superfície s'utilitza com a magnitud territorial</t>
        </is>
      </c>
    </row>
    <row r="383" ht="15" customHeight="1" s="39">
      <c r="A383" s="38" t="inlineStr">
        <is>
          <t>[170911] Llanars</t>
        </is>
      </c>
      <c r="B383" s="42" t="inlineStr">
        <is>
          <t>170911</t>
        </is>
      </c>
      <c r="C383" s="38" t="inlineStr">
        <is>
          <t>Llanars</t>
        </is>
      </c>
      <c r="D383" s="44" t="n">
        <v>24.73</v>
      </c>
      <c r="F383" s="38" t="inlineStr">
        <is>
          <t>Publicació municipal 2025; la superfície s'utilitza com a magnitud territorial</t>
        </is>
      </c>
    </row>
    <row r="384" ht="15" customHeight="1" s="39">
      <c r="A384" s="38" t="inlineStr">
        <is>
          <t>[170926] Llançà</t>
        </is>
      </c>
      <c r="B384" s="42" t="inlineStr">
        <is>
          <t>170926</t>
        </is>
      </c>
      <c r="C384" s="38" t="inlineStr">
        <is>
          <t>Llançà</t>
        </is>
      </c>
      <c r="D384" s="44" t="n">
        <v>27.98</v>
      </c>
      <c r="F384" s="38" t="inlineStr">
        <is>
          <t>Publicació municipal 2025; la superfície s'utilitza com a magnitud territorial</t>
        </is>
      </c>
    </row>
    <row r="385" ht="15" customHeight="1" s="39">
      <c r="A385" s="38" t="inlineStr">
        <is>
          <t>[251253] Llardecans</t>
        </is>
      </c>
      <c r="B385" s="42" t="inlineStr">
        <is>
          <t>251253</t>
        </is>
      </c>
      <c r="C385" s="38" t="inlineStr">
        <is>
          <t>Llardecans</t>
        </is>
      </c>
      <c r="D385" s="44" t="n">
        <v>66.04000000000001</v>
      </c>
      <c r="F385" s="38" t="inlineStr">
        <is>
          <t>Publicació municipal 2025; la superfície s'utilitza com a magnitud territorial</t>
        </is>
      </c>
    </row>
    <row r="386" ht="15" customHeight="1" s="39">
      <c r="A386" s="38" t="inlineStr">
        <is>
          <t>[251266] Llavorsí</t>
        </is>
      </c>
      <c r="B386" s="42" t="inlineStr">
        <is>
          <t>251266</t>
        </is>
      </c>
      <c r="C386" s="38" t="inlineStr">
        <is>
          <t>Llavorsí</t>
        </is>
      </c>
      <c r="D386" s="44" t="n">
        <v>68.51000000000001</v>
      </c>
      <c r="F386" s="38" t="inlineStr">
        <is>
          <t>Publicació municipal 2025; la superfície s'utilitza com a magnitud territorial</t>
        </is>
      </c>
    </row>
    <row r="387" ht="15" customHeight="1" s="39">
      <c r="A387" s="38" t="inlineStr">
        <is>
          <t>[251207] Lleida</t>
        </is>
      </c>
      <c r="B387" s="42" t="inlineStr">
        <is>
          <t>251207</t>
        </is>
      </c>
      <c r="C387" s="38" t="inlineStr">
        <is>
          <t>Lleida</t>
        </is>
      </c>
      <c r="D387" s="44" t="n">
        <v>212.3</v>
      </c>
      <c r="F387" s="38" t="inlineStr">
        <is>
          <t>Publicació municipal 2025; la superfície s'utilitza com a magnitud territorial</t>
        </is>
      </c>
    </row>
    <row r="388" ht="15" customHeight="1" s="39">
      <c r="A388" s="38" t="inlineStr">
        <is>
          <t>[170932] Llers</t>
        </is>
      </c>
      <c r="B388" s="42" t="inlineStr">
        <is>
          <t>170932</t>
        </is>
      </c>
      <c r="C388" s="38" t="inlineStr">
        <is>
          <t>Llers</t>
        </is>
      </c>
      <c r="D388" s="44" t="n">
        <v>21.28</v>
      </c>
      <c r="F388" s="38" t="inlineStr">
        <is>
          <t>Publicació municipal 2025; la superfície s'utilitza com a magnitud territorial</t>
        </is>
      </c>
    </row>
    <row r="389" ht="15" customHeight="1" s="39">
      <c r="A389" s="38" t="inlineStr">
        <is>
          <t>[251272] Lles de Cerdanya</t>
        </is>
      </c>
      <c r="B389" s="42" t="inlineStr">
        <is>
          <t>251272</t>
        </is>
      </c>
      <c r="C389" s="38" t="inlineStr">
        <is>
          <t>Lles de Cerdanya</t>
        </is>
      </c>
      <c r="D389" s="44" t="n">
        <v>102.79</v>
      </c>
      <c r="F389" s="38" t="inlineStr">
        <is>
          <t>Publicació municipal 2025; la superfície s'utilitza com a magnitud territorial</t>
        </is>
      </c>
    </row>
    <row r="390" ht="15" customHeight="1" s="39">
      <c r="A390" s="38" t="inlineStr">
        <is>
          <t>[081075] Lliçà d'Amunt</t>
        </is>
      </c>
      <c r="B390" s="42" t="inlineStr">
        <is>
          <t>081075</t>
        </is>
      </c>
      <c r="C390" s="38" t="inlineStr">
        <is>
          <t>Lliçà d'Amunt</t>
        </is>
      </c>
      <c r="D390" s="44" t="n">
        <v>22.33</v>
      </c>
      <c r="F390" s="38" t="inlineStr">
        <is>
          <t>Publicació municipal 2025; la superfície s'utilitza com a magnitud territorial</t>
        </is>
      </c>
    </row>
    <row r="391" ht="15" customHeight="1" s="39">
      <c r="A391" s="38" t="inlineStr">
        <is>
          <t>[081081] Lliçà de Vall</t>
        </is>
      </c>
      <c r="B391" s="42" t="inlineStr">
        <is>
          <t>081081</t>
        </is>
      </c>
      <c r="C391" s="38" t="inlineStr">
        <is>
          <t>Lliçà de Vall</t>
        </is>
      </c>
      <c r="D391" s="44" t="n">
        <v>10.83</v>
      </c>
      <c r="F391" s="38" t="inlineStr">
        <is>
          <t>Publicació municipal 2025; la superfície s'utilitza com a magnitud territorial</t>
        </is>
      </c>
    </row>
    <row r="392" ht="15" customHeight="1" s="39">
      <c r="A392" s="38" t="inlineStr">
        <is>
          <t>[251288] Llimiana</t>
        </is>
      </c>
      <c r="B392" s="42" t="inlineStr">
        <is>
          <t>251288</t>
        </is>
      </c>
      <c r="C392" s="38" t="inlineStr">
        <is>
          <t>Llimiana</t>
        </is>
      </c>
      <c r="D392" s="44" t="n">
        <v>41.68</v>
      </c>
      <c r="F392" s="38" t="inlineStr">
        <is>
          <t>Publicació municipal 2025; la superfície s'utilitza com a magnitud territorial</t>
        </is>
      </c>
    </row>
    <row r="393" ht="15" customHeight="1" s="39">
      <c r="A393" s="38" t="inlineStr">
        <is>
          <t>[081069] Llinars del Vallès</t>
        </is>
      </c>
      <c r="B393" s="42" t="inlineStr">
        <is>
          <t>081069</t>
        </is>
      </c>
      <c r="C393" s="38" t="inlineStr">
        <is>
          <t>Llinars del Vallès</t>
        </is>
      </c>
      <c r="D393" s="44" t="n">
        <v>27.63</v>
      </c>
      <c r="F393" s="38" t="inlineStr">
        <is>
          <t>Publicació municipal 2025; la superfície s'utilitza com a magnitud territorial</t>
        </is>
      </c>
    </row>
    <row r="394" ht="15" customHeight="1" s="39">
      <c r="A394" s="38" t="inlineStr">
        <is>
          <t>[170947] Llívia</t>
        </is>
      </c>
      <c r="B394" s="42" t="inlineStr">
        <is>
          <t>170947</t>
        </is>
      </c>
      <c r="C394" s="38" t="inlineStr">
        <is>
          <t>Llívia</t>
        </is>
      </c>
      <c r="D394" s="44" t="n">
        <v>12.93</v>
      </c>
      <c r="F394" s="38" t="inlineStr">
        <is>
          <t>Publicació municipal 2025; la superfície s'utilitza com a magnitud territorial</t>
        </is>
      </c>
    </row>
    <row r="395" ht="15" customHeight="1" s="39">
      <c r="A395" s="38" t="inlineStr">
        <is>
          <t>[430727] Lloar, el</t>
        </is>
      </c>
      <c r="B395" s="42" t="inlineStr">
        <is>
          <t>430727</t>
        </is>
      </c>
      <c r="C395" s="38" t="inlineStr">
        <is>
          <t>Lloar, el</t>
        </is>
      </c>
      <c r="D395" s="44" t="n">
        <v>6.64</v>
      </c>
      <c r="F395" s="38" t="inlineStr">
        <is>
          <t>Publicació municipal 2025; la superfície s'utilitza com a magnitud territorial</t>
        </is>
      </c>
    </row>
    <row r="396" ht="15" customHeight="1" s="39">
      <c r="A396" s="38" t="inlineStr">
        <is>
          <t>[251291] Llobera</t>
        </is>
      </c>
      <c r="B396" s="42" t="inlineStr">
        <is>
          <t>251291</t>
        </is>
      </c>
      <c r="C396" s="38" t="inlineStr">
        <is>
          <t>Llobera</t>
        </is>
      </c>
      <c r="D396" s="44" t="n">
        <v>39.23</v>
      </c>
      <c r="F396" s="38" t="inlineStr">
        <is>
          <t>Publicació municipal 2025; la superfície s'utilitza com a magnitud territorial</t>
        </is>
      </c>
    </row>
    <row r="397" ht="15" customHeight="1" s="39">
      <c r="A397" s="38" t="inlineStr">
        <is>
          <t>[430733] Llorac</t>
        </is>
      </c>
      <c r="B397" s="42" t="inlineStr">
        <is>
          <t>430733</t>
        </is>
      </c>
      <c r="C397" s="38" t="inlineStr">
        <is>
          <t>Llorac</t>
        </is>
      </c>
      <c r="D397" s="44" t="n">
        <v>23.33</v>
      </c>
      <c r="F397" s="38" t="inlineStr">
        <is>
          <t>Publicació municipal 2025; la superfície s'utilitza com a magnitud territorial</t>
        </is>
      </c>
    </row>
    <row r="398" ht="15" customHeight="1" s="39">
      <c r="A398" s="38" t="inlineStr">
        <is>
          <t>[430748] Llorenç del Penedès</t>
        </is>
      </c>
      <c r="B398" s="42" t="inlineStr">
        <is>
          <t>430748</t>
        </is>
      </c>
      <c r="C398" s="38" t="inlineStr">
        <is>
          <t>Llorenç del Penedès</t>
        </is>
      </c>
      <c r="D398" s="44" t="n">
        <v>4.61</v>
      </c>
      <c r="F398" s="38" t="inlineStr">
        <is>
          <t>Publicació municipal 2025; la superfície s'utilitza com a magnitud territorial</t>
        </is>
      </c>
    </row>
    <row r="399" ht="15" customHeight="1" s="39">
      <c r="A399" s="38" t="inlineStr">
        <is>
          <t>[170950] Lloret de Mar</t>
        </is>
      </c>
      <c r="B399" s="42" t="inlineStr">
        <is>
          <t>170950</t>
        </is>
      </c>
      <c r="C399" s="38" t="inlineStr">
        <is>
          <t>Lloret de Mar</t>
        </is>
      </c>
      <c r="D399" s="44" t="n">
        <v>48.71</v>
      </c>
      <c r="F399" s="38" t="inlineStr">
        <is>
          <t>Publicació municipal 2025; la superfície s'utilitza com a magnitud territorial</t>
        </is>
      </c>
    </row>
    <row r="400" ht="15" customHeight="1" s="39">
      <c r="A400" s="38" t="inlineStr">
        <is>
          <t>[170963] Llosses, les</t>
        </is>
      </c>
      <c r="B400" s="42" t="inlineStr">
        <is>
          <t>170963</t>
        </is>
      </c>
      <c r="C400" s="38" t="inlineStr">
        <is>
          <t>Llosses, les</t>
        </is>
      </c>
      <c r="D400" s="44" t="n">
        <v>114.02</v>
      </c>
      <c r="F400" s="38" t="inlineStr">
        <is>
          <t>Publicació municipal 2025; la superfície s'utilitza com a magnitud territorial</t>
        </is>
      </c>
    </row>
    <row r="401" ht="15" customHeight="1" s="39">
      <c r="A401" s="38" t="inlineStr">
        <is>
          <t>[081094] Lluçà</t>
        </is>
      </c>
      <c r="B401" s="42" t="inlineStr">
        <is>
          <t>081094</t>
        </is>
      </c>
      <c r="C401" s="38" t="inlineStr">
        <is>
          <t>Lluçà</t>
        </is>
      </c>
      <c r="D401" s="44" t="n">
        <v>52.98</v>
      </c>
      <c r="F401" s="38" t="inlineStr">
        <is>
          <t>Publicació municipal 2025; la superfície s'utilitza com a magnitud territorial</t>
        </is>
      </c>
    </row>
    <row r="402" ht="15" customHeight="1" s="39">
      <c r="A402" s="38" t="inlineStr">
        <is>
          <t>[171024] Maçanet de Cabrenys</t>
        </is>
      </c>
      <c r="B402" s="42" t="inlineStr">
        <is>
          <t>171024</t>
        </is>
      </c>
      <c r="C402" s="38" t="inlineStr">
        <is>
          <t>Maçanet de Cabrenys</t>
        </is>
      </c>
      <c r="D402" s="44" t="n">
        <v>67.91</v>
      </c>
      <c r="F402" s="38" t="inlineStr">
        <is>
          <t>Publicació municipal 2025; la superfície s'utilitza com a magnitud territorial</t>
        </is>
      </c>
    </row>
    <row r="403" ht="15" customHeight="1" s="39">
      <c r="A403" s="38" t="inlineStr">
        <is>
          <t>[171030] Maçanet de la Selva</t>
        </is>
      </c>
      <c r="B403" s="42" t="inlineStr">
        <is>
          <t>171030</t>
        </is>
      </c>
      <c r="C403" s="38" t="inlineStr">
        <is>
          <t>Maçanet de la Selva</t>
        </is>
      </c>
      <c r="D403" s="44" t="n">
        <v>45.58</v>
      </c>
      <c r="F403" s="38" t="inlineStr">
        <is>
          <t>Publicació municipal 2025; la superfície s'utilitza com a magnitud territorial</t>
        </is>
      </c>
    </row>
    <row r="404" ht="15" customHeight="1" s="39">
      <c r="A404" s="38" t="inlineStr">
        <is>
          <t>[170979] Madremanya</t>
        </is>
      </c>
      <c r="B404" s="42" t="inlineStr">
        <is>
          <t>170979</t>
        </is>
      </c>
      <c r="C404" s="38" t="inlineStr">
        <is>
          <t>Madremanya</t>
        </is>
      </c>
      <c r="D404" s="44" t="n">
        <v>13.72</v>
      </c>
      <c r="F404" s="38" t="inlineStr">
        <is>
          <t>Publicació municipal 2025; la superfície s'utilitza com a magnitud territorial</t>
        </is>
      </c>
    </row>
    <row r="405" ht="15" customHeight="1" s="39">
      <c r="A405" s="38" t="inlineStr">
        <is>
          <t>[170985] Maià de Montcal</t>
        </is>
      </c>
      <c r="B405" s="42" t="inlineStr">
        <is>
          <t>170985</t>
        </is>
      </c>
      <c r="C405" s="38" t="inlineStr">
        <is>
          <t>Maià de Montcal</t>
        </is>
      </c>
      <c r="D405" s="44" t="n">
        <v>17.29</v>
      </c>
      <c r="F405" s="38" t="inlineStr">
        <is>
          <t>Publicació municipal 2025; la superfície s'utilitza com a magnitud territorial</t>
        </is>
      </c>
    </row>
    <row r="406" ht="15" customHeight="1" s="39">
      <c r="A406" s="38" t="inlineStr">
        <is>
          <t>[251333] Maials</t>
        </is>
      </c>
      <c r="B406" s="42" t="inlineStr">
        <is>
          <t>251333</t>
        </is>
      </c>
      <c r="C406" s="38" t="inlineStr">
        <is>
          <t>Maials</t>
        </is>
      </c>
      <c r="D406" s="44" t="n">
        <v>57.08</v>
      </c>
      <c r="F406" s="38" t="inlineStr">
        <is>
          <t>Publicació municipal 2025; la superfície s'utilitza com a magnitud territorial</t>
        </is>
      </c>
    </row>
    <row r="407" ht="15" customHeight="1" s="39">
      <c r="A407" s="38" t="inlineStr">
        <is>
          <t>[251305] Maldà</t>
        </is>
      </c>
      <c r="B407" s="42" t="inlineStr">
        <is>
          <t>251305</t>
        </is>
      </c>
      <c r="C407" s="38" t="inlineStr">
        <is>
          <t>Maldà</t>
        </is>
      </c>
      <c r="D407" s="44" t="n">
        <v>31.36</v>
      </c>
      <c r="F407" s="38" t="inlineStr">
        <is>
          <t>Publicació municipal 2025; la superfície s'utilitza com a magnitud territorial</t>
        </is>
      </c>
    </row>
    <row r="408" ht="15" customHeight="1" s="39">
      <c r="A408" s="38" t="inlineStr">
        <is>
          <t>[081108] Malgrat de Mar</t>
        </is>
      </c>
      <c r="B408" s="42" t="inlineStr">
        <is>
          <t>081108</t>
        </is>
      </c>
      <c r="C408" s="38" t="inlineStr">
        <is>
          <t>Malgrat de Mar</t>
        </is>
      </c>
      <c r="D408" s="44" t="n">
        <v>8.82</v>
      </c>
      <c r="F408" s="38" t="inlineStr">
        <is>
          <t>Publicació municipal 2025; la superfície s'utilitza com a magnitud territorial</t>
        </is>
      </c>
    </row>
    <row r="409" ht="15" customHeight="1" s="39">
      <c r="A409" s="38" t="inlineStr">
        <is>
          <t>[081115] Malla</t>
        </is>
      </c>
      <c r="B409" s="42" t="inlineStr">
        <is>
          <t>081115</t>
        </is>
      </c>
      <c r="C409" s="38" t="inlineStr">
        <is>
          <t>Malla</t>
        </is>
      </c>
      <c r="D409" s="44" t="n">
        <v>11.01</v>
      </c>
      <c r="F409" s="38" t="inlineStr">
        <is>
          <t>Publicació municipal 2025; la superfície s'utilitza com a magnitud territorial</t>
        </is>
      </c>
    </row>
    <row r="410" ht="15" customHeight="1" s="39">
      <c r="A410" s="38" t="inlineStr">
        <is>
          <t>[081120] Manlleu</t>
        </is>
      </c>
      <c r="B410" s="42" t="inlineStr">
        <is>
          <t>081120</t>
        </is>
      </c>
      <c r="C410" s="38" t="inlineStr">
        <is>
          <t>Manlleu</t>
        </is>
      </c>
      <c r="D410" s="44" t="n">
        <v>17.17</v>
      </c>
      <c r="F410" s="38" t="inlineStr">
        <is>
          <t>Publicació municipal 2025; la superfície s'utilitza com a magnitud territorial</t>
        </is>
      </c>
    </row>
    <row r="411" ht="15" customHeight="1" s="39">
      <c r="A411" s="38" t="inlineStr">
        <is>
          <t>[081136] Manresa</t>
        </is>
      </c>
      <c r="B411" s="42" t="inlineStr">
        <is>
          <t>081136</t>
        </is>
      </c>
      <c r="C411" s="38" t="inlineStr">
        <is>
          <t>Manresa</t>
        </is>
      </c>
      <c r="D411" s="44" t="n">
        <v>41.64</v>
      </c>
      <c r="F411" s="38" t="inlineStr">
        <is>
          <t>Publicació municipal 2025; la superfície s'utilitza com a magnitud territorial</t>
        </is>
      </c>
    </row>
    <row r="412" ht="15" customHeight="1" s="39">
      <c r="A412" s="38" t="inlineStr">
        <is>
          <t>[430764] Marçà</t>
        </is>
      </c>
      <c r="B412" s="42" t="inlineStr">
        <is>
          <t>430764</t>
        </is>
      </c>
      <c r="C412" s="38" t="inlineStr">
        <is>
          <t>Marçà</t>
        </is>
      </c>
      <c r="D412" s="44" t="n">
        <v>16.06</v>
      </c>
      <c r="F412" s="38" t="inlineStr">
        <is>
          <t>Publicació municipal 2025; la superfície s'utilitza com a magnitud territorial</t>
        </is>
      </c>
    </row>
    <row r="413" ht="15" customHeight="1" s="39">
      <c r="A413" s="38" t="inlineStr">
        <is>
          <t>[430751] Margalef</t>
        </is>
      </c>
      <c r="B413" s="42" t="inlineStr">
        <is>
          <t>430751</t>
        </is>
      </c>
      <c r="C413" s="38" t="inlineStr">
        <is>
          <t>Margalef</t>
        </is>
      </c>
      <c r="D413" s="44" t="n">
        <v>34.66</v>
      </c>
      <c r="F413" s="38" t="inlineStr">
        <is>
          <t>Publicació municipal 2025; la superfície s'utilitza com a magnitud territorial</t>
        </is>
      </c>
    </row>
    <row r="414" ht="15" customHeight="1" s="39">
      <c r="A414" s="38" t="inlineStr">
        <is>
          <t>[082423] Marganell</t>
        </is>
      </c>
      <c r="B414" s="42" t="inlineStr">
        <is>
          <t>082423</t>
        </is>
      </c>
      <c r="C414" s="38" t="inlineStr">
        <is>
          <t>Marganell</t>
        </is>
      </c>
      <c r="D414" s="44" t="n">
        <v>13.53</v>
      </c>
      <c r="F414" s="38" t="inlineStr">
        <is>
          <t>Publicació municipal 2025; la superfície s'utilitza com a magnitud territorial</t>
        </is>
      </c>
    </row>
    <row r="415" ht="15" customHeight="1" s="39">
      <c r="A415" s="38" t="inlineStr">
        <is>
          <t>[081141] Martorell</t>
        </is>
      </c>
      <c r="B415" s="42" t="inlineStr">
        <is>
          <t>081141</t>
        </is>
      </c>
      <c r="C415" s="38" t="inlineStr">
        <is>
          <t>Martorell</t>
        </is>
      </c>
      <c r="D415" s="44" t="n">
        <v>12.76</v>
      </c>
      <c r="F415" s="38" t="inlineStr">
        <is>
          <t>Publicació municipal 2025; la superfície s'utilitza com a magnitud territorial</t>
        </is>
      </c>
    </row>
    <row r="416" ht="15" customHeight="1" s="39">
      <c r="A416" s="38" t="inlineStr">
        <is>
          <t>[081154] Martorelles</t>
        </is>
      </c>
      <c r="B416" s="42" t="inlineStr">
        <is>
          <t>081154</t>
        </is>
      </c>
      <c r="C416" s="38" t="inlineStr">
        <is>
          <t>Martorelles</t>
        </is>
      </c>
      <c r="D416" s="44" t="n">
        <v>3.61</v>
      </c>
      <c r="F416" s="38" t="inlineStr">
        <is>
          <t>Publicació municipal 2025; la superfície s'utilitza com a magnitud territorial</t>
        </is>
      </c>
    </row>
    <row r="417" ht="15" customHeight="1" s="39">
      <c r="A417" s="38" t="inlineStr">
        <is>
          <t>[430770] Mas de Barberans</t>
        </is>
      </c>
      <c r="B417" s="42" t="inlineStr">
        <is>
          <t>430770</t>
        </is>
      </c>
      <c r="C417" s="38" t="inlineStr">
        <is>
          <t>Mas de Barberans</t>
        </is>
      </c>
      <c r="D417" s="44" t="n">
        <v>78.8</v>
      </c>
      <c r="F417" s="38" t="inlineStr">
        <is>
          <t>Publicació municipal 2025; la superfície s'utilitza com a magnitud territorial</t>
        </is>
      </c>
    </row>
    <row r="418" ht="15" customHeight="1" s="39">
      <c r="A418" s="38" t="inlineStr">
        <is>
          <t>[171002] Masarac i Vilarnadal</t>
        </is>
      </c>
      <c r="B418" s="42" t="inlineStr">
        <is>
          <t>171002</t>
        </is>
      </c>
      <c r="C418" s="38" t="inlineStr">
        <is>
          <t>Masarac i Vilarnadal</t>
        </is>
      </c>
      <c r="D418" s="44" t="n">
        <v>12.55</v>
      </c>
      <c r="F418" s="38" t="inlineStr">
        <is>
          <t>Publicació municipal 2025; la superfície s'utilitza com a magnitud territorial</t>
        </is>
      </c>
    </row>
    <row r="419" ht="15" customHeight="1" s="39">
      <c r="A419" s="38" t="inlineStr">
        <is>
          <t>[430786] Masdenverge</t>
        </is>
      </c>
      <c r="B419" s="42" t="inlineStr">
        <is>
          <t>430786</t>
        </is>
      </c>
      <c r="C419" s="38" t="inlineStr">
        <is>
          <t>Masdenverge</t>
        </is>
      </c>
      <c r="D419" s="44" t="n">
        <v>14.61</v>
      </c>
      <c r="F419" s="38" t="inlineStr">
        <is>
          <t>Publicació municipal 2025; la superfície s'utilitza com a magnitud territorial</t>
        </is>
      </c>
    </row>
    <row r="420" ht="15" customHeight="1" s="39">
      <c r="A420" s="38" t="inlineStr">
        <is>
          <t>[081167] Masies de Roda, les</t>
        </is>
      </c>
      <c r="B420" s="42" t="inlineStr">
        <is>
          <t>081167</t>
        </is>
      </c>
      <c r="C420" s="38" t="inlineStr">
        <is>
          <t>Masies de Roda, les</t>
        </is>
      </c>
      <c r="D420" s="44" t="n">
        <v>16.46</v>
      </c>
      <c r="F420" s="38" t="inlineStr">
        <is>
          <t>Publicació municipal 2025; la superfície s'utilitza com a magnitud territorial</t>
        </is>
      </c>
    </row>
    <row r="421" ht="15" customHeight="1" s="39">
      <c r="A421" s="38" t="inlineStr">
        <is>
          <t>[081173] Masies de Voltregà, les</t>
        </is>
      </c>
      <c r="B421" s="42" t="inlineStr">
        <is>
          <t>081173</t>
        </is>
      </c>
      <c r="C421" s="38" t="inlineStr">
        <is>
          <t>Masies de Voltregà, les</t>
        </is>
      </c>
      <c r="D421" s="44" t="n">
        <v>22.35</v>
      </c>
      <c r="F421" s="38" t="inlineStr">
        <is>
          <t>Publicació municipal 2025; la superfície s'utilitza com a magnitud territorial</t>
        </is>
      </c>
    </row>
    <row r="422" ht="15" customHeight="1" s="39">
      <c r="A422" s="38" t="inlineStr">
        <is>
          <t>[430799] Masllorenç</t>
        </is>
      </c>
      <c r="B422" s="42" t="inlineStr">
        <is>
          <t>430799</t>
        </is>
      </c>
      <c r="C422" s="38" t="inlineStr">
        <is>
          <t>Masllorenç</t>
        </is>
      </c>
      <c r="D422" s="44" t="n">
        <v>6.55</v>
      </c>
      <c r="F422" s="38" t="inlineStr">
        <is>
          <t>Publicació municipal 2025; la superfície s'utilitza com a magnitud territorial</t>
        </is>
      </c>
    </row>
    <row r="423" ht="15" customHeight="1" s="39">
      <c r="A423" s="38" t="inlineStr">
        <is>
          <t>[081189] Masnou, el</t>
        </is>
      </c>
      <c r="B423" s="42" t="inlineStr">
        <is>
          <t>081189</t>
        </is>
      </c>
      <c r="C423" s="38" t="inlineStr">
        <is>
          <t>Masnou, el</t>
        </is>
      </c>
      <c r="D423" s="44" t="n">
        <v>3.39</v>
      </c>
      <c r="F423" s="38" t="inlineStr">
        <is>
          <t>Publicació municipal 2025; la superfície s'utilitza com a magnitud territorial</t>
        </is>
      </c>
    </row>
    <row r="424" ht="15" customHeight="1" s="39">
      <c r="A424" s="38" t="inlineStr">
        <is>
          <t>[430803] Masó, la</t>
        </is>
      </c>
      <c r="B424" s="42" t="inlineStr">
        <is>
          <t>430803</t>
        </is>
      </c>
      <c r="C424" s="38" t="inlineStr">
        <is>
          <t>Masó, la</t>
        </is>
      </c>
      <c r="D424" s="44" t="n">
        <v>3.57</v>
      </c>
      <c r="F424" s="38" t="inlineStr">
        <is>
          <t>Publicació municipal 2025; la superfície s'utilitza com a magnitud territorial</t>
        </is>
      </c>
    </row>
    <row r="425" ht="15" customHeight="1" s="39">
      <c r="A425" s="38" t="inlineStr">
        <is>
          <t>[430810] Maspujols</t>
        </is>
      </c>
      <c r="B425" s="42" t="inlineStr">
        <is>
          <t>430810</t>
        </is>
      </c>
      <c r="C425" s="38" t="inlineStr">
        <is>
          <t>Maspujols</t>
        </is>
      </c>
      <c r="D425" s="44" t="n">
        <v>3.66</v>
      </c>
      <c r="F425" s="38" t="inlineStr">
        <is>
          <t>Publicació municipal 2025; la superfície s'utilitza com a magnitud territorial</t>
        </is>
      </c>
    </row>
    <row r="426" ht="15" customHeight="1" s="39">
      <c r="A426" s="38" t="inlineStr">
        <is>
          <t>[081192] Masquefa</t>
        </is>
      </c>
      <c r="B426" s="42" t="inlineStr">
        <is>
          <t>081192</t>
        </is>
      </c>
      <c r="C426" s="38" t="inlineStr">
        <is>
          <t>Masquefa</t>
        </is>
      </c>
      <c r="D426" s="44" t="n">
        <v>17.06</v>
      </c>
      <c r="F426" s="38" t="inlineStr">
        <is>
          <t>Publicació municipal 2025; la superfície s'utilitza com a magnitud territorial</t>
        </is>
      </c>
    </row>
    <row r="427" ht="15" customHeight="1" s="39">
      <c r="A427" s="38" t="inlineStr">
        <is>
          <t>[430825] Masroig, el</t>
        </is>
      </c>
      <c r="B427" s="42" t="inlineStr">
        <is>
          <t>430825</t>
        </is>
      </c>
      <c r="C427" s="38" t="inlineStr">
        <is>
          <t>Masroig, el</t>
        </is>
      </c>
      <c r="D427" s="44" t="n">
        <v>15.51</v>
      </c>
      <c r="F427" s="38" t="inlineStr">
        <is>
          <t>Publicació municipal 2025; la superfície s'utilitza com a magnitud territorial</t>
        </is>
      </c>
    </row>
    <row r="428" ht="15" customHeight="1" s="39">
      <c r="A428" s="38" t="inlineStr">
        <is>
          <t>[251312] Massalcoreig</t>
        </is>
      </c>
      <c r="B428" s="42" t="inlineStr">
        <is>
          <t>251312</t>
        </is>
      </c>
      <c r="C428" s="38" t="inlineStr">
        <is>
          <t>Massalcoreig</t>
        </is>
      </c>
      <c r="D428" s="44" t="n">
        <v>14.14</v>
      </c>
      <c r="F428" s="38" t="inlineStr">
        <is>
          <t>Publicació municipal 2025; la superfície s'utilitza com a magnitud territorial</t>
        </is>
      </c>
    </row>
    <row r="429" ht="15" customHeight="1" s="39">
      <c r="A429" s="38" t="inlineStr">
        <is>
          <t>[171019] Massanes</t>
        </is>
      </c>
      <c r="B429" s="42" t="inlineStr">
        <is>
          <t>171019</t>
        </is>
      </c>
      <c r="C429" s="38" t="inlineStr">
        <is>
          <t>Massanes</t>
        </is>
      </c>
      <c r="D429" s="44" t="n">
        <v>26.07</v>
      </c>
      <c r="F429" s="38" t="inlineStr">
        <is>
          <t>Publicació municipal 2025; la superfície s'utilitza com a magnitud territorial</t>
        </is>
      </c>
    </row>
    <row r="430" ht="15" customHeight="1" s="39">
      <c r="A430" s="38" t="inlineStr">
        <is>
          <t>[251327] Massoteres</t>
        </is>
      </c>
      <c r="B430" s="42" t="inlineStr">
        <is>
          <t>251327</t>
        </is>
      </c>
      <c r="C430" s="38" t="inlineStr">
        <is>
          <t>Massoteres</t>
        </is>
      </c>
      <c r="D430" s="44" t="n">
        <v>26.11</v>
      </c>
      <c r="F430" s="38" t="inlineStr">
        <is>
          <t>Publicació municipal 2025; la superfície s'utilitza com a magnitud territorial</t>
        </is>
      </c>
    </row>
    <row r="431" ht="15" customHeight="1" s="39">
      <c r="A431" s="38" t="inlineStr">
        <is>
          <t>[081206] Matadepera</t>
        </is>
      </c>
      <c r="B431" s="42" t="inlineStr">
        <is>
          <t>081206</t>
        </is>
      </c>
      <c r="C431" s="38" t="inlineStr">
        <is>
          <t>Matadepera</t>
        </is>
      </c>
      <c r="D431" s="44" t="n">
        <v>25.36</v>
      </c>
      <c r="F431" s="38" t="inlineStr">
        <is>
          <t>Publicació municipal 2025; la superfície s'utilitza com a magnitud territorial</t>
        </is>
      </c>
    </row>
    <row r="432" ht="15" customHeight="1" s="39">
      <c r="A432" s="38" t="inlineStr">
        <is>
          <t>[081213] Mataró</t>
        </is>
      </c>
      <c r="B432" s="42" t="inlineStr">
        <is>
          <t>081213</t>
        </is>
      </c>
      <c r="C432" s="38" t="inlineStr">
        <is>
          <t>Mataró</t>
        </is>
      </c>
      <c r="D432" s="44" t="n">
        <v>22.53</v>
      </c>
      <c r="F432" s="38" t="inlineStr">
        <is>
          <t>Publicació municipal 2025; la superfície s'utilitza com a magnitud territorial</t>
        </is>
      </c>
    </row>
    <row r="433" ht="15" customHeight="1" s="39">
      <c r="A433" s="38" t="inlineStr">
        <is>
          <t>[081228] Mediona</t>
        </is>
      </c>
      <c r="B433" s="42" t="inlineStr">
        <is>
          <t>081228</t>
        </is>
      </c>
      <c r="C433" s="38" t="inlineStr">
        <is>
          <t>Mediona</t>
        </is>
      </c>
      <c r="D433" s="44" t="n">
        <v>47.55</v>
      </c>
      <c r="F433" s="38" t="inlineStr">
        <is>
          <t>Publicació municipal 2025; la superfície s'utilitza com a magnitud territorial</t>
        </is>
      </c>
    </row>
    <row r="434" ht="15" customHeight="1" s="39">
      <c r="A434" s="38" t="inlineStr">
        <is>
          <t>[251348] Menàrguens</t>
        </is>
      </c>
      <c r="B434" s="42" t="inlineStr">
        <is>
          <t>251348</t>
        </is>
      </c>
      <c r="C434" s="38" t="inlineStr">
        <is>
          <t>Menàrguens</t>
        </is>
      </c>
      <c r="D434" s="44" t="n">
        <v>20.25</v>
      </c>
      <c r="F434" s="38" t="inlineStr">
        <is>
          <t>Publicació municipal 2025; la superfície s'utilitza com a magnitud territorial</t>
        </is>
      </c>
    </row>
    <row r="435" ht="15" customHeight="1" s="39">
      <c r="A435" s="38" t="inlineStr">
        <is>
          <t>[170998] Meranges</t>
        </is>
      </c>
      <c r="B435" s="42" t="inlineStr">
        <is>
          <t>170998</t>
        </is>
      </c>
      <c r="C435" s="38" t="inlineStr">
        <is>
          <t>Meranges</t>
        </is>
      </c>
      <c r="D435" s="44" t="n">
        <v>37.34</v>
      </c>
      <c r="F435" s="38" t="inlineStr">
        <is>
          <t>Publicació municipal 2025; la superfície s'utilitza com a magnitud territorial</t>
        </is>
      </c>
    </row>
    <row r="436" ht="15" customHeight="1" s="39">
      <c r="A436" s="38" t="inlineStr">
        <is>
          <t>[171058] Mieres</t>
        </is>
      </c>
      <c r="B436" s="42" t="inlineStr">
        <is>
          <t>171058</t>
        </is>
      </c>
      <c r="C436" s="38" t="inlineStr">
        <is>
          <t>Mieres</t>
        </is>
      </c>
      <c r="D436" s="44" t="n">
        <v>26.29</v>
      </c>
      <c r="F436" s="38" t="inlineStr">
        <is>
          <t>Publicació municipal 2025; la superfície s'utilitza com a magnitud territorial</t>
        </is>
      </c>
    </row>
    <row r="437" ht="15" customHeight="1" s="39">
      <c r="A437" s="38" t="inlineStr">
        <is>
          <t>[430831] Milà, el</t>
        </is>
      </c>
      <c r="B437" s="42" t="inlineStr">
        <is>
          <t>430831</t>
        </is>
      </c>
      <c r="C437" s="38" t="inlineStr">
        <is>
          <t>Milà, el</t>
        </is>
      </c>
      <c r="D437" s="44" t="n">
        <v>4.13</v>
      </c>
      <c r="F437" s="38" t="inlineStr">
        <is>
          <t>Publicació municipal 2025; la superfície s'utilitza com a magnitud territorial</t>
        </is>
      </c>
    </row>
    <row r="438" ht="15" customHeight="1" s="39">
      <c r="A438" s="38" t="inlineStr">
        <is>
          <t>[251351] Miralcamp</t>
        </is>
      </c>
      <c r="B438" s="42" t="inlineStr">
        <is>
          <t>251351</t>
        </is>
      </c>
      <c r="C438" s="38" t="inlineStr">
        <is>
          <t>Miralcamp</t>
        </is>
      </c>
      <c r="D438" s="44" t="n">
        <v>14.87</v>
      </c>
      <c r="F438" s="38" t="inlineStr">
        <is>
          <t>Publicació municipal 2025; la superfície s'utilitza com a magnitud territorial</t>
        </is>
      </c>
    </row>
    <row r="439" ht="15" customHeight="1" s="39">
      <c r="A439" s="38" t="inlineStr">
        <is>
          <t>[430846] Miravet</t>
        </is>
      </c>
      <c r="B439" s="42" t="inlineStr">
        <is>
          <t>430846</t>
        </is>
      </c>
      <c r="C439" s="38" t="inlineStr">
        <is>
          <t>Miravet</t>
        </is>
      </c>
      <c r="D439" s="44" t="n">
        <v>32.33</v>
      </c>
      <c r="F439" s="38" t="inlineStr">
        <is>
          <t>Publicació municipal 2025; la superfície s'utilitza com a magnitud territorial</t>
        </is>
      </c>
    </row>
    <row r="440" ht="15" customHeight="1" s="39">
      <c r="A440" s="38" t="inlineStr">
        <is>
          <t>[081385] Moià</t>
        </is>
      </c>
      <c r="B440" s="42" t="inlineStr">
        <is>
          <t>081385</t>
        </is>
      </c>
      <c r="C440" s="38" t="inlineStr">
        <is>
          <t>Moià</t>
        </is>
      </c>
      <c r="D440" s="44" t="n">
        <v>75.31</v>
      </c>
      <c r="F440" s="38" t="inlineStr">
        <is>
          <t>Publicació municipal 2025; la superfície s'utilitza com a magnitud territorial</t>
        </is>
      </c>
    </row>
    <row r="441" ht="15" customHeight="1" s="39">
      <c r="A441" s="38" t="inlineStr">
        <is>
          <t>[430859] Molar, el</t>
        </is>
      </c>
      <c r="B441" s="42" t="inlineStr">
        <is>
          <t>430859</t>
        </is>
      </c>
      <c r="C441" s="38" t="inlineStr">
        <is>
          <t>Molar, el</t>
        </is>
      </c>
      <c r="D441" s="44" t="n">
        <v>22.81</v>
      </c>
      <c r="F441" s="38" t="inlineStr">
        <is>
          <t>Publicació municipal 2025; la superfície s'utilitza com a magnitud territorial</t>
        </is>
      </c>
    </row>
    <row r="442" ht="15" customHeight="1" s="39">
      <c r="A442" s="38" t="inlineStr">
        <is>
          <t>[081234] Molins de Rei</t>
        </is>
      </c>
      <c r="B442" s="42" t="inlineStr">
        <is>
          <t>081234</t>
        </is>
      </c>
      <c r="C442" s="38" t="inlineStr">
        <is>
          <t>Molins de Rei</t>
        </is>
      </c>
      <c r="D442" s="44" t="n">
        <v>15.94</v>
      </c>
      <c r="F442" s="38" t="inlineStr">
        <is>
          <t>Publicació municipal 2025; la superfície s'utilitza com a magnitud territorial</t>
        </is>
      </c>
    </row>
    <row r="443" ht="15" customHeight="1" s="39">
      <c r="A443" s="38" t="inlineStr">
        <is>
          <t>[251370] Mollerussa</t>
        </is>
      </c>
      <c r="B443" s="42" t="inlineStr">
        <is>
          <t>251370</t>
        </is>
      </c>
      <c r="C443" s="38" t="inlineStr">
        <is>
          <t>Mollerussa</t>
        </is>
      </c>
      <c r="D443" s="44" t="n">
        <v>7.08</v>
      </c>
      <c r="F443" s="38" t="inlineStr">
        <is>
          <t>Publicació municipal 2025; la superfície s'utilitza com a magnitud territorial</t>
        </is>
      </c>
    </row>
    <row r="444" ht="15" customHeight="1" s="39">
      <c r="A444" s="38" t="inlineStr">
        <is>
          <t>[171061] Mollet de Peralada</t>
        </is>
      </c>
      <c r="B444" s="42" t="inlineStr">
        <is>
          <t>171061</t>
        </is>
      </c>
      <c r="C444" s="38" t="inlineStr">
        <is>
          <t>Mollet de Peralada</t>
        </is>
      </c>
      <c r="D444" s="44" t="n">
        <v>6.04</v>
      </c>
      <c r="F444" s="38" t="inlineStr">
        <is>
          <t>Publicació municipal 2025; la superfície s'utilitza com a magnitud territorial</t>
        </is>
      </c>
    </row>
    <row r="445" ht="15" customHeight="1" s="39">
      <c r="A445" s="38" t="inlineStr">
        <is>
          <t>[081249] Mollet del Vallès</t>
        </is>
      </c>
      <c r="B445" s="42" t="inlineStr">
        <is>
          <t>081249</t>
        </is>
      </c>
      <c r="C445" s="38" t="inlineStr">
        <is>
          <t>Mollet del Vallès</t>
        </is>
      </c>
      <c r="D445" s="44" t="n">
        <v>10.77</v>
      </c>
      <c r="F445" s="38" t="inlineStr">
        <is>
          <t>Publicació municipal 2025; la superfície s'utilitza com a magnitud territorial</t>
        </is>
      </c>
    </row>
    <row r="446" ht="15" customHeight="1" s="39">
      <c r="A446" s="38" t="inlineStr">
        <is>
          <t>[171077] Molló</t>
        </is>
      </c>
      <c r="B446" s="42" t="inlineStr">
        <is>
          <t>171077</t>
        </is>
      </c>
      <c r="C446" s="38" t="inlineStr">
        <is>
          <t>Molló</t>
        </is>
      </c>
      <c r="D446" s="44" t="n">
        <v>43.09</v>
      </c>
      <c r="F446" s="38" t="inlineStr">
        <is>
          <t>Publicació municipal 2025; la superfície s'utilitza com a magnitud territorial</t>
        </is>
      </c>
    </row>
    <row r="447" ht="15" customHeight="1" s="39">
      <c r="A447" s="38" t="inlineStr">
        <is>
          <t>[251364] Molsosa, la</t>
        </is>
      </c>
      <c r="B447" s="42" t="inlineStr">
        <is>
          <t>251364</t>
        </is>
      </c>
      <c r="C447" s="38" t="inlineStr">
        <is>
          <t>Molsosa, la</t>
        </is>
      </c>
      <c r="D447" s="44" t="n">
        <v>26.89</v>
      </c>
      <c r="F447" s="38" t="inlineStr">
        <is>
          <t>Publicació municipal 2025; la superfície s'utilitza com a magnitud territorial</t>
        </is>
      </c>
    </row>
    <row r="448" ht="15" customHeight="1" s="39">
      <c r="A448" s="38" t="inlineStr">
        <is>
          <t>[081287] Monistrol de Calders</t>
        </is>
      </c>
      <c r="B448" s="42" t="inlineStr">
        <is>
          <t>081287</t>
        </is>
      </c>
      <c r="C448" s="38" t="inlineStr">
        <is>
          <t>Monistrol de Calders</t>
        </is>
      </c>
      <c r="D448" s="44" t="n">
        <v>21.97</v>
      </c>
      <c r="F448" s="38" t="inlineStr">
        <is>
          <t>Publicació municipal 2025; la superfície s'utilitza com a magnitud territorial</t>
        </is>
      </c>
    </row>
    <row r="449" ht="15" customHeight="1" s="39">
      <c r="A449" s="38" t="inlineStr">
        <is>
          <t>[081271] Monistrol de Montserrat</t>
        </is>
      </c>
      <c r="B449" s="42" t="inlineStr">
        <is>
          <t>081271</t>
        </is>
      </c>
      <c r="C449" s="38" t="inlineStr">
        <is>
          <t>Monistrol de Montserrat</t>
        </is>
      </c>
      <c r="D449" s="44" t="n">
        <v>11.77</v>
      </c>
      <c r="F449" s="38" t="inlineStr">
        <is>
          <t>Publicació municipal 2025; la superfície s'utilitza com a magnitud territorial</t>
        </is>
      </c>
    </row>
    <row r="450" ht="15" customHeight="1" s="39">
      <c r="A450" s="38" t="inlineStr">
        <is>
          <t>[171096] Montagut i Oix</t>
        </is>
      </c>
      <c r="B450" s="42" t="inlineStr">
        <is>
          <t>171096</t>
        </is>
      </c>
      <c r="C450" s="38" t="inlineStr">
        <is>
          <t>Montagut i Oix</t>
        </is>
      </c>
      <c r="D450" s="44" t="n">
        <v>93.7</v>
      </c>
      <c r="F450" s="38" t="inlineStr">
        <is>
          <t>Publicació municipal 2025; la superfície s'utilitza com a magnitud territorial</t>
        </is>
      </c>
    </row>
    <row r="451" ht="15" customHeight="1" s="39">
      <c r="A451" s="38" t="inlineStr">
        <is>
          <t>[430862] Montblanc</t>
        </is>
      </c>
      <c r="B451" s="42" t="inlineStr">
        <is>
          <t>430862</t>
        </is>
      </c>
      <c r="C451" s="38" t="inlineStr">
        <is>
          <t>Montblanc</t>
        </is>
      </c>
      <c r="D451" s="44" t="n">
        <v>91.06999999999999</v>
      </c>
      <c r="F451" s="38" t="inlineStr">
        <is>
          <t>Publicació municipal 2025; la superfície s'utilitza com a magnitud territorial</t>
        </is>
      </c>
    </row>
    <row r="452" ht="15" customHeight="1" s="39">
      <c r="A452" s="38" t="inlineStr">
        <is>
          <t>[430884] Montbrió del Camp</t>
        </is>
      </c>
      <c r="B452" s="42" t="inlineStr">
        <is>
          <t>430884</t>
        </is>
      </c>
      <c r="C452" s="38" t="inlineStr">
        <is>
          <t>Montbrió del Camp</t>
        </is>
      </c>
      <c r="D452" s="44" t="n">
        <v>10.7</v>
      </c>
      <c r="F452" s="38" t="inlineStr">
        <is>
          <t>Publicació municipal 2025; la superfície s'utilitza com a magnitud territorial</t>
        </is>
      </c>
    </row>
    <row r="453" ht="15" customHeight="1" s="39">
      <c r="A453" s="38" t="inlineStr">
        <is>
          <t>[081252] Montcada i Reixac</t>
        </is>
      </c>
      <c r="B453" s="42" t="inlineStr">
        <is>
          <t>081252</t>
        </is>
      </c>
      <c r="C453" s="38" t="inlineStr">
        <is>
          <t>Montcada i Reixac</t>
        </is>
      </c>
      <c r="D453" s="44" t="n">
        <v>23.47</v>
      </c>
      <c r="F453" s="38" t="inlineStr">
        <is>
          <t>Publicació municipal 2025; la superfície s'utilitza com a magnitud territorial</t>
        </is>
      </c>
    </row>
    <row r="454" ht="15" customHeight="1" s="39">
      <c r="A454" s="38" t="inlineStr">
        <is>
          <t>[081304] Montclar</t>
        </is>
      </c>
      <c r="B454" s="42" t="inlineStr">
        <is>
          <t>081304</t>
        </is>
      </c>
      <c r="C454" s="38" t="inlineStr">
        <is>
          <t>Montclar</t>
        </is>
      </c>
      <c r="D454" s="44" t="n">
        <v>21.89</v>
      </c>
      <c r="F454" s="38" t="inlineStr">
        <is>
          <t>Publicació municipal 2025; la superfície s'utilitza com a magnitud territorial</t>
        </is>
      </c>
    </row>
    <row r="455" ht="15" customHeight="1" s="39">
      <c r="A455" s="38" t="inlineStr">
        <is>
          <t>[251399] Montellà i Martinet</t>
        </is>
      </c>
      <c r="B455" s="42" t="inlineStr">
        <is>
          <t>251399</t>
        </is>
      </c>
      <c r="C455" s="38" t="inlineStr">
        <is>
          <t>Montellà i Martinet</t>
        </is>
      </c>
      <c r="D455" s="44" t="n">
        <v>54.95</v>
      </c>
      <c r="F455" s="38" t="inlineStr">
        <is>
          <t>Publicació municipal 2025; la superfície s'utilitza com a magnitud territorial</t>
        </is>
      </c>
    </row>
    <row r="456" ht="15" customHeight="1" s="39">
      <c r="A456" s="38" t="inlineStr">
        <is>
          <t>[081311] Montesquiu</t>
        </is>
      </c>
      <c r="B456" s="42" t="inlineStr">
        <is>
          <t>081311</t>
        </is>
      </c>
      <c r="C456" s="38" t="inlineStr">
        <is>
          <t>Montesquiu</t>
        </is>
      </c>
      <c r="D456" s="44" t="n">
        <v>4.94</v>
      </c>
      <c r="F456" s="38" t="inlineStr">
        <is>
          <t>Publicació municipal 2025; la superfície s'utilitza com a magnitud territorial</t>
        </is>
      </c>
    </row>
    <row r="457" ht="15" customHeight="1" s="39">
      <c r="A457" s="38" t="inlineStr">
        <is>
          <t>[251403] Montferrer i Castellbò</t>
        </is>
      </c>
      <c r="B457" s="42" t="inlineStr">
        <is>
          <t>251403</t>
        </is>
      </c>
      <c r="C457" s="38" t="inlineStr">
        <is>
          <t>Montferrer i Castellbò</t>
        </is>
      </c>
      <c r="D457" s="44" t="n">
        <v>176.66</v>
      </c>
      <c r="F457" s="38" t="inlineStr">
        <is>
          <t>Publicació municipal 2025; la superfície s'utilitza com a magnitud territorial</t>
        </is>
      </c>
    </row>
    <row r="458" ht="15" customHeight="1" s="39">
      <c r="A458" s="38" t="inlineStr">
        <is>
          <t>[430897] Montferri</t>
        </is>
      </c>
      <c r="B458" s="42" t="inlineStr">
        <is>
          <t>430897</t>
        </is>
      </c>
      <c r="C458" s="38" t="inlineStr">
        <is>
          <t>Montferri</t>
        </is>
      </c>
      <c r="D458" s="44" t="n">
        <v>19.15</v>
      </c>
      <c r="F458" s="38" t="inlineStr">
        <is>
          <t>Publicació municipal 2025; la superfície s'utilitza com a magnitud territorial</t>
        </is>
      </c>
    </row>
    <row r="459" ht="15" customHeight="1" s="39">
      <c r="A459" s="38" t="inlineStr">
        <is>
          <t>[251386] Montgai</t>
        </is>
      </c>
      <c r="B459" s="42" t="inlineStr">
        <is>
          <t>251386</t>
        </is>
      </c>
      <c r="C459" s="38" t="inlineStr">
        <is>
          <t>Montgai</t>
        </is>
      </c>
      <c r="D459" s="44" t="n">
        <v>28.94</v>
      </c>
      <c r="F459" s="38" t="inlineStr">
        <is>
          <t>Publicació municipal 2025; la superfície s'utilitza com a magnitud territorial</t>
        </is>
      </c>
    </row>
    <row r="460" ht="15" customHeight="1" s="39">
      <c r="A460" s="38" t="inlineStr">
        <is>
          <t>[081265] Montgat</t>
        </is>
      </c>
      <c r="B460" s="42" t="inlineStr">
        <is>
          <t>081265</t>
        </is>
      </c>
      <c r="C460" s="38" t="inlineStr">
        <is>
          <t>Montgat</t>
        </is>
      </c>
      <c r="D460" s="44" t="n">
        <v>2.91</v>
      </c>
      <c r="F460" s="38" t="inlineStr">
        <is>
          <t>Publicació municipal 2025; la superfície s'utilitza com a magnitud territorial</t>
        </is>
      </c>
    </row>
    <row r="461" ht="15" customHeight="1" s="39">
      <c r="A461" s="38" t="inlineStr">
        <is>
          <t>[081326] Montmajor</t>
        </is>
      </c>
      <c r="B461" s="42" t="inlineStr">
        <is>
          <t>081326</t>
        </is>
      </c>
      <c r="C461" s="38" t="inlineStr">
        <is>
          <t>Montmajor</t>
        </is>
      </c>
      <c r="D461" s="44" t="n">
        <v>76.48999999999999</v>
      </c>
      <c r="F461" s="38" t="inlineStr">
        <is>
          <t>Publicació municipal 2025; la superfície s'utilitza com a magnitud territorial</t>
        </is>
      </c>
    </row>
    <row r="462" ht="15" customHeight="1" s="39">
      <c r="A462" s="38" t="inlineStr">
        <is>
          <t>[081332] Montmaneu</t>
        </is>
      </c>
      <c r="B462" s="42" t="inlineStr">
        <is>
          <t>081332</t>
        </is>
      </c>
      <c r="C462" s="38" t="inlineStr">
        <is>
          <t>Montmaneu</t>
        </is>
      </c>
      <c r="D462" s="44" t="n">
        <v>13.62</v>
      </c>
      <c r="F462" s="38" t="inlineStr">
        <is>
          <t>Publicació municipal 2025; la superfície s'utilitza com a magnitud territorial</t>
        </is>
      </c>
    </row>
    <row r="463" ht="15" customHeight="1" s="39">
      <c r="A463" s="38" t="inlineStr">
        <is>
          <t>[430901] Montmell, el</t>
        </is>
      </c>
      <c r="B463" s="42" t="inlineStr">
        <is>
          <t>430901</t>
        </is>
      </c>
      <c r="C463" s="38" t="inlineStr">
        <is>
          <t>Montmell, el</t>
        </is>
      </c>
      <c r="D463" s="44" t="n">
        <v>72.8</v>
      </c>
      <c r="F463" s="38" t="inlineStr">
        <is>
          <t>Publicació municipal 2025; la superfície s'utilitza com a magnitud territorial</t>
        </is>
      </c>
    </row>
    <row r="464" ht="15" customHeight="1" s="39">
      <c r="A464" s="38" t="inlineStr">
        <is>
          <t>[081350] Montmeló</t>
        </is>
      </c>
      <c r="B464" s="42" t="inlineStr">
        <is>
          <t>081350</t>
        </is>
      </c>
      <c r="C464" s="38" t="inlineStr">
        <is>
          <t>Montmeló</t>
        </is>
      </c>
      <c r="D464" s="44" t="n">
        <v>4</v>
      </c>
      <c r="F464" s="38" t="inlineStr">
        <is>
          <t>Publicació municipal 2025; la superfície s'utilitza com a magnitud territorial</t>
        </is>
      </c>
    </row>
    <row r="465" ht="15" customHeight="1" s="39">
      <c r="A465" s="38" t="inlineStr">
        <is>
          <t>[251425] Montoliu de Lleida</t>
        </is>
      </c>
      <c r="B465" s="42" t="inlineStr">
        <is>
          <t>251425</t>
        </is>
      </c>
      <c r="C465" s="38" t="inlineStr">
        <is>
          <t>Montoliu de Lleida</t>
        </is>
      </c>
      <c r="D465" s="44" t="n">
        <v>7.34</v>
      </c>
      <c r="F465" s="38" t="inlineStr">
        <is>
          <t>Publicació municipal 2025; la superfície s'utilitza com a magnitud territorial</t>
        </is>
      </c>
    </row>
    <row r="466" ht="15" customHeight="1" s="39">
      <c r="A466" s="38" t="inlineStr">
        <is>
          <t>[251410] Montoliu de Segarra</t>
        </is>
      </c>
      <c r="B466" s="42" t="inlineStr">
        <is>
          <t>251410</t>
        </is>
      </c>
      <c r="C466" s="38" t="inlineStr">
        <is>
          <t>Montoliu de Segarra</t>
        </is>
      </c>
      <c r="D466" s="44" t="n">
        <v>29.47</v>
      </c>
      <c r="F466" s="38" t="inlineStr">
        <is>
          <t>Publicació municipal 2025; la superfície s'utilitza com a magnitud territorial</t>
        </is>
      </c>
    </row>
    <row r="467" ht="15" customHeight="1" s="39">
      <c r="A467" s="38" t="inlineStr">
        <is>
          <t>[251431] Montornès de Segarra</t>
        </is>
      </c>
      <c r="B467" s="42" t="inlineStr">
        <is>
          <t>251431</t>
        </is>
      </c>
      <c r="C467" s="38" t="inlineStr">
        <is>
          <t>Montornès de Segarra</t>
        </is>
      </c>
      <c r="D467" s="44" t="n">
        <v>12.32</v>
      </c>
      <c r="F467" s="38" t="inlineStr">
        <is>
          <t>Publicació municipal 2025; la superfície s'utilitza com a magnitud territorial</t>
        </is>
      </c>
    </row>
    <row r="468" ht="15" customHeight="1" s="39">
      <c r="A468" s="38" t="inlineStr">
        <is>
          <t>[081363] Montornès del Vallès</t>
        </is>
      </c>
      <c r="B468" s="42" t="inlineStr">
        <is>
          <t>081363</t>
        </is>
      </c>
      <c r="C468" s="38" t="inlineStr">
        <is>
          <t>Montornès del Vallès</t>
        </is>
      </c>
      <c r="D468" s="44" t="n">
        <v>10.23</v>
      </c>
      <c r="F468" s="38" t="inlineStr">
        <is>
          <t>Publicació municipal 2025; la superfície s'utilitza com a magnitud territorial</t>
        </is>
      </c>
    </row>
    <row r="469" ht="15" customHeight="1" s="39">
      <c r="A469" s="38" t="inlineStr">
        <is>
          <t>[430918] Mont-ral</t>
        </is>
      </c>
      <c r="B469" s="42" t="inlineStr">
        <is>
          <t>430918</t>
        </is>
      </c>
      <c r="C469" s="38" t="inlineStr">
        <is>
          <t>Mont-ral</t>
        </is>
      </c>
      <c r="D469" s="44" t="n">
        <v>34.72</v>
      </c>
      <c r="F469" s="38" t="inlineStr">
        <is>
          <t>Publicació municipal 2025; la superfície s'utilitza com a magnitud territorial</t>
        </is>
      </c>
    </row>
    <row r="470" ht="15" customHeight="1" s="39">
      <c r="A470" s="38" t="inlineStr">
        <is>
          <t>[171100] Mont-ras</t>
        </is>
      </c>
      <c r="B470" s="42" t="inlineStr">
        <is>
          <t>171100</t>
        </is>
      </c>
      <c r="C470" s="38" t="inlineStr">
        <is>
          <t>Mont-ras</t>
        </is>
      </c>
      <c r="D470" s="44" t="n">
        <v>12.31</v>
      </c>
      <c r="F470" s="38" t="inlineStr">
        <is>
          <t>Publicació municipal 2025; la superfície s'utilitza com a magnitud territorial</t>
        </is>
      </c>
    </row>
    <row r="471" ht="15" customHeight="1" s="39">
      <c r="A471" s="38" t="inlineStr">
        <is>
          <t>[430923] Mont-roig del Camp</t>
        </is>
      </c>
      <c r="B471" s="42" t="inlineStr">
        <is>
          <t>430923</t>
        </is>
      </c>
      <c r="C471" s="38" t="inlineStr">
        <is>
          <t>Mont-roig del Camp</t>
        </is>
      </c>
      <c r="D471" s="44" t="n">
        <v>63.32</v>
      </c>
      <c r="F471" s="38" t="inlineStr">
        <is>
          <t>Publicació municipal 2025; la superfície s'utilitza com a magnitud territorial</t>
        </is>
      </c>
    </row>
    <row r="472" ht="15" customHeight="1" s="39">
      <c r="A472" s="38" t="inlineStr">
        <is>
          <t>[081379] Montseny</t>
        </is>
      </c>
      <c r="B472" s="42" t="inlineStr">
        <is>
          <t>081379</t>
        </is>
      </c>
      <c r="C472" s="38" t="inlineStr">
        <is>
          <t>Montseny</t>
        </is>
      </c>
      <c r="D472" s="44" t="n">
        <v>26.77</v>
      </c>
      <c r="F472" s="38" t="inlineStr">
        <is>
          <t>Publicació municipal 2025; la superfície s'utilitza com a magnitud territorial</t>
        </is>
      </c>
    </row>
    <row r="473" ht="15" customHeight="1" s="39">
      <c r="A473" s="38" t="inlineStr">
        <is>
          <t>[430939] Móra d'Ebre</t>
        </is>
      </c>
      <c r="B473" s="42" t="inlineStr">
        <is>
          <t>430939</t>
        </is>
      </c>
      <c r="C473" s="38" t="inlineStr">
        <is>
          <t>Móra d'Ebre</t>
        </is>
      </c>
      <c r="D473" s="44" t="n">
        <v>45.12</v>
      </c>
      <c r="F473" s="38" t="inlineStr">
        <is>
          <t>Publicació municipal 2025; la superfície s'utilitza com a magnitud territorial</t>
        </is>
      </c>
    </row>
    <row r="474" ht="15" customHeight="1" s="39">
      <c r="A474" s="38" t="inlineStr">
        <is>
          <t>[430944] Móra la Nova</t>
        </is>
      </c>
      <c r="B474" s="42" t="inlineStr">
        <is>
          <t>430944</t>
        </is>
      </c>
      <c r="C474" s="38" t="inlineStr">
        <is>
          <t>Móra la Nova</t>
        </is>
      </c>
      <c r="D474" s="44" t="n">
        <v>15.93</v>
      </c>
      <c r="F474" s="38" t="inlineStr">
        <is>
          <t>Publicació municipal 2025; la superfície s'utilitza com a magnitud territorial</t>
        </is>
      </c>
    </row>
    <row r="475" ht="15" customHeight="1" s="39">
      <c r="A475" s="38" t="inlineStr">
        <is>
          <t>[430957] Morell, el</t>
        </is>
      </c>
      <c r="B475" s="42" t="inlineStr">
        <is>
          <t>430957</t>
        </is>
      </c>
      <c r="C475" s="38" t="inlineStr">
        <is>
          <t>Morell, el</t>
        </is>
      </c>
      <c r="D475" s="44" t="n">
        <v>5.94</v>
      </c>
      <c r="F475" s="38" t="inlineStr">
        <is>
          <t>Publicació municipal 2025; la superfície s'utilitza com a magnitud territorial</t>
        </is>
      </c>
    </row>
    <row r="476" ht="15" customHeight="1" s="39">
      <c r="A476" s="38" t="inlineStr">
        <is>
          <t>[430960] Morera de Montsant, la</t>
        </is>
      </c>
      <c r="B476" s="42" t="inlineStr">
        <is>
          <t>430960</t>
        </is>
      </c>
      <c r="C476" s="38" t="inlineStr">
        <is>
          <t>Morera de Montsant, la</t>
        </is>
      </c>
      <c r="D476" s="44" t="n">
        <v>52.88</v>
      </c>
      <c r="F476" s="38" t="inlineStr">
        <is>
          <t>Publicació municipal 2025; la superfície s'utilitza com a magnitud territorial</t>
        </is>
      </c>
    </row>
    <row r="477" ht="15" customHeight="1" s="39">
      <c r="A477" s="38" t="inlineStr">
        <is>
          <t>[081290] Muntanyola</t>
        </is>
      </c>
      <c r="B477" s="42" t="inlineStr">
        <is>
          <t>081290</t>
        </is>
      </c>
      <c r="C477" s="38" t="inlineStr">
        <is>
          <t>Muntanyola</t>
        </is>
      </c>
      <c r="D477" s="44" t="n">
        <v>40.3</v>
      </c>
      <c r="F477" s="38" t="inlineStr">
        <is>
          <t>Publicació municipal 2025; la superfície s'utilitza com a magnitud territorial</t>
        </is>
      </c>
    </row>
    <row r="478" ht="15" customHeight="1" s="39">
      <c r="A478" s="38" t="inlineStr">
        <is>
          <t>[081398] Mura</t>
        </is>
      </c>
      <c r="B478" s="42" t="inlineStr">
        <is>
          <t>081398</t>
        </is>
      </c>
      <c r="C478" s="38" t="inlineStr">
        <is>
          <t>Mura</t>
        </is>
      </c>
      <c r="D478" s="44" t="n">
        <v>47.79</v>
      </c>
      <c r="F478" s="38" t="inlineStr">
        <is>
          <t>Publicació municipal 2025; la superfície s'utilitza com a magnitud territorial</t>
        </is>
      </c>
    </row>
    <row r="479" ht="15" customHeight="1" s="39">
      <c r="A479" s="38" t="inlineStr">
        <is>
          <t>[251459] Nalec</t>
        </is>
      </c>
      <c r="B479" s="42" t="inlineStr">
        <is>
          <t>251459</t>
        </is>
      </c>
      <c r="C479" s="38" t="inlineStr">
        <is>
          <t>Nalec</t>
        </is>
      </c>
      <c r="D479" s="44" t="n">
        <v>9.25</v>
      </c>
      <c r="F479" s="38" t="inlineStr">
        <is>
          <t>Publicació municipal 2025; la superfície s'utilitza com a magnitud territorial</t>
        </is>
      </c>
    </row>
    <row r="480" ht="15" customHeight="1" s="39">
      <c r="A480" s="38" t="inlineStr">
        <is>
          <t>[250254] Naut Aran</t>
        </is>
      </c>
      <c r="B480" s="42" t="inlineStr">
        <is>
          <t>250254</t>
        </is>
      </c>
      <c r="C480" s="38" t="inlineStr">
        <is>
          <t>Naut Aran</t>
        </is>
      </c>
      <c r="D480" s="44" t="n">
        <v>255.75</v>
      </c>
      <c r="F480" s="38" t="inlineStr">
        <is>
          <t>Publicació municipal 2025; la superfície s'utilitza com a magnitud territorial</t>
        </is>
      </c>
    </row>
    <row r="481" ht="15" customHeight="1" s="39">
      <c r="A481" s="38" t="inlineStr">
        <is>
          <t>[081402] Navarcles</t>
        </is>
      </c>
      <c r="B481" s="42" t="inlineStr">
        <is>
          <t>081402</t>
        </is>
      </c>
      <c r="C481" s="38" t="inlineStr">
        <is>
          <t>Navarcles</t>
        </is>
      </c>
      <c r="D481" s="44" t="n">
        <v>5.52</v>
      </c>
      <c r="F481" s="38" t="inlineStr">
        <is>
          <t>Publicació municipal 2025; la superfície s'utilitza com a magnitud territorial</t>
        </is>
      </c>
    </row>
    <row r="482" ht="15" customHeight="1" s="39">
      <c r="A482" s="38" t="inlineStr">
        <is>
          <t>[081419] Navàs</t>
        </is>
      </c>
      <c r="B482" s="42" t="inlineStr">
        <is>
          <t>081419</t>
        </is>
      </c>
      <c r="C482" s="38" t="inlineStr">
        <is>
          <t>Navàs</t>
        </is>
      </c>
      <c r="D482" s="44" t="n">
        <v>80.62</v>
      </c>
      <c r="F482" s="38" t="inlineStr">
        <is>
          <t>Publicació municipal 2025; la superfície s'utilitza com a magnitud territorial</t>
        </is>
      </c>
    </row>
    <row r="483" ht="15" customHeight="1" s="39">
      <c r="A483" s="38" t="inlineStr">
        <is>
          <t>[171117] Navata</t>
        </is>
      </c>
      <c r="B483" s="42" t="inlineStr">
        <is>
          <t>171117</t>
        </is>
      </c>
      <c r="C483" s="38" t="inlineStr">
        <is>
          <t>Navata</t>
        </is>
      </c>
      <c r="D483" s="44" t="n">
        <v>18.48</v>
      </c>
      <c r="F483" s="38" t="inlineStr">
        <is>
          <t>Publicació municipal 2025; la superfície s'utilitza com a magnitud territorial</t>
        </is>
      </c>
    </row>
    <row r="484" ht="15" customHeight="1" s="39">
      <c r="A484" s="38" t="inlineStr">
        <is>
          <t>[251462] Navès</t>
        </is>
      </c>
      <c r="B484" s="42" t="inlineStr">
        <is>
          <t>251462</t>
        </is>
      </c>
      <c r="C484" s="38" t="inlineStr">
        <is>
          <t>Navès</t>
        </is>
      </c>
      <c r="D484" s="44" t="n">
        <v>145.27</v>
      </c>
      <c r="F484" s="38" t="inlineStr">
        <is>
          <t>Publicació municipal 2025; la superfície s'utilitza com a magnitud territorial</t>
        </is>
      </c>
    </row>
    <row r="485" ht="15" customHeight="1" s="39">
      <c r="A485" s="38" t="inlineStr">
        <is>
          <t>[081424] Nou de Berguedà, la</t>
        </is>
      </c>
      <c r="B485" s="42" t="inlineStr">
        <is>
          <t>081424</t>
        </is>
      </c>
      <c r="C485" s="38" t="inlineStr">
        <is>
          <t>Nou de Berguedà, la</t>
        </is>
      </c>
      <c r="D485" s="44" t="n">
        <v>25.01</v>
      </c>
      <c r="F485" s="38" t="inlineStr">
        <is>
          <t>Publicació municipal 2025; la superfície s'utilitza com a magnitud territorial</t>
        </is>
      </c>
    </row>
    <row r="486" ht="15" customHeight="1" s="39">
      <c r="A486" s="38" t="inlineStr">
        <is>
          <t>[430976] Nou de Gaià, la</t>
        </is>
      </c>
      <c r="B486" s="42" t="inlineStr">
        <is>
          <t>430976</t>
        </is>
      </c>
      <c r="C486" s="38" t="inlineStr">
        <is>
          <t>Nou de Gaià, la</t>
        </is>
      </c>
      <c r="D486" s="44" t="n">
        <v>4.32</v>
      </c>
      <c r="F486" s="38" t="inlineStr">
        <is>
          <t>Publicació municipal 2025; la superfície s'utilitza com a magnitud territorial</t>
        </is>
      </c>
    </row>
    <row r="487" ht="15" customHeight="1" s="39">
      <c r="A487" s="38" t="inlineStr">
        <is>
          <t>[430982] Nulles</t>
        </is>
      </c>
      <c r="B487" s="42" t="inlineStr">
        <is>
          <t>430982</t>
        </is>
      </c>
      <c r="C487" s="38" t="inlineStr">
        <is>
          <t>Nulles</t>
        </is>
      </c>
      <c r="D487" s="44" t="n">
        <v>10.61</v>
      </c>
      <c r="F487" s="38" t="inlineStr">
        <is>
          <t>Publicació municipal 2025; la superfície s'utilitza com a magnitud territorial</t>
        </is>
      </c>
    </row>
    <row r="488" ht="15" customHeight="1" s="39">
      <c r="A488" s="38" t="inlineStr">
        <is>
          <t>[251484] Odèn</t>
        </is>
      </c>
      <c r="B488" s="42" t="inlineStr">
        <is>
          <t>251484</t>
        </is>
      </c>
      <c r="C488" s="38" t="inlineStr">
        <is>
          <t>Odèn</t>
        </is>
      </c>
      <c r="D488" s="44" t="n">
        <v>114.38</v>
      </c>
      <c r="F488" s="38" t="inlineStr">
        <is>
          <t>Publicació municipal 2025; la superfície s'utilitza com a magnitud territorial</t>
        </is>
      </c>
    </row>
    <row r="489" ht="15" customHeight="1" s="39">
      <c r="A489" s="38" t="inlineStr">
        <is>
          <t>[081430] Òdena</t>
        </is>
      </c>
      <c r="B489" s="42" t="inlineStr">
        <is>
          <t>081430</t>
        </is>
      </c>
      <c r="C489" s="38" t="inlineStr">
        <is>
          <t>Òdena</t>
        </is>
      </c>
      <c r="D489" s="44" t="n">
        <v>52.66</v>
      </c>
      <c r="F489" s="38" t="inlineStr">
        <is>
          <t>Publicació municipal 2025; la superfície s'utilitza com a magnitud territorial</t>
        </is>
      </c>
    </row>
    <row r="490" ht="15" customHeight="1" s="39">
      <c r="A490" s="38" t="inlineStr">
        <is>
          <t>[171122] Ogassa</t>
        </is>
      </c>
      <c r="B490" s="42" t="inlineStr">
        <is>
          <t>171122</t>
        </is>
      </c>
      <c r="C490" s="38" t="inlineStr">
        <is>
          <t>Ogassa</t>
        </is>
      </c>
      <c r="D490" s="44" t="n">
        <v>45.22</v>
      </c>
      <c r="F490" s="38" t="inlineStr">
        <is>
          <t>Publicació municipal 2025; la superfície s'utilitza com a magnitud territorial</t>
        </is>
      </c>
    </row>
    <row r="491" ht="15" customHeight="1" s="39">
      <c r="A491" s="38" t="inlineStr">
        <is>
          <t>[081458] Olèrdola</t>
        </is>
      </c>
      <c r="B491" s="42" t="inlineStr">
        <is>
          <t>081458</t>
        </is>
      </c>
      <c r="C491" s="38" t="inlineStr">
        <is>
          <t>Olèrdola</t>
        </is>
      </c>
      <c r="D491" s="44" t="n">
        <v>30.15</v>
      </c>
      <c r="F491" s="38" t="inlineStr">
        <is>
          <t>Publicació municipal 2025; la superfície s'utilitza com a magnitud territorial</t>
        </is>
      </c>
    </row>
    <row r="492" ht="15" customHeight="1" s="39">
      <c r="A492" s="38" t="inlineStr">
        <is>
          <t>[081461] Olesa de Bonesvalls</t>
        </is>
      </c>
      <c r="B492" s="42" t="inlineStr">
        <is>
          <t>081461</t>
        </is>
      </c>
      <c r="C492" s="38" t="inlineStr">
        <is>
          <t>Olesa de Bonesvalls</t>
        </is>
      </c>
      <c r="D492" s="44" t="n">
        <v>30.79</v>
      </c>
      <c r="F492" s="38" t="inlineStr">
        <is>
          <t>Publicació municipal 2025; la superfície s'utilitza com a magnitud territorial</t>
        </is>
      </c>
    </row>
    <row r="493" ht="15" customHeight="1" s="39">
      <c r="A493" s="38" t="inlineStr">
        <is>
          <t>[081477] Olesa de Montserrat</t>
        </is>
      </c>
      <c r="B493" s="42" t="inlineStr">
        <is>
          <t>081477</t>
        </is>
      </c>
      <c r="C493" s="38" t="inlineStr">
        <is>
          <t>Olesa de Montserrat</t>
        </is>
      </c>
      <c r="D493" s="44" t="n">
        <v>16.63</v>
      </c>
      <c r="F493" s="38" t="inlineStr">
        <is>
          <t>Publicació municipal 2025; la superfície s'utilitza com a magnitud territorial</t>
        </is>
      </c>
    </row>
    <row r="494" ht="15" customHeight="1" s="39">
      <c r="A494" s="38" t="inlineStr">
        <is>
          <t>[251497] Oliana</t>
        </is>
      </c>
      <c r="B494" s="42" t="inlineStr">
        <is>
          <t>251497</t>
        </is>
      </c>
      <c r="C494" s="38" t="inlineStr">
        <is>
          <t>Oliana</t>
        </is>
      </c>
      <c r="D494" s="44" t="n">
        <v>32.37</v>
      </c>
      <c r="F494" s="38" t="inlineStr">
        <is>
          <t>Publicació municipal 2025; la superfície s'utilitza com a magnitud territorial</t>
        </is>
      </c>
    </row>
    <row r="495" ht="15" customHeight="1" s="39">
      <c r="A495" s="38" t="inlineStr">
        <is>
          <t>[251500] Oliola</t>
        </is>
      </c>
      <c r="B495" s="42" t="inlineStr">
        <is>
          <t>251500</t>
        </is>
      </c>
      <c r="C495" s="38" t="inlineStr">
        <is>
          <t>Oliola</t>
        </is>
      </c>
      <c r="D495" s="44" t="n">
        <v>86.28</v>
      </c>
      <c r="F495" s="38" t="inlineStr">
        <is>
          <t>Publicació municipal 2025; la superfície s'utilitza com a magnitud territorial</t>
        </is>
      </c>
    </row>
    <row r="496" ht="15" customHeight="1" s="39">
      <c r="A496" s="38" t="inlineStr">
        <is>
          <t>[251517] Olius</t>
        </is>
      </c>
      <c r="B496" s="42" t="inlineStr">
        <is>
          <t>251517</t>
        </is>
      </c>
      <c r="C496" s="38" t="inlineStr">
        <is>
          <t>Olius</t>
        </is>
      </c>
      <c r="D496" s="44" t="n">
        <v>54.84</v>
      </c>
      <c r="F496" s="38" t="inlineStr">
        <is>
          <t>Publicació municipal 2025; la superfície s'utilitza com a magnitud territorial</t>
        </is>
      </c>
    </row>
    <row r="497" ht="15" customHeight="1" s="39">
      <c r="A497" s="38" t="inlineStr">
        <is>
          <t>[081483] Olivella</t>
        </is>
      </c>
      <c r="B497" s="42" t="inlineStr">
        <is>
          <t>081483</t>
        </is>
      </c>
      <c r="C497" s="38" t="inlineStr">
        <is>
          <t>Olivella</t>
        </is>
      </c>
      <c r="D497" s="44" t="n">
        <v>38.75</v>
      </c>
      <c r="F497" s="38" t="inlineStr">
        <is>
          <t>Publicació municipal 2025; la superfície s'utilitza com a magnitud territorial</t>
        </is>
      </c>
    </row>
    <row r="498" ht="15" customHeight="1" s="39">
      <c r="A498" s="38" t="inlineStr">
        <is>
          <t>[081496] Olost</t>
        </is>
      </c>
      <c r="B498" s="42" t="inlineStr">
        <is>
          <t>081496</t>
        </is>
      </c>
      <c r="C498" s="38" t="inlineStr">
        <is>
          <t>Olost</t>
        </is>
      </c>
      <c r="D498" s="44" t="n">
        <v>29.37</v>
      </c>
      <c r="F498" s="38" t="inlineStr">
        <is>
          <t>Publicació municipal 2025; la superfície s'utilitza com a magnitud territorial</t>
        </is>
      </c>
    </row>
    <row r="499" ht="15" customHeight="1" s="39">
      <c r="A499" s="38" t="inlineStr">
        <is>
          <t>[171143] Olot</t>
        </is>
      </c>
      <c r="B499" s="42" t="inlineStr">
        <is>
          <t>171143</t>
        </is>
      </c>
      <c r="C499" s="38" t="inlineStr">
        <is>
          <t>Olot</t>
        </is>
      </c>
      <c r="D499" s="44" t="n">
        <v>29.03</v>
      </c>
      <c r="F499" s="38" t="inlineStr">
        <is>
          <t>Publicació municipal 2025; la superfície s'utilitza com a magnitud territorial</t>
        </is>
      </c>
    </row>
    <row r="500" ht="15" customHeight="1" s="39">
      <c r="A500" s="38" t="inlineStr">
        <is>
          <t>[251522] Oluges, les</t>
        </is>
      </c>
      <c r="B500" s="42" t="inlineStr">
        <is>
          <t>251522</t>
        </is>
      </c>
      <c r="C500" s="38" t="inlineStr">
        <is>
          <t>Oluges, les</t>
        </is>
      </c>
      <c r="D500" s="44" t="n">
        <v>18.95</v>
      </c>
      <c r="F500" s="38" t="inlineStr">
        <is>
          <t>Publicació municipal 2025; la superfície s'utilitza com a magnitud territorial</t>
        </is>
      </c>
    </row>
    <row r="501" ht="15" customHeight="1" s="39">
      <c r="A501" s="38" t="inlineStr">
        <is>
          <t>[081445] Olvan</t>
        </is>
      </c>
      <c r="B501" s="42" t="inlineStr">
        <is>
          <t>081445</t>
        </is>
      </c>
      <c r="C501" s="38" t="inlineStr">
        <is>
          <t>Olvan</t>
        </is>
      </c>
      <c r="D501" s="44" t="n">
        <v>35.58</v>
      </c>
      <c r="F501" s="38" t="inlineStr">
        <is>
          <t>Publicació municipal 2025; la superfície s'utilitza com a magnitud territorial</t>
        </is>
      </c>
    </row>
    <row r="502" ht="15" customHeight="1" s="39">
      <c r="A502" s="38" t="inlineStr">
        <is>
          <t>[251538] Omellons, els</t>
        </is>
      </c>
      <c r="B502" s="42" t="inlineStr">
        <is>
          <t>251538</t>
        </is>
      </c>
      <c r="C502" s="38" t="inlineStr">
        <is>
          <t>Omellons, els</t>
        </is>
      </c>
      <c r="D502" s="44" t="n">
        <v>11.06</v>
      </c>
      <c r="F502" s="38" t="inlineStr">
        <is>
          <t>Publicació municipal 2025; la superfície s'utilitza com a magnitud territorial</t>
        </is>
      </c>
    </row>
    <row r="503" ht="15" customHeight="1" s="39">
      <c r="A503" s="38" t="inlineStr">
        <is>
          <t>[251543] Omells de na Gaia, els</t>
        </is>
      </c>
      <c r="B503" s="42" t="inlineStr">
        <is>
          <t>251543</t>
        </is>
      </c>
      <c r="C503" s="38" t="inlineStr">
        <is>
          <t>Omells de na Gaia, els</t>
        </is>
      </c>
      <c r="D503" s="44" t="n">
        <v>13.48</v>
      </c>
      <c r="F503" s="38" t="inlineStr">
        <is>
          <t>Publicació municipal 2025; la superfície s'utilitza com a magnitud territorial</t>
        </is>
      </c>
    </row>
    <row r="504" ht="15" customHeight="1" s="39">
      <c r="A504" s="38" t="inlineStr">
        <is>
          <t>[171156] Ordis</t>
        </is>
      </c>
      <c r="B504" s="42" t="inlineStr">
        <is>
          <t>171156</t>
        </is>
      </c>
      <c r="C504" s="38" t="inlineStr">
        <is>
          <t>Ordis</t>
        </is>
      </c>
      <c r="D504" s="44" t="n">
        <v>8.550000000000001</v>
      </c>
      <c r="F504" s="38" t="inlineStr">
        <is>
          <t>Publicació municipal 2025; la superfície s'utilitza com a magnitud territorial</t>
        </is>
      </c>
    </row>
    <row r="505" ht="15" customHeight="1" s="39">
      <c r="A505" s="38" t="inlineStr">
        <is>
          <t>[251556] Organyà</t>
        </is>
      </c>
      <c r="B505" s="42" t="inlineStr">
        <is>
          <t>251556</t>
        </is>
      </c>
      <c r="C505" s="38" t="inlineStr">
        <is>
          <t>Organyà</t>
        </is>
      </c>
      <c r="D505" s="44" t="n">
        <v>12.53</v>
      </c>
      <c r="F505" s="38" t="inlineStr">
        <is>
          <t>Publicació municipal 2025; la superfície s'utilitza com a magnitud territorial</t>
        </is>
      </c>
    </row>
    <row r="506" ht="15" customHeight="1" s="39">
      <c r="A506" s="38" t="inlineStr">
        <is>
          <t>[081509] Orís</t>
        </is>
      </c>
      <c r="B506" s="42" t="inlineStr">
        <is>
          <t>081509</t>
        </is>
      </c>
      <c r="C506" s="38" t="inlineStr">
        <is>
          <t>Orís</t>
        </is>
      </c>
      <c r="D506" s="44" t="n">
        <v>27.17</v>
      </c>
      <c r="F506" s="38" t="inlineStr">
        <is>
          <t>Publicació municipal 2025; la superfície s'utilitza com a magnitud territorial</t>
        </is>
      </c>
    </row>
    <row r="507" ht="15" customHeight="1" s="39">
      <c r="A507" s="38" t="inlineStr">
        <is>
          <t>[081516] Oristà</t>
        </is>
      </c>
      <c r="B507" s="42" t="inlineStr">
        <is>
          <t>081516</t>
        </is>
      </c>
      <c r="C507" s="38" t="inlineStr">
        <is>
          <t>Oristà</t>
        </is>
      </c>
      <c r="D507" s="44" t="n">
        <v>68.48999999999999</v>
      </c>
      <c r="F507" s="38" t="inlineStr">
        <is>
          <t>Publicació municipal 2025; la superfície s'utilitza com a magnitud territorial</t>
        </is>
      </c>
    </row>
    <row r="508" ht="15" customHeight="1" s="39">
      <c r="A508" s="38" t="inlineStr">
        <is>
          <t>[081521] Orpí</t>
        </is>
      </c>
      <c r="B508" s="42" t="inlineStr">
        <is>
          <t>081521</t>
        </is>
      </c>
      <c r="C508" s="38" t="inlineStr">
        <is>
          <t>Orpí</t>
        </is>
      </c>
      <c r="D508" s="44" t="n">
        <v>15.23</v>
      </c>
      <c r="F508" s="38" t="inlineStr">
        <is>
          <t>Publicació municipal 2025; la superfície s'utilitza com a magnitud territorial</t>
        </is>
      </c>
    </row>
    <row r="509" ht="15" customHeight="1" s="39">
      <c r="A509" s="38" t="inlineStr">
        <is>
          <t>[081537] Òrrius</t>
        </is>
      </c>
      <c r="B509" s="42" t="inlineStr">
        <is>
          <t>081537</t>
        </is>
      </c>
      <c r="C509" s="38" t="inlineStr">
        <is>
          <t>Òrrius</t>
        </is>
      </c>
      <c r="D509" s="44" t="n">
        <v>5.66</v>
      </c>
      <c r="F509" s="38" t="inlineStr">
        <is>
          <t>Publicació municipal 2025; la superfície s'utilitza com a magnitud territorial</t>
        </is>
      </c>
    </row>
    <row r="510" ht="15" customHeight="1" s="39">
      <c r="A510" s="38" t="inlineStr">
        <is>
          <t>[251569] Os de Balaguer</t>
        </is>
      </c>
      <c r="B510" s="42" t="inlineStr">
        <is>
          <t>251569</t>
        </is>
      </c>
      <c r="C510" s="38" t="inlineStr">
        <is>
          <t>Os de Balaguer</t>
        </is>
      </c>
      <c r="D510" s="44" t="n">
        <v>135.96</v>
      </c>
      <c r="F510" s="38" t="inlineStr">
        <is>
          <t>Publicació municipal 2025; la superfície s'utilitza com a magnitud territorial</t>
        </is>
      </c>
    </row>
    <row r="511" ht="15" customHeight="1" s="39">
      <c r="A511" s="38" t="inlineStr">
        <is>
          <t>[171169] Osor</t>
        </is>
      </c>
      <c r="B511" s="42" t="inlineStr">
        <is>
          <t>171169</t>
        </is>
      </c>
      <c r="C511" s="38" t="inlineStr">
        <is>
          <t>Osor</t>
        </is>
      </c>
      <c r="D511" s="44" t="n">
        <v>52.07</v>
      </c>
      <c r="F511" s="38" t="inlineStr">
        <is>
          <t>Publicació municipal 2025; la superfície s'utilitza com a magnitud territorial</t>
        </is>
      </c>
    </row>
    <row r="512" ht="15" customHeight="1" s="39">
      <c r="A512" s="38" t="inlineStr">
        <is>
          <t>[251575] Ossó de Sió</t>
        </is>
      </c>
      <c r="B512" s="42" t="inlineStr">
        <is>
          <t>251575</t>
        </is>
      </c>
      <c r="C512" s="38" t="inlineStr">
        <is>
          <t>Ossó de Sió</t>
        </is>
      </c>
      <c r="D512" s="44" t="n">
        <v>26.29</v>
      </c>
      <c r="F512" s="38" t="inlineStr">
        <is>
          <t>Publicació municipal 2025; la superfície s'utilitza com a magnitud territorial</t>
        </is>
      </c>
    </row>
    <row r="513" ht="15" customHeight="1" s="39">
      <c r="A513" s="38" t="inlineStr">
        <is>
          <t>[081542] Pacs del Penedès</t>
        </is>
      </c>
      <c r="B513" s="42" t="inlineStr">
        <is>
          <t>081542</t>
        </is>
      </c>
      <c r="C513" s="38" t="inlineStr">
        <is>
          <t>Pacs del Penedès</t>
        </is>
      </c>
      <c r="D513" s="44" t="n">
        <v>6.27</v>
      </c>
      <c r="F513" s="38" t="inlineStr">
        <is>
          <t>Publicació municipal 2025; la superfície s'utilitza com a magnitud territorial</t>
        </is>
      </c>
    </row>
    <row r="514" ht="15" customHeight="1" s="39">
      <c r="A514" s="38" t="inlineStr">
        <is>
          <t>[081555] Palafolls</t>
        </is>
      </c>
      <c r="B514" s="42" t="inlineStr">
        <is>
          <t>081555</t>
        </is>
      </c>
      <c r="C514" s="38" t="inlineStr">
        <is>
          <t>Palafolls</t>
        </is>
      </c>
      <c r="D514" s="44" t="n">
        <v>16.56</v>
      </c>
      <c r="F514" s="38" t="inlineStr">
        <is>
          <t>Publicació municipal 2025; la superfície s'utilitza com a magnitud territorial</t>
        </is>
      </c>
    </row>
    <row r="515" ht="15" customHeight="1" s="39">
      <c r="A515" s="38" t="inlineStr">
        <is>
          <t>[171175] Palafrugell</t>
        </is>
      </c>
      <c r="B515" s="42" t="inlineStr">
        <is>
          <t>171175</t>
        </is>
      </c>
      <c r="C515" s="38" t="inlineStr">
        <is>
          <t>Palafrugell</t>
        </is>
      </c>
      <c r="D515" s="44" t="n">
        <v>26.88</v>
      </c>
      <c r="F515" s="38" t="inlineStr">
        <is>
          <t>Publicació municipal 2025; la superfície s'utilitza com a magnitud territorial</t>
        </is>
      </c>
    </row>
    <row r="516" ht="15" customHeight="1" s="39">
      <c r="A516" s="38" t="inlineStr">
        <is>
          <t>[171181] Palamós</t>
        </is>
      </c>
      <c r="B516" s="42" t="inlineStr">
        <is>
          <t>171181</t>
        </is>
      </c>
      <c r="C516" s="38" t="inlineStr">
        <is>
          <t>Palamós</t>
        </is>
      </c>
      <c r="D516" s="44" t="n">
        <v>13.98</v>
      </c>
      <c r="F516" s="38" t="inlineStr">
        <is>
          <t>Publicació municipal 2025; la superfície s'utilitza com a magnitud territorial</t>
        </is>
      </c>
    </row>
    <row r="517" ht="15" customHeight="1" s="39">
      <c r="A517" s="38" t="inlineStr">
        <is>
          <t>[251581] Palau d'Anglesola, el</t>
        </is>
      </c>
      <c r="B517" s="42" t="inlineStr">
        <is>
          <t>251581</t>
        </is>
      </c>
      <c r="C517" s="38" t="inlineStr">
        <is>
          <t>Palau d'Anglesola, el</t>
        </is>
      </c>
      <c r="D517" s="44" t="n">
        <v>12.27</v>
      </c>
      <c r="F517" s="38" t="inlineStr">
        <is>
          <t>Publicació municipal 2025; la superfície s'utilitza com a magnitud territorial</t>
        </is>
      </c>
    </row>
    <row r="518" ht="15" customHeight="1" s="39">
      <c r="A518" s="38" t="inlineStr">
        <is>
          <t>[171194] Palau de Santa Eulàlia</t>
        </is>
      </c>
      <c r="B518" s="42" t="inlineStr">
        <is>
          <t>171194</t>
        </is>
      </c>
      <c r="C518" s="38" t="inlineStr">
        <is>
          <t>Palau de Santa Eulàlia</t>
        </is>
      </c>
      <c r="D518" s="44" t="n">
        <v>8.44</v>
      </c>
      <c r="F518" s="38" t="inlineStr">
        <is>
          <t>Publicació municipal 2025; la superfície s'utilitza com a magnitud territorial</t>
        </is>
      </c>
    </row>
    <row r="519" ht="15" customHeight="1" s="39">
      <c r="A519" s="38" t="inlineStr">
        <is>
          <t>[171215] Palau-sator</t>
        </is>
      </c>
      <c r="B519" s="42" t="inlineStr">
        <is>
          <t>171215</t>
        </is>
      </c>
      <c r="C519" s="38" t="inlineStr">
        <is>
          <t>Palau-sator</t>
        </is>
      </c>
      <c r="D519" s="44" t="n">
        <v>12.39</v>
      </c>
      <c r="F519" s="38" t="inlineStr">
        <is>
          <t>Publicació municipal 2025; la superfície s'utilitza com a magnitud territorial</t>
        </is>
      </c>
    </row>
    <row r="520" ht="15" customHeight="1" s="39">
      <c r="A520" s="38" t="inlineStr">
        <is>
          <t>[171208] Palau-saverdera</t>
        </is>
      </c>
      <c r="B520" s="42" t="inlineStr">
        <is>
          <t>171208</t>
        </is>
      </c>
      <c r="C520" s="38" t="inlineStr">
        <is>
          <t>Palau-saverdera</t>
        </is>
      </c>
      <c r="D520" s="44" t="n">
        <v>16.45</v>
      </c>
      <c r="F520" s="38" t="inlineStr">
        <is>
          <t>Publicació municipal 2025; la superfície s'utilitza com a magnitud territorial</t>
        </is>
      </c>
    </row>
    <row r="521" ht="15" customHeight="1" s="39">
      <c r="A521" s="38" t="inlineStr">
        <is>
          <t>[081568] Palau-solità i Plegamans</t>
        </is>
      </c>
      <c r="B521" s="42" t="inlineStr">
        <is>
          <t>081568</t>
        </is>
      </c>
      <c r="C521" s="38" t="inlineStr">
        <is>
          <t>Palau-solità i Plegamans</t>
        </is>
      </c>
      <c r="D521" s="44" t="n">
        <v>14.93</v>
      </c>
      <c r="F521" s="38" t="inlineStr">
        <is>
          <t>Publicació municipal 2025; la superfície s'utilitza com a magnitud territorial</t>
        </is>
      </c>
    </row>
    <row r="522" ht="15" customHeight="1" s="39">
      <c r="A522" s="38" t="inlineStr">
        <is>
          <t>[431009] Pallaresos, els</t>
        </is>
      </c>
      <c r="B522" s="42" t="inlineStr">
        <is>
          <t>431009</t>
        </is>
      </c>
      <c r="C522" s="38" t="inlineStr">
        <is>
          <t>Pallaresos, els</t>
        </is>
      </c>
      <c r="D522" s="44" t="n">
        <v>5.13</v>
      </c>
      <c r="F522" s="38" t="inlineStr">
        <is>
          <t>Publicació municipal 2025; la superfície s'utilitza com a magnitud territorial</t>
        </is>
      </c>
    </row>
    <row r="523" ht="15" customHeight="1" s="39">
      <c r="A523" s="38" t="inlineStr">
        <is>
          <t>[081574] Pallejà</t>
        </is>
      </c>
      <c r="B523" s="42" t="inlineStr">
        <is>
          <t>081574</t>
        </is>
      </c>
      <c r="C523" s="38" t="inlineStr">
        <is>
          <t>Pallejà</t>
        </is>
      </c>
      <c r="D523" s="44" t="n">
        <v>8.300000000000001</v>
      </c>
      <c r="F523" s="38" t="inlineStr">
        <is>
          <t>Publicació municipal 2025; la superfície s'utilitza com a magnitud territorial</t>
        </is>
      </c>
    </row>
    <row r="524" ht="15" customHeight="1" s="39">
      <c r="A524" s="38" t="inlineStr">
        <is>
          <t>[430995] Palma d'Ebre, la</t>
        </is>
      </c>
      <c r="B524" s="42" t="inlineStr">
        <is>
          <t>430995</t>
        </is>
      </c>
      <c r="C524" s="38" t="inlineStr">
        <is>
          <t>Palma d'Ebre, la</t>
        </is>
      </c>
      <c r="D524" s="44" t="n">
        <v>37.92</v>
      </c>
      <c r="F524" s="38" t="inlineStr">
        <is>
          <t>Publicació municipal 2025; la superfície s'utilitza com a magnitud territorial</t>
        </is>
      </c>
    </row>
    <row r="525" ht="15" customHeight="1" s="39">
      <c r="A525" s="38" t="inlineStr">
        <is>
          <t>[089058] Palma de Cervelló, la</t>
        </is>
      </c>
      <c r="B525" s="42" t="inlineStr">
        <is>
          <t>089058</t>
        </is>
      </c>
      <c r="C525" s="38" t="inlineStr">
        <is>
          <t>Palma de Cervelló, la</t>
        </is>
      </c>
      <c r="D525" s="44" t="n">
        <v>5.46</v>
      </c>
      <c r="F525" s="38" t="inlineStr">
        <is>
          <t>Publicació municipal 2025; la superfície s'utilitza com a magnitud territorial</t>
        </is>
      </c>
    </row>
    <row r="526" ht="15" customHeight="1" s="39">
      <c r="A526" s="38" t="inlineStr">
        <is>
          <t>[171236] Palol de Revardit</t>
        </is>
      </c>
      <c r="B526" s="42" t="inlineStr">
        <is>
          <t>171236</t>
        </is>
      </c>
      <c r="C526" s="38" t="inlineStr">
        <is>
          <t>Palol de Revardit</t>
        </is>
      </c>
      <c r="D526" s="44" t="n">
        <v>17.98</v>
      </c>
      <c r="F526" s="38" t="inlineStr">
        <is>
          <t>Publicació municipal 2025; la superfície s'utilitza com a magnitud territorial</t>
        </is>
      </c>
    </row>
    <row r="527" ht="15" customHeight="1" s="39">
      <c r="A527" s="38" t="inlineStr">
        <is>
          <t>[171241] Pals</t>
        </is>
      </c>
      <c r="B527" s="42" t="inlineStr">
        <is>
          <t>171241</t>
        </is>
      </c>
      <c r="C527" s="38" t="inlineStr">
        <is>
          <t>Pals</t>
        </is>
      </c>
      <c r="D527" s="44" t="n">
        <v>25.83</v>
      </c>
      <c r="F527" s="38" t="inlineStr">
        <is>
          <t>Publicació municipal 2025; la superfície s'utilitza com a magnitud territorial</t>
        </is>
      </c>
    </row>
    <row r="528" ht="15" customHeight="1" s="39">
      <c r="A528" s="38" t="inlineStr">
        <is>
          <t>[081580] Papiol, el</t>
        </is>
      </c>
      <c r="B528" s="42" t="inlineStr">
        <is>
          <t>081580</t>
        </is>
      </c>
      <c r="C528" s="38" t="inlineStr">
        <is>
          <t>Papiol, el</t>
        </is>
      </c>
      <c r="D528" s="44" t="n">
        <v>8.949999999999999</v>
      </c>
      <c r="F528" s="38" t="inlineStr">
        <is>
          <t>Publicació municipal 2025; la superfície s'utilitza com a magnitud territorial</t>
        </is>
      </c>
    </row>
    <row r="529" ht="15" customHeight="1" s="39">
      <c r="A529" s="38" t="inlineStr">
        <is>
          <t>[171254] Pardines</t>
        </is>
      </c>
      <c r="B529" s="42" t="inlineStr">
        <is>
          <t>171254</t>
        </is>
      </c>
      <c r="C529" s="38" t="inlineStr">
        <is>
          <t>Pardines</t>
        </is>
      </c>
      <c r="D529" s="44" t="n">
        <v>31.05</v>
      </c>
      <c r="F529" s="38" t="inlineStr">
        <is>
          <t>Publicació municipal 2025; la superfície s'utilitza com a magnitud territorial</t>
        </is>
      </c>
    </row>
    <row r="530" ht="15" customHeight="1" s="39">
      <c r="A530" s="38" t="inlineStr">
        <is>
          <t>[081593] Parets del Vallès</t>
        </is>
      </c>
      <c r="B530" s="42" t="inlineStr">
        <is>
          <t>081593</t>
        </is>
      </c>
      <c r="C530" s="38" t="inlineStr">
        <is>
          <t>Parets del Vallès</t>
        </is>
      </c>
      <c r="D530" s="44" t="n">
        <v>9.119999999999999</v>
      </c>
      <c r="F530" s="38" t="inlineStr">
        <is>
          <t>Publicació municipal 2025; la superfície s'utilitza com a magnitud territorial</t>
        </is>
      </c>
    </row>
    <row r="531" ht="15" customHeight="1" s="39">
      <c r="A531" s="38" t="inlineStr">
        <is>
          <t>[171267] Parlavà</t>
        </is>
      </c>
      <c r="B531" s="42" t="inlineStr">
        <is>
          <t>171267</t>
        </is>
      </c>
      <c r="C531" s="38" t="inlineStr">
        <is>
          <t>Parlavà</t>
        </is>
      </c>
      <c r="D531" s="44" t="n">
        <v>6.18</v>
      </c>
      <c r="F531" s="38" t="inlineStr">
        <is>
          <t>Publicació municipal 2025; la superfície s'utilitza com a magnitud territorial</t>
        </is>
      </c>
    </row>
    <row r="532" ht="15" customHeight="1" s="39">
      <c r="A532" s="38" t="inlineStr">
        <is>
          <t>[431016] Passanant i Belltall</t>
        </is>
      </c>
      <c r="B532" s="42" t="inlineStr">
        <is>
          <t>431016</t>
        </is>
      </c>
      <c r="C532" s="38" t="inlineStr">
        <is>
          <t>Passanant i Belltall</t>
        </is>
      </c>
      <c r="D532" s="44" t="n">
        <v>27.35</v>
      </c>
      <c r="F532" s="38" t="inlineStr">
        <is>
          <t>Publicació municipal 2025; la superfície s'utilitza com a magnitud territorial</t>
        </is>
      </c>
    </row>
    <row r="533" ht="15" customHeight="1" s="39">
      <c r="A533" s="38" t="inlineStr">
        <is>
          <t>[171289] Pau</t>
        </is>
      </c>
      <c r="B533" s="42" t="inlineStr">
        <is>
          <t>171289</t>
        </is>
      </c>
      <c r="C533" s="38" t="inlineStr">
        <is>
          <t>Pau</t>
        </is>
      </c>
      <c r="D533" s="44" t="n">
        <v>10.7</v>
      </c>
      <c r="F533" s="38" t="inlineStr">
        <is>
          <t>Publicació municipal 2025; la superfície s'utilitza com a magnitud territorial</t>
        </is>
      </c>
    </row>
    <row r="534" ht="15" customHeight="1" s="39">
      <c r="A534" s="38" t="inlineStr">
        <is>
          <t>[431021] Paüls</t>
        </is>
      </c>
      <c r="B534" s="42" t="inlineStr">
        <is>
          <t>431021</t>
        </is>
      </c>
      <c r="C534" s="38" t="inlineStr">
        <is>
          <t>Paüls</t>
        </is>
      </c>
      <c r="D534" s="44" t="n">
        <v>43.83</v>
      </c>
      <c r="F534" s="38" t="inlineStr">
        <is>
          <t>Publicació municipal 2025; la superfície s'utilitza com a magnitud territorial</t>
        </is>
      </c>
    </row>
    <row r="535" ht="15" customHeight="1" s="39">
      <c r="A535" s="38" t="inlineStr">
        <is>
          <t>[171292] Pedret i Marzà</t>
        </is>
      </c>
      <c r="B535" s="42" t="inlineStr">
        <is>
          <t>171292</t>
        </is>
      </c>
      <c r="C535" s="38" t="inlineStr">
        <is>
          <t>Pedret i Marzà</t>
        </is>
      </c>
      <c r="D535" s="44" t="n">
        <v>8.65</v>
      </c>
      <c r="F535" s="38" t="inlineStr">
        <is>
          <t>Publicació municipal 2025; la superfície s'utilitza com a magnitud territorial</t>
        </is>
      </c>
    </row>
    <row r="536" ht="15" customHeight="1" s="39">
      <c r="A536" s="38" t="inlineStr">
        <is>
          <t>[251641] Penelles</t>
        </is>
      </c>
      <c r="B536" s="42" t="inlineStr">
        <is>
          <t>251641</t>
        </is>
      </c>
      <c r="C536" s="38" t="inlineStr">
        <is>
          <t>Penelles</t>
        </is>
      </c>
      <c r="D536" s="44" t="n">
        <v>25.51</v>
      </c>
      <c r="F536" s="38" t="inlineStr">
        <is>
          <t>Publicació municipal 2025; la superfície s'utilitza com a magnitud territorial</t>
        </is>
      </c>
    </row>
    <row r="537" ht="15" customHeight="1" s="39">
      <c r="A537" s="38" t="inlineStr">
        <is>
          <t>[171306] Pera, la</t>
        </is>
      </c>
      <c r="B537" s="42" t="inlineStr">
        <is>
          <t>171306</t>
        </is>
      </c>
      <c r="C537" s="38" t="inlineStr">
        <is>
          <t>Pera, la</t>
        </is>
      </c>
      <c r="D537" s="44" t="n">
        <v>11.54</v>
      </c>
      <c r="F537" s="38" t="inlineStr">
        <is>
          <t>Publicació municipal 2025; la superfície s'utilitza com a magnitud territorial</t>
        </is>
      </c>
    </row>
    <row r="538" ht="15" customHeight="1" s="39">
      <c r="A538" s="38" t="inlineStr">
        <is>
          <t>[081607] Perafita</t>
        </is>
      </c>
      <c r="B538" s="42" t="inlineStr">
        <is>
          <t>081607</t>
        </is>
      </c>
      <c r="C538" s="38" t="inlineStr">
        <is>
          <t>Perafita</t>
        </is>
      </c>
      <c r="D538" s="44" t="n">
        <v>19.59</v>
      </c>
      <c r="F538" s="38" t="inlineStr">
        <is>
          <t>Publicació municipal 2025; la superfície s'utilitza com a magnitud territorial</t>
        </is>
      </c>
    </row>
    <row r="539" ht="15" customHeight="1" s="39">
      <c r="A539" s="38" t="inlineStr">
        <is>
          <t>[431037] Perafort</t>
        </is>
      </c>
      <c r="B539" s="42" t="inlineStr">
        <is>
          <t>431037</t>
        </is>
      </c>
      <c r="C539" s="38" t="inlineStr">
        <is>
          <t>Perafort</t>
        </is>
      </c>
      <c r="D539" s="44" t="n">
        <v>9.539999999999999</v>
      </c>
      <c r="F539" s="38" t="inlineStr">
        <is>
          <t>Publicació municipal 2025; la superfície s'utilitza com a magnitud territorial</t>
        </is>
      </c>
    </row>
    <row r="540" ht="15" customHeight="1" s="39">
      <c r="A540" s="38" t="inlineStr">
        <is>
          <t>[171328] Peralada</t>
        </is>
      </c>
      <c r="B540" s="42" t="inlineStr">
        <is>
          <t>171328</t>
        </is>
      </c>
      <c r="C540" s="38" t="inlineStr">
        <is>
          <t>Peralada</t>
        </is>
      </c>
      <c r="D540" s="44" t="n">
        <v>43.61</v>
      </c>
      <c r="F540" s="38" t="inlineStr">
        <is>
          <t>Publicació municipal 2025; la superfície s'utilitza com a magnitud territorial</t>
        </is>
      </c>
    </row>
    <row r="541" ht="15" customHeight="1" s="39">
      <c r="A541" s="38" t="inlineStr">
        <is>
          <t>[251654] Peramola</t>
        </is>
      </c>
      <c r="B541" s="42" t="inlineStr">
        <is>
          <t>251654</t>
        </is>
      </c>
      <c r="C541" s="38" t="inlineStr">
        <is>
          <t>Peramola</t>
        </is>
      </c>
      <c r="D541" s="44" t="n">
        <v>56.17</v>
      </c>
      <c r="F541" s="38" t="inlineStr">
        <is>
          <t>Publicació municipal 2025; la superfície s'utilitza com a magnitud territorial</t>
        </is>
      </c>
    </row>
    <row r="542" ht="15" customHeight="1" s="39">
      <c r="A542" s="38" t="inlineStr">
        <is>
          <t>[431042] Perelló, el</t>
        </is>
      </c>
      <c r="B542" s="42" t="inlineStr">
        <is>
          <t>431042</t>
        </is>
      </c>
      <c r="C542" s="38" t="inlineStr">
        <is>
          <t>Perelló, el</t>
        </is>
      </c>
      <c r="D542" s="44" t="n">
        <v>100.67</v>
      </c>
      <c r="F542" s="38" t="inlineStr">
        <is>
          <t>Publicació municipal 2025; la superfície s'utilitza com a magnitud territorial</t>
        </is>
      </c>
    </row>
    <row r="543" ht="15" customHeight="1" s="39">
      <c r="A543" s="38" t="inlineStr">
        <is>
          <t>[081614] Piera</t>
        </is>
      </c>
      <c r="B543" s="42" t="inlineStr">
        <is>
          <t>081614</t>
        </is>
      </c>
      <c r="C543" s="38" t="inlineStr">
        <is>
          <t>Piera</t>
        </is>
      </c>
      <c r="D543" s="44" t="n">
        <v>57.2</v>
      </c>
      <c r="F543" s="38" t="inlineStr">
        <is>
          <t>Publicació municipal 2025; la superfície s'utilitza com a magnitud territorial</t>
        </is>
      </c>
    </row>
    <row r="544" ht="15" customHeight="1" s="39">
      <c r="A544" s="38" t="inlineStr">
        <is>
          <t>[431055] Piles, les</t>
        </is>
      </c>
      <c r="B544" s="42" t="inlineStr">
        <is>
          <t>431055</t>
        </is>
      </c>
      <c r="C544" s="38" t="inlineStr">
        <is>
          <t>Piles, les</t>
        </is>
      </c>
      <c r="D544" s="44" t="n">
        <v>22.39</v>
      </c>
      <c r="F544" s="38" t="inlineStr">
        <is>
          <t>Publicació municipal 2025; la superfície s'utilitza com a magnitud territorial</t>
        </is>
      </c>
    </row>
    <row r="545" ht="15" customHeight="1" s="39">
      <c r="A545" s="38" t="inlineStr">
        <is>
          <t>[081635] Pineda de Mar</t>
        </is>
      </c>
      <c r="B545" s="42" t="inlineStr">
        <is>
          <t>081635</t>
        </is>
      </c>
      <c r="C545" s="38" t="inlineStr">
        <is>
          <t>Pineda de Mar</t>
        </is>
      </c>
      <c r="D545" s="44" t="n">
        <v>10.74</v>
      </c>
      <c r="F545" s="38" t="inlineStr">
        <is>
          <t>Publicació municipal 2025; la superfície s'utilitza com a magnitud territorial</t>
        </is>
      </c>
    </row>
    <row r="546" ht="15" customHeight="1" s="39">
      <c r="A546" s="38" t="inlineStr">
        <is>
          <t>[431068] Pinell de Brai, el</t>
        </is>
      </c>
      <c r="B546" s="42" t="inlineStr">
        <is>
          <t>431068</t>
        </is>
      </c>
      <c r="C546" s="38" t="inlineStr">
        <is>
          <t>Pinell de Brai, el</t>
        </is>
      </c>
      <c r="D546" s="44" t="n">
        <v>56.99</v>
      </c>
      <c r="F546" s="38" t="inlineStr">
        <is>
          <t>Publicació municipal 2025; la superfície s'utilitza com a magnitud territorial</t>
        </is>
      </c>
    </row>
    <row r="547" ht="15" customHeight="1" s="39">
      <c r="A547" s="38" t="inlineStr">
        <is>
          <t>[251667] Pinell de Solsonès</t>
        </is>
      </c>
      <c r="B547" s="42" t="inlineStr">
        <is>
          <t>251667</t>
        </is>
      </c>
      <c r="C547" s="38" t="inlineStr">
        <is>
          <t>Pinell de Solsonès</t>
        </is>
      </c>
      <c r="D547" s="44" t="n">
        <v>91.11</v>
      </c>
      <c r="F547" s="38" t="inlineStr">
        <is>
          <t>Publicació municipal 2025; la superfície s'utilitza com a magnitud territorial</t>
        </is>
      </c>
    </row>
    <row r="548" ht="15" customHeight="1" s="39">
      <c r="A548" s="38" t="inlineStr">
        <is>
          <t>[251673] Pinós</t>
        </is>
      </c>
      <c r="B548" s="42" t="inlineStr">
        <is>
          <t>251673</t>
        </is>
      </c>
      <c r="C548" s="38" t="inlineStr">
        <is>
          <t>Pinós</t>
        </is>
      </c>
      <c r="D548" s="44" t="n">
        <v>104.32</v>
      </c>
      <c r="F548" s="38" t="inlineStr">
        <is>
          <t>Publicació municipal 2025; la superfície s'utilitza com a magnitud territorial</t>
        </is>
      </c>
    </row>
    <row r="549" ht="15" customHeight="1" s="39">
      <c r="A549" s="38" t="inlineStr">
        <is>
          <t>[431074] Pira</t>
        </is>
      </c>
      <c r="B549" s="42" t="inlineStr">
        <is>
          <t>431074</t>
        </is>
      </c>
      <c r="C549" s="38" t="inlineStr">
        <is>
          <t>Pira</t>
        </is>
      </c>
      <c r="D549" s="44" t="n">
        <v>8.01</v>
      </c>
      <c r="F549" s="38" t="inlineStr">
        <is>
          <t>Publicació municipal 2025; la superfície s'utilitza com a magnitud territorial</t>
        </is>
      </c>
    </row>
    <row r="550" ht="15" customHeight="1" s="39">
      <c r="A550" s="38" t="inlineStr">
        <is>
          <t>[431080] Pla de Santa Maria, el</t>
        </is>
      </c>
      <c r="B550" s="42" t="inlineStr">
        <is>
          <t>431080</t>
        </is>
      </c>
      <c r="C550" s="38" t="inlineStr">
        <is>
          <t>Pla de Santa Maria, el</t>
        </is>
      </c>
      <c r="D550" s="44" t="n">
        <v>34.99</v>
      </c>
      <c r="F550" s="38" t="inlineStr">
        <is>
          <t>Publicació municipal 2025; la superfície s'utilitza com a magnitud territorial</t>
        </is>
      </c>
    </row>
    <row r="551" ht="15" customHeight="1" s="39">
      <c r="A551" s="38" t="inlineStr">
        <is>
          <t>[081640] Pla del Penedès, el</t>
        </is>
      </c>
      <c r="B551" s="42" t="inlineStr">
        <is>
          <t>081640</t>
        </is>
      </c>
      <c r="C551" s="38" t="inlineStr">
        <is>
          <t>Pla del Penedès, el</t>
        </is>
      </c>
      <c r="D551" s="44" t="n">
        <v>9.56</v>
      </c>
      <c r="F551" s="38" t="inlineStr">
        <is>
          <t>Publicació municipal 2025; la superfície s'utilitza com a magnitud territorial</t>
        </is>
      </c>
    </row>
    <row r="552" ht="15" customHeight="1" s="39">
      <c r="A552" s="38" t="inlineStr">
        <is>
          <t>[171334] Planes d'Hostoles, les</t>
        </is>
      </c>
      <c r="B552" s="42" t="inlineStr">
        <is>
          <t>171334</t>
        </is>
      </c>
      <c r="C552" s="38" t="inlineStr">
        <is>
          <t>Planes d'Hostoles, les</t>
        </is>
      </c>
      <c r="D552" s="44" t="n">
        <v>37.5</v>
      </c>
      <c r="F552" s="38" t="inlineStr">
        <is>
          <t>Publicació municipal 2025; la superfície s'utilitza com a magnitud territorial</t>
        </is>
      </c>
    </row>
    <row r="553" ht="15" customHeight="1" s="39">
      <c r="A553" s="38" t="inlineStr">
        <is>
          <t>[171349] Planoles</t>
        </is>
      </c>
      <c r="B553" s="42" t="inlineStr">
        <is>
          <t>171349</t>
        </is>
      </c>
      <c r="C553" s="38" t="inlineStr">
        <is>
          <t>Planoles</t>
        </is>
      </c>
      <c r="D553" s="44" t="n">
        <v>18.75</v>
      </c>
      <c r="F553" s="38" t="inlineStr">
        <is>
          <t>Publicació municipal 2025; la superfície s'utilitza com a magnitud territorial</t>
        </is>
      </c>
    </row>
    <row r="554" ht="15" customHeight="1" s="39">
      <c r="A554" s="38" t="inlineStr">
        <is>
          <t>[259118] Plans de Sió, els</t>
        </is>
      </c>
      <c r="B554" s="42" t="inlineStr">
        <is>
          <t>259118</t>
        </is>
      </c>
      <c r="C554" s="38" t="inlineStr">
        <is>
          <t>Plans de Sió, els</t>
        </is>
      </c>
      <c r="D554" s="44" t="n">
        <v>55.89</v>
      </c>
      <c r="F554" s="38" t="inlineStr">
        <is>
          <t>Publicació municipal 2025; la superfície s'utilitza com a magnitud territorial</t>
        </is>
      </c>
    </row>
    <row r="555" ht="15" customHeight="1" s="39">
      <c r="A555" s="38" t="inlineStr">
        <is>
          <t>[251689] Poal, el</t>
        </is>
      </c>
      <c r="B555" s="42" t="inlineStr">
        <is>
          <t>251689</t>
        </is>
      </c>
      <c r="C555" s="38" t="inlineStr">
        <is>
          <t>Poal, el</t>
        </is>
      </c>
      <c r="D555" s="44" t="n">
        <v>8.880000000000001</v>
      </c>
      <c r="F555" s="38" t="inlineStr">
        <is>
          <t>Publicació municipal 2025; la superfície s'utilitza com a magnitud territorial</t>
        </is>
      </c>
    </row>
    <row r="556" ht="15" customHeight="1" s="39">
      <c r="A556" s="38" t="inlineStr">
        <is>
          <t>[251692] Pobla de Cérvoles, la</t>
        </is>
      </c>
      <c r="B556" s="42" t="inlineStr">
        <is>
          <t>251692</t>
        </is>
      </c>
      <c r="C556" s="38" t="inlineStr">
        <is>
          <t>Pobla de Cérvoles, la</t>
        </is>
      </c>
      <c r="D556" s="44" t="n">
        <v>61.92</v>
      </c>
      <c r="F556" s="38" t="inlineStr">
        <is>
          <t>Publicació municipal 2025; la superfície s'utilitza com a magnitud territorial</t>
        </is>
      </c>
    </row>
    <row r="557" ht="15" customHeight="1" s="39">
      <c r="A557" s="38" t="inlineStr">
        <is>
          <t>[081653] Pobla de Claramunt, la</t>
        </is>
      </c>
      <c r="B557" s="42" t="inlineStr">
        <is>
          <t>081653</t>
        </is>
      </c>
      <c r="C557" s="38" t="inlineStr">
        <is>
          <t>Pobla de Claramunt, la</t>
        </is>
      </c>
      <c r="D557" s="44" t="n">
        <v>18.54</v>
      </c>
      <c r="F557" s="38" t="inlineStr">
        <is>
          <t>Publicació municipal 2025; la superfície s'utilitza com a magnitud territorial</t>
        </is>
      </c>
    </row>
    <row r="558" ht="15" customHeight="1" s="39">
      <c r="A558" s="38" t="inlineStr">
        <is>
          <t>[081666] Pobla de Lillet, la</t>
        </is>
      </c>
      <c r="B558" s="42" t="inlineStr">
        <is>
          <t>081666</t>
        </is>
      </c>
      <c r="C558" s="38" t="inlineStr">
        <is>
          <t>Pobla de Lillet, la</t>
        </is>
      </c>
      <c r="D558" s="44" t="n">
        <v>51.45</v>
      </c>
      <c r="F558" s="38" t="inlineStr">
        <is>
          <t>Publicació municipal 2025; la superfície s'utilitza com a magnitud territorial</t>
        </is>
      </c>
    </row>
    <row r="559" ht="15" customHeight="1" s="39">
      <c r="A559" s="38" t="inlineStr">
        <is>
          <t>[431093] Pobla de Mafumet, la</t>
        </is>
      </c>
      <c r="B559" s="42" t="inlineStr">
        <is>
          <t>431093</t>
        </is>
      </c>
      <c r="C559" s="38" t="inlineStr">
        <is>
          <t>Pobla de Mafumet, la</t>
        </is>
      </c>
      <c r="D559" s="44" t="n">
        <v>6.21</v>
      </c>
      <c r="F559" s="38" t="inlineStr">
        <is>
          <t>Publicació municipal 2025; la superfície s'utilitza com a magnitud territorial</t>
        </is>
      </c>
    </row>
    <row r="560" ht="15" customHeight="1" s="39">
      <c r="A560" s="38" t="inlineStr">
        <is>
          <t>[431107] Pobla de Massaluca, la</t>
        </is>
      </c>
      <c r="B560" s="42" t="inlineStr">
        <is>
          <t>431107</t>
        </is>
      </c>
      <c r="C560" s="38" t="inlineStr">
        <is>
          <t>Pobla de Massaluca, la</t>
        </is>
      </c>
      <c r="D560" s="44" t="n">
        <v>43.4</v>
      </c>
      <c r="F560" s="38" t="inlineStr">
        <is>
          <t>Publicació municipal 2025; la superfície s'utilitza com a magnitud territorial</t>
        </is>
      </c>
    </row>
    <row r="561" ht="15" customHeight="1" s="39">
      <c r="A561" s="38" t="inlineStr">
        <is>
          <t>[431114] Pobla de Montornès, la</t>
        </is>
      </c>
      <c r="B561" s="42" t="inlineStr">
        <is>
          <t>431114</t>
        </is>
      </c>
      <c r="C561" s="38" t="inlineStr">
        <is>
          <t>Pobla de Montornès, la</t>
        </is>
      </c>
      <c r="D561" s="44" t="n">
        <v>12.29</v>
      </c>
      <c r="F561" s="38" t="inlineStr">
        <is>
          <t>Publicació municipal 2025; la superfície s'utilitza com a magnitud territorial</t>
        </is>
      </c>
    </row>
    <row r="562" ht="15" customHeight="1" s="39">
      <c r="A562" s="38" t="inlineStr">
        <is>
          <t>[251713] Pobla de Segur, la</t>
        </is>
      </c>
      <c r="B562" s="42" t="inlineStr">
        <is>
          <t>251713</t>
        </is>
      </c>
      <c r="C562" s="38" t="inlineStr">
        <is>
          <t>Pobla de Segur, la</t>
        </is>
      </c>
      <c r="D562" s="44" t="n">
        <v>32.83</v>
      </c>
      <c r="F562" s="38" t="inlineStr">
        <is>
          <t>Publicació municipal 2025; la superfície s'utilitza com a magnitud territorial</t>
        </is>
      </c>
    </row>
    <row r="563" ht="15" customHeight="1" s="39">
      <c r="A563" s="38" t="inlineStr">
        <is>
          <t>[431129] Poboleda</t>
        </is>
      </c>
      <c r="B563" s="42" t="inlineStr">
        <is>
          <t>431129</t>
        </is>
      </c>
      <c r="C563" s="38" t="inlineStr">
        <is>
          <t>Poboleda</t>
        </is>
      </c>
      <c r="D563" s="44" t="n">
        <v>13.95</v>
      </c>
      <c r="F563" s="38" t="inlineStr">
        <is>
          <t>Publicació municipal 2025; la superfície s'utilitza com a magnitud territorial</t>
        </is>
      </c>
    </row>
    <row r="564" ht="15" customHeight="1" s="39">
      <c r="A564" s="38" t="inlineStr">
        <is>
          <t>[081672] Polinyà</t>
        </is>
      </c>
      <c r="B564" s="42" t="inlineStr">
        <is>
          <t>081672</t>
        </is>
      </c>
      <c r="C564" s="38" t="inlineStr">
        <is>
          <t>Polinyà</t>
        </is>
      </c>
      <c r="D564" s="44" t="n">
        <v>8.789999999999999</v>
      </c>
      <c r="F564" s="38" t="inlineStr">
        <is>
          <t>Publicació municipal 2025; la superfície s'utilitza com a magnitud territorial</t>
        </is>
      </c>
    </row>
    <row r="565" ht="15" customHeight="1" s="39">
      <c r="A565" s="38" t="inlineStr">
        <is>
          <t>[431135] Pont d'Armentera, el</t>
        </is>
      </c>
      <c r="B565" s="42" t="inlineStr">
        <is>
          <t>431135</t>
        </is>
      </c>
      <c r="C565" s="38" t="inlineStr">
        <is>
          <t>Pont d'Armentera, el</t>
        </is>
      </c>
      <c r="D565" s="44" t="n">
        <v>21.67</v>
      </c>
      <c r="F565" s="38" t="inlineStr">
        <is>
          <t>Publicació municipal 2025; la superfície s'utilitza com a magnitud territorial</t>
        </is>
      </c>
    </row>
    <row r="566" ht="15" customHeight="1" s="39">
      <c r="A566" s="38" t="inlineStr">
        <is>
          <t>[250306] Pont de Bar, el</t>
        </is>
      </c>
      <c r="B566" s="42" t="inlineStr">
        <is>
          <t>250306</t>
        </is>
      </c>
      <c r="C566" s="38" t="inlineStr">
        <is>
          <t>Pont de Bar, el</t>
        </is>
      </c>
      <c r="D566" s="44" t="n">
        <v>42.62</v>
      </c>
      <c r="F566" s="38" t="inlineStr">
        <is>
          <t>Publicació municipal 2025; la superfície s'utilitza com a magnitud territorial</t>
        </is>
      </c>
    </row>
    <row r="567" ht="15" customHeight="1" s="39">
      <c r="A567" s="38" t="inlineStr">
        <is>
          <t>[171352] Pont de Molins</t>
        </is>
      </c>
      <c r="B567" s="42" t="inlineStr">
        <is>
          <t>171352</t>
        </is>
      </c>
      <c r="C567" s="38" t="inlineStr">
        <is>
          <t>Pont de Molins</t>
        </is>
      </c>
      <c r="D567" s="44" t="n">
        <v>8.66</v>
      </c>
      <c r="F567" s="38" t="inlineStr">
        <is>
          <t>Publicació municipal 2025; la superfície s'utilitza com a magnitud territorial</t>
        </is>
      </c>
    </row>
    <row r="568" ht="15" customHeight="1" s="39">
      <c r="A568" s="38" t="inlineStr">
        <is>
          <t>[251734] Pont de Suert, el</t>
        </is>
      </c>
      <c r="B568" s="42" t="inlineStr">
        <is>
          <t>251734</t>
        </is>
      </c>
      <c r="C568" s="38" t="inlineStr">
        <is>
          <t>Pont de Suert, el</t>
        </is>
      </c>
      <c r="D568" s="44" t="n">
        <v>148.14</v>
      </c>
      <c r="F568" s="38" t="inlineStr">
        <is>
          <t>Publicació municipal 2025; la superfície s'utilitza com a magnitud territorial</t>
        </is>
      </c>
    </row>
    <row r="569" ht="15" customHeight="1" s="39">
      <c r="A569" s="38" t="inlineStr">
        <is>
          <t>[081825] Pont de Vilomara i Rocafort, el</t>
        </is>
      </c>
      <c r="B569" s="42" t="inlineStr">
        <is>
          <t>081825</t>
        </is>
      </c>
      <c r="C569" s="38" t="inlineStr">
        <is>
          <t>Pont de Vilomara i Rocafort, el</t>
        </is>
      </c>
      <c r="D569" s="44" t="n">
        <v>27.41</v>
      </c>
      <c r="F569" s="38" t="inlineStr">
        <is>
          <t>Publicació municipal 2025; la superfície s'utilitza com a magnitud territorial</t>
        </is>
      </c>
    </row>
    <row r="570" ht="15" customHeight="1" s="39">
      <c r="A570" s="38" t="inlineStr">
        <is>
          <t>[431418] Pontils</t>
        </is>
      </c>
      <c r="B570" s="42" t="inlineStr">
        <is>
          <t>431418</t>
        </is>
      </c>
      <c r="C570" s="38" t="inlineStr">
        <is>
          <t>Pontils</t>
        </is>
      </c>
      <c r="D570" s="44" t="n">
        <v>67.56</v>
      </c>
      <c r="F570" s="38" t="inlineStr">
        <is>
          <t>Publicació municipal 2025; la superfície s'utilitza com a magnitud territorial</t>
        </is>
      </c>
    </row>
    <row r="571" ht="15" customHeight="1" s="39">
      <c r="A571" s="38" t="inlineStr">
        <is>
          <t>[081688] Pontons</t>
        </is>
      </c>
      <c r="B571" s="42" t="inlineStr">
        <is>
          <t>081688</t>
        </is>
      </c>
      <c r="C571" s="38" t="inlineStr">
        <is>
          <t>Pontons</t>
        </is>
      </c>
      <c r="D571" s="44" t="n">
        <v>25.94</v>
      </c>
      <c r="F571" s="38" t="inlineStr">
        <is>
          <t>Publicació municipal 2025; la superfície s'utilitza com a magnitud territorial</t>
        </is>
      </c>
    </row>
    <row r="572" ht="15" customHeight="1" s="39">
      <c r="A572" s="38" t="inlineStr">
        <is>
          <t>[171365] Pontós</t>
        </is>
      </c>
      <c r="B572" s="42" t="inlineStr">
        <is>
          <t>171365</t>
        </is>
      </c>
      <c r="C572" s="38" t="inlineStr">
        <is>
          <t>Pontós</t>
        </is>
      </c>
      <c r="D572" s="44" t="n">
        <v>13.66</v>
      </c>
      <c r="F572" s="38" t="inlineStr">
        <is>
          <t>Publicació municipal 2025; la superfície s'utilitza com a magnitud territorial</t>
        </is>
      </c>
    </row>
    <row r="573" ht="15" customHeight="1" s="39">
      <c r="A573" s="38" t="inlineStr">
        <is>
          <t>[251728] Ponts</t>
        </is>
      </c>
      <c r="B573" s="42" t="inlineStr">
        <is>
          <t>251728</t>
        </is>
      </c>
      <c r="C573" s="38" t="inlineStr">
        <is>
          <t>Ponts</t>
        </is>
      </c>
      <c r="D573" s="44" t="n">
        <v>30.52</v>
      </c>
      <c r="F573" s="38" t="inlineStr">
        <is>
          <t>Publicació municipal 2025; la superfície s'utilitza com a magnitud territorial</t>
        </is>
      </c>
    </row>
    <row r="574" ht="15" customHeight="1" s="39">
      <c r="A574" s="38" t="inlineStr">
        <is>
          <t>[171371] Porqueres</t>
        </is>
      </c>
      <c r="B574" s="42" t="inlineStr">
        <is>
          <t>171371</t>
        </is>
      </c>
      <c r="C574" s="38" t="inlineStr">
        <is>
          <t>Porqueres</t>
        </is>
      </c>
      <c r="D574" s="44" t="n">
        <v>33.52</v>
      </c>
      <c r="F574" s="38" t="inlineStr">
        <is>
          <t>Publicació municipal 2025; la superfície s'utilitza com a magnitud territorial</t>
        </is>
      </c>
    </row>
    <row r="575" ht="15" customHeight="1" s="39">
      <c r="A575" s="38" t="inlineStr">
        <is>
          <t>[431140] Porrera</t>
        </is>
      </c>
      <c r="B575" s="42" t="inlineStr">
        <is>
          <t>431140</t>
        </is>
      </c>
      <c r="C575" s="38" t="inlineStr">
        <is>
          <t>Porrera</t>
        </is>
      </c>
      <c r="D575" s="44" t="n">
        <v>28.83</v>
      </c>
      <c r="F575" s="38" t="inlineStr">
        <is>
          <t>Publicació municipal 2025; la superfície s'utilitza com a magnitud territorial</t>
        </is>
      </c>
    </row>
    <row r="576" ht="15" customHeight="1" s="39">
      <c r="A576" s="38" t="inlineStr">
        <is>
          <t>[171404] Port de la Selva, el</t>
        </is>
      </c>
      <c r="B576" s="42" t="inlineStr">
        <is>
          <t>171404</t>
        </is>
      </c>
      <c r="C576" s="38" t="inlineStr">
        <is>
          <t>Port de la Selva, el</t>
        </is>
      </c>
      <c r="D576" s="44" t="n">
        <v>41.62</v>
      </c>
      <c r="F576" s="38" t="inlineStr">
        <is>
          <t>Publicació municipal 2025; la superfície s'utilitza com a magnitud territorial</t>
        </is>
      </c>
    </row>
    <row r="577" ht="15" customHeight="1" s="39">
      <c r="A577" s="38" t="inlineStr">
        <is>
          <t>[171387] Portbou</t>
        </is>
      </c>
      <c r="B577" s="42" t="inlineStr">
        <is>
          <t>171387</t>
        </is>
      </c>
      <c r="C577" s="38" t="inlineStr">
        <is>
          <t>Portbou</t>
        </is>
      </c>
      <c r="D577" s="44" t="n">
        <v>9.220000000000001</v>
      </c>
      <c r="F577" s="38" t="inlineStr">
        <is>
          <t>Publicació municipal 2025; la superfície s'utilitza com a magnitud territorial</t>
        </is>
      </c>
    </row>
    <row r="578" ht="15" customHeight="1" s="39">
      <c r="A578" s="38" t="inlineStr">
        <is>
          <t>[251749] Portella, la</t>
        </is>
      </c>
      <c r="B578" s="42" t="inlineStr">
        <is>
          <t>251749</t>
        </is>
      </c>
      <c r="C578" s="38" t="inlineStr">
        <is>
          <t>Portella, la</t>
        </is>
      </c>
      <c r="D578" s="44" t="n">
        <v>12.31</v>
      </c>
      <c r="F578" s="38" t="inlineStr">
        <is>
          <t>Publicació municipal 2025; la superfície s'utilitza com a magnitud territorial</t>
        </is>
      </c>
    </row>
    <row r="579" ht="15" customHeight="1" s="39">
      <c r="A579" s="38" t="inlineStr">
        <is>
          <t>[431153] Pradell de la Teixeta</t>
        </is>
      </c>
      <c r="B579" s="42" t="inlineStr">
        <is>
          <t>431153</t>
        </is>
      </c>
      <c r="C579" s="38" t="inlineStr">
        <is>
          <t>Pradell de la Teixeta</t>
        </is>
      </c>
      <c r="D579" s="44" t="n">
        <v>21.83</v>
      </c>
      <c r="F579" s="38" t="inlineStr">
        <is>
          <t>Publicació municipal 2025; la superfície s'utilitza com a magnitud territorial</t>
        </is>
      </c>
    </row>
    <row r="580" ht="15" customHeight="1" s="39">
      <c r="A580" s="38" t="inlineStr">
        <is>
          <t>[431166] Prades</t>
        </is>
      </c>
      <c r="B580" s="42" t="inlineStr">
        <is>
          <t>431166</t>
        </is>
      </c>
      <c r="C580" s="38" t="inlineStr">
        <is>
          <t>Prades</t>
        </is>
      </c>
      <c r="D580" s="44" t="n">
        <v>32.58</v>
      </c>
      <c r="F580" s="38" t="inlineStr">
        <is>
          <t>Publicació municipal 2025; la superfície s'utilitza com a magnitud territorial</t>
        </is>
      </c>
    </row>
    <row r="581" ht="15" customHeight="1" s="39">
      <c r="A581" s="38" t="inlineStr">
        <is>
          <t>[431172] Prat de Comte</t>
        </is>
      </c>
      <c r="B581" s="42" t="inlineStr">
        <is>
          <t>431172</t>
        </is>
      </c>
      <c r="C581" s="38" t="inlineStr">
        <is>
          <t>Prat de Comte</t>
        </is>
      </c>
      <c r="D581" s="44" t="n">
        <v>26.43</v>
      </c>
      <c r="F581" s="38" t="inlineStr">
        <is>
          <t>Publicació municipal 2025; la superfície s'utilitza com a magnitud territorial</t>
        </is>
      </c>
    </row>
    <row r="582" ht="15" customHeight="1" s="39">
      <c r="A582" s="38" t="inlineStr">
        <is>
          <t>[081691] Prat de Llobregat, el</t>
        </is>
      </c>
      <c r="B582" s="42" t="inlineStr">
        <is>
          <t>081691</t>
        </is>
      </c>
      <c r="C582" s="38" t="inlineStr">
        <is>
          <t>Prat de Llobregat, el</t>
        </is>
      </c>
      <c r="D582" s="44" t="n">
        <v>31.41</v>
      </c>
      <c r="F582" s="38" t="inlineStr">
        <is>
          <t>Publicació municipal 2025; la superfície s'utilitza com a magnitud territorial</t>
        </is>
      </c>
    </row>
    <row r="583" ht="15" customHeight="1" s="39">
      <c r="A583" s="38" t="inlineStr">
        <is>
          <t>[431188] Pratdip</t>
        </is>
      </c>
      <c r="B583" s="42" t="inlineStr">
        <is>
          <t>431188</t>
        </is>
      </c>
      <c r="C583" s="38" t="inlineStr">
        <is>
          <t>Pratdip</t>
        </is>
      </c>
      <c r="D583" s="44" t="n">
        <v>36.27</v>
      </c>
      <c r="F583" s="38" t="inlineStr">
        <is>
          <t>Publicació municipal 2025; la superfície s'utilitza com a magnitud territorial</t>
        </is>
      </c>
    </row>
    <row r="584" ht="15" customHeight="1" s="39">
      <c r="A584" s="38" t="inlineStr">
        <is>
          <t>[081712] Prats de Lluçanès</t>
        </is>
      </c>
      <c r="B584" s="42" t="inlineStr">
        <is>
          <t>081712</t>
        </is>
      </c>
      <c r="C584" s="38" t="inlineStr">
        <is>
          <t>Prats de Lluçanès</t>
        </is>
      </c>
      <c r="D584" s="44" t="n">
        <v>13.78</v>
      </c>
      <c r="F584" s="38" t="inlineStr">
        <is>
          <t>Publicació municipal 2025; la superfície s'utilitza com a magnitud territorial</t>
        </is>
      </c>
    </row>
    <row r="585" ht="15" customHeight="1" s="39">
      <c r="A585" s="38" t="inlineStr">
        <is>
          <t>[081705] Prats de Rei, els</t>
        </is>
      </c>
      <c r="B585" s="42" t="inlineStr">
        <is>
          <t>081705</t>
        </is>
      </c>
      <c r="C585" s="38" t="inlineStr">
        <is>
          <t>Prats de Rei, els</t>
        </is>
      </c>
      <c r="D585" s="44" t="n">
        <v>26.06</v>
      </c>
      <c r="F585" s="38" t="inlineStr">
        <is>
          <t>Publicació municipal 2025; la superfície s'utilitza com a magnitud territorial</t>
        </is>
      </c>
    </row>
    <row r="586" ht="15" customHeight="1" s="39">
      <c r="A586" s="38" t="inlineStr">
        <is>
          <t>[251752] Prats i Sansor</t>
        </is>
      </c>
      <c r="B586" s="42" t="inlineStr">
        <is>
          <t>251752</t>
        </is>
      </c>
      <c r="C586" s="38" t="inlineStr">
        <is>
          <t>Prats i Sansor</t>
        </is>
      </c>
      <c r="D586" s="44" t="n">
        <v>6.57</v>
      </c>
      <c r="F586" s="38" t="inlineStr">
        <is>
          <t>Publicació municipal 2025; la superfície s'utilitza com a magnitud territorial</t>
        </is>
      </c>
    </row>
    <row r="587" ht="15" customHeight="1" s="39">
      <c r="A587" s="38" t="inlineStr">
        <is>
          <t>[251765] Preixana</t>
        </is>
      </c>
      <c r="B587" s="42" t="inlineStr">
        <is>
          <t>251765</t>
        </is>
      </c>
      <c r="C587" s="38" t="inlineStr">
        <is>
          <t>Preixana</t>
        </is>
      </c>
      <c r="D587" s="44" t="n">
        <v>21.52</v>
      </c>
      <c r="F587" s="38" t="inlineStr">
        <is>
          <t>Publicació municipal 2025; la superfície s'utilitza com a magnitud territorial</t>
        </is>
      </c>
    </row>
    <row r="588" ht="15" customHeight="1" s="39">
      <c r="A588" s="38" t="inlineStr">
        <is>
          <t>[251771] Preixens</t>
        </is>
      </c>
      <c r="B588" s="42" t="inlineStr">
        <is>
          <t>251771</t>
        </is>
      </c>
      <c r="C588" s="38" t="inlineStr">
        <is>
          <t>Preixens</t>
        </is>
      </c>
      <c r="D588" s="44" t="n">
        <v>28.67</v>
      </c>
      <c r="F588" s="38" t="inlineStr">
        <is>
          <t>Publicació municipal 2025; la superfície s'utilitza com a magnitud territorial</t>
        </is>
      </c>
    </row>
    <row r="589" ht="15" customHeight="1" s="39">
      <c r="A589" s="38" t="inlineStr">
        <is>
          <t>[082303] Premià de Dalt</t>
        </is>
      </c>
      <c r="B589" s="42" t="inlineStr">
        <is>
          <t>082303</t>
        </is>
      </c>
      <c r="C589" s="38" t="inlineStr">
        <is>
          <t>Premià de Dalt</t>
        </is>
      </c>
      <c r="D589" s="44" t="n">
        <v>6.57</v>
      </c>
      <c r="F589" s="38" t="inlineStr">
        <is>
          <t>Publicació municipal 2025; la superfície s'utilitza com a magnitud territorial</t>
        </is>
      </c>
    </row>
    <row r="590" ht="15" customHeight="1" s="39">
      <c r="A590" s="38" t="inlineStr">
        <is>
          <t>[081727] Premià de Mar</t>
        </is>
      </c>
      <c r="B590" s="42" t="inlineStr">
        <is>
          <t>081727</t>
        </is>
      </c>
      <c r="C590" s="38" t="inlineStr">
        <is>
          <t>Premià de Mar</t>
        </is>
      </c>
      <c r="D590" s="44" t="n">
        <v>2.11</v>
      </c>
      <c r="F590" s="38" t="inlineStr">
        <is>
          <t>Publicació municipal 2025; la superfície s'utilitza com a magnitud territorial</t>
        </is>
      </c>
    </row>
    <row r="591" ht="15" customHeight="1" s="39">
      <c r="A591" s="38" t="inlineStr">
        <is>
          <t>[171390] Preses, les</t>
        </is>
      </c>
      <c r="B591" s="42" t="inlineStr">
        <is>
          <t>171390</t>
        </is>
      </c>
      <c r="C591" s="38" t="inlineStr">
        <is>
          <t>Preses, les</t>
        </is>
      </c>
      <c r="D591" s="44" t="n">
        <v>9.390000000000001</v>
      </c>
      <c r="F591" s="38" t="inlineStr">
        <is>
          <t>Publicació municipal 2025; la superfície s'utilitza com a magnitud territorial</t>
        </is>
      </c>
    </row>
    <row r="592" ht="15" customHeight="1" s="39">
      <c r="A592" s="38" t="inlineStr">
        <is>
          <t>[251790] Prullans</t>
        </is>
      </c>
      <c r="B592" s="42" t="inlineStr">
        <is>
          <t>251790</t>
        </is>
      </c>
      <c r="C592" s="38" t="inlineStr">
        <is>
          <t>Prullans</t>
        </is>
      </c>
      <c r="D592" s="44" t="n">
        <v>21.21</v>
      </c>
      <c r="F592" s="38" t="inlineStr">
        <is>
          <t>Publicació municipal 2025; la superfície s'utilitza com a magnitud territorial</t>
        </is>
      </c>
    </row>
    <row r="593" ht="15" customHeight="1" s="39">
      <c r="A593" s="38" t="inlineStr">
        <is>
          <t>[171411] Puigcerdà</t>
        </is>
      </c>
      <c r="B593" s="42" t="inlineStr">
        <is>
          <t>171411</t>
        </is>
      </c>
      <c r="C593" s="38" t="inlineStr">
        <is>
          <t>Puigcerdà</t>
        </is>
      </c>
      <c r="D593" s="44" t="n">
        <v>18.92</v>
      </c>
      <c r="F593" s="38" t="inlineStr">
        <is>
          <t>Publicació municipal 2025; la superfície s'utilitza com a magnitud territorial</t>
        </is>
      </c>
    </row>
    <row r="594" ht="15" customHeight="1" s="39">
      <c r="A594" s="38" t="inlineStr">
        <is>
          <t>[081748] Puigdàlber</t>
        </is>
      </c>
      <c r="B594" s="42" t="inlineStr">
        <is>
          <t>081748</t>
        </is>
      </c>
      <c r="C594" s="38" t="inlineStr">
        <is>
          <t>Puigdàlber</t>
        </is>
      </c>
      <c r="D594" s="44" t="n">
        <v>0.4</v>
      </c>
      <c r="F594" s="38" t="inlineStr">
        <is>
          <t>Publicació municipal 2025; la superfície s'utilitza com a magnitud territorial</t>
        </is>
      </c>
    </row>
    <row r="595" ht="15" customHeight="1" s="39">
      <c r="A595" s="38" t="inlineStr">
        <is>
          <t>[251804] Puiggròs</t>
        </is>
      </c>
      <c r="B595" s="42" t="inlineStr">
        <is>
          <t>251804</t>
        </is>
      </c>
      <c r="C595" s="38" t="inlineStr">
        <is>
          <t>Puiggròs</t>
        </is>
      </c>
      <c r="D595" s="44" t="n">
        <v>9.9</v>
      </c>
      <c r="F595" s="38" t="inlineStr">
        <is>
          <t>Publicació municipal 2025; la superfície s'utilitza com a magnitud territorial</t>
        </is>
      </c>
    </row>
    <row r="596" ht="15" customHeight="1" s="39">
      <c r="A596" s="38" t="inlineStr">
        <is>
          <t>[431191] Puigpelat</t>
        </is>
      </c>
      <c r="B596" s="42" t="inlineStr">
        <is>
          <t>431191</t>
        </is>
      </c>
      <c r="C596" s="38" t="inlineStr">
        <is>
          <t>Puigpelat</t>
        </is>
      </c>
      <c r="D596" s="44" t="n">
        <v>9.48</v>
      </c>
      <c r="F596" s="38" t="inlineStr">
        <is>
          <t>Publicació municipal 2025; la superfície s'utilitza com a magnitud territorial</t>
        </is>
      </c>
    </row>
    <row r="597" ht="15" customHeight="1" s="39">
      <c r="A597" s="38" t="inlineStr">
        <is>
          <t>[081751] Puig-reig</t>
        </is>
      </c>
      <c r="B597" s="42" t="inlineStr">
        <is>
          <t>081751</t>
        </is>
      </c>
      <c r="C597" s="38" t="inlineStr">
        <is>
          <t>Puig-reig</t>
        </is>
      </c>
      <c r="D597" s="44" t="n">
        <v>45.75</v>
      </c>
      <c r="F597" s="38" t="inlineStr">
        <is>
          <t>Publicació municipal 2025; la superfície s'utilitza com a magnitud territorial</t>
        </is>
      </c>
    </row>
    <row r="598" ht="15" customHeight="1" s="39">
      <c r="A598" s="38" t="inlineStr">
        <is>
          <t>[251811] Puigverd d'Agramunt</t>
        </is>
      </c>
      <c r="B598" s="42" t="inlineStr">
        <is>
          <t>251811</t>
        </is>
      </c>
      <c r="C598" s="38" t="inlineStr">
        <is>
          <t>Puigverd d'Agramunt</t>
        </is>
      </c>
      <c r="D598" s="44" t="n">
        <v>17</v>
      </c>
      <c r="F598" s="38" t="inlineStr">
        <is>
          <t>Publicació municipal 2025; la superfície s'utilitza com a magnitud territorial</t>
        </is>
      </c>
    </row>
    <row r="599" ht="15" customHeight="1" s="39">
      <c r="A599" s="38" t="inlineStr">
        <is>
          <t>[251826] Puigverd de Lleida</t>
        </is>
      </c>
      <c r="B599" s="42" t="inlineStr">
        <is>
          <t>251826</t>
        </is>
      </c>
      <c r="C599" s="38" t="inlineStr">
        <is>
          <t>Puigverd de Lleida</t>
        </is>
      </c>
      <c r="D599" s="44" t="n">
        <v>12.51</v>
      </c>
      <c r="F599" s="38" t="inlineStr">
        <is>
          <t>Publicació municipal 2025; la superfície s'utilitza com a magnitud territorial</t>
        </is>
      </c>
    </row>
    <row r="600" ht="15" customHeight="1" s="39">
      <c r="A600" s="38" t="inlineStr">
        <is>
          <t>[081764] Pujalt</t>
        </is>
      </c>
      <c r="B600" s="42" t="inlineStr">
        <is>
          <t>081764</t>
        </is>
      </c>
      <c r="C600" s="38" t="inlineStr">
        <is>
          <t>Pujalt</t>
        </is>
      </c>
      <c r="D600" s="44" t="n">
        <v>31.43</v>
      </c>
      <c r="F600" s="38" t="inlineStr">
        <is>
          <t>Publicació municipal 2025; la superfície s'utilitza com a magnitud territorial</t>
        </is>
      </c>
    </row>
    <row r="601" ht="15" customHeight="1" s="39">
      <c r="A601" s="38" t="inlineStr">
        <is>
          <t>[081770] Quar, la</t>
        </is>
      </c>
      <c r="B601" s="42" t="inlineStr">
        <is>
          <t>081770</t>
        </is>
      </c>
      <c r="C601" s="38" t="inlineStr">
        <is>
          <t>Quar, la</t>
        </is>
      </c>
      <c r="D601" s="44" t="n">
        <v>38.25</v>
      </c>
      <c r="F601" s="38" t="inlineStr">
        <is>
          <t>Publicació municipal 2025; la superfície s'utilitza com a magnitud territorial</t>
        </is>
      </c>
    </row>
    <row r="602" ht="15" customHeight="1" s="39">
      <c r="A602" s="38" t="inlineStr">
        <is>
          <t>[171426] Quart</t>
        </is>
      </c>
      <c r="B602" s="42" t="inlineStr">
        <is>
          <t>171426</t>
        </is>
      </c>
      <c r="C602" s="38" t="inlineStr">
        <is>
          <t>Quart</t>
        </is>
      </c>
      <c r="D602" s="44" t="n">
        <v>38.09</v>
      </c>
      <c r="F602" s="38" t="inlineStr">
        <is>
          <t>Publicació municipal 2025; la superfície s'utilitza com a magnitud territorial</t>
        </is>
      </c>
    </row>
    <row r="603" ht="15" customHeight="1" s="39">
      <c r="A603" s="38" t="inlineStr">
        <is>
          <t>[170433] Queralbs</t>
        </is>
      </c>
      <c r="B603" s="42" t="inlineStr">
        <is>
          <t>170433</t>
        </is>
      </c>
      <c r="C603" s="38" t="inlineStr">
        <is>
          <t>Queralbs</t>
        </is>
      </c>
      <c r="D603" s="44" t="n">
        <v>93.47</v>
      </c>
      <c r="F603" s="38" t="inlineStr">
        <is>
          <t>Publicació municipal 2025; la superfície s'utilitza com a magnitud territorial</t>
        </is>
      </c>
    </row>
    <row r="604" ht="15" customHeight="1" s="39">
      <c r="A604" s="38" t="inlineStr">
        <is>
          <t>[431205] Querol</t>
        </is>
      </c>
      <c r="B604" s="42" t="inlineStr">
        <is>
          <t>431205</t>
        </is>
      </c>
      <c r="C604" s="38" t="inlineStr">
        <is>
          <t>Querol</t>
        </is>
      </c>
      <c r="D604" s="44" t="n">
        <v>72.26000000000001</v>
      </c>
      <c r="F604" s="38" t="inlineStr">
        <is>
          <t>Publicació municipal 2025; la superfície s'utilitza com a magnitud territorial</t>
        </is>
      </c>
    </row>
    <row r="605" ht="15" customHeight="1" s="39">
      <c r="A605" s="38" t="inlineStr">
        <is>
          <t>[171432] Rabós</t>
        </is>
      </c>
      <c r="B605" s="42" t="inlineStr">
        <is>
          <t>171432</t>
        </is>
      </c>
      <c r="C605" s="38" t="inlineStr">
        <is>
          <t>Rabós</t>
        </is>
      </c>
      <c r="D605" s="44" t="n">
        <v>45.1</v>
      </c>
      <c r="F605" s="38" t="inlineStr">
        <is>
          <t>Publicació municipal 2025; la superfície s'utilitza com a magnitud territorial</t>
        </is>
      </c>
    </row>
    <row r="606" ht="15" customHeight="1" s="39">
      <c r="A606" s="38" t="inlineStr">
        <is>
          <t>[081786] Rajadell</t>
        </is>
      </c>
      <c r="B606" s="42" t="inlineStr">
        <is>
          <t>081786</t>
        </is>
      </c>
      <c r="C606" s="38" t="inlineStr">
        <is>
          <t>Rajadell</t>
        </is>
      </c>
      <c r="D606" s="44" t="n">
        <v>45.53</v>
      </c>
      <c r="F606" s="38" t="inlineStr">
        <is>
          <t>Publicació municipal 2025; la superfície s'utilitza com a magnitud territorial</t>
        </is>
      </c>
    </row>
    <row r="607" ht="15" customHeight="1" s="39">
      <c r="A607" s="38" t="inlineStr">
        <is>
          <t>[431362] Ràpita, la</t>
        </is>
      </c>
      <c r="B607" s="42" t="inlineStr">
        <is>
          <t>431362</t>
        </is>
      </c>
      <c r="C607" s="38" t="inlineStr">
        <is>
          <t>Ràpita, la</t>
        </is>
      </c>
      <c r="D607" s="44" t="n">
        <v>53.72</v>
      </c>
      <c r="F607" s="38" t="inlineStr">
        <is>
          <t>Publicació municipal 2025; la superfície s'utilitza com a magnitud territorial</t>
        </is>
      </c>
    </row>
    <row r="608" ht="15" customHeight="1" s="39">
      <c r="A608" s="38" t="inlineStr">
        <is>
          <t>[431212] Rasquera</t>
        </is>
      </c>
      <c r="B608" s="42" t="inlineStr">
        <is>
          <t>431212</t>
        </is>
      </c>
      <c r="C608" s="38" t="inlineStr">
        <is>
          <t>Rasquera</t>
        </is>
      </c>
      <c r="D608" s="44" t="n">
        <v>51.31</v>
      </c>
      <c r="F608" s="38" t="inlineStr">
        <is>
          <t>Publicació municipal 2025; la superfície s'utilitza com a magnitud territorial</t>
        </is>
      </c>
    </row>
    <row r="609" ht="15" customHeight="1" s="39">
      <c r="A609" s="38" t="inlineStr">
        <is>
          <t>[171447] Regencós</t>
        </is>
      </c>
      <c r="B609" s="42" t="inlineStr">
        <is>
          <t>171447</t>
        </is>
      </c>
      <c r="C609" s="38" t="inlineStr">
        <is>
          <t>Regencós</t>
        </is>
      </c>
      <c r="D609" s="44" t="n">
        <v>6.27</v>
      </c>
      <c r="F609" s="38" t="inlineStr">
        <is>
          <t>Publicació municipal 2025; la superfície s'utilitza com a magnitud territorial</t>
        </is>
      </c>
    </row>
    <row r="610" ht="15" customHeight="1" s="39">
      <c r="A610" s="38" t="inlineStr">
        <is>
          <t>[081799] Rellinars</t>
        </is>
      </c>
      <c r="B610" s="42" t="inlineStr">
        <is>
          <t>081799</t>
        </is>
      </c>
      <c r="C610" s="38" t="inlineStr">
        <is>
          <t>Rellinars</t>
        </is>
      </c>
      <c r="D610" s="44" t="n">
        <v>17.79</v>
      </c>
      <c r="F610" s="38" t="inlineStr">
        <is>
          <t>Publicació municipal 2025; la superfície s'utilitza com a magnitud territorial</t>
        </is>
      </c>
    </row>
    <row r="611" ht="15" customHeight="1" s="39">
      <c r="A611" s="38" t="inlineStr">
        <is>
          <t>[431227] Renau</t>
        </is>
      </c>
      <c r="B611" s="42" t="inlineStr">
        <is>
          <t>431227</t>
        </is>
      </c>
      <c r="C611" s="38" t="inlineStr">
        <is>
          <t>Renau</t>
        </is>
      </c>
      <c r="D611" s="44" t="n">
        <v>8.220000000000001</v>
      </c>
      <c r="F611" s="38" t="inlineStr">
        <is>
          <t>Publicació municipal 2025; la superfície s'utilitza com a magnitud territorial</t>
        </is>
      </c>
    </row>
    <row r="612" ht="15" customHeight="1" s="39">
      <c r="A612" s="38" t="inlineStr">
        <is>
          <t>[431233] Reus</t>
        </is>
      </c>
      <c r="B612" s="42" t="inlineStr">
        <is>
          <t>431233</t>
        </is>
      </c>
      <c r="C612" s="38" t="inlineStr">
        <is>
          <t>Reus</t>
        </is>
      </c>
      <c r="D612" s="44" t="n">
        <v>52.82</v>
      </c>
      <c r="F612" s="38" t="inlineStr">
        <is>
          <t>Publicació municipal 2025; la superfície s'utilitza com a magnitud territorial</t>
        </is>
      </c>
    </row>
    <row r="613" ht="15" customHeight="1" s="39">
      <c r="A613" s="38" t="inlineStr">
        <is>
          <t>[251832] Rialp</t>
        </is>
      </c>
      <c r="B613" s="42" t="inlineStr">
        <is>
          <t>251832</t>
        </is>
      </c>
      <c r="C613" s="38" t="inlineStr">
        <is>
          <t>Rialp</t>
        </is>
      </c>
      <c r="D613" s="44" t="n">
        <v>63.3</v>
      </c>
      <c r="F613" s="38" t="inlineStr">
        <is>
          <t>Publicació municipal 2025; la superfície s'utilitza com a magnitud territorial</t>
        </is>
      </c>
    </row>
    <row r="614" ht="15" customHeight="1" s="39">
      <c r="A614" s="38" t="inlineStr">
        <is>
          <t>[431248] Riba, la</t>
        </is>
      </c>
      <c r="B614" s="42" t="inlineStr">
        <is>
          <t>431248</t>
        </is>
      </c>
      <c r="C614" s="38" t="inlineStr">
        <is>
          <t>Riba, la</t>
        </is>
      </c>
      <c r="D614" s="44" t="n">
        <v>7.99</v>
      </c>
      <c r="F614" s="38" t="inlineStr">
        <is>
          <t>Publicació municipal 2025; la superfície s'utilitza com a magnitud territorial</t>
        </is>
      </c>
    </row>
    <row r="615" ht="15" customHeight="1" s="39">
      <c r="A615" s="38" t="inlineStr">
        <is>
          <t>[431251] Riba-roja d'Ebre</t>
        </is>
      </c>
      <c r="B615" s="42" t="inlineStr">
        <is>
          <t>431251</t>
        </is>
      </c>
      <c r="C615" s="38" t="inlineStr">
        <is>
          <t>Riba-roja d'Ebre</t>
        </is>
      </c>
      <c r="D615" s="44" t="n">
        <v>99.14</v>
      </c>
      <c r="F615" s="38" t="inlineStr">
        <is>
          <t>Publicació municipal 2025; la superfície s'utilitza com a magnitud territorial</t>
        </is>
      </c>
    </row>
    <row r="616" ht="15" customHeight="1" s="39">
      <c r="A616" s="38" t="inlineStr">
        <is>
          <t>[259059] Ribera d'Ondara</t>
        </is>
      </c>
      <c r="B616" s="42" t="inlineStr">
        <is>
          <t>259059</t>
        </is>
      </c>
      <c r="C616" s="38" t="inlineStr">
        <is>
          <t>Ribera d'Ondara</t>
        </is>
      </c>
      <c r="D616" s="44" t="n">
        <v>54.47</v>
      </c>
      <c r="F616" s="38" t="inlineStr">
        <is>
          <t>Publicació municipal 2025; la superfície s'utilitza com a magnitud territorial</t>
        </is>
      </c>
    </row>
    <row r="617" ht="15" customHeight="1" s="39">
      <c r="A617" s="38" t="inlineStr">
        <is>
          <t>[251850] Ribera d'Urgellet</t>
        </is>
      </c>
      <c r="B617" s="42" t="inlineStr">
        <is>
          <t>251850</t>
        </is>
      </c>
      <c r="C617" s="38" t="inlineStr">
        <is>
          <t>Ribera d'Urgellet</t>
        </is>
      </c>
      <c r="D617" s="44" t="n">
        <v>106.96</v>
      </c>
      <c r="F617" s="38" t="inlineStr">
        <is>
          <t>Publicació municipal 2025; la superfície s'utilitza com a magnitud territorial</t>
        </is>
      </c>
    </row>
    <row r="618" ht="15" customHeight="1" s="39">
      <c r="A618" s="38" t="inlineStr">
        <is>
          <t>[171450] Ribes de Freser</t>
        </is>
      </c>
      <c r="B618" s="42" t="inlineStr">
        <is>
          <t>171450</t>
        </is>
      </c>
      <c r="C618" s="38" t="inlineStr">
        <is>
          <t>Ribes de Freser</t>
        </is>
      </c>
      <c r="D618" s="44" t="n">
        <v>41.87</v>
      </c>
      <c r="F618" s="38" t="inlineStr">
        <is>
          <t>Publicació municipal 2025; la superfície s'utilitza com a magnitud territorial</t>
        </is>
      </c>
    </row>
    <row r="619" ht="15" customHeight="1" s="39">
      <c r="A619" s="38" t="inlineStr">
        <is>
          <t>[171463] Riells i Viabrea</t>
        </is>
      </c>
      <c r="B619" s="42" t="inlineStr">
        <is>
          <t>171463</t>
        </is>
      </c>
      <c r="C619" s="38" t="inlineStr">
        <is>
          <t>Riells i Viabrea</t>
        </is>
      </c>
      <c r="D619" s="44" t="n">
        <v>26.98</v>
      </c>
      <c r="F619" s="38" t="inlineStr">
        <is>
          <t>Publicació municipal 2025; la superfície s'utilitza com a magnitud territorial</t>
        </is>
      </c>
    </row>
    <row r="620" ht="15" customHeight="1" s="39">
      <c r="A620" s="38" t="inlineStr">
        <is>
          <t>[431264] Riera de Gaià, la</t>
        </is>
      </c>
      <c r="B620" s="42" t="inlineStr">
        <is>
          <t>431264</t>
        </is>
      </c>
      <c r="C620" s="38" t="inlineStr">
        <is>
          <t>Riera de Gaià, la</t>
        </is>
      </c>
      <c r="D620" s="44" t="n">
        <v>8.76</v>
      </c>
      <c r="F620" s="38" t="inlineStr">
        <is>
          <t>Publicació municipal 2025; la superfície s'utilitza com a magnitud territorial</t>
        </is>
      </c>
    </row>
    <row r="621" ht="15" customHeight="1" s="39">
      <c r="A621" s="38" t="inlineStr">
        <is>
          <t>[251863] Riner</t>
        </is>
      </c>
      <c r="B621" s="42" t="inlineStr">
        <is>
          <t>251863</t>
        </is>
      </c>
      <c r="C621" s="38" t="inlineStr">
        <is>
          <t>Riner</t>
        </is>
      </c>
      <c r="D621" s="44" t="n">
        <v>47.1</v>
      </c>
      <c r="F621" s="38" t="inlineStr">
        <is>
          <t>Publicació municipal 2025; la superfície s'utilitza com a magnitud territorial</t>
        </is>
      </c>
    </row>
    <row r="622" ht="15" customHeight="1" s="39">
      <c r="A622" s="38" t="inlineStr">
        <is>
          <t>[171479] Ripoll</t>
        </is>
      </c>
      <c r="B622" s="42" t="inlineStr">
        <is>
          <t>171479</t>
        </is>
      </c>
      <c r="C622" s="38" t="inlineStr">
        <is>
          <t>Ripoll</t>
        </is>
      </c>
      <c r="D622" s="44" t="n">
        <v>73.70999999999999</v>
      </c>
      <c r="F622" s="38" t="inlineStr">
        <is>
          <t>Publicació municipal 2025; la superfície s'utilitza com a magnitud territorial</t>
        </is>
      </c>
    </row>
    <row r="623" ht="15" customHeight="1" s="39">
      <c r="A623" s="38" t="inlineStr">
        <is>
          <t>[081803] Ripollet</t>
        </is>
      </c>
      <c r="B623" s="42" t="inlineStr">
        <is>
          <t>081803</t>
        </is>
      </c>
      <c r="C623" s="38" t="inlineStr">
        <is>
          <t>Ripollet</t>
        </is>
      </c>
      <c r="D623" s="44" t="n">
        <v>4.33</v>
      </c>
      <c r="F623" s="38" t="inlineStr">
        <is>
          <t>Publicació municipal 2025; la superfície s'utilitza com a magnitud territorial</t>
        </is>
      </c>
    </row>
    <row r="624" ht="15" customHeight="1" s="39">
      <c r="A624" s="38" t="inlineStr">
        <is>
          <t>[259139] Riu de Cerdanya</t>
        </is>
      </c>
      <c r="B624" s="42" t="inlineStr">
        <is>
          <t>259139</t>
        </is>
      </c>
      <c r="C624" s="38" t="inlineStr">
        <is>
          <t>Riu de Cerdanya</t>
        </is>
      </c>
      <c r="D624" s="44" t="n">
        <v>12.34</v>
      </c>
      <c r="F624" s="38" t="inlineStr">
        <is>
          <t>Publicació municipal 2025; la superfície s'utilitza com a magnitud territorial</t>
        </is>
      </c>
    </row>
    <row r="625" ht="15" customHeight="1" s="39">
      <c r="A625" s="38" t="inlineStr">
        <is>
          <t>[171485] Riudarenes</t>
        </is>
      </c>
      <c r="B625" s="42" t="inlineStr">
        <is>
          <t>171485</t>
        </is>
      </c>
      <c r="C625" s="38" t="inlineStr">
        <is>
          <t>Riudarenes</t>
        </is>
      </c>
      <c r="D625" s="44" t="n">
        <v>47.6</v>
      </c>
      <c r="F625" s="38" t="inlineStr">
        <is>
          <t>Publicació municipal 2025; la superfície s'utilitza com a magnitud territorial</t>
        </is>
      </c>
    </row>
    <row r="626" ht="15" customHeight="1" s="39">
      <c r="A626" s="38" t="inlineStr">
        <is>
          <t>[171498] Riudaura</t>
        </is>
      </c>
      <c r="B626" s="42" t="inlineStr">
        <is>
          <t>171498</t>
        </is>
      </c>
      <c r="C626" s="38" t="inlineStr">
        <is>
          <t>Riudaura</t>
        </is>
      </c>
      <c r="D626" s="44" t="n">
        <v>23.6</v>
      </c>
      <c r="F626" s="38" t="inlineStr">
        <is>
          <t>Publicació municipal 2025; la superfície s'utilitza com a magnitud territorial</t>
        </is>
      </c>
    </row>
    <row r="627" ht="15" customHeight="1" s="39">
      <c r="A627" s="38" t="inlineStr">
        <is>
          <t>[431270] Riudecanyes</t>
        </is>
      </c>
      <c r="B627" s="42" t="inlineStr">
        <is>
          <t>431270</t>
        </is>
      </c>
      <c r="C627" s="38" t="inlineStr">
        <is>
          <t>Riudecanyes</t>
        </is>
      </c>
      <c r="D627" s="44" t="n">
        <v>17.1</v>
      </c>
      <c r="F627" s="38" t="inlineStr">
        <is>
          <t>Publicació municipal 2025; la superfície s'utilitza com a magnitud territorial</t>
        </is>
      </c>
    </row>
    <row r="628" ht="15" customHeight="1" s="39">
      <c r="A628" s="38" t="inlineStr">
        <is>
          <t>[431286] Riudecols</t>
        </is>
      </c>
      <c r="B628" s="42" t="inlineStr">
        <is>
          <t>431286</t>
        </is>
      </c>
      <c r="C628" s="38" t="inlineStr">
        <is>
          <t>Riudecols</t>
        </is>
      </c>
      <c r="D628" s="44" t="n">
        <v>19.46</v>
      </c>
      <c r="F628" s="38" t="inlineStr">
        <is>
          <t>Publicació municipal 2025; la superfície s'utilitza com a magnitud territorial</t>
        </is>
      </c>
    </row>
    <row r="629" ht="15" customHeight="1" s="39">
      <c r="A629" s="38" t="inlineStr">
        <is>
          <t>[171501] Riudellots de la Selva</t>
        </is>
      </c>
      <c r="B629" s="42" t="inlineStr">
        <is>
          <t>171501</t>
        </is>
      </c>
      <c r="C629" s="38" t="inlineStr">
        <is>
          <t>Riudellots de la Selva</t>
        </is>
      </c>
      <c r="D629" s="44" t="n">
        <v>13.13</v>
      </c>
      <c r="F629" s="38" t="inlineStr">
        <is>
          <t>Publicació municipal 2025; la superfície s'utilitza com a magnitud territorial</t>
        </is>
      </c>
    </row>
    <row r="630" ht="15" customHeight="1" s="39">
      <c r="A630" s="38" t="inlineStr">
        <is>
          <t>[431299] Riudoms</t>
        </is>
      </c>
      <c r="B630" s="42" t="inlineStr">
        <is>
          <t>431299</t>
        </is>
      </c>
      <c r="C630" s="38" t="inlineStr">
        <is>
          <t>Riudoms</t>
        </is>
      </c>
      <c r="D630" s="44" t="n">
        <v>32.43</v>
      </c>
      <c r="F630" s="38" t="inlineStr">
        <is>
          <t>Publicació municipal 2025; la superfície s'utilitza com a magnitud territorial</t>
        </is>
      </c>
    </row>
    <row r="631" ht="15" customHeight="1" s="39">
      <c r="A631" s="38" t="inlineStr">
        <is>
          <t>[171518] Riumors</t>
        </is>
      </c>
      <c r="B631" s="42" t="inlineStr">
        <is>
          <t>171518</t>
        </is>
      </c>
      <c r="C631" s="38" t="inlineStr">
        <is>
          <t>Riumors</t>
        </is>
      </c>
      <c r="D631" s="44" t="n">
        <v>6.54</v>
      </c>
      <c r="F631" s="38" t="inlineStr">
        <is>
          <t>Publicació municipal 2025; la superfície s'utilitza com a magnitud territorial</t>
        </is>
      </c>
    </row>
    <row r="632" ht="15" customHeight="1" s="39">
      <c r="A632" s="38" t="inlineStr">
        <is>
          <t>[081810] Roca del Vallès, la</t>
        </is>
      </c>
      <c r="B632" s="42" t="inlineStr">
        <is>
          <t>081810</t>
        </is>
      </c>
      <c r="C632" s="38" t="inlineStr">
        <is>
          <t>Roca del Vallès, la</t>
        </is>
      </c>
      <c r="D632" s="44" t="n">
        <v>36.9</v>
      </c>
      <c r="F632" s="38" t="inlineStr">
        <is>
          <t>Publicació municipal 2025; la superfície s'utilitza com a magnitud territorial</t>
        </is>
      </c>
    </row>
    <row r="633" ht="15" customHeight="1" s="39">
      <c r="A633" s="38" t="inlineStr">
        <is>
          <t>[431303] Rocafort de Queralt</t>
        </is>
      </c>
      <c r="B633" s="42" t="inlineStr">
        <is>
          <t>431303</t>
        </is>
      </c>
      <c r="C633" s="38" t="inlineStr">
        <is>
          <t>Rocafort de Queralt</t>
        </is>
      </c>
      <c r="D633" s="44" t="n">
        <v>8.470000000000001</v>
      </c>
      <c r="F633" s="38" t="inlineStr">
        <is>
          <t>Publicació municipal 2025; la superfície s'utilitza com a magnitud territorial</t>
        </is>
      </c>
    </row>
    <row r="634" ht="15" customHeight="1" s="39">
      <c r="A634" s="38" t="inlineStr">
        <is>
          <t>[431310] Roda de Berà</t>
        </is>
      </c>
      <c r="B634" s="42" t="inlineStr">
        <is>
          <t>431310</t>
        </is>
      </c>
      <c r="C634" s="38" t="inlineStr">
        <is>
          <t>Roda de Berà</t>
        </is>
      </c>
      <c r="D634" s="44" t="n">
        <v>16.5</v>
      </c>
      <c r="F634" s="38" t="inlineStr">
        <is>
          <t>Publicació municipal 2025; la superfície s'utilitza com a magnitud territorial</t>
        </is>
      </c>
    </row>
    <row r="635" ht="15" customHeight="1" s="39">
      <c r="A635" s="38" t="inlineStr">
        <is>
          <t>[081831] Roda de Ter</t>
        </is>
      </c>
      <c r="B635" s="42" t="inlineStr">
        <is>
          <t>081831</t>
        </is>
      </c>
      <c r="C635" s="38" t="inlineStr">
        <is>
          <t>Roda de Ter</t>
        </is>
      </c>
      <c r="D635" s="44" t="n">
        <v>2.23</v>
      </c>
      <c r="F635" s="38" t="inlineStr">
        <is>
          <t>Publicació municipal 2025; la superfície s'utilitza com a magnitud territorial</t>
        </is>
      </c>
    </row>
    <row r="636" ht="15" customHeight="1" s="39">
      <c r="A636" s="38" t="inlineStr">
        <is>
          <t>[431325] Rodonyà</t>
        </is>
      </c>
      <c r="B636" s="42" t="inlineStr">
        <is>
          <t>431325</t>
        </is>
      </c>
      <c r="C636" s="38" t="inlineStr">
        <is>
          <t>Rodonyà</t>
        </is>
      </c>
      <c r="D636" s="44" t="n">
        <v>8.49</v>
      </c>
      <c r="F636" s="38" t="inlineStr">
        <is>
          <t>Publicació municipal 2025; la superfície s'utilitza com a magnitud territorial</t>
        </is>
      </c>
    </row>
    <row r="637" ht="15" customHeight="1" s="39">
      <c r="A637" s="38" t="inlineStr">
        <is>
          <t>[431331] Roquetes</t>
        </is>
      </c>
      <c r="B637" s="42" t="inlineStr">
        <is>
          <t>431331</t>
        </is>
      </c>
      <c r="C637" s="38" t="inlineStr">
        <is>
          <t>Roquetes</t>
        </is>
      </c>
      <c r="D637" s="44" t="n">
        <v>136.92</v>
      </c>
      <c r="F637" s="38" t="inlineStr">
        <is>
          <t>Publicació municipal 2025; la superfície s'utilitza com a magnitud territorial</t>
        </is>
      </c>
    </row>
    <row r="638" ht="15" customHeight="1" s="39">
      <c r="A638" s="38" t="inlineStr">
        <is>
          <t>[171523] Roses</t>
        </is>
      </c>
      <c r="B638" s="42" t="inlineStr">
        <is>
          <t>171523</t>
        </is>
      </c>
      <c r="C638" s="38" t="inlineStr">
        <is>
          <t>Roses</t>
        </is>
      </c>
      <c r="D638" s="44" t="n">
        <v>45.91</v>
      </c>
      <c r="F638" s="38" t="inlineStr">
        <is>
          <t>Publicació municipal 2025; la superfície s'utilitza com a magnitud territorial</t>
        </is>
      </c>
    </row>
    <row r="639" ht="15" customHeight="1" s="39">
      <c r="A639" s="38" t="inlineStr">
        <is>
          <t>[251898] Rosselló</t>
        </is>
      </c>
      <c r="B639" s="42" t="inlineStr">
        <is>
          <t>251898</t>
        </is>
      </c>
      <c r="C639" s="38" t="inlineStr">
        <is>
          <t>Rosselló</t>
        </is>
      </c>
      <c r="D639" s="44" t="n">
        <v>9.92</v>
      </c>
      <c r="F639" s="38" t="inlineStr">
        <is>
          <t>Publicació municipal 2025; la superfície s'utilitza com a magnitud territorial</t>
        </is>
      </c>
    </row>
    <row r="640" ht="15" customHeight="1" s="39">
      <c r="A640" s="38" t="inlineStr">
        <is>
          <t>[431346] Rourell, el</t>
        </is>
      </c>
      <c r="B640" s="42" t="inlineStr">
        <is>
          <t>431346</t>
        </is>
      </c>
      <c r="C640" s="38" t="inlineStr">
        <is>
          <t>Rourell, el</t>
        </is>
      </c>
      <c r="D640" s="44" t="n">
        <v>2.32</v>
      </c>
      <c r="F640" s="38" t="inlineStr">
        <is>
          <t>Publicació municipal 2025; la superfície s'utilitza com a magnitud territorial</t>
        </is>
      </c>
    </row>
    <row r="641" ht="15" customHeight="1" s="39">
      <c r="A641" s="38" t="inlineStr">
        <is>
          <t>[081846] Rubí</t>
        </is>
      </c>
      <c r="B641" s="42" t="inlineStr">
        <is>
          <t>081846</t>
        </is>
      </c>
      <c r="C641" s="38" t="inlineStr">
        <is>
          <t>Rubí</t>
        </is>
      </c>
      <c r="D641" s="44" t="n">
        <v>32.3</v>
      </c>
      <c r="F641" s="38" t="inlineStr">
        <is>
          <t>Publicació municipal 2025; la superfície s'utilitza com a magnitud territorial</t>
        </is>
      </c>
    </row>
    <row r="642" ht="15" customHeight="1" s="39">
      <c r="A642" s="38" t="inlineStr">
        <is>
          <t>[081859] Rubió</t>
        </is>
      </c>
      <c r="B642" s="42" t="inlineStr">
        <is>
          <t>081859</t>
        </is>
      </c>
      <c r="C642" s="38" t="inlineStr">
        <is>
          <t>Rubió</t>
        </is>
      </c>
      <c r="D642" s="44" t="n">
        <v>48</v>
      </c>
      <c r="F642" s="38" t="inlineStr">
        <is>
          <t>Publicació municipal 2025; la superfície s'utilitza com a magnitud territorial</t>
        </is>
      </c>
    </row>
    <row r="643" ht="15" customHeight="1" s="39">
      <c r="A643" s="38" t="inlineStr">
        <is>
          <t>[171539] Rupià</t>
        </is>
      </c>
      <c r="B643" s="42" t="inlineStr">
        <is>
          <t>171539</t>
        </is>
      </c>
      <c r="C643" s="38" t="inlineStr">
        <is>
          <t>Rupià</t>
        </is>
      </c>
      <c r="D643" s="44" t="n">
        <v>5.29</v>
      </c>
      <c r="F643" s="38" t="inlineStr">
        <is>
          <t>Publicació municipal 2025; la superfície s'utilitza com a magnitud territorial</t>
        </is>
      </c>
    </row>
    <row r="644" ht="15" customHeight="1" s="39">
      <c r="A644" s="38" t="inlineStr">
        <is>
          <t>[089019] Rupit i Pruit</t>
        </is>
      </c>
      <c r="B644" s="42" t="inlineStr">
        <is>
          <t>089019</t>
        </is>
      </c>
      <c r="C644" s="38" t="inlineStr">
        <is>
          <t>Rupit i Pruit</t>
        </is>
      </c>
      <c r="D644" s="44" t="n">
        <v>47.81</v>
      </c>
      <c r="F644" s="38" t="inlineStr">
        <is>
          <t>Publicació municipal 2025; la superfície s'utilitza com a magnitud territorial</t>
        </is>
      </c>
    </row>
    <row r="645" ht="15" customHeight="1" s="39">
      <c r="A645" s="38" t="inlineStr">
        <is>
          <t>[081878] Sabadell</t>
        </is>
      </c>
      <c r="B645" s="42" t="inlineStr">
        <is>
          <t>081878</t>
        </is>
      </c>
      <c r="C645" s="38" t="inlineStr">
        <is>
          <t>Sabadell</t>
        </is>
      </c>
      <c r="D645" s="44" t="n">
        <v>37.79</v>
      </c>
      <c r="F645" s="38" t="inlineStr">
        <is>
          <t>Publicació municipal 2025; la superfície s'utilitza com a magnitud territorial</t>
        </is>
      </c>
    </row>
    <row r="646" ht="15" customHeight="1" s="39">
      <c r="A646" s="38" t="inlineStr">
        <is>
          <t>[081884] Sagàs</t>
        </is>
      </c>
      <c r="B646" s="42" t="inlineStr">
        <is>
          <t>081884</t>
        </is>
      </c>
      <c r="C646" s="38" t="inlineStr">
        <is>
          <t>Sagàs</t>
        </is>
      </c>
      <c r="D646" s="44" t="n">
        <v>44.6</v>
      </c>
      <c r="F646" s="38" t="inlineStr">
        <is>
          <t>Publicació municipal 2025; la superfície s'utilitza com a magnitud territorial</t>
        </is>
      </c>
    </row>
    <row r="647" ht="15" customHeight="1" s="39">
      <c r="A647" s="38" t="inlineStr">
        <is>
          <t>[251902] Salàs de Pallars</t>
        </is>
      </c>
      <c r="B647" s="42" t="inlineStr">
        <is>
          <t>251902</t>
        </is>
      </c>
      <c r="C647" s="38" t="inlineStr">
        <is>
          <t>Salàs de Pallars</t>
        </is>
      </c>
      <c r="D647" s="44" t="n">
        <v>20.27</v>
      </c>
      <c r="F647" s="38" t="inlineStr">
        <is>
          <t>Publicació municipal 2025; la superfície s'utilitza com a magnitud territorial</t>
        </is>
      </c>
    </row>
    <row r="648" ht="15" customHeight="1" s="39">
      <c r="A648" s="38" t="inlineStr">
        <is>
          <t>[081901] Saldes</t>
        </is>
      </c>
      <c r="B648" s="42" t="inlineStr">
        <is>
          <t>081901</t>
        </is>
      </c>
      <c r="C648" s="38" t="inlineStr">
        <is>
          <t>Saldes</t>
        </is>
      </c>
      <c r="D648" s="44" t="n">
        <v>66.40000000000001</v>
      </c>
      <c r="F648" s="38" t="inlineStr">
        <is>
          <t>Publicació municipal 2025; la superfície s'utilitza com a magnitud territorial</t>
        </is>
      </c>
    </row>
    <row r="649" ht="15" customHeight="1" s="39">
      <c r="A649" s="38" t="inlineStr">
        <is>
          <t>[171544] Sales de Llierca</t>
        </is>
      </c>
      <c r="B649" s="42" t="inlineStr">
        <is>
          <t>171544</t>
        </is>
      </c>
      <c r="C649" s="38" t="inlineStr">
        <is>
          <t>Sales de Llierca</t>
        </is>
      </c>
      <c r="D649" s="44" t="n">
        <v>35.82</v>
      </c>
      <c r="F649" s="38" t="inlineStr">
        <is>
          <t>Publicació municipal 2025; la superfície s'utilitza com a magnitud territorial</t>
        </is>
      </c>
    </row>
    <row r="650" ht="15" customHeight="1" s="39">
      <c r="A650" s="38" t="inlineStr">
        <is>
          <t>[081918] Sallent</t>
        </is>
      </c>
      <c r="B650" s="42" t="inlineStr">
        <is>
          <t>081918</t>
        </is>
      </c>
      <c r="C650" s="38" t="inlineStr">
        <is>
          <t>Sallent</t>
        </is>
      </c>
      <c r="D650" s="44" t="n">
        <v>65.22</v>
      </c>
      <c r="F650" s="38" t="inlineStr">
        <is>
          <t>Publicació municipal 2025; la superfície s'utilitza com a magnitud territorial</t>
        </is>
      </c>
    </row>
    <row r="651" ht="15" customHeight="1" s="39">
      <c r="A651" s="38" t="inlineStr">
        <is>
          <t>[431359] Salomó</t>
        </is>
      </c>
      <c r="B651" s="42" t="inlineStr">
        <is>
          <t>431359</t>
        </is>
      </c>
      <c r="C651" s="38" t="inlineStr">
        <is>
          <t>Salomó</t>
        </is>
      </c>
      <c r="D651" s="44" t="n">
        <v>12.21</v>
      </c>
      <c r="F651" s="38" t="inlineStr">
        <is>
          <t>Publicació municipal 2025; la superfície s'utilitza com a magnitud territorial</t>
        </is>
      </c>
    </row>
    <row r="652" ht="15" customHeight="1" s="39">
      <c r="A652" s="38" t="inlineStr">
        <is>
          <t>[439057] Salou</t>
        </is>
      </c>
      <c r="B652" s="42" t="inlineStr">
        <is>
          <t>439057</t>
        </is>
      </c>
      <c r="C652" s="38" t="inlineStr">
        <is>
          <t>Salou</t>
        </is>
      </c>
      <c r="D652" s="44" t="n">
        <v>15.13</v>
      </c>
      <c r="F652" s="38" t="inlineStr">
        <is>
          <t>Publicació municipal 2025; la superfície s'utilitza com a magnitud territorial</t>
        </is>
      </c>
    </row>
    <row r="653" ht="15" customHeight="1" s="39">
      <c r="A653" s="38" t="inlineStr">
        <is>
          <t>[171557] Salt</t>
        </is>
      </c>
      <c r="B653" s="42" t="inlineStr">
        <is>
          <t>171557</t>
        </is>
      </c>
      <c r="C653" s="38" t="inlineStr">
        <is>
          <t>Salt</t>
        </is>
      </c>
      <c r="D653" s="44" t="n">
        <v>6.64</v>
      </c>
      <c r="F653" s="38" t="inlineStr">
        <is>
          <t>Publicació municipal 2025; la superfície s'utilitza com a magnitud territorial</t>
        </is>
      </c>
    </row>
    <row r="654" ht="15" customHeight="1" s="39">
      <c r="A654" s="38" t="inlineStr">
        <is>
          <t>[251919] Sanaüja</t>
        </is>
      </c>
      <c r="B654" s="42" t="inlineStr">
        <is>
          <t>251919</t>
        </is>
      </c>
      <c r="C654" s="38" t="inlineStr">
        <is>
          <t>Sanaüja</t>
        </is>
      </c>
      <c r="D654" s="44" t="n">
        <v>32.99</v>
      </c>
      <c r="F654" s="38" t="inlineStr">
        <is>
          <t>Publicació municipal 2025; la superfície s'utilitza com a magnitud territorial</t>
        </is>
      </c>
    </row>
    <row r="655" ht="15" customHeight="1" s="39">
      <c r="A655" s="38" t="inlineStr">
        <is>
          <t>[081944] Sant Adrià de Besòs</t>
        </is>
      </c>
      <c r="B655" s="42" t="inlineStr">
        <is>
          <t>081944</t>
        </is>
      </c>
      <c r="C655" s="38" t="inlineStr">
        <is>
          <t>Sant Adrià de Besòs</t>
        </is>
      </c>
      <c r="D655" s="44" t="n">
        <v>3.82</v>
      </c>
      <c r="F655" s="38" t="inlineStr">
        <is>
          <t>Publicació municipal 2025; la superfície s'utilitza com a magnitud territorial</t>
        </is>
      </c>
    </row>
    <row r="656" ht="15" customHeight="1" s="39">
      <c r="A656" s="38" t="inlineStr">
        <is>
          <t>[081957] Sant Agustí de Lluçanès</t>
        </is>
      </c>
      <c r="B656" s="42" t="inlineStr">
        <is>
          <t>081957</t>
        </is>
      </c>
      <c r="C656" s="38" t="inlineStr">
        <is>
          <t>Sant Agustí de Lluçanès</t>
        </is>
      </c>
      <c r="D656" s="44" t="n">
        <v>13.26</v>
      </c>
      <c r="F656" s="38" t="inlineStr">
        <is>
          <t>Publicació municipal 2025; la superfície s'utilitza com a magnitud territorial</t>
        </is>
      </c>
    </row>
    <row r="657" ht="15" customHeight="1" s="39">
      <c r="A657" s="38" t="inlineStr">
        <is>
          <t>[081960] Sant Andreu de la Barca</t>
        </is>
      </c>
      <c r="B657" s="42" t="inlineStr">
        <is>
          <t>081960</t>
        </is>
      </c>
      <c r="C657" s="38" t="inlineStr">
        <is>
          <t>Sant Andreu de la Barca</t>
        </is>
      </c>
      <c r="D657" s="44" t="n">
        <v>5.5</v>
      </c>
      <c r="F657" s="38" t="inlineStr">
        <is>
          <t>Publicació municipal 2025; la superfície s'utilitza com a magnitud territorial</t>
        </is>
      </c>
    </row>
    <row r="658" ht="15" customHeight="1" s="39">
      <c r="A658" s="38" t="inlineStr">
        <is>
          <t>[081976] Sant Andreu de Llavaneres</t>
        </is>
      </c>
      <c r="B658" s="42" t="inlineStr">
        <is>
          <t>081976</t>
        </is>
      </c>
      <c r="C658" s="38" t="inlineStr">
        <is>
          <t>Sant Andreu de Llavaneres</t>
        </is>
      </c>
      <c r="D658" s="44" t="n">
        <v>11.83</v>
      </c>
      <c r="F658" s="38" t="inlineStr">
        <is>
          <t>Publicació municipal 2025; la superfície s'utilitza com a magnitud territorial</t>
        </is>
      </c>
    </row>
    <row r="659" ht="15" customHeight="1" s="39">
      <c r="A659" s="38" t="inlineStr">
        <is>
          <t>[171576] Sant Andreu Salou</t>
        </is>
      </c>
      <c r="B659" s="42" t="inlineStr">
        <is>
          <t>171576</t>
        </is>
      </c>
      <c r="C659" s="38" t="inlineStr">
        <is>
          <t>Sant Andreu Salou</t>
        </is>
      </c>
      <c r="D659" s="44" t="n">
        <v>5.96</v>
      </c>
      <c r="F659" s="38" t="inlineStr">
        <is>
          <t>Publicació municipal 2025; la superfície s'utilitza com a magnitud territorial</t>
        </is>
      </c>
    </row>
    <row r="660" ht="15" customHeight="1" s="39">
      <c r="A660" s="38" t="inlineStr">
        <is>
          <t>[171833] Sant Aniol de Finestres</t>
        </is>
      </c>
      <c r="B660" s="42" t="inlineStr">
        <is>
          <t>171833</t>
        </is>
      </c>
      <c r="C660" s="38" t="inlineStr">
        <is>
          <t>Sant Aniol de Finestres</t>
        </is>
      </c>
      <c r="D660" s="44" t="n">
        <v>47.73</v>
      </c>
      <c r="F660" s="38" t="inlineStr">
        <is>
          <t>Publicació municipal 2025; la superfície s'utilitza com a magnitud territorial</t>
        </is>
      </c>
    </row>
    <row r="661" ht="15" customHeight="1" s="39">
      <c r="A661" s="38" t="inlineStr">
        <is>
          <t>[081982] Sant Antoni de Vilamajor</t>
        </is>
      </c>
      <c r="B661" s="42" t="inlineStr">
        <is>
          <t>081982</t>
        </is>
      </c>
      <c r="C661" s="38" t="inlineStr">
        <is>
          <t>Sant Antoni de Vilamajor</t>
        </is>
      </c>
      <c r="D661" s="44" t="n">
        <v>13.7</v>
      </c>
      <c r="F661" s="38" t="inlineStr">
        <is>
          <t>Publicació municipal 2025; la superfície s'utilitza com a magnitud territorial</t>
        </is>
      </c>
    </row>
    <row r="662" ht="15" customHeight="1" s="39">
      <c r="A662" s="38" t="inlineStr">
        <is>
          <t>[081995] Sant Bartomeu del Grau</t>
        </is>
      </c>
      <c r="B662" s="42" t="inlineStr">
        <is>
          <t>081995</t>
        </is>
      </c>
      <c r="C662" s="38" t="inlineStr">
        <is>
          <t>Sant Bartomeu del Grau</t>
        </is>
      </c>
      <c r="D662" s="44" t="n">
        <v>34.4</v>
      </c>
      <c r="F662" s="38" t="inlineStr">
        <is>
          <t>Publicació municipal 2025; la superfície s'utilitza com a magnitud territorial</t>
        </is>
      </c>
    </row>
    <row r="663" ht="15" customHeight="1" s="39">
      <c r="A663" s="38" t="inlineStr">
        <is>
          <t>[082009] Sant Boi de Llobregat</t>
        </is>
      </c>
      <c r="B663" s="42" t="inlineStr">
        <is>
          <t>082009</t>
        </is>
      </c>
      <c r="C663" s="38" t="inlineStr">
        <is>
          <t>Sant Boi de Llobregat</t>
        </is>
      </c>
      <c r="D663" s="44" t="n">
        <v>21.47</v>
      </c>
      <c r="F663" s="38" t="inlineStr">
        <is>
          <t>Publicació municipal 2025; la superfície s'utilitza com a magnitud territorial</t>
        </is>
      </c>
    </row>
    <row r="664" ht="15" customHeight="1" s="39">
      <c r="A664" s="38" t="inlineStr">
        <is>
          <t>[082016] Sant Boi de Lluçanès</t>
        </is>
      </c>
      <c r="B664" s="42" t="inlineStr">
        <is>
          <t>082016</t>
        </is>
      </c>
      <c r="C664" s="38" t="inlineStr">
        <is>
          <t>Sant Boi de Lluçanès</t>
        </is>
      </c>
      <c r="D664" s="44" t="n">
        <v>19.48</v>
      </c>
      <c r="F664" s="38" t="inlineStr">
        <is>
          <t>Publicació municipal 2025; la superfície s'utilitza com a magnitud territorial</t>
        </is>
      </c>
    </row>
    <row r="665" ht="15" customHeight="1" s="39">
      <c r="A665" s="38" t="inlineStr">
        <is>
          <t>[082037] Sant Cebrià de Vallalta</t>
        </is>
      </c>
      <c r="B665" s="42" t="inlineStr">
        <is>
          <t>082037</t>
        </is>
      </c>
      <c r="C665" s="38" t="inlineStr">
        <is>
          <t>Sant Cebrià de Vallalta</t>
        </is>
      </c>
      <c r="D665" s="44" t="n">
        <v>15.8</v>
      </c>
      <c r="F665" s="38" t="inlineStr">
        <is>
          <t>Publicació municipal 2025; la superfície s'utilitza com a magnitud territorial</t>
        </is>
      </c>
    </row>
    <row r="666" ht="15" customHeight="1" s="39">
      <c r="A666" s="38" t="inlineStr">
        <is>
          <t>[082021] Sant Celoni</t>
        </is>
      </c>
      <c r="B666" s="42" t="inlineStr">
        <is>
          <t>082021</t>
        </is>
      </c>
      <c r="C666" s="38" t="inlineStr">
        <is>
          <t>Sant Celoni</t>
        </is>
      </c>
      <c r="D666" s="44" t="n">
        <v>65.23</v>
      </c>
      <c r="F666" s="38" t="inlineStr">
        <is>
          <t>Publicació municipal 2025; la superfície s'utilitza com a magnitud territorial</t>
        </is>
      </c>
    </row>
    <row r="667" ht="15" customHeight="1" s="39">
      <c r="A667" s="38" t="inlineStr">
        <is>
          <t>[082042] Sant Climent de Llobregat</t>
        </is>
      </c>
      <c r="B667" s="42" t="inlineStr">
        <is>
          <t>082042</t>
        </is>
      </c>
      <c r="C667" s="38" t="inlineStr">
        <is>
          <t>Sant Climent de Llobregat</t>
        </is>
      </c>
      <c r="D667" s="44" t="n">
        <v>10.81</v>
      </c>
      <c r="F667" s="38" t="inlineStr">
        <is>
          <t>Publicació municipal 2025; la superfície s'utilitza com a magnitud territorial</t>
        </is>
      </c>
    </row>
    <row r="668" ht="15" customHeight="1" s="39">
      <c r="A668" s="38" t="inlineStr">
        <is>
          <t>[171582] Sant Climent Sescebes</t>
        </is>
      </c>
      <c r="B668" s="42" t="inlineStr">
        <is>
          <t>171582</t>
        </is>
      </c>
      <c r="C668" s="38" t="inlineStr">
        <is>
          <t>Sant Climent Sescebes</t>
        </is>
      </c>
      <c r="D668" s="44" t="n">
        <v>24.37</v>
      </c>
      <c r="F668" s="38" t="inlineStr">
        <is>
          <t>Publicació municipal 2025; la superfície s'utilitza com a magnitud territorial</t>
        </is>
      </c>
    </row>
    <row r="669" ht="15" customHeight="1" s="39">
      <c r="A669" s="38" t="inlineStr">
        <is>
          <t>[082055] Sant Cugat del Vallès</t>
        </is>
      </c>
      <c r="B669" s="42" t="inlineStr">
        <is>
          <t>082055</t>
        </is>
      </c>
      <c r="C669" s="38" t="inlineStr">
        <is>
          <t>Sant Cugat del Vallès</t>
        </is>
      </c>
      <c r="D669" s="44" t="n">
        <v>48.23</v>
      </c>
      <c r="F669" s="38" t="inlineStr">
        <is>
          <t>Publicació municipal 2025; la superfície s'utilitza com a magnitud territorial</t>
        </is>
      </c>
    </row>
    <row r="670" ht="15" customHeight="1" s="39">
      <c r="A670" s="38" t="inlineStr">
        <is>
          <t>[082068] Sant Cugat Sesgarrigues</t>
        </is>
      </c>
      <c r="B670" s="42" t="inlineStr">
        <is>
          <t>082068</t>
        </is>
      </c>
      <c r="C670" s="38" t="inlineStr">
        <is>
          <t>Sant Cugat Sesgarrigues</t>
        </is>
      </c>
      <c r="D670" s="44" t="n">
        <v>6.24</v>
      </c>
      <c r="F670" s="38" t="inlineStr">
        <is>
          <t>Publicació municipal 2025; la superfície s'utilitza com a magnitud territorial</t>
        </is>
      </c>
    </row>
    <row r="671" ht="15" customHeight="1" s="39">
      <c r="A671" s="38" t="inlineStr">
        <is>
          <t>[251961] Sant Esteve de la Sarga</t>
        </is>
      </c>
      <c r="B671" s="42" t="inlineStr">
        <is>
          <t>251961</t>
        </is>
      </c>
      <c r="C671" s="38" t="inlineStr">
        <is>
          <t>Sant Esteve de la Sarga</t>
        </is>
      </c>
      <c r="D671" s="44" t="n">
        <v>92.87</v>
      </c>
      <c r="F671" s="38" t="inlineStr">
        <is>
          <t>Publicació municipal 2025; la superfície s'utilitza com a magnitud territorial</t>
        </is>
      </c>
    </row>
    <row r="672" ht="15" customHeight="1" s="39">
      <c r="A672" s="38" t="inlineStr">
        <is>
          <t>[082074] Sant Esteve de Palautordera</t>
        </is>
      </c>
      <c r="B672" s="42" t="inlineStr">
        <is>
          <t>082074</t>
        </is>
      </c>
      <c r="C672" s="38" t="inlineStr">
        <is>
          <t>Sant Esteve de Palautordera</t>
        </is>
      </c>
      <c r="D672" s="44" t="n">
        <v>10.64</v>
      </c>
      <c r="F672" s="38" t="inlineStr">
        <is>
          <t>Publicació municipal 2025; la superfície s'utilitza com a magnitud territorial</t>
        </is>
      </c>
    </row>
    <row r="673" ht="15" customHeight="1" s="39">
      <c r="A673" s="38" t="inlineStr">
        <is>
          <t>[082080] Sant Esteve Sesrovires</t>
        </is>
      </c>
      <c r="B673" s="42" t="inlineStr">
        <is>
          <t>082080</t>
        </is>
      </c>
      <c r="C673" s="38" t="inlineStr">
        <is>
          <t>Sant Esteve Sesrovires</t>
        </is>
      </c>
      <c r="D673" s="44" t="n">
        <v>18.56</v>
      </c>
      <c r="F673" s="38" t="inlineStr">
        <is>
          <t>Publicació municipal 2025; la superfície s'utilitza com a magnitud territorial</t>
        </is>
      </c>
    </row>
    <row r="674" ht="15" customHeight="1" s="39">
      <c r="A674" s="38" t="inlineStr">
        <is>
          <t>[171595] Sant Feliu de Buixalleu</t>
        </is>
      </c>
      <c r="B674" s="42" t="inlineStr">
        <is>
          <t>171595</t>
        </is>
      </c>
      <c r="C674" s="38" t="inlineStr">
        <is>
          <t>Sant Feliu de Buixalleu</t>
        </is>
      </c>
      <c r="D674" s="44" t="n">
        <v>61.94</v>
      </c>
      <c r="F674" s="38" t="inlineStr">
        <is>
          <t>Publicació municipal 2025; la superfície s'utilitza com a magnitud territorial</t>
        </is>
      </c>
    </row>
    <row r="675" ht="15" customHeight="1" s="39">
      <c r="A675" s="38" t="inlineStr">
        <is>
          <t>[082107] Sant Feliu de Codines</t>
        </is>
      </c>
      <c r="B675" s="42" t="inlineStr">
        <is>
          <t>082107</t>
        </is>
      </c>
      <c r="C675" s="38" t="inlineStr">
        <is>
          <t>Sant Feliu de Codines</t>
        </is>
      </c>
      <c r="D675" s="44" t="n">
        <v>15</v>
      </c>
      <c r="F675" s="38" t="inlineStr">
        <is>
          <t>Publicació municipal 2025; la superfície s'utilitza com a magnitud territorial</t>
        </is>
      </c>
    </row>
    <row r="676" ht="15" customHeight="1" s="39">
      <c r="A676" s="38" t="inlineStr">
        <is>
          <t>[171609] Sant Feliu de Guíxols</t>
        </is>
      </c>
      <c r="B676" s="42" t="inlineStr">
        <is>
          <t>171609</t>
        </is>
      </c>
      <c r="C676" s="38" t="inlineStr">
        <is>
          <t>Sant Feliu de Guíxols</t>
        </is>
      </c>
      <c r="D676" s="44" t="n">
        <v>16.23</v>
      </c>
      <c r="F676" s="38" t="inlineStr">
        <is>
          <t>Publicació municipal 2025; la superfície s'utilitza com a magnitud territorial</t>
        </is>
      </c>
    </row>
    <row r="677" ht="15" customHeight="1" s="39">
      <c r="A677" s="38" t="inlineStr">
        <is>
          <t>[082114] Sant Feliu de Llobregat</t>
        </is>
      </c>
      <c r="B677" s="42" t="inlineStr">
        <is>
          <t>082114</t>
        </is>
      </c>
      <c r="C677" s="38" t="inlineStr">
        <is>
          <t>Sant Feliu de Llobregat</t>
        </is>
      </c>
      <c r="D677" s="44" t="n">
        <v>11.82</v>
      </c>
      <c r="F677" s="38" t="inlineStr">
        <is>
          <t>Publicació municipal 2025; la superfície s'utilitza com a magnitud territorial</t>
        </is>
      </c>
    </row>
    <row r="678" ht="15" customHeight="1" s="39">
      <c r="A678" s="38" t="inlineStr">
        <is>
          <t>[171616] Sant Feliu de Pallerols</t>
        </is>
      </c>
      <c r="B678" s="42" t="inlineStr">
        <is>
          <t>171616</t>
        </is>
      </c>
      <c r="C678" s="38" t="inlineStr">
        <is>
          <t>Sant Feliu de Pallerols</t>
        </is>
      </c>
      <c r="D678" s="44" t="n">
        <v>34.86</v>
      </c>
      <c r="F678" s="38" t="inlineStr">
        <is>
          <t>Publicació municipal 2025; la superfície s'utilitza com a magnitud territorial</t>
        </is>
      </c>
    </row>
    <row r="679" ht="15" customHeight="1" s="39">
      <c r="A679" s="38" t="inlineStr">
        <is>
          <t>[082129] Sant Feliu Sasserra</t>
        </is>
      </c>
      <c r="B679" s="42" t="inlineStr">
        <is>
          <t>082129</t>
        </is>
      </c>
      <c r="C679" s="38" t="inlineStr">
        <is>
          <t>Sant Feliu Sasserra</t>
        </is>
      </c>
      <c r="D679" s="44" t="n">
        <v>22.36</v>
      </c>
      <c r="F679" s="38" t="inlineStr">
        <is>
          <t>Publicació municipal 2025; la superfície s'utilitza com a magnitud territorial</t>
        </is>
      </c>
    </row>
    <row r="680" ht="15" customHeight="1" s="39">
      <c r="A680" s="38" t="inlineStr">
        <is>
          <t>[171621] Sant Ferriol</t>
        </is>
      </c>
      <c r="B680" s="42" t="inlineStr">
        <is>
          <t>171621</t>
        </is>
      </c>
      <c r="C680" s="38" t="inlineStr">
        <is>
          <t>Sant Ferriol</t>
        </is>
      </c>
      <c r="D680" s="44" t="n">
        <v>42.24</v>
      </c>
      <c r="F680" s="38" t="inlineStr">
        <is>
          <t>Publicació municipal 2025; la superfície s'utilitza com a magnitud territorial</t>
        </is>
      </c>
    </row>
    <row r="681" ht="15" customHeight="1" s="39">
      <c r="A681" s="38" t="inlineStr">
        <is>
          <t>[082093] Sant Fost de Campsentelles</t>
        </is>
      </c>
      <c r="B681" s="42" t="inlineStr">
        <is>
          <t>082093</t>
        </is>
      </c>
      <c r="C681" s="38" t="inlineStr">
        <is>
          <t>Sant Fost de Campsentelles</t>
        </is>
      </c>
      <c r="D681" s="44" t="n">
        <v>13.15</v>
      </c>
      <c r="F681" s="38" t="inlineStr">
        <is>
          <t>Publicació municipal 2025; la superfície s'utilitza com a magnitud territorial</t>
        </is>
      </c>
    </row>
    <row r="682" ht="15" customHeight="1" s="39">
      <c r="A682" s="38" t="inlineStr">
        <is>
          <t>[082135] Sant Fruitós de Bages</t>
        </is>
      </c>
      <c r="B682" s="42" t="inlineStr">
        <is>
          <t>082135</t>
        </is>
      </c>
      <c r="C682" s="38" t="inlineStr">
        <is>
          <t>Sant Fruitós de Bages</t>
        </is>
      </c>
      <c r="D682" s="44" t="n">
        <v>22.29</v>
      </c>
      <c r="F682" s="38" t="inlineStr">
        <is>
          <t>Publicació municipal 2025; la superfície s'utilitza com a magnitud territorial</t>
        </is>
      </c>
    </row>
    <row r="683" ht="15" customHeight="1" s="39">
      <c r="A683" s="38" t="inlineStr">
        <is>
          <t>[171637] Sant Gregori</t>
        </is>
      </c>
      <c r="B683" s="42" t="inlineStr">
        <is>
          <t>171637</t>
        </is>
      </c>
      <c r="C683" s="38" t="inlineStr">
        <is>
          <t>Sant Gregori</t>
        </is>
      </c>
      <c r="D683" s="44" t="n">
        <v>49.17</v>
      </c>
      <c r="F683" s="38" t="inlineStr">
        <is>
          <t>Publicació municipal 2025; la superfície s'utilitza com a magnitud territorial</t>
        </is>
      </c>
    </row>
    <row r="684" ht="15" customHeight="1" s="39">
      <c r="A684" s="38" t="inlineStr">
        <is>
          <t>[251924] Sant Guim de Freixenet</t>
        </is>
      </c>
      <c r="B684" s="42" t="inlineStr">
        <is>
          <t>251924</t>
        </is>
      </c>
      <c r="C684" s="38" t="inlineStr">
        <is>
          <t>Sant Guim de Freixenet</t>
        </is>
      </c>
      <c r="D684" s="44" t="n">
        <v>25.1</v>
      </c>
      <c r="F684" s="38" t="inlineStr">
        <is>
          <t>Publicació municipal 2025; la superfície s'utilitza com a magnitud territorial</t>
        </is>
      </c>
    </row>
    <row r="685" ht="15" customHeight="1" s="39">
      <c r="A685" s="38" t="inlineStr">
        <is>
          <t>[251977] Sant Guim de la Plana</t>
        </is>
      </c>
      <c r="B685" s="42" t="inlineStr">
        <is>
          <t>251977</t>
        </is>
      </c>
      <c r="C685" s="38" t="inlineStr">
        <is>
          <t>Sant Guim de la Plana</t>
        </is>
      </c>
      <c r="D685" s="44" t="n">
        <v>12.45</v>
      </c>
      <c r="F685" s="38" t="inlineStr">
        <is>
          <t>Publicació municipal 2025; la superfície s'utilitza com a magnitud territorial</t>
        </is>
      </c>
    </row>
    <row r="686" ht="15" customHeight="1" s="39">
      <c r="A686" s="38" t="inlineStr">
        <is>
          <t>[171642] Sant Hilari Sacalm</t>
        </is>
      </c>
      <c r="B686" s="42" t="inlineStr">
        <is>
          <t>171642</t>
        </is>
      </c>
      <c r="C686" s="38" t="inlineStr">
        <is>
          <t>Sant Hilari Sacalm</t>
        </is>
      </c>
      <c r="D686" s="44" t="n">
        <v>83.28</v>
      </c>
      <c r="F686" s="38" t="inlineStr">
        <is>
          <t>Publicació municipal 2025; la superfície s'utilitza com a magnitud territorial</t>
        </is>
      </c>
    </row>
    <row r="687" ht="15" customHeight="1" s="39">
      <c r="A687" s="38" t="inlineStr">
        <is>
          <t>[082153] Sant Hipòlit de Voltregà</t>
        </is>
      </c>
      <c r="B687" s="42" t="inlineStr">
        <is>
          <t>082153</t>
        </is>
      </c>
      <c r="C687" s="38" t="inlineStr">
        <is>
          <t>Sant Hipòlit de Voltregà</t>
        </is>
      </c>
      <c r="D687" s="44" t="n">
        <v>0.92</v>
      </c>
      <c r="F687" s="38" t="inlineStr">
        <is>
          <t>Publicació municipal 2025; la superfície s'utilitza com a magnitud territorial</t>
        </is>
      </c>
    </row>
    <row r="688" ht="15" customHeight="1" s="39">
      <c r="A688" s="38" t="inlineStr">
        <is>
          <t>[081939] Sant Iscle de Vallalta</t>
        </is>
      </c>
      <c r="B688" s="42" t="inlineStr">
        <is>
          <t>081939</t>
        </is>
      </c>
      <c r="C688" s="38" t="inlineStr">
        <is>
          <t>Sant Iscle de Vallalta</t>
        </is>
      </c>
      <c r="D688" s="44" t="n">
        <v>17.77</v>
      </c>
      <c r="F688" s="38" t="inlineStr">
        <is>
          <t>Publicació municipal 2025; la superfície s'utilitza com a magnitud territorial</t>
        </is>
      </c>
    </row>
    <row r="689" ht="15" customHeight="1" s="39">
      <c r="A689" s="38" t="inlineStr">
        <is>
          <t>[439023] Sant Jaume d'Enveja</t>
        </is>
      </c>
      <c r="B689" s="42" t="inlineStr">
        <is>
          <t>439023</t>
        </is>
      </c>
      <c r="C689" s="38" t="inlineStr">
        <is>
          <t>Sant Jaume d'Enveja</t>
        </is>
      </c>
      <c r="D689" s="44" t="n">
        <v>60.79</v>
      </c>
      <c r="F689" s="38" t="inlineStr">
        <is>
          <t>Publicació municipal 2025; la superfície s'utilitza com a magnitud territorial</t>
        </is>
      </c>
    </row>
    <row r="690" ht="15" customHeight="1" s="39">
      <c r="A690" s="38" t="inlineStr">
        <is>
          <t>[082166] Sant Jaume de Frontanyà</t>
        </is>
      </c>
      <c r="B690" s="42" t="inlineStr">
        <is>
          <t>082166</t>
        </is>
      </c>
      <c r="C690" s="38" t="inlineStr">
        <is>
          <t>Sant Jaume de Frontanyà</t>
        </is>
      </c>
      <c r="D690" s="44" t="n">
        <v>21.26</v>
      </c>
      <c r="F690" s="38" t="inlineStr">
        <is>
          <t>Publicació municipal 2025; la superfície s'utilitza com a magnitud territorial</t>
        </is>
      </c>
    </row>
    <row r="691" ht="15" customHeight="1" s="39">
      <c r="A691" s="38" t="inlineStr">
        <is>
          <t>[171655] Sant Jaume de Llierca</t>
        </is>
      </c>
      <c r="B691" s="42" t="inlineStr">
        <is>
          <t>171655</t>
        </is>
      </c>
      <c r="C691" s="38" t="inlineStr">
        <is>
          <t>Sant Jaume de Llierca</t>
        </is>
      </c>
      <c r="D691" s="44" t="n">
        <v>6.75</v>
      </c>
      <c r="F691" s="38" t="inlineStr">
        <is>
          <t>Publicació municipal 2025; la superfície s'utilitza com a magnitud territorial</t>
        </is>
      </c>
    </row>
    <row r="692" ht="15" customHeight="1" s="39">
      <c r="A692" s="38" t="inlineStr">
        <is>
          <t>[431378] Sant Jaume dels Domenys</t>
        </is>
      </c>
      <c r="B692" s="42" t="inlineStr">
        <is>
          <t>431378</t>
        </is>
      </c>
      <c r="C692" s="38" t="inlineStr">
        <is>
          <t>Sant Jaume dels Domenys</t>
        </is>
      </c>
      <c r="D692" s="44" t="n">
        <v>24.45</v>
      </c>
      <c r="F692" s="38" t="inlineStr">
        <is>
          <t>Publicació municipal 2025; la superfície s'utilitza com a magnitud territorial</t>
        </is>
      </c>
    </row>
    <row r="693" ht="15" customHeight="1" s="39">
      <c r="A693" s="38" t="inlineStr">
        <is>
          <t>[171674] Sant Joan de les Abadesses</t>
        </is>
      </c>
      <c r="B693" s="42" t="inlineStr">
        <is>
          <t>171674</t>
        </is>
      </c>
      <c r="C693" s="38" t="inlineStr">
        <is>
          <t>Sant Joan de les Abadesses</t>
        </is>
      </c>
      <c r="D693" s="44" t="n">
        <v>53.67</v>
      </c>
      <c r="F693" s="38" t="inlineStr">
        <is>
          <t>Publicació municipal 2025; la superfície s'utilitza com a magnitud territorial</t>
        </is>
      </c>
    </row>
    <row r="694" ht="15" customHeight="1" s="39">
      <c r="A694" s="38" t="inlineStr">
        <is>
          <t>[171680] Sant Joan de Mollet</t>
        </is>
      </c>
      <c r="B694" s="42" t="inlineStr">
        <is>
          <t>171680</t>
        </is>
      </c>
      <c r="C694" s="38" t="inlineStr">
        <is>
          <t>Sant Joan de Mollet</t>
        </is>
      </c>
      <c r="D694" s="44" t="n">
        <v>3.15</v>
      </c>
      <c r="F694" s="38" t="inlineStr">
        <is>
          <t>Publicació municipal 2025; la superfície s'utilitza com a magnitud territorial</t>
        </is>
      </c>
    </row>
    <row r="695" ht="15" customHeight="1" s="39">
      <c r="A695" s="38" t="inlineStr">
        <is>
          <t>[082188] Sant Joan de Vilatorrada</t>
        </is>
      </c>
      <c r="B695" s="42" t="inlineStr">
        <is>
          <t>082188</t>
        </is>
      </c>
      <c r="C695" s="38" t="inlineStr">
        <is>
          <t>Sant Joan de Vilatorrada</t>
        </is>
      </c>
      <c r="D695" s="44" t="n">
        <v>16.43</v>
      </c>
      <c r="F695" s="38" t="inlineStr">
        <is>
          <t>Publicació municipal 2025; la superfície s'utilitza com a magnitud territorial</t>
        </is>
      </c>
    </row>
    <row r="696" ht="15" customHeight="1" s="39">
      <c r="A696" s="38" t="inlineStr">
        <is>
          <t>[082172] Sant Joan Despí</t>
        </is>
      </c>
      <c r="B696" s="42" t="inlineStr">
        <is>
          <t>082172</t>
        </is>
      </c>
      <c r="C696" s="38" t="inlineStr">
        <is>
          <t>Sant Joan Despí</t>
        </is>
      </c>
      <c r="D696" s="44" t="n">
        <v>6.17</v>
      </c>
      <c r="F696" s="38" t="inlineStr">
        <is>
          <t>Publicació municipal 2025; la superfície s'utilitza com a magnitud territorial</t>
        </is>
      </c>
    </row>
    <row r="697" ht="15" customHeight="1" s="39">
      <c r="A697" s="38" t="inlineStr">
        <is>
          <t>[171851] Sant Joan les Fonts</t>
        </is>
      </c>
      <c r="B697" s="42" t="inlineStr">
        <is>
          <t>171851</t>
        </is>
      </c>
      <c r="C697" s="38" t="inlineStr">
        <is>
          <t>Sant Joan les Fonts</t>
        </is>
      </c>
      <c r="D697" s="44" t="n">
        <v>31.94</v>
      </c>
      <c r="F697" s="38" t="inlineStr">
        <is>
          <t>Publicació municipal 2025; la superfície s'utilitza com a magnitud territorial</t>
        </is>
      </c>
    </row>
    <row r="698" ht="15" customHeight="1" s="39">
      <c r="A698" s="38" t="inlineStr">
        <is>
          <t>[171668] Sant Jordi Desvalls</t>
        </is>
      </c>
      <c r="B698" s="42" t="inlineStr">
        <is>
          <t>171668</t>
        </is>
      </c>
      <c r="C698" s="38" t="inlineStr">
        <is>
          <t>Sant Jordi Desvalls</t>
        </is>
      </c>
      <c r="D698" s="44" t="n">
        <v>11.72</v>
      </c>
      <c r="F698" s="38" t="inlineStr">
        <is>
          <t>Publicació municipal 2025; la superfície s'utilitza com a magnitud territorial</t>
        </is>
      </c>
    </row>
    <row r="699" ht="15" customHeight="1" s="39">
      <c r="A699" s="38" t="inlineStr">
        <is>
          <t>[089030] Sant Julià de Cerdanyola</t>
        </is>
      </c>
      <c r="B699" s="42" t="inlineStr">
        <is>
          <t>089030</t>
        </is>
      </c>
      <c r="C699" s="38" t="inlineStr">
        <is>
          <t>Sant Julià de Cerdanyola</t>
        </is>
      </c>
      <c r="D699" s="44" t="n">
        <v>11.79</v>
      </c>
      <c r="F699" s="38" t="inlineStr">
        <is>
          <t>Publicació municipal 2025; la superfície s'utilitza com a magnitud territorial</t>
        </is>
      </c>
    </row>
    <row r="700" ht="15" customHeight="1" s="39">
      <c r="A700" s="38" t="inlineStr">
        <is>
          <t>[171693] Sant Julià de Ramis</t>
        </is>
      </c>
      <c r="B700" s="42" t="inlineStr">
        <is>
          <t>171693</t>
        </is>
      </c>
      <c r="C700" s="38" t="inlineStr">
        <is>
          <t>Sant Julià de Ramis</t>
        </is>
      </c>
      <c r="D700" s="44" t="n">
        <v>18.8</v>
      </c>
      <c r="F700" s="38" t="inlineStr">
        <is>
          <t>Publicació municipal 2025; la superfície s'utilitza com a magnitud territorial</t>
        </is>
      </c>
    </row>
    <row r="701" ht="15" customHeight="1" s="39">
      <c r="A701" s="38" t="inlineStr">
        <is>
          <t>[082205] Sant Julià de Vilatorta</t>
        </is>
      </c>
      <c r="B701" s="42" t="inlineStr">
        <is>
          <t>082205</t>
        </is>
      </c>
      <c r="C701" s="38" t="inlineStr">
        <is>
          <t>Sant Julià de Vilatorta</t>
        </is>
      </c>
      <c r="D701" s="44" t="n">
        <v>15.94</v>
      </c>
      <c r="F701" s="38" t="inlineStr">
        <is>
          <t>Publicació municipal 2025; la superfície s'utilitza com a magnitud territorial</t>
        </is>
      </c>
    </row>
    <row r="702" ht="15" customHeight="1" s="39">
      <c r="A702" s="38" t="inlineStr">
        <is>
          <t>[179032] Sant Julià del Llor i Bonmatí</t>
        </is>
      </c>
      <c r="B702" s="42" t="inlineStr">
        <is>
          <t>179032</t>
        </is>
      </c>
      <c r="C702" s="38" t="inlineStr">
        <is>
          <t>Sant Julià del Llor i Bonmatí</t>
        </is>
      </c>
      <c r="D702" s="44" t="n">
        <v>9.73</v>
      </c>
      <c r="F702" s="38" t="inlineStr">
        <is>
          <t>Publicació municipal 2025; la superfície s'utilitza com a magnitud territorial</t>
        </is>
      </c>
    </row>
    <row r="703" ht="15" customHeight="1" s="39">
      <c r="A703" s="38" t="inlineStr">
        <is>
          <t>[082212] Sant Just Desvern</t>
        </is>
      </c>
      <c r="B703" s="42" t="inlineStr">
        <is>
          <t>082212</t>
        </is>
      </c>
      <c r="C703" s="38" t="inlineStr">
        <is>
          <t>Sant Just Desvern</t>
        </is>
      </c>
      <c r="D703" s="44" t="n">
        <v>7.81</v>
      </c>
      <c r="F703" s="38" t="inlineStr">
        <is>
          <t>Publicació municipal 2025; la superfície s'utilitza com a magnitud territorial</t>
        </is>
      </c>
    </row>
    <row r="704" ht="15" customHeight="1" s="39">
      <c r="A704" s="38" t="inlineStr">
        <is>
          <t>[082227] Sant Llorenç d'Hortons</t>
        </is>
      </c>
      <c r="B704" s="42" t="inlineStr">
        <is>
          <t>082227</t>
        </is>
      </c>
      <c r="C704" s="38" t="inlineStr">
        <is>
          <t>Sant Llorenç d'Hortons</t>
        </is>
      </c>
      <c r="D704" s="44" t="n">
        <v>19.72</v>
      </c>
      <c r="F704" s="38" t="inlineStr">
        <is>
          <t>Publicació municipal 2025; la superfície s'utilitza com a magnitud territorial</t>
        </is>
      </c>
    </row>
    <row r="705" ht="15" customHeight="1" s="39">
      <c r="A705" s="38" t="inlineStr">
        <is>
          <t>[171714] Sant Llorenç de la Muga</t>
        </is>
      </c>
      <c r="B705" s="42" t="inlineStr">
        <is>
          <t>171714</t>
        </is>
      </c>
      <c r="C705" s="38" t="inlineStr">
        <is>
          <t>Sant Llorenç de la Muga</t>
        </is>
      </c>
      <c r="D705" s="44" t="n">
        <v>31.84</v>
      </c>
      <c r="F705" s="38" t="inlineStr">
        <is>
          <t>Publicació municipal 2025; la superfície s'utilitza com a magnitud territorial</t>
        </is>
      </c>
    </row>
    <row r="706" ht="15" customHeight="1" s="39">
      <c r="A706" s="38" t="inlineStr">
        <is>
          <t>[251930] Sant Llorenç de Morunys</t>
        </is>
      </c>
      <c r="B706" s="42" t="inlineStr">
        <is>
          <t>251930</t>
        </is>
      </c>
      <c r="C706" s="38" t="inlineStr">
        <is>
          <t>Sant Llorenç de Morunys</t>
        </is>
      </c>
      <c r="D706" s="44" t="n">
        <v>4.34</v>
      </c>
      <c r="F706" s="38" t="inlineStr">
        <is>
          <t>Publicació municipal 2025; la superfície s'utilitza com a magnitud territorial</t>
        </is>
      </c>
    </row>
    <row r="707" ht="15" customHeight="1" s="39">
      <c r="A707" s="38" t="inlineStr">
        <is>
          <t>[082233] Sant Llorenç Savall</t>
        </is>
      </c>
      <c r="B707" s="42" t="inlineStr">
        <is>
          <t>082233</t>
        </is>
      </c>
      <c r="C707" s="38" t="inlineStr">
        <is>
          <t>Sant Llorenç Savall</t>
        </is>
      </c>
      <c r="D707" s="44" t="n">
        <v>41.11</v>
      </c>
      <c r="F707" s="38" t="inlineStr">
        <is>
          <t>Publicació municipal 2025; la superfície s'utilitza com a magnitud territorial</t>
        </is>
      </c>
    </row>
    <row r="708" ht="15" customHeight="1" s="39">
      <c r="A708" s="38" t="inlineStr">
        <is>
          <t>[082251] Sant Martí d'Albars</t>
        </is>
      </c>
      <c r="B708" s="42" t="inlineStr">
        <is>
          <t>082251</t>
        </is>
      </c>
      <c r="C708" s="38" t="inlineStr">
        <is>
          <t>Sant Martí d'Albars</t>
        </is>
      </c>
      <c r="D708" s="44" t="n">
        <v>14.73</v>
      </c>
      <c r="F708" s="38" t="inlineStr">
        <is>
          <t>Publicació municipal 2025; la superfície s'utilitza com a magnitud territorial</t>
        </is>
      </c>
    </row>
    <row r="709" ht="15" customHeight="1" s="39">
      <c r="A709" s="38" t="inlineStr">
        <is>
          <t>[082248] Sant Martí de Centelles</t>
        </is>
      </c>
      <c r="B709" s="42" t="inlineStr">
        <is>
          <t>082248</t>
        </is>
      </c>
      <c r="C709" s="38" t="inlineStr">
        <is>
          <t>Sant Martí de Centelles</t>
        </is>
      </c>
      <c r="D709" s="44" t="n">
        <v>25.55</v>
      </c>
      <c r="F709" s="38" t="inlineStr">
        <is>
          <t>Publicació municipal 2025; la superfície s'utilitza com a magnitud territorial</t>
        </is>
      </c>
    </row>
    <row r="710" ht="15" customHeight="1" s="39">
      <c r="A710" s="38" t="inlineStr">
        <is>
          <t>[171729] Sant Martí de Llémena</t>
        </is>
      </c>
      <c r="B710" s="42" t="inlineStr">
        <is>
          <t>171729</t>
        </is>
      </c>
      <c r="C710" s="38" t="inlineStr">
        <is>
          <t>Sant Martí de Llémena</t>
        </is>
      </c>
      <c r="D710" s="44" t="n">
        <v>43.13</v>
      </c>
      <c r="F710" s="38" t="inlineStr">
        <is>
          <t>Publicació municipal 2025; la superfície s'utilitza com a magnitud territorial</t>
        </is>
      </c>
    </row>
    <row r="711" ht="15" customHeight="1" s="39">
      <c r="A711" s="38" t="inlineStr">
        <is>
          <t>[259025] Sant Martí de Riucorb</t>
        </is>
      </c>
      <c r="B711" s="42" t="inlineStr">
        <is>
          <t>259025</t>
        </is>
      </c>
      <c r="C711" s="38" t="inlineStr">
        <is>
          <t>Sant Martí de Riucorb</t>
        </is>
      </c>
      <c r="D711" s="44" t="n">
        <v>34.9</v>
      </c>
      <c r="F711" s="38" t="inlineStr">
        <is>
          <t>Publicació municipal 2025; la superfície s'utilitza com a magnitud territorial</t>
        </is>
      </c>
    </row>
    <row r="712" ht="15" customHeight="1" s="39">
      <c r="A712" s="38" t="inlineStr">
        <is>
          <t>[082264] Sant Martí de Tous</t>
        </is>
      </c>
      <c r="B712" s="42" t="inlineStr">
        <is>
          <t>082264</t>
        </is>
      </c>
      <c r="C712" s="38" t="inlineStr">
        <is>
          <t>Sant Martí de Tous</t>
        </is>
      </c>
      <c r="D712" s="44" t="n">
        <v>39.21</v>
      </c>
      <c r="F712" s="38" t="inlineStr">
        <is>
          <t>Publicació municipal 2025; la superfície s'utilitza com a magnitud territorial</t>
        </is>
      </c>
    </row>
    <row r="713" ht="15" customHeight="1" s="39">
      <c r="A713" s="38" t="inlineStr">
        <is>
          <t>[082270] Sant Martí Sarroca</t>
        </is>
      </c>
      <c r="B713" s="42" t="inlineStr">
        <is>
          <t>082270</t>
        </is>
      </c>
      <c r="C713" s="38" t="inlineStr">
        <is>
          <t>Sant Martí Sarroca</t>
        </is>
      </c>
      <c r="D713" s="44" t="n">
        <v>35.27</v>
      </c>
      <c r="F713" s="38" t="inlineStr">
        <is>
          <t>Publicació municipal 2025; la superfície s'utilitza com a magnitud territorial</t>
        </is>
      </c>
    </row>
    <row r="714" ht="15" customHeight="1" s="39">
      <c r="A714" s="38" t="inlineStr">
        <is>
          <t>[082286] Sant Martí Sesgueioles</t>
        </is>
      </c>
      <c r="B714" s="42" t="inlineStr">
        <is>
          <t>082286</t>
        </is>
      </c>
      <c r="C714" s="38" t="inlineStr">
        <is>
          <t>Sant Martí Sesgueioles</t>
        </is>
      </c>
      <c r="D714" s="44" t="n">
        <v>3.87</v>
      </c>
      <c r="F714" s="38" t="inlineStr">
        <is>
          <t>Publicació municipal 2025; la superfície s'utilitza com a magnitud territorial</t>
        </is>
      </c>
    </row>
    <row r="715" ht="15" customHeight="1" s="39">
      <c r="A715" s="38" t="inlineStr">
        <is>
          <t>[171735] Sant Martí Vell</t>
        </is>
      </c>
      <c r="B715" s="42" t="inlineStr">
        <is>
          <t>171735</t>
        </is>
      </c>
      <c r="C715" s="38" t="inlineStr">
        <is>
          <t>Sant Martí Vell</t>
        </is>
      </c>
      <c r="D715" s="44" t="n">
        <v>17.52</v>
      </c>
      <c r="F715" s="38" t="inlineStr">
        <is>
          <t>Publicació municipal 2025; la superfície s'utilitza com a magnitud territorial</t>
        </is>
      </c>
    </row>
    <row r="716" ht="15" customHeight="1" s="39">
      <c r="A716" s="38" t="inlineStr">
        <is>
          <t>[082299] Sant Mateu de Bages</t>
        </is>
      </c>
      <c r="B716" s="42" t="inlineStr">
        <is>
          <t>082299</t>
        </is>
      </c>
      <c r="C716" s="38" t="inlineStr">
        <is>
          <t>Sant Mateu de Bages</t>
        </is>
      </c>
      <c r="D716" s="44" t="n">
        <v>102.92</v>
      </c>
      <c r="F716" s="38" t="inlineStr">
        <is>
          <t>Publicació municipal 2025; la superfície s'utilitza com a magnitud territorial</t>
        </is>
      </c>
    </row>
    <row r="717" ht="15" customHeight="1" s="39">
      <c r="A717" s="38" t="inlineStr">
        <is>
          <t>[171740] Sant Miquel de Campmajor</t>
        </is>
      </c>
      <c r="B717" s="42" t="inlineStr">
        <is>
          <t>171740</t>
        </is>
      </c>
      <c r="C717" s="38" t="inlineStr">
        <is>
          <t>Sant Miquel de Campmajor</t>
        </is>
      </c>
      <c r="D717" s="44" t="n">
        <v>33.22</v>
      </c>
      <c r="F717" s="38" t="inlineStr">
        <is>
          <t>Publicació municipal 2025; la superfície s'utilitza com a magnitud territorial</t>
        </is>
      </c>
    </row>
    <row r="718" ht="15" customHeight="1" s="39">
      <c r="A718" s="38" t="inlineStr">
        <is>
          <t>[171753] Sant Miquel de Fluvià</t>
        </is>
      </c>
      <c r="B718" s="42" t="inlineStr">
        <is>
          <t>171753</t>
        </is>
      </c>
      <c r="C718" s="38" t="inlineStr">
        <is>
          <t>Sant Miquel de Fluvià</t>
        </is>
      </c>
      <c r="D718" s="44" t="n">
        <v>3.51</v>
      </c>
      <c r="F718" s="38" t="inlineStr">
        <is>
          <t>Publicació municipal 2025; la superfície s'utilitza com a magnitud territorial</t>
        </is>
      </c>
    </row>
    <row r="719" ht="15" customHeight="1" s="39">
      <c r="A719" s="38" t="inlineStr">
        <is>
          <t>[171766] Sant Mori</t>
        </is>
      </c>
      <c r="B719" s="42" t="inlineStr">
        <is>
          <t>171766</t>
        </is>
      </c>
      <c r="C719" s="38" t="inlineStr">
        <is>
          <t>Sant Mori</t>
        </is>
      </c>
      <c r="D719" s="44" t="n">
        <v>7.53</v>
      </c>
      <c r="F719" s="38" t="inlineStr">
        <is>
          <t>Publicació municipal 2025; la superfície s'utilitza com a magnitud territorial</t>
        </is>
      </c>
    </row>
    <row r="720" ht="15" customHeight="1" s="39">
      <c r="A720" s="38" t="inlineStr">
        <is>
          <t>[171772] Sant Pau de Segúries</t>
        </is>
      </c>
      <c r="B720" s="42" t="inlineStr">
        <is>
          <t>171772</t>
        </is>
      </c>
      <c r="C720" s="38" t="inlineStr">
        <is>
          <t>Sant Pau de Segúries</t>
        </is>
      </c>
      <c r="D720" s="44" t="n">
        <v>8.74</v>
      </c>
      <c r="F720" s="38" t="inlineStr">
        <is>
          <t>Publicació municipal 2025; la superfície s'utilitza com a magnitud territorial</t>
        </is>
      </c>
    </row>
    <row r="721" ht="15" customHeight="1" s="39">
      <c r="A721" s="38" t="inlineStr">
        <is>
          <t>[082310] Sant Pere de Ribes</t>
        </is>
      </c>
      <c r="B721" s="42" t="inlineStr">
        <is>
          <t>082310</t>
        </is>
      </c>
      <c r="C721" s="38" t="inlineStr">
        <is>
          <t>Sant Pere de Ribes</t>
        </is>
      </c>
      <c r="D721" s="44" t="n">
        <v>40.8</v>
      </c>
      <c r="F721" s="38" t="inlineStr">
        <is>
          <t>Publicació municipal 2025; la superfície s'utilitza com a magnitud territorial</t>
        </is>
      </c>
    </row>
    <row r="722" ht="15" customHeight="1" s="39">
      <c r="A722" s="38" t="inlineStr">
        <is>
          <t>[082325] Sant Pere de Riudebitlles</t>
        </is>
      </c>
      <c r="B722" s="42" t="inlineStr">
        <is>
          <t>082325</t>
        </is>
      </c>
      <c r="C722" s="38" t="inlineStr">
        <is>
          <t>Sant Pere de Riudebitlles</t>
        </is>
      </c>
      <c r="D722" s="44" t="n">
        <v>5.38</v>
      </c>
      <c r="F722" s="38" t="inlineStr">
        <is>
          <t>Publicació municipal 2025; la superfície s'utilitza com a magnitud territorial</t>
        </is>
      </c>
    </row>
    <row r="723" ht="15" customHeight="1" s="39">
      <c r="A723" s="38" t="inlineStr">
        <is>
          <t>[082331] Sant Pere de Torelló</t>
        </is>
      </c>
      <c r="B723" s="42" t="inlineStr">
        <is>
          <t>082331</t>
        </is>
      </c>
      <c r="C723" s="38" t="inlineStr">
        <is>
          <t>Sant Pere de Torelló</t>
        </is>
      </c>
      <c r="D723" s="44" t="n">
        <v>55.13</v>
      </c>
      <c r="F723" s="38" t="inlineStr">
        <is>
          <t>Publicació municipal 2025; la superfície s'utilitza com a magnitud territorial</t>
        </is>
      </c>
    </row>
    <row r="724" ht="15" customHeight="1" s="39">
      <c r="A724" s="38" t="inlineStr">
        <is>
          <t>[082346] Sant Pere de Vilamajor</t>
        </is>
      </c>
      <c r="B724" s="42" t="inlineStr">
        <is>
          <t>082346</t>
        </is>
      </c>
      <c r="C724" s="38" t="inlineStr">
        <is>
          <t>Sant Pere de Vilamajor</t>
        </is>
      </c>
      <c r="D724" s="44" t="n">
        <v>34.72</v>
      </c>
      <c r="F724" s="38" t="inlineStr">
        <is>
          <t>Publicació municipal 2025; la superfície s'utilitza com a magnitud territorial</t>
        </is>
      </c>
    </row>
    <row r="725" ht="15" customHeight="1" s="39">
      <c r="A725" s="38" t="inlineStr">
        <is>
          <t>[171788] Sant Pere Pescador</t>
        </is>
      </c>
      <c r="B725" s="42" t="inlineStr">
        <is>
          <t>171788</t>
        </is>
      </c>
      <c r="C725" s="38" t="inlineStr">
        <is>
          <t>Sant Pere Pescador</t>
        </is>
      </c>
      <c r="D725" s="44" t="n">
        <v>18.45</v>
      </c>
      <c r="F725" s="38" t="inlineStr">
        <is>
          <t>Publicació municipal 2025; la superfície s'utilitza com a magnitud territorial</t>
        </is>
      </c>
    </row>
    <row r="726" ht="15" customHeight="1" s="39">
      <c r="A726" s="38" t="inlineStr">
        <is>
          <t>[081897] Sant Pere Sallavinera</t>
        </is>
      </c>
      <c r="B726" s="42" t="inlineStr">
        <is>
          <t>081897</t>
        </is>
      </c>
      <c r="C726" s="38" t="inlineStr">
        <is>
          <t>Sant Pere Sallavinera</t>
        </is>
      </c>
      <c r="D726" s="44" t="n">
        <v>22.02</v>
      </c>
      <c r="F726" s="38" t="inlineStr">
        <is>
          <t>Publicació municipal 2025; la superfície s'utilitza com a magnitud territorial</t>
        </is>
      </c>
    </row>
    <row r="727" ht="15" customHeight="1" s="39">
      <c r="A727" s="38" t="inlineStr">
        <is>
          <t>[082359] Sant Pol de Mar</t>
        </is>
      </c>
      <c r="B727" s="42" t="inlineStr">
        <is>
          <t>082359</t>
        </is>
      </c>
      <c r="C727" s="38" t="inlineStr">
        <is>
          <t>Sant Pol de Mar</t>
        </is>
      </c>
      <c r="D727" s="44" t="n">
        <v>7.53</v>
      </c>
      <c r="F727" s="38" t="inlineStr">
        <is>
          <t>Publicació municipal 2025; la superfície s'utilitza com a magnitud territorial</t>
        </is>
      </c>
    </row>
    <row r="728" ht="15" customHeight="1" s="39">
      <c r="A728" s="38" t="inlineStr">
        <is>
          <t>[082362] Sant Quintí de Mediona</t>
        </is>
      </c>
      <c r="B728" s="42" t="inlineStr">
        <is>
          <t>082362</t>
        </is>
      </c>
      <c r="C728" s="38" t="inlineStr">
        <is>
          <t>Sant Quintí de Mediona</t>
        </is>
      </c>
      <c r="D728" s="44" t="n">
        <v>13.84</v>
      </c>
      <c r="F728" s="38" t="inlineStr">
        <is>
          <t>Publicació municipal 2025; la superfície s'utilitza com a magnitud territorial</t>
        </is>
      </c>
    </row>
    <row r="729" ht="15" customHeight="1" s="39">
      <c r="A729" s="38" t="inlineStr">
        <is>
          <t>[082378] Sant Quirze de Besora</t>
        </is>
      </c>
      <c r="B729" s="42" t="inlineStr">
        <is>
          <t>082378</t>
        </is>
      </c>
      <c r="C729" s="38" t="inlineStr">
        <is>
          <t>Sant Quirze de Besora</t>
        </is>
      </c>
      <c r="D729" s="44" t="n">
        <v>8.119999999999999</v>
      </c>
      <c r="F729" s="38" t="inlineStr">
        <is>
          <t>Publicació municipal 2025; la superfície s'utilitza com a magnitud territorial</t>
        </is>
      </c>
    </row>
    <row r="730" ht="15" customHeight="1" s="39">
      <c r="A730" s="38" t="inlineStr">
        <is>
          <t>[082384] Sant Quirze del Vallès</t>
        </is>
      </c>
      <c r="B730" s="42" t="inlineStr">
        <is>
          <t>082384</t>
        </is>
      </c>
      <c r="C730" s="38" t="inlineStr">
        <is>
          <t>Sant Quirze del Vallès</t>
        </is>
      </c>
      <c r="D730" s="44" t="n">
        <v>14.07</v>
      </c>
      <c r="F730" s="38" t="inlineStr">
        <is>
          <t>Publicació municipal 2025; la superfície s'utilitza com a magnitud territorial</t>
        </is>
      </c>
    </row>
    <row r="731" ht="15" customHeight="1" s="39">
      <c r="A731" s="38" t="inlineStr">
        <is>
          <t>[082397] Sant Quirze Safaja</t>
        </is>
      </c>
      <c r="B731" s="42" t="inlineStr">
        <is>
          <t>082397</t>
        </is>
      </c>
      <c r="C731" s="38" t="inlineStr">
        <is>
          <t>Sant Quirze Safaja</t>
        </is>
      </c>
      <c r="D731" s="44" t="n">
        <v>26.21</v>
      </c>
      <c r="F731" s="38" t="inlineStr">
        <is>
          <t>Publicació municipal 2025; la superfície s'utilitza com a magnitud territorial</t>
        </is>
      </c>
    </row>
    <row r="732" ht="15" customHeight="1" s="39">
      <c r="A732" s="38" t="inlineStr">
        <is>
          <t>[251945] Sant Ramon</t>
        </is>
      </c>
      <c r="B732" s="42" t="inlineStr">
        <is>
          <t>251945</t>
        </is>
      </c>
      <c r="C732" s="38" t="inlineStr">
        <is>
          <t>Sant Ramon</t>
        </is>
      </c>
      <c r="D732" s="44" t="n">
        <v>18.53</v>
      </c>
      <c r="F732" s="38" t="inlineStr">
        <is>
          <t>Publicació municipal 2025; la superfície s'utilitza com a magnitud territorial</t>
        </is>
      </c>
    </row>
    <row r="733" ht="15" customHeight="1" s="39">
      <c r="A733" s="38" t="inlineStr">
        <is>
          <t>[082401] Sant Sadurní d'Anoia</t>
        </is>
      </c>
      <c r="B733" s="42" t="inlineStr">
        <is>
          <t>082401</t>
        </is>
      </c>
      <c r="C733" s="38" t="inlineStr">
        <is>
          <t>Sant Sadurní d'Anoia</t>
        </is>
      </c>
      <c r="D733" s="44" t="n">
        <v>18.96</v>
      </c>
      <c r="F733" s="38" t="inlineStr">
        <is>
          <t>Publicació municipal 2025; la superfície s'utilitza com a magnitud territorial</t>
        </is>
      </c>
    </row>
    <row r="734" ht="15" customHeight="1" s="39">
      <c r="A734" s="38" t="inlineStr">
        <is>
          <t>[082418] Sant Sadurní d'Osormort</t>
        </is>
      </c>
      <c r="B734" s="42" t="inlineStr">
        <is>
          <t>082418</t>
        </is>
      </c>
      <c r="C734" s="38" t="inlineStr">
        <is>
          <t>Sant Sadurní d'Osormort</t>
        </is>
      </c>
      <c r="D734" s="44" t="n">
        <v>30.6</v>
      </c>
      <c r="F734" s="38" t="inlineStr">
        <is>
          <t>Publicació municipal 2025; la superfície s'utilitza com a magnitud territorial</t>
        </is>
      </c>
    </row>
    <row r="735" ht="15" customHeight="1" s="39">
      <c r="A735" s="38" t="inlineStr">
        <is>
          <t>[080983] Sant Salvador de Guardiola</t>
        </is>
      </c>
      <c r="B735" s="42" t="inlineStr">
        <is>
          <t>080983</t>
        </is>
      </c>
      <c r="C735" s="38" t="inlineStr">
        <is>
          <t>Sant Salvador de Guardiola</t>
        </is>
      </c>
      <c r="D735" s="44" t="n">
        <v>37.15</v>
      </c>
      <c r="F735" s="38" t="inlineStr">
        <is>
          <t>Publicació municipal 2025; la superfície s'utilitza com a magnitud territorial</t>
        </is>
      </c>
    </row>
    <row r="736" ht="15" customHeight="1" s="39">
      <c r="A736" s="38" t="inlineStr">
        <is>
          <t>[082628] Sant Vicenç de Castellet</t>
        </is>
      </c>
      <c r="B736" s="42" t="inlineStr">
        <is>
          <t>082628</t>
        </is>
      </c>
      <c r="C736" s="38" t="inlineStr">
        <is>
          <t>Sant Vicenç de Castellet</t>
        </is>
      </c>
      <c r="D736" s="44" t="n">
        <v>17.13</v>
      </c>
      <c r="F736" s="38" t="inlineStr">
        <is>
          <t>Publicació municipal 2025; la superfície s'utilitza com a magnitud territorial</t>
        </is>
      </c>
    </row>
    <row r="737" ht="15" customHeight="1" s="39">
      <c r="A737" s="38" t="inlineStr">
        <is>
          <t>[082649] Sant Vicenç de Montalt</t>
        </is>
      </c>
      <c r="B737" s="42" t="inlineStr">
        <is>
          <t>082649</t>
        </is>
      </c>
      <c r="C737" s="38" t="inlineStr">
        <is>
          <t>Sant Vicenç de Montalt</t>
        </is>
      </c>
      <c r="D737" s="44" t="n">
        <v>8.050000000000001</v>
      </c>
      <c r="F737" s="38" t="inlineStr">
        <is>
          <t>Publicació municipal 2025; la superfície s'utilitza com a magnitud territorial</t>
        </is>
      </c>
    </row>
    <row r="738" ht="15" customHeight="1" s="39">
      <c r="A738" s="38" t="inlineStr">
        <is>
          <t>[082652] Sant Vicenç de Torelló</t>
        </is>
      </c>
      <c r="B738" s="42" t="inlineStr">
        <is>
          <t>082652</t>
        </is>
      </c>
      <c r="C738" s="38" t="inlineStr">
        <is>
          <t>Sant Vicenç de Torelló</t>
        </is>
      </c>
      <c r="D738" s="44" t="n">
        <v>7.04</v>
      </c>
      <c r="F738" s="38" t="inlineStr">
        <is>
          <t>Publicació municipal 2025; la superfície s'utilitza com a magnitud territorial</t>
        </is>
      </c>
    </row>
    <row r="739" ht="15" customHeight="1" s="39">
      <c r="A739" s="38" t="inlineStr">
        <is>
          <t>[082634] Sant Vicenç dels Horts</t>
        </is>
      </c>
      <c r="B739" s="42" t="inlineStr">
        <is>
          <t>082634</t>
        </is>
      </c>
      <c r="C739" s="38" t="inlineStr">
        <is>
          <t>Sant Vicenç dels Horts</t>
        </is>
      </c>
      <c r="D739" s="44" t="n">
        <v>9.119999999999999</v>
      </c>
      <c r="F739" s="38" t="inlineStr">
        <is>
          <t>Publicació municipal 2025; la superfície s'utilitza com a magnitud territorial</t>
        </is>
      </c>
    </row>
    <row r="740" ht="15" customHeight="1" s="39">
      <c r="A740" s="38" t="inlineStr">
        <is>
          <t>[431384] Santa Bàrbara</t>
        </is>
      </c>
      <c r="B740" s="42" t="inlineStr">
        <is>
          <t>431384</t>
        </is>
      </c>
      <c r="C740" s="38" t="inlineStr">
        <is>
          <t>Santa Bàrbara</t>
        </is>
      </c>
      <c r="D740" s="44" t="n">
        <v>28.15</v>
      </c>
      <c r="F740" s="38" t="inlineStr">
        <is>
          <t>Publicació municipal 2025; la superfície s'utilitza com a magnitud territorial</t>
        </is>
      </c>
    </row>
    <row r="741" ht="15" customHeight="1" s="39">
      <c r="A741" s="38" t="inlineStr">
        <is>
          <t>[082439] Santa Cecília de Voltregà</t>
        </is>
      </c>
      <c r="B741" s="42" t="inlineStr">
        <is>
          <t>082439</t>
        </is>
      </c>
      <c r="C741" s="38" t="inlineStr">
        <is>
          <t>Santa Cecília de Voltregà</t>
        </is>
      </c>
      <c r="D741" s="44" t="n">
        <v>8.630000000000001</v>
      </c>
      <c r="F741" s="38" t="inlineStr">
        <is>
          <t>Publicació municipal 2025; la superfície s'utilitza com a magnitud territorial</t>
        </is>
      </c>
    </row>
    <row r="742" ht="15" customHeight="1" s="39">
      <c r="A742" s="38" t="inlineStr">
        <is>
          <t>[082444] Santa Coloma de Cervelló</t>
        </is>
      </c>
      <c r="B742" s="42" t="inlineStr">
        <is>
          <t>082444</t>
        </is>
      </c>
      <c r="C742" s="38" t="inlineStr">
        <is>
          <t>Santa Coloma de Cervelló</t>
        </is>
      </c>
      <c r="D742" s="44" t="n">
        <v>7.49</v>
      </c>
      <c r="F742" s="38" t="inlineStr">
        <is>
          <t>Publicació municipal 2025; la superfície s'utilitza com a magnitud territorial</t>
        </is>
      </c>
    </row>
    <row r="743" ht="15" customHeight="1" s="39">
      <c r="A743" s="38" t="inlineStr">
        <is>
          <t>[171805] Santa Coloma de Farners</t>
        </is>
      </c>
      <c r="B743" s="42" t="inlineStr">
        <is>
          <t>171805</t>
        </is>
      </c>
      <c r="C743" s="38" t="inlineStr">
        <is>
          <t>Santa Coloma de Farners</t>
        </is>
      </c>
      <c r="D743" s="44" t="n">
        <v>70.64</v>
      </c>
      <c r="F743" s="38" t="inlineStr">
        <is>
          <t>Publicació municipal 2025; la superfície s'utilitza com a magnitud territorial</t>
        </is>
      </c>
    </row>
    <row r="744" ht="15" customHeight="1" s="39">
      <c r="A744" s="38" t="inlineStr">
        <is>
          <t>[082457] Santa Coloma de Gramenet</t>
        </is>
      </c>
      <c r="B744" s="42" t="inlineStr">
        <is>
          <t>082457</t>
        </is>
      </c>
      <c r="C744" s="38" t="inlineStr">
        <is>
          <t>Santa Coloma de Gramenet</t>
        </is>
      </c>
      <c r="D744" s="44" t="n">
        <v>7</v>
      </c>
      <c r="F744" s="38" t="inlineStr">
        <is>
          <t>Publicació municipal 2025; la superfície s'utilitza com a magnitud territorial</t>
        </is>
      </c>
    </row>
    <row r="745" ht="15" customHeight="1" s="39">
      <c r="A745" s="38" t="inlineStr">
        <is>
          <t>[431397] Santa Coloma de Queralt</t>
        </is>
      </c>
      <c r="B745" s="42" t="inlineStr">
        <is>
          <t>431397</t>
        </is>
      </c>
      <c r="C745" s="38" t="inlineStr">
        <is>
          <t>Santa Coloma de Queralt</t>
        </is>
      </c>
      <c r="D745" s="44" t="n">
        <v>33.85</v>
      </c>
      <c r="F745" s="38" t="inlineStr">
        <is>
          <t>Publicació municipal 2025; la superfície s'utilitza com a magnitud territorial</t>
        </is>
      </c>
    </row>
    <row r="746" ht="15" customHeight="1" s="39">
      <c r="A746" s="38" t="inlineStr">
        <is>
          <t>[171812] Santa Cristina d'Aro</t>
        </is>
      </c>
      <c r="B746" s="42" t="inlineStr">
        <is>
          <t>171812</t>
        </is>
      </c>
      <c r="C746" s="38" t="inlineStr">
        <is>
          <t>Santa Cristina d'Aro</t>
        </is>
      </c>
      <c r="D746" s="44" t="n">
        <v>67.55</v>
      </c>
      <c r="F746" s="38" t="inlineStr">
        <is>
          <t>Publicació municipal 2025; la superfície s'utilitza com a magnitud territorial</t>
        </is>
      </c>
    </row>
    <row r="747" ht="15" customHeight="1" s="39">
      <c r="A747" s="38" t="inlineStr">
        <is>
          <t>[082460] Santa Eugènia de Berga</t>
        </is>
      </c>
      <c r="B747" s="42" t="inlineStr">
        <is>
          <t>082460</t>
        </is>
      </c>
      <c r="C747" s="38" t="inlineStr">
        <is>
          <t>Santa Eugènia de Berga</t>
        </is>
      </c>
      <c r="D747" s="44" t="n">
        <v>7.01</v>
      </c>
      <c r="F747" s="38" t="inlineStr">
        <is>
          <t>Publicació municipal 2025; la superfície s'utilitza com a magnitud territorial</t>
        </is>
      </c>
    </row>
    <row r="748" ht="15" customHeight="1" s="39">
      <c r="A748" s="38" t="inlineStr">
        <is>
          <t>[082476] Santa Eulàlia de Riuprimer</t>
        </is>
      </c>
      <c r="B748" s="42" t="inlineStr">
        <is>
          <t>082476</t>
        </is>
      </c>
      <c r="C748" s="38" t="inlineStr">
        <is>
          <t>Santa Eulàlia de Riuprimer</t>
        </is>
      </c>
      <c r="D748" s="44" t="n">
        <v>13.82</v>
      </c>
      <c r="F748" s="38" t="inlineStr">
        <is>
          <t>Publicació municipal 2025; la superfície s'utilitza com a magnitud territorial</t>
        </is>
      </c>
    </row>
    <row r="749" ht="15" customHeight="1" s="39">
      <c r="A749" s="38" t="inlineStr">
        <is>
          <t>[082482] Santa Eulàlia de Ronçana</t>
        </is>
      </c>
      <c r="B749" s="42" t="inlineStr">
        <is>
          <t>082482</t>
        </is>
      </c>
      <c r="C749" s="38" t="inlineStr">
        <is>
          <t>Santa Eulàlia de Ronçana</t>
        </is>
      </c>
      <c r="D749" s="44" t="n">
        <v>14.23</v>
      </c>
      <c r="F749" s="38" t="inlineStr">
        <is>
          <t>Publicació municipal 2025; la superfície s'utilitza com a magnitud territorial</t>
        </is>
      </c>
    </row>
    <row r="750" ht="15" customHeight="1" s="39">
      <c r="A750" s="38" t="inlineStr">
        <is>
          <t>[082495] Santa Fe del Penedès</t>
        </is>
      </c>
      <c r="B750" s="42" t="inlineStr">
        <is>
          <t>082495</t>
        </is>
      </c>
      <c r="C750" s="38" t="inlineStr">
        <is>
          <t>Santa Fe del Penedès</t>
        </is>
      </c>
      <c r="D750" s="44" t="n">
        <v>3.41</v>
      </c>
      <c r="F750" s="38" t="inlineStr">
        <is>
          <t>Publicació municipal 2025; la superfície s'utilitza com a magnitud territorial</t>
        </is>
      </c>
    </row>
    <row r="751" ht="15" customHeight="1" s="39">
      <c r="A751" s="38" t="inlineStr">
        <is>
          <t>[171827] Santa Llogaia d'Àlguema</t>
        </is>
      </c>
      <c r="B751" s="42" t="inlineStr">
        <is>
          <t>171827</t>
        </is>
      </c>
      <c r="C751" s="38" t="inlineStr">
        <is>
          <t>Santa Llogaia d'Àlguema</t>
        </is>
      </c>
      <c r="D751" s="44" t="n">
        <v>1.94</v>
      </c>
      <c r="F751" s="38" t="inlineStr">
        <is>
          <t>Publicació municipal 2025; la superfície s'utilitza com a magnitud territorial</t>
        </is>
      </c>
    </row>
    <row r="752" ht="15" customHeight="1" s="39">
      <c r="A752" s="38" t="inlineStr">
        <is>
          <t>[082508] Santa Margarida de Montbui</t>
        </is>
      </c>
      <c r="B752" s="42" t="inlineStr">
        <is>
          <t>082508</t>
        </is>
      </c>
      <c r="C752" s="38" t="inlineStr">
        <is>
          <t>Santa Margarida de Montbui</t>
        </is>
      </c>
      <c r="D752" s="44" t="n">
        <v>27.59</v>
      </c>
      <c r="F752" s="38" t="inlineStr">
        <is>
          <t>Publicació municipal 2025; la superfície s'utilitza com a magnitud territorial</t>
        </is>
      </c>
    </row>
    <row r="753" ht="15" customHeight="1" s="39">
      <c r="A753" s="38" t="inlineStr">
        <is>
          <t>[082515] Santa Margarida i els Monjos</t>
        </is>
      </c>
      <c r="B753" s="42" t="inlineStr">
        <is>
          <t>082515</t>
        </is>
      </c>
      <c r="C753" s="38" t="inlineStr">
        <is>
          <t>Santa Margarida i els Monjos</t>
        </is>
      </c>
      <c r="D753" s="44" t="n">
        <v>17.16</v>
      </c>
      <c r="F753" s="38" t="inlineStr">
        <is>
          <t>Publicació municipal 2025; la superfície s'utilitza com a magnitud territorial</t>
        </is>
      </c>
    </row>
    <row r="754" ht="15" customHeight="1" s="39">
      <c r="A754" s="38" t="inlineStr">
        <is>
          <t>[082589] Santa Maria d'Oló</t>
        </is>
      </c>
      <c r="B754" s="42" t="inlineStr">
        <is>
          <t>082589</t>
        </is>
      </c>
      <c r="C754" s="38" t="inlineStr">
        <is>
          <t>Santa Maria d'Oló</t>
        </is>
      </c>
      <c r="D754" s="44" t="n">
        <v>66.20999999999999</v>
      </c>
      <c r="F754" s="38" t="inlineStr">
        <is>
          <t>Publicació municipal 2025; la superfície s'utilitza com a magnitud territorial</t>
        </is>
      </c>
    </row>
    <row r="755" ht="15" customHeight="1" s="39">
      <c r="A755" s="38" t="inlineStr">
        <is>
          <t>[082536] Santa Maria de Besora</t>
        </is>
      </c>
      <c r="B755" s="42" t="inlineStr">
        <is>
          <t>082536</t>
        </is>
      </c>
      <c r="C755" s="38" t="inlineStr">
        <is>
          <t>Santa Maria de Besora</t>
        </is>
      </c>
      <c r="D755" s="44" t="n">
        <v>24.73</v>
      </c>
      <c r="F755" s="38" t="inlineStr">
        <is>
          <t>Publicació municipal 2025; la superfície s'utilitza com a magnitud territorial</t>
        </is>
      </c>
    </row>
    <row r="756" ht="15" customHeight="1" s="39">
      <c r="A756" s="38" t="inlineStr">
        <is>
          <t>[082567] Santa Maria de Martorelles</t>
        </is>
      </c>
      <c r="B756" s="42" t="inlineStr">
        <is>
          <t>082567</t>
        </is>
      </c>
      <c r="C756" s="38" t="inlineStr">
        <is>
          <t>Santa Maria de Martorelles</t>
        </is>
      </c>
      <c r="D756" s="44" t="n">
        <v>4.51</v>
      </c>
      <c r="F756" s="38" t="inlineStr">
        <is>
          <t>Publicació municipal 2025; la superfície s'utilitza com a magnitud territorial</t>
        </is>
      </c>
    </row>
    <row r="757" ht="15" customHeight="1" s="39">
      <c r="A757" s="38" t="inlineStr">
        <is>
          <t>[082554] Santa Maria de Merlès</t>
        </is>
      </c>
      <c r="B757" s="42" t="inlineStr">
        <is>
          <t>082554</t>
        </is>
      </c>
      <c r="C757" s="38" t="inlineStr">
        <is>
          <t>Santa Maria de Merlès</t>
        </is>
      </c>
      <c r="D757" s="44" t="n">
        <v>52.08</v>
      </c>
      <c r="F757" s="38" t="inlineStr">
        <is>
          <t>Publicació municipal 2025; la superfície s'utilitza com a magnitud territorial</t>
        </is>
      </c>
    </row>
    <row r="758" ht="15" customHeight="1" s="39">
      <c r="A758" s="38" t="inlineStr">
        <is>
          <t>[082573] Santa Maria de Miralles</t>
        </is>
      </c>
      <c r="B758" s="42" t="inlineStr">
        <is>
          <t>082573</t>
        </is>
      </c>
      <c r="C758" s="38" t="inlineStr">
        <is>
          <t>Santa Maria de Miralles</t>
        </is>
      </c>
      <c r="D758" s="44" t="n">
        <v>25.04</v>
      </c>
      <c r="F758" s="38" t="inlineStr">
        <is>
          <t>Publicació municipal 2025; la superfície s'utilitza com a magnitud territorial</t>
        </is>
      </c>
    </row>
    <row r="759" ht="15" customHeight="1" s="39">
      <c r="A759" s="38" t="inlineStr">
        <is>
          <t>[082592] Santa Maria de Palautordera</t>
        </is>
      </c>
      <c r="B759" s="42" t="inlineStr">
        <is>
          <t>082592</t>
        </is>
      </c>
      <c r="C759" s="38" t="inlineStr">
        <is>
          <t>Santa Maria de Palautordera</t>
        </is>
      </c>
      <c r="D759" s="44" t="n">
        <v>16.94</v>
      </c>
      <c r="F759" s="38" t="inlineStr">
        <is>
          <t>Publicació municipal 2025; la superfície s'utilitza com a magnitud territorial</t>
        </is>
      </c>
    </row>
    <row r="760" ht="15" customHeight="1" s="39">
      <c r="A760" s="38" t="inlineStr">
        <is>
          <t>[431401] Santa Oliva</t>
        </is>
      </c>
      <c r="B760" s="42" t="inlineStr">
        <is>
          <t>431401</t>
        </is>
      </c>
      <c r="C760" s="38" t="inlineStr">
        <is>
          <t>Santa Oliva</t>
        </is>
      </c>
      <c r="D760" s="44" t="n">
        <v>9.65</v>
      </c>
      <c r="F760" s="38" t="inlineStr">
        <is>
          <t>Publicació municipal 2025; la superfície s'utilitza com a magnitud territorial</t>
        </is>
      </c>
    </row>
    <row r="761" ht="15" customHeight="1" s="39">
      <c r="A761" s="38" t="inlineStr">
        <is>
          <t>[171848] Santa Pau</t>
        </is>
      </c>
      <c r="B761" s="42" t="inlineStr">
        <is>
          <t>171848</t>
        </is>
      </c>
      <c r="C761" s="38" t="inlineStr">
        <is>
          <t>Santa Pau</t>
        </is>
      </c>
      <c r="D761" s="44" t="n">
        <v>49.01</v>
      </c>
      <c r="F761" s="38" t="inlineStr">
        <is>
          <t>Publicació municipal 2025; la superfície s'utilitza com a magnitud territorial</t>
        </is>
      </c>
    </row>
    <row r="762" ht="15" customHeight="1" s="39">
      <c r="A762" s="38" t="inlineStr">
        <is>
          <t>[082606] Santa Perpètua de Mogoda</t>
        </is>
      </c>
      <c r="B762" s="42" t="inlineStr">
        <is>
          <t>082606</t>
        </is>
      </c>
      <c r="C762" s="38" t="inlineStr">
        <is>
          <t>Santa Perpètua de Mogoda</t>
        </is>
      </c>
      <c r="D762" s="44" t="n">
        <v>15.83</v>
      </c>
      <c r="F762" s="38" t="inlineStr">
        <is>
          <t>Publicació municipal 2025; la superfície s'utilitza com a magnitud territorial</t>
        </is>
      </c>
    </row>
    <row r="763" ht="15" customHeight="1" s="39">
      <c r="A763" s="38" t="inlineStr">
        <is>
          <t>[082613] Santa Susanna</t>
        </is>
      </c>
      <c r="B763" s="42" t="inlineStr">
        <is>
          <t>082613</t>
        </is>
      </c>
      <c r="C763" s="38" t="inlineStr">
        <is>
          <t>Santa Susanna</t>
        </is>
      </c>
      <c r="D763" s="44" t="n">
        <v>12.63</v>
      </c>
      <c r="F763" s="38" t="inlineStr">
        <is>
          <t>Publicació municipal 2025; la superfície s'utilitza com a magnitud territorial</t>
        </is>
      </c>
    </row>
    <row r="764" ht="15" customHeight="1" s="39">
      <c r="A764" s="38" t="inlineStr">
        <is>
          <t>[081923] Santpedor</t>
        </is>
      </c>
      <c r="B764" s="42" t="inlineStr">
        <is>
          <t>081923</t>
        </is>
      </c>
      <c r="C764" s="38" t="inlineStr">
        <is>
          <t>Santpedor</t>
        </is>
      </c>
      <c r="D764" s="44" t="n">
        <v>16.5</v>
      </c>
      <c r="F764" s="38" t="inlineStr">
        <is>
          <t>Publicació municipal 2025; la superfície s'utilitza com a magnitud territorial</t>
        </is>
      </c>
    </row>
    <row r="765" ht="15" customHeight="1" s="39">
      <c r="A765" s="38" t="inlineStr">
        <is>
          <t>[431423] Sarral</t>
        </is>
      </c>
      <c r="B765" s="42" t="inlineStr">
        <is>
          <t>431423</t>
        </is>
      </c>
      <c r="C765" s="38" t="inlineStr">
        <is>
          <t>Sarral</t>
        </is>
      </c>
      <c r="D765" s="44" t="n">
        <v>52.39</v>
      </c>
      <c r="F765" s="38" t="inlineStr">
        <is>
          <t>Publicació municipal 2025; la superfície s'utilitza com a magnitud territorial</t>
        </is>
      </c>
    </row>
    <row r="766" ht="15" customHeight="1" s="39">
      <c r="A766" s="38" t="inlineStr">
        <is>
          <t>[171864] Sarrià de Ter</t>
        </is>
      </c>
      <c r="B766" s="42" t="inlineStr">
        <is>
          <t>171864</t>
        </is>
      </c>
      <c r="C766" s="38" t="inlineStr">
        <is>
          <t>Sarrià de Ter</t>
        </is>
      </c>
      <c r="D766" s="44" t="n">
        <v>4.16</v>
      </c>
      <c r="F766" s="38" t="inlineStr">
        <is>
          <t>Publicació municipal 2025; la superfície s'utilitza com a magnitud territorial</t>
        </is>
      </c>
    </row>
    <row r="767" ht="15" customHeight="1" s="39">
      <c r="A767" s="38" t="inlineStr">
        <is>
          <t>[252017] Sarroca de Bellera</t>
        </is>
      </c>
      <c r="B767" s="42" t="inlineStr">
        <is>
          <t>252017</t>
        </is>
      </c>
      <c r="C767" s="38" t="inlineStr">
        <is>
          <t>Sarroca de Bellera</t>
        </is>
      </c>
      <c r="D767" s="44" t="n">
        <v>87.51000000000001</v>
      </c>
      <c r="F767" s="38" t="inlineStr">
        <is>
          <t>Publicació municipal 2025; la superfície s'utilitza com a magnitud territorial</t>
        </is>
      </c>
    </row>
    <row r="768" ht="15" customHeight="1" s="39">
      <c r="A768" s="38" t="inlineStr">
        <is>
          <t>[252000] Sarroca de Lleida</t>
        </is>
      </c>
      <c r="B768" s="42" t="inlineStr">
        <is>
          <t>252000</t>
        </is>
      </c>
      <c r="C768" s="38" t="inlineStr">
        <is>
          <t>Sarroca de Lleida</t>
        </is>
      </c>
      <c r="D768" s="44" t="n">
        <v>42.18</v>
      </c>
      <c r="F768" s="38" t="inlineStr">
        <is>
          <t>Publicació municipal 2025; la superfície s'utilitza com a magnitud territorial</t>
        </is>
      </c>
    </row>
    <row r="769" ht="15" customHeight="1" s="39">
      <c r="A769" s="38" t="inlineStr">
        <is>
          <t>[171870] Saus, Camallera i Llampaies</t>
        </is>
      </c>
      <c r="B769" s="42" t="inlineStr">
        <is>
          <t>171870</t>
        </is>
      </c>
      <c r="C769" s="38" t="inlineStr">
        <is>
          <t>Saus, Camallera i Llampaies</t>
        </is>
      </c>
      <c r="D769" s="44" t="n">
        <v>11.36</v>
      </c>
      <c r="F769" s="38" t="inlineStr">
        <is>
          <t>Publicació municipal 2025; la superfície s'utilitza com a magnitud territorial</t>
        </is>
      </c>
    </row>
    <row r="770" ht="15" customHeight="1" s="39">
      <c r="A770" s="38" t="inlineStr">
        <is>
          <t>[431439] Savallà del Comtat</t>
        </is>
      </c>
      <c r="B770" s="42" t="inlineStr">
        <is>
          <t>431439</t>
        </is>
      </c>
      <c r="C770" s="38" t="inlineStr">
        <is>
          <t>Savallà del Comtat</t>
        </is>
      </c>
      <c r="D770" s="44" t="n">
        <v>14.8</v>
      </c>
      <c r="F770" s="38" t="inlineStr">
        <is>
          <t>Publicació municipal 2025; la superfície s'utilitza com a magnitud territorial</t>
        </is>
      </c>
    </row>
    <row r="771" ht="15" customHeight="1" s="39">
      <c r="A771" s="38" t="inlineStr">
        <is>
          <t>[431444] Secuita, la</t>
        </is>
      </c>
      <c r="B771" s="42" t="inlineStr">
        <is>
          <t>431444</t>
        </is>
      </c>
      <c r="C771" s="38" t="inlineStr">
        <is>
          <t>Secuita, la</t>
        </is>
      </c>
      <c r="D771" s="44" t="n">
        <v>17.77</v>
      </c>
      <c r="F771" s="38" t="inlineStr">
        <is>
          <t>Publicació municipal 2025; la superfície s'utilitza com a magnitud territorial</t>
        </is>
      </c>
    </row>
    <row r="772" ht="15" customHeight="1" s="39">
      <c r="A772" s="38" t="inlineStr">
        <is>
          <t>[171886] Selva de Mar, la</t>
        </is>
      </c>
      <c r="B772" s="42" t="inlineStr">
        <is>
          <t>171886</t>
        </is>
      </c>
      <c r="C772" s="38" t="inlineStr">
        <is>
          <t>Selva de Mar, la</t>
        </is>
      </c>
      <c r="D772" s="44" t="n">
        <v>7.19</v>
      </c>
      <c r="F772" s="38" t="inlineStr">
        <is>
          <t>Publicació municipal 2025; la superfície s'utilitza com a magnitud territorial</t>
        </is>
      </c>
    </row>
    <row r="773" ht="15" customHeight="1" s="39">
      <c r="A773" s="38" t="inlineStr">
        <is>
          <t>[431457] Selva del Camp, la</t>
        </is>
      </c>
      <c r="B773" s="42" t="inlineStr">
        <is>
          <t>431457</t>
        </is>
      </c>
      <c r="C773" s="38" t="inlineStr">
        <is>
          <t>Selva del Camp, la</t>
        </is>
      </c>
      <c r="D773" s="44" t="n">
        <v>35.31</v>
      </c>
      <c r="F773" s="38" t="inlineStr">
        <is>
          <t>Publicació municipal 2025; la superfície s'utilitza com a magnitud territorial</t>
        </is>
      </c>
    </row>
    <row r="774" ht="15" customHeight="1" s="39">
      <c r="A774" s="38" t="inlineStr">
        <is>
          <t>[431460] Senan</t>
        </is>
      </c>
      <c r="B774" s="42" t="inlineStr">
        <is>
          <t>431460</t>
        </is>
      </c>
      <c r="C774" s="38" t="inlineStr">
        <is>
          <t>Senan</t>
        </is>
      </c>
      <c r="D774" s="44" t="n">
        <v>11.7</v>
      </c>
      <c r="F774" s="38" t="inlineStr">
        <is>
          <t>Publicació municipal 2025; la superfície s'utilitza com a magnitud territorial</t>
        </is>
      </c>
    </row>
    <row r="775" ht="15" customHeight="1" s="39">
      <c r="A775" s="38" t="inlineStr">
        <is>
          <t>[430445] Sénia, la</t>
        </is>
      </c>
      <c r="B775" s="42" t="inlineStr">
        <is>
          <t>430445</t>
        </is>
      </c>
      <c r="C775" s="38" t="inlineStr">
        <is>
          <t>Sénia, la</t>
        </is>
      </c>
      <c r="D775" s="44" t="n">
        <v>108.41</v>
      </c>
      <c r="F775" s="38" t="inlineStr">
        <is>
          <t>Publicació municipal 2025; la superfície s'utilitza com a magnitud territorial</t>
        </is>
      </c>
    </row>
    <row r="776" ht="15" customHeight="1" s="39">
      <c r="A776" s="38" t="inlineStr">
        <is>
          <t>[252022] Senterada</t>
        </is>
      </c>
      <c r="B776" s="42" t="inlineStr">
        <is>
          <t>252022</t>
        </is>
      </c>
      <c r="C776" s="38" t="inlineStr">
        <is>
          <t>Senterada</t>
        </is>
      </c>
      <c r="D776" s="44" t="n">
        <v>34.45</v>
      </c>
      <c r="F776" s="38" t="inlineStr">
        <is>
          <t>Publicació municipal 2025; la superfície s'utilitza com a magnitud territorial</t>
        </is>
      </c>
    </row>
    <row r="777" ht="15" customHeight="1" s="39">
      <c r="A777" s="38" t="inlineStr">
        <is>
          <t>[250352] Sentiu de Sió, la</t>
        </is>
      </c>
      <c r="B777" s="42" t="inlineStr">
        <is>
          <t>250352</t>
        </is>
      </c>
      <c r="C777" s="38" t="inlineStr">
        <is>
          <t>Sentiu de Sió, la</t>
        </is>
      </c>
      <c r="D777" s="44" t="n">
        <v>29.62</v>
      </c>
      <c r="F777" s="38" t="inlineStr">
        <is>
          <t>Publicació municipal 2025; la superfície s'utilitza com a magnitud territorial</t>
        </is>
      </c>
    </row>
    <row r="778" ht="15" customHeight="1" s="39">
      <c r="A778" s="38" t="inlineStr">
        <is>
          <t>[082671] Sentmenat</t>
        </is>
      </c>
      <c r="B778" s="42" t="inlineStr">
        <is>
          <t>082671</t>
        </is>
      </c>
      <c r="C778" s="38" t="inlineStr">
        <is>
          <t>Sentmenat</t>
        </is>
      </c>
      <c r="D778" s="44" t="n">
        <v>28.8</v>
      </c>
      <c r="F778" s="38" t="inlineStr">
        <is>
          <t>Publicació municipal 2025; la superfície s'utilitza com a magnitud territorial</t>
        </is>
      </c>
    </row>
    <row r="779" ht="15" customHeight="1" s="39">
      <c r="A779" s="38" t="inlineStr">
        <is>
          <t>[171903] Serinyà</t>
        </is>
      </c>
      <c r="B779" s="42" t="inlineStr">
        <is>
          <t>171903</t>
        </is>
      </c>
      <c r="C779" s="38" t="inlineStr">
        <is>
          <t>Serinyà</t>
        </is>
      </c>
      <c r="D779" s="44" t="n">
        <v>17.38</v>
      </c>
      <c r="F779" s="38" t="inlineStr">
        <is>
          <t>Publicació municipal 2025; la superfície s'utilitza com a magnitud territorial</t>
        </is>
      </c>
    </row>
    <row r="780" ht="15" customHeight="1" s="39">
      <c r="A780" s="38" t="inlineStr">
        <is>
          <t>[252043] Seròs</t>
        </is>
      </c>
      <c r="B780" s="42" t="inlineStr">
        <is>
          <t>252043</t>
        </is>
      </c>
      <c r="C780" s="38" t="inlineStr">
        <is>
          <t>Seròs</t>
        </is>
      </c>
      <c r="D780" s="44" t="n">
        <v>85.75</v>
      </c>
      <c r="F780" s="38" t="inlineStr">
        <is>
          <t>Publicació municipal 2025; la superfície s'utilitza com a magnitud territorial</t>
        </is>
      </c>
    </row>
    <row r="781" ht="15" customHeight="1" s="39">
      <c r="A781" s="38" t="inlineStr">
        <is>
          <t>[171910] Serra de Daró</t>
        </is>
      </c>
      <c r="B781" s="42" t="inlineStr">
        <is>
          <t>171910</t>
        </is>
      </c>
      <c r="C781" s="38" t="inlineStr">
        <is>
          <t>Serra de Daró</t>
        </is>
      </c>
      <c r="D781" s="44" t="n">
        <v>7.91</v>
      </c>
      <c r="F781" s="38" t="inlineStr">
        <is>
          <t>Publicació municipal 2025; la superfície s'utilitza com a magnitud territorial</t>
        </is>
      </c>
    </row>
    <row r="782" ht="15" customHeight="1" s="39">
      <c r="A782" s="38" t="inlineStr">
        <is>
          <t>[171925] Setcases</t>
        </is>
      </c>
      <c r="B782" s="42" t="inlineStr">
        <is>
          <t>171925</t>
        </is>
      </c>
      <c r="C782" s="38" t="inlineStr">
        <is>
          <t>Setcases</t>
        </is>
      </c>
      <c r="D782" s="44" t="n">
        <v>49.12</v>
      </c>
      <c r="F782" s="38" t="inlineStr">
        <is>
          <t>Publicació municipal 2025; la superfície s'utilitza com a magnitud territorial</t>
        </is>
      </c>
    </row>
    <row r="783" ht="15" customHeight="1" s="39">
      <c r="A783" s="38" t="inlineStr">
        <is>
          <t>[252038] Seu d'Urgell, la</t>
        </is>
      </c>
      <c r="B783" s="42" t="inlineStr">
        <is>
          <t>252038</t>
        </is>
      </c>
      <c r="C783" s="38" t="inlineStr">
        <is>
          <t>Seu d'Urgell, la</t>
        </is>
      </c>
      <c r="D783" s="44" t="n">
        <v>15.45</v>
      </c>
      <c r="F783" s="38" t="inlineStr">
        <is>
          <t>Publicació municipal 2025; la superfície s'utilitza com a magnitud territorial</t>
        </is>
      </c>
    </row>
    <row r="784" ht="15" customHeight="1" s="39">
      <c r="A784" s="38" t="inlineStr">
        <is>
          <t>[082690] Seva</t>
        </is>
      </c>
      <c r="B784" s="42" t="inlineStr">
        <is>
          <t>082690</t>
        </is>
      </c>
      <c r="C784" s="38" t="inlineStr">
        <is>
          <t>Seva</t>
        </is>
      </c>
      <c r="D784" s="44" t="n">
        <v>30.4</v>
      </c>
      <c r="F784" s="38" t="inlineStr">
        <is>
          <t>Publicació municipal 2025; la superfície s'utilitza com a magnitud territorial</t>
        </is>
      </c>
    </row>
    <row r="785" ht="15" customHeight="1" s="39">
      <c r="A785" s="38" t="inlineStr">
        <is>
          <t>[252056] Sidamon</t>
        </is>
      </c>
      <c r="B785" s="42" t="inlineStr">
        <is>
          <t>252056</t>
        </is>
      </c>
      <c r="C785" s="38" t="inlineStr">
        <is>
          <t>Sidamon</t>
        </is>
      </c>
      <c r="D785" s="44" t="n">
        <v>8.119999999999999</v>
      </c>
      <c r="F785" s="38" t="inlineStr">
        <is>
          <t>Publicació municipal 2025; la superfície s'utilitza com a magnitud territorial</t>
        </is>
      </c>
    </row>
    <row r="786" ht="15" customHeight="1" s="39">
      <c r="A786" s="38" t="inlineStr">
        <is>
          <t>[171931] Sils</t>
        </is>
      </c>
      <c r="B786" s="42" t="inlineStr">
        <is>
          <t>171931</t>
        </is>
      </c>
      <c r="C786" s="38" t="inlineStr">
        <is>
          <t>Sils</t>
        </is>
      </c>
      <c r="D786" s="44" t="n">
        <v>29.91</v>
      </c>
      <c r="F786" s="38" t="inlineStr">
        <is>
          <t>Publicació municipal 2025; la superfície s'utilitza com a magnitud territorial</t>
        </is>
      </c>
    </row>
    <row r="787" ht="15" customHeight="1" s="39">
      <c r="A787" s="38" t="inlineStr">
        <is>
          <t>[082704] Sitges</t>
        </is>
      </c>
      <c r="B787" s="42" t="inlineStr">
        <is>
          <t>082704</t>
        </is>
      </c>
      <c r="C787" s="38" t="inlineStr">
        <is>
          <t>Sitges</t>
        </is>
      </c>
      <c r="D787" s="44" t="n">
        <v>43.85</v>
      </c>
      <c r="F787" s="38" t="inlineStr">
        <is>
          <t>Publicació municipal 2025; la superfície s'utilitza com a magnitud territorial</t>
        </is>
      </c>
    </row>
    <row r="788" ht="15" customHeight="1" s="39">
      <c r="A788" s="38" t="inlineStr">
        <is>
          <t>[170524] Siurana</t>
        </is>
      </c>
      <c r="B788" s="42" t="inlineStr">
        <is>
          <t>170524</t>
        </is>
      </c>
      <c r="C788" s="38" t="inlineStr">
        <is>
          <t>Siurana</t>
        </is>
      </c>
      <c r="D788" s="44" t="n">
        <v>10.53</v>
      </c>
      <c r="F788" s="38" t="inlineStr">
        <is>
          <t>Publicació municipal 2025; la superfície s'utilitza com a magnitud territorial</t>
        </is>
      </c>
    </row>
    <row r="789" ht="15" customHeight="1" s="39">
      <c r="A789" s="38" t="inlineStr">
        <is>
          <t>[082711] Sobremunt</t>
        </is>
      </c>
      <c r="B789" s="42" t="inlineStr">
        <is>
          <t>082711</t>
        </is>
      </c>
      <c r="C789" s="38" t="inlineStr">
        <is>
          <t>Sobremunt</t>
        </is>
      </c>
      <c r="D789" s="44" t="n">
        <v>13.8</v>
      </c>
      <c r="F789" s="38" t="inlineStr">
        <is>
          <t>Publicació municipal 2025; la superfície s'utilitza com a magnitud territorial</t>
        </is>
      </c>
    </row>
    <row r="790" ht="15" customHeight="1" s="39">
      <c r="A790" s="38" t="inlineStr">
        <is>
          <t>[252069] Soleràs, el</t>
        </is>
      </c>
      <c r="B790" s="42" t="inlineStr">
        <is>
          <t>252069</t>
        </is>
      </c>
      <c r="C790" s="38" t="inlineStr">
        <is>
          <t>Soleràs, el</t>
        </is>
      </c>
      <c r="D790" s="44" t="n">
        <v>12.23</v>
      </c>
      <c r="F790" s="38" t="inlineStr">
        <is>
          <t>Publicació municipal 2025; la superfície s'utilitza com a magnitud territorial</t>
        </is>
      </c>
    </row>
    <row r="791" ht="15" customHeight="1" s="39">
      <c r="A791" s="38" t="inlineStr">
        <is>
          <t>[431476] Solivella</t>
        </is>
      </c>
      <c r="B791" s="42" t="inlineStr">
        <is>
          <t>431476</t>
        </is>
      </c>
      <c r="C791" s="38" t="inlineStr">
        <is>
          <t>Solivella</t>
        </is>
      </c>
      <c r="D791" s="44" t="n">
        <v>21.37</v>
      </c>
      <c r="F791" s="38" t="inlineStr">
        <is>
          <t>Publicació municipal 2025; la superfície s'utilitza com a magnitud territorial</t>
        </is>
      </c>
    </row>
    <row r="792" ht="15" customHeight="1" s="39">
      <c r="A792" s="38" t="inlineStr">
        <is>
          <t>[252075] Solsona</t>
        </is>
      </c>
      <c r="B792" s="42" t="inlineStr">
        <is>
          <t>252075</t>
        </is>
      </c>
      <c r="C792" s="38" t="inlineStr">
        <is>
          <t>Solsona</t>
        </is>
      </c>
      <c r="D792" s="44" t="n">
        <v>17.7</v>
      </c>
      <c r="F792" s="38" t="inlineStr">
        <is>
          <t>Publicació municipal 2025; la superfície s'utilitza com a magnitud territorial</t>
        </is>
      </c>
    </row>
    <row r="793" ht="15" customHeight="1" s="39">
      <c r="A793" s="38" t="inlineStr">
        <is>
          <t>[082726] Sora</t>
        </is>
      </c>
      <c r="B793" s="42" t="inlineStr">
        <is>
          <t>082726</t>
        </is>
      </c>
      <c r="C793" s="38" t="inlineStr">
        <is>
          <t>Sora</t>
        </is>
      </c>
      <c r="D793" s="44" t="n">
        <v>31.71</v>
      </c>
      <c r="F793" s="38" t="inlineStr">
        <is>
          <t>Publicació municipal 2025; la superfície s'utilitza com a magnitud territorial</t>
        </is>
      </c>
    </row>
    <row r="794" ht="15" customHeight="1" s="39">
      <c r="A794" s="38" t="inlineStr">
        <is>
          <t>[252081] Soriguera</t>
        </is>
      </c>
      <c r="B794" s="42" t="inlineStr">
        <is>
          <t>252081</t>
        </is>
      </c>
      <c r="C794" s="38" t="inlineStr">
        <is>
          <t>Soriguera</t>
        </is>
      </c>
      <c r="D794" s="44" t="n">
        <v>106.39</v>
      </c>
      <c r="F794" s="38" t="inlineStr">
        <is>
          <t>Publicació municipal 2025; la superfície s'utilitza com a magnitud territorial</t>
        </is>
      </c>
    </row>
    <row r="795" ht="15" customHeight="1" s="39">
      <c r="A795" s="38" t="inlineStr">
        <is>
          <t>[252094] Sort</t>
        </is>
      </c>
      <c r="B795" s="42" t="inlineStr">
        <is>
          <t>252094</t>
        </is>
      </c>
      <c r="C795" s="38" t="inlineStr">
        <is>
          <t>Sort</t>
        </is>
      </c>
      <c r="D795" s="44" t="n">
        <v>105.05</v>
      </c>
      <c r="F795" s="38" t="inlineStr">
        <is>
          <t>Publicació municipal 2025; la superfície s'utilitza com a magnitud territorial</t>
        </is>
      </c>
    </row>
    <row r="796" ht="15" customHeight="1" s="39">
      <c r="A796" s="38" t="inlineStr">
        <is>
          <t>[252108] Soses</t>
        </is>
      </c>
      <c r="B796" s="42" t="inlineStr">
        <is>
          <t>252108</t>
        </is>
      </c>
      <c r="C796" s="38" t="inlineStr">
        <is>
          <t>Soses</t>
        </is>
      </c>
      <c r="D796" s="44" t="n">
        <v>30.16</v>
      </c>
      <c r="F796" s="38" t="inlineStr">
        <is>
          <t>Publicació municipal 2025; la superfície s'utilitza com a magnitud territorial</t>
        </is>
      </c>
    </row>
    <row r="797" ht="15" customHeight="1" s="39">
      <c r="A797" s="38" t="inlineStr">
        <is>
          <t>[082732] Subirats</t>
        </is>
      </c>
      <c r="B797" s="42" t="inlineStr">
        <is>
          <t>082732</t>
        </is>
      </c>
      <c r="C797" s="38" t="inlineStr">
        <is>
          <t>Subirats</t>
        </is>
      </c>
      <c r="D797" s="44" t="n">
        <v>55.89</v>
      </c>
      <c r="F797" s="38" t="inlineStr">
        <is>
          <t>Publicació municipal 2025; la superfície s'utilitza com a magnitud territorial</t>
        </is>
      </c>
    </row>
    <row r="798" ht="15" customHeight="1" s="39">
      <c r="A798" s="38" t="inlineStr">
        <is>
          <t>[252115] Sudanell</t>
        </is>
      </c>
      <c r="B798" s="42" t="inlineStr">
        <is>
          <t>252115</t>
        </is>
      </c>
      <c r="C798" s="38" t="inlineStr">
        <is>
          <t>Sudanell</t>
        </is>
      </c>
      <c r="D798" s="44" t="n">
        <v>8.69</v>
      </c>
      <c r="F798" s="38" t="inlineStr">
        <is>
          <t>Publicació municipal 2025; la superfície s'utilitza com a magnitud territorial</t>
        </is>
      </c>
    </row>
    <row r="799" ht="15" customHeight="1" s="39">
      <c r="A799" s="38" t="inlineStr">
        <is>
          <t>[252120] Sunyer</t>
        </is>
      </c>
      <c r="B799" s="42" t="inlineStr">
        <is>
          <t>252120</t>
        </is>
      </c>
      <c r="C799" s="38" t="inlineStr">
        <is>
          <t>Sunyer</t>
        </is>
      </c>
      <c r="D799" s="44" t="n">
        <v>12.66</v>
      </c>
      <c r="F799" s="38" t="inlineStr">
        <is>
          <t>Publicació municipal 2025; la superfície s'utilitza com a magnitud territorial</t>
        </is>
      </c>
    </row>
    <row r="800" ht="15" customHeight="1" s="39">
      <c r="A800" s="38" t="inlineStr">
        <is>
          <t>[082747] Súria</t>
        </is>
      </c>
      <c r="B800" s="42" t="inlineStr">
        <is>
          <t>082747</t>
        </is>
      </c>
      <c r="C800" s="38" t="inlineStr">
        <is>
          <t>Súria</t>
        </is>
      </c>
      <c r="D800" s="44" t="n">
        <v>23.6</v>
      </c>
      <c r="F800" s="38" t="inlineStr">
        <is>
          <t>Publicació municipal 2025; la superfície s'utilitza com a magnitud territorial</t>
        </is>
      </c>
    </row>
    <row r="801" ht="15" customHeight="1" s="39">
      <c r="A801" s="38" t="inlineStr">
        <is>
          <t>[171946] Susqueda</t>
        </is>
      </c>
      <c r="B801" s="42" t="inlineStr">
        <is>
          <t>171946</t>
        </is>
      </c>
      <c r="C801" s="38" t="inlineStr">
        <is>
          <t>Susqueda</t>
        </is>
      </c>
      <c r="D801" s="44" t="n">
        <v>50.61</v>
      </c>
      <c r="F801" s="38" t="inlineStr">
        <is>
          <t>Publicació municipal 2025; la superfície s'utilitza com a magnitud territorial</t>
        </is>
      </c>
    </row>
    <row r="802" ht="15" customHeight="1" s="39">
      <c r="A802" s="38" t="inlineStr">
        <is>
          <t>[082763] Tagamanent</t>
        </is>
      </c>
      <c r="B802" s="42" t="inlineStr">
        <is>
          <t>082763</t>
        </is>
      </c>
      <c r="C802" s="38" t="inlineStr">
        <is>
          <t>Tagamanent</t>
        </is>
      </c>
      <c r="D802" s="44" t="n">
        <v>43.31</v>
      </c>
      <c r="F802" s="38" t="inlineStr">
        <is>
          <t>Publicació municipal 2025; la superfície s'utilitza com a magnitud territorial</t>
        </is>
      </c>
    </row>
    <row r="803" ht="15" customHeight="1" s="39">
      <c r="A803" s="38" t="inlineStr">
        <is>
          <t>[082779] Talamanca</t>
        </is>
      </c>
      <c r="B803" s="42" t="inlineStr">
        <is>
          <t>082779</t>
        </is>
      </c>
      <c r="C803" s="38" t="inlineStr">
        <is>
          <t>Talamanca</t>
        </is>
      </c>
      <c r="D803" s="44" t="n">
        <v>29.43</v>
      </c>
      <c r="F803" s="38" t="inlineStr">
        <is>
          <t>Publicació municipal 2025; la superfície s'utilitza com a magnitud territorial</t>
        </is>
      </c>
    </row>
    <row r="804" ht="15" customHeight="1" s="39">
      <c r="A804" s="38" t="inlineStr">
        <is>
          <t>[252154] Talarn</t>
        </is>
      </c>
      <c r="B804" s="42" t="inlineStr">
        <is>
          <t>252154</t>
        </is>
      </c>
      <c r="C804" s="38" t="inlineStr">
        <is>
          <t>Talarn</t>
        </is>
      </c>
      <c r="D804" s="44" t="n">
        <v>27.95</v>
      </c>
      <c r="F804" s="38" t="inlineStr">
        <is>
          <t>Publicació municipal 2025; la superfície s'utilitza com a magnitud territorial</t>
        </is>
      </c>
    </row>
    <row r="805" ht="15" customHeight="1" s="39">
      <c r="A805" s="38" t="inlineStr">
        <is>
          <t>[252167] Talavera</t>
        </is>
      </c>
      <c r="B805" s="42" t="inlineStr">
        <is>
          <t>252167</t>
        </is>
      </c>
      <c r="C805" s="38" t="inlineStr">
        <is>
          <t>Talavera</t>
        </is>
      </c>
      <c r="D805" s="44" t="n">
        <v>30.11</v>
      </c>
      <c r="F805" s="38" t="inlineStr">
        <is>
          <t>Publicació municipal 2025; la superfície s'utilitza com a magnitud territorial</t>
        </is>
      </c>
    </row>
    <row r="806" ht="15" customHeight="1" s="39">
      <c r="A806" s="38" t="inlineStr">
        <is>
          <t>[171959] Tallada d'Empordà, la</t>
        </is>
      </c>
      <c r="B806" s="42" t="inlineStr">
        <is>
          <t>171959</t>
        </is>
      </c>
      <c r="C806" s="38" t="inlineStr">
        <is>
          <t>Tallada d'Empordà, la</t>
        </is>
      </c>
      <c r="D806" s="44" t="n">
        <v>16.56</v>
      </c>
      <c r="F806" s="38" t="inlineStr">
        <is>
          <t>Publicació municipal 2025; la superfície s'utilitza com a magnitud territorial</t>
        </is>
      </c>
    </row>
    <row r="807" ht="15" customHeight="1" s="39">
      <c r="A807" s="38" t="inlineStr">
        <is>
          <t>[082785] Taradell</t>
        </is>
      </c>
      <c r="B807" s="42" t="inlineStr">
        <is>
          <t>082785</t>
        </is>
      </c>
      <c r="C807" s="38" t="inlineStr">
        <is>
          <t>Taradell</t>
        </is>
      </c>
      <c r="D807" s="44" t="n">
        <v>26.48</v>
      </c>
      <c r="F807" s="38" t="inlineStr">
        <is>
          <t>Publicació municipal 2025; la superfície s'utilitza com a magnitud territorial</t>
        </is>
      </c>
    </row>
    <row r="808" ht="15" customHeight="1" s="39">
      <c r="A808" s="38" t="inlineStr">
        <is>
          <t>[431482] Tarragona</t>
        </is>
      </c>
      <c r="B808" s="42" t="inlineStr">
        <is>
          <t>431482</t>
        </is>
      </c>
      <c r="C808" s="38" t="inlineStr">
        <is>
          <t>Tarragona</t>
        </is>
      </c>
      <c r="D808" s="44" t="n">
        <v>57.89</v>
      </c>
      <c r="F808" s="38" t="inlineStr">
        <is>
          <t>Publicació municipal 2025; la superfície s'utilitza com a magnitud territorial</t>
        </is>
      </c>
    </row>
    <row r="809" ht="15" customHeight="1" s="39">
      <c r="A809" s="38" t="inlineStr">
        <is>
          <t>[252173] Tàrrega</t>
        </is>
      </c>
      <c r="B809" s="42" t="inlineStr">
        <is>
          <t>252173</t>
        </is>
      </c>
      <c r="C809" s="38" t="inlineStr">
        <is>
          <t>Tàrrega</t>
        </is>
      </c>
      <c r="D809" s="44" t="n">
        <v>88.36</v>
      </c>
      <c r="F809" s="38" t="inlineStr">
        <is>
          <t>Publicació municipal 2025; la superfície s'utilitza com a magnitud territorial</t>
        </is>
      </c>
    </row>
    <row r="810" ht="15" customHeight="1" s="39">
      <c r="A810" s="38" t="inlineStr">
        <is>
          <t>[252189] Tarrés</t>
        </is>
      </c>
      <c r="B810" s="42" t="inlineStr">
        <is>
          <t>252189</t>
        </is>
      </c>
      <c r="C810" s="38" t="inlineStr">
        <is>
          <t>Tarrés</t>
        </is>
      </c>
      <c r="D810" s="44" t="n">
        <v>13.01</v>
      </c>
      <c r="F810" s="38" t="inlineStr">
        <is>
          <t>Publicació municipal 2025; la superfície s'utilitza com a magnitud territorial</t>
        </is>
      </c>
    </row>
    <row r="811" ht="15" customHeight="1" s="39">
      <c r="A811" s="38" t="inlineStr">
        <is>
          <t>[252192] Tarroja de Segarra</t>
        </is>
      </c>
      <c r="B811" s="42" t="inlineStr">
        <is>
          <t>252192</t>
        </is>
      </c>
      <c r="C811" s="38" t="inlineStr">
        <is>
          <t>Tarroja de Segarra</t>
        </is>
      </c>
      <c r="D811" s="44" t="n">
        <v>7.61</v>
      </c>
      <c r="F811" s="38" t="inlineStr">
        <is>
          <t>Publicació municipal 2025; la superfície s'utilitza com a magnitud territorial</t>
        </is>
      </c>
    </row>
    <row r="812" ht="15" customHeight="1" s="39">
      <c r="A812" s="38" t="inlineStr">
        <is>
          <t>[082750] Tavèrnoles</t>
        </is>
      </c>
      <c r="B812" s="42" t="inlineStr">
        <is>
          <t>082750</t>
        </is>
      </c>
      <c r="C812" s="38" t="inlineStr">
        <is>
          <t>Tavèrnoles</t>
        </is>
      </c>
      <c r="D812" s="44" t="n">
        <v>18.78</v>
      </c>
      <c r="F812" s="38" t="inlineStr">
        <is>
          <t>Publicació municipal 2025; la superfície s'utilitza com a magnitud territorial</t>
        </is>
      </c>
    </row>
    <row r="813" ht="15" customHeight="1" s="39">
      <c r="A813" s="38" t="inlineStr">
        <is>
          <t>[082802] Tavertet</t>
        </is>
      </c>
      <c r="B813" s="42" t="inlineStr">
        <is>
          <t>082802</t>
        </is>
      </c>
      <c r="C813" s="38" t="inlineStr">
        <is>
          <t>Tavertet</t>
        </is>
      </c>
      <c r="D813" s="44" t="n">
        <v>32.49</v>
      </c>
      <c r="F813" s="38" t="inlineStr">
        <is>
          <t>Publicació municipal 2025; la superfície s'utilitza com a magnitud territorial</t>
        </is>
      </c>
    </row>
    <row r="814" ht="15" customHeight="1" s="39">
      <c r="A814" s="38" t="inlineStr">
        <is>
          <t>[082819] Teià</t>
        </is>
      </c>
      <c r="B814" s="42" t="inlineStr">
        <is>
          <t>082819</t>
        </is>
      </c>
      <c r="C814" s="38" t="inlineStr">
        <is>
          <t>Teià</t>
        </is>
      </c>
      <c r="D814" s="44" t="n">
        <v>6.63</v>
      </c>
      <c r="F814" s="38" t="inlineStr">
        <is>
          <t>Publicació municipal 2025; la superfície s'utilitza com a magnitud territorial</t>
        </is>
      </c>
    </row>
    <row r="815" ht="15" customHeight="1" s="39">
      <c r="A815" s="38" t="inlineStr">
        <is>
          <t>[252206] Térmens</t>
        </is>
      </c>
      <c r="B815" s="42" t="inlineStr">
        <is>
          <t>252206</t>
        </is>
      </c>
      <c r="C815" s="38" t="inlineStr">
        <is>
          <t>Térmens</t>
        </is>
      </c>
      <c r="D815" s="44" t="n">
        <v>27.54</v>
      </c>
      <c r="F815" s="38" t="inlineStr">
        <is>
          <t>Publicació municipal 2025; la superfície s'utilitza com a magnitud territorial</t>
        </is>
      </c>
    </row>
    <row r="816" ht="15" customHeight="1" s="39">
      <c r="A816" s="38" t="inlineStr">
        <is>
          <t>[171962] Terrades</t>
        </is>
      </c>
      <c r="B816" s="42" t="inlineStr">
        <is>
          <t>171962</t>
        </is>
      </c>
      <c r="C816" s="38" t="inlineStr">
        <is>
          <t>Terrades</t>
        </is>
      </c>
      <c r="D816" s="44" t="n">
        <v>20.96</v>
      </c>
      <c r="F816" s="38" t="inlineStr">
        <is>
          <t>Publicació municipal 2025; la superfície s'utilitza com a magnitud territorial</t>
        </is>
      </c>
    </row>
    <row r="817" ht="15" customHeight="1" s="39">
      <c r="A817" s="38" t="inlineStr">
        <is>
          <t>[082798] Terrassa</t>
        </is>
      </c>
      <c r="B817" s="42" t="inlineStr">
        <is>
          <t>082798</t>
        </is>
      </c>
      <c r="C817" s="38" t="inlineStr">
        <is>
          <t>Terrassa</t>
        </is>
      </c>
      <c r="D817" s="44" t="n">
        <v>70.16</v>
      </c>
      <c r="F817" s="38" t="inlineStr">
        <is>
          <t>Publicació municipal 2025; la superfície s'utilitza com a magnitud territorial</t>
        </is>
      </c>
    </row>
    <row r="818" ht="15" customHeight="1" s="39">
      <c r="A818" s="38" t="inlineStr">
        <is>
          <t>[082824] Tiana</t>
        </is>
      </c>
      <c r="B818" s="42" t="inlineStr">
        <is>
          <t>082824</t>
        </is>
      </c>
      <c r="C818" s="38" t="inlineStr">
        <is>
          <t>Tiana</t>
        </is>
      </c>
      <c r="D818" s="44" t="n">
        <v>7.95</v>
      </c>
      <c r="F818" s="38" t="inlineStr">
        <is>
          <t>Publicació municipal 2025; la superfície s'utilitza com a magnitud territorial</t>
        </is>
      </c>
    </row>
    <row r="819" ht="15" customHeight="1" s="39">
      <c r="A819" s="38" t="inlineStr">
        <is>
          <t>[252213] Tírvia</t>
        </is>
      </c>
      <c r="B819" s="42" t="inlineStr">
        <is>
          <t>252213</t>
        </is>
      </c>
      <c r="C819" s="38" t="inlineStr">
        <is>
          <t>Tírvia</t>
        </is>
      </c>
      <c r="D819" s="44" t="n">
        <v>8.5</v>
      </c>
      <c r="F819" s="38" t="inlineStr">
        <is>
          <t>Publicació municipal 2025; la superfície s'utilitza com a magnitud territorial</t>
        </is>
      </c>
    </row>
    <row r="820" ht="15" customHeight="1" s="39">
      <c r="A820" s="38" t="inlineStr">
        <is>
          <t>[252228] Tiurana</t>
        </is>
      </c>
      <c r="B820" s="42" t="inlineStr">
        <is>
          <t>252228</t>
        </is>
      </c>
      <c r="C820" s="38" t="inlineStr">
        <is>
          <t>Tiurana</t>
        </is>
      </c>
      <c r="D820" s="44" t="n">
        <v>15.86</v>
      </c>
      <c r="F820" s="38" t="inlineStr">
        <is>
          <t>Publicació municipal 2025; la superfície s'utilitza com a magnitud territorial</t>
        </is>
      </c>
    </row>
    <row r="821" ht="15" customHeight="1" s="39">
      <c r="A821" s="38" t="inlineStr">
        <is>
          <t>[431495] Tivenys</t>
        </is>
      </c>
      <c r="B821" s="42" t="inlineStr">
        <is>
          <t>431495</t>
        </is>
      </c>
      <c r="C821" s="38" t="inlineStr">
        <is>
          <t>Tivenys</t>
        </is>
      </c>
      <c r="D821" s="44" t="n">
        <v>53.54</v>
      </c>
      <c r="F821" s="38" t="inlineStr">
        <is>
          <t>Publicació municipal 2025; la superfície s'utilitza com a magnitud territorial</t>
        </is>
      </c>
    </row>
    <row r="822" ht="15" customHeight="1" s="39">
      <c r="A822" s="38" t="inlineStr">
        <is>
          <t>[431508] Tivissa</t>
        </is>
      </c>
      <c r="B822" s="42" t="inlineStr">
        <is>
          <t>431508</t>
        </is>
      </c>
      <c r="C822" s="38" t="inlineStr">
        <is>
          <t>Tivissa</t>
        </is>
      </c>
      <c r="D822" s="44" t="n">
        <v>209.43</v>
      </c>
      <c r="F822" s="38" t="inlineStr">
        <is>
          <t>Publicació municipal 2025; la superfície s'utilitza com a magnitud territorial</t>
        </is>
      </c>
    </row>
    <row r="823" ht="15" customHeight="1" s="39">
      <c r="A823" s="38" t="inlineStr">
        <is>
          <t>[082830] Tona</t>
        </is>
      </c>
      <c r="B823" s="42" t="inlineStr">
        <is>
          <t>082830</t>
        </is>
      </c>
      <c r="C823" s="38" t="inlineStr">
        <is>
          <t>Tona</t>
        </is>
      </c>
      <c r="D823" s="44" t="n">
        <v>16.54</v>
      </c>
      <c r="F823" s="38" t="inlineStr">
        <is>
          <t>Publicació municipal 2025; la superfície s'utilitza com a magnitud territorial</t>
        </is>
      </c>
    </row>
    <row r="824" ht="15" customHeight="1" s="39">
      <c r="A824" s="38" t="inlineStr">
        <is>
          <t>[252234] Torà</t>
        </is>
      </c>
      <c r="B824" s="42" t="inlineStr">
        <is>
          <t>252234</t>
        </is>
      </c>
      <c r="C824" s="38" t="inlineStr">
        <is>
          <t>Torà</t>
        </is>
      </c>
      <c r="D824" s="44" t="n">
        <v>93.31</v>
      </c>
      <c r="F824" s="38" t="inlineStr">
        <is>
          <t>Publicació municipal 2025; la superfície s'utilitza com a magnitud territorial</t>
        </is>
      </c>
    </row>
    <row r="825" ht="15" customHeight="1" s="39">
      <c r="A825" s="38" t="inlineStr">
        <is>
          <t>[082845] Tordera</t>
        </is>
      </c>
      <c r="B825" s="42" t="inlineStr">
        <is>
          <t>082845</t>
        </is>
      </c>
      <c r="C825" s="38" t="inlineStr">
        <is>
          <t>Tordera</t>
        </is>
      </c>
      <c r="D825" s="44" t="n">
        <v>83.97</v>
      </c>
      <c r="F825" s="38" t="inlineStr">
        <is>
          <t>Publicació municipal 2025; la superfície s'utilitza com a magnitud territorial</t>
        </is>
      </c>
    </row>
    <row r="826" ht="15" customHeight="1" s="39">
      <c r="A826" s="38" t="inlineStr">
        <is>
          <t>[082858] Torelló</t>
        </is>
      </c>
      <c r="B826" s="42" t="inlineStr">
        <is>
          <t>082858</t>
        </is>
      </c>
      <c r="C826" s="38" t="inlineStr">
        <is>
          <t>Torelló</t>
        </is>
      </c>
      <c r="D826" s="44" t="n">
        <v>13</v>
      </c>
      <c r="F826" s="38" t="inlineStr">
        <is>
          <t>Publicació municipal 2025; la superfície s'utilitza com a magnitud territorial</t>
        </is>
      </c>
    </row>
    <row r="827" ht="15" customHeight="1" s="39">
      <c r="A827" s="38" t="inlineStr">
        <is>
          <t>[252249] Torms, els</t>
        </is>
      </c>
      <c r="B827" s="42" t="inlineStr">
        <is>
          <t>252249</t>
        </is>
      </c>
      <c r="C827" s="38" t="inlineStr">
        <is>
          <t>Torms, els</t>
        </is>
      </c>
      <c r="D827" s="44" t="n">
        <v>13.75</v>
      </c>
      <c r="F827" s="38" t="inlineStr">
        <is>
          <t>Publicació municipal 2025; la superfície s'utilitza com a magnitud territorial</t>
        </is>
      </c>
    </row>
    <row r="828" ht="15" customHeight="1" s="39">
      <c r="A828" s="38" t="inlineStr">
        <is>
          <t>[252252] Tornabous</t>
        </is>
      </c>
      <c r="B828" s="42" t="inlineStr">
        <is>
          <t>252252</t>
        </is>
      </c>
      <c r="C828" s="38" t="inlineStr">
        <is>
          <t>Tornabous</t>
        </is>
      </c>
      <c r="D828" s="44" t="n">
        <v>24.17</v>
      </c>
      <c r="F828" s="38" t="inlineStr">
        <is>
          <t>Publicació municipal 2025; la superfície s'utilitza com a magnitud territorial</t>
        </is>
      </c>
    </row>
    <row r="829" ht="15" customHeight="1" s="39">
      <c r="A829" s="38" t="inlineStr">
        <is>
          <t>[252271] Torre de Cabdella, la</t>
        </is>
      </c>
      <c r="B829" s="42" t="inlineStr">
        <is>
          <t>252271</t>
        </is>
      </c>
      <c r="C829" s="38" t="inlineStr">
        <is>
          <t>Torre de Cabdella, la</t>
        </is>
      </c>
      <c r="D829" s="44" t="n">
        <v>165.27</v>
      </c>
      <c r="F829" s="38" t="inlineStr">
        <is>
          <t>Publicació municipal 2025; la superfície s'utilitza com a magnitud territorial</t>
        </is>
      </c>
    </row>
    <row r="830" ht="15" customHeight="1" s="39">
      <c r="A830" s="38" t="inlineStr">
        <is>
          <t>[082861] Torre de Claramunt, la</t>
        </is>
      </c>
      <c r="B830" s="42" t="inlineStr">
        <is>
          <t>082861</t>
        </is>
      </c>
      <c r="C830" s="38" t="inlineStr">
        <is>
          <t>Torre de Claramunt, la</t>
        </is>
      </c>
      <c r="D830" s="44" t="n">
        <v>15.02</v>
      </c>
      <c r="F830" s="38" t="inlineStr">
        <is>
          <t>Publicació municipal 2025; la superfície s'utilitza com a magnitud territorial</t>
        </is>
      </c>
    </row>
    <row r="831" ht="15" customHeight="1" s="39">
      <c r="A831" s="38" t="inlineStr">
        <is>
          <t>[431515] Torre de Fontaubella, la</t>
        </is>
      </c>
      <c r="B831" s="42" t="inlineStr">
        <is>
          <t>431515</t>
        </is>
      </c>
      <c r="C831" s="38" t="inlineStr">
        <is>
          <t>Torre de Fontaubella, la</t>
        </is>
      </c>
      <c r="D831" s="44" t="n">
        <v>7.11</v>
      </c>
      <c r="F831" s="38" t="inlineStr">
        <is>
          <t>Publicació municipal 2025; la superfície s'utilitza com a magnitud territorial</t>
        </is>
      </c>
    </row>
    <row r="832" ht="15" customHeight="1" s="39">
      <c r="A832" s="38" t="inlineStr">
        <is>
          <t>[431520] Torre de l'Espanyol, la</t>
        </is>
      </c>
      <c r="B832" s="42" t="inlineStr">
        <is>
          <t>431520</t>
        </is>
      </c>
      <c r="C832" s="38" t="inlineStr">
        <is>
          <t>Torre de l'Espanyol, la</t>
        </is>
      </c>
      <c r="D832" s="44" t="n">
        <v>27.9</v>
      </c>
      <c r="F832" s="38" t="inlineStr">
        <is>
          <t>Publicació municipal 2025; la superfície s'utilitza com a magnitud territorial</t>
        </is>
      </c>
    </row>
    <row r="833" ht="15" customHeight="1" s="39">
      <c r="A833" s="38" t="inlineStr">
        <is>
          <t>[252265] Torrebesses</t>
        </is>
      </c>
      <c r="B833" s="42" t="inlineStr">
        <is>
          <t>252265</t>
        </is>
      </c>
      <c r="C833" s="38" t="inlineStr">
        <is>
          <t>Torrebesses</t>
        </is>
      </c>
      <c r="D833" s="44" t="n">
        <v>27.45</v>
      </c>
      <c r="F833" s="38" t="inlineStr">
        <is>
          <t>Publicació municipal 2025; la superfície s'utilitza com a magnitud territorial</t>
        </is>
      </c>
    </row>
    <row r="834" ht="15" customHeight="1" s="39">
      <c r="A834" s="38" t="inlineStr">
        <is>
          <t>[431536] Torredembarra</t>
        </is>
      </c>
      <c r="B834" s="42" t="inlineStr">
        <is>
          <t>431536</t>
        </is>
      </c>
      <c r="C834" s="38" t="inlineStr">
        <is>
          <t>Torredembarra</t>
        </is>
      </c>
      <c r="D834" s="44" t="n">
        <v>8.710000000000001</v>
      </c>
      <c r="F834" s="38" t="inlineStr">
        <is>
          <t>Publicació municipal 2025; la superfície s'utilitza com a magnitud territorial</t>
        </is>
      </c>
    </row>
    <row r="835" ht="15" customHeight="1" s="39">
      <c r="A835" s="38" t="inlineStr">
        <is>
          <t>[252287] Torrefarrera</t>
        </is>
      </c>
      <c r="B835" s="42" t="inlineStr">
        <is>
          <t>252287</t>
        </is>
      </c>
      <c r="C835" s="38" t="inlineStr">
        <is>
          <t>Torrefarrera</t>
        </is>
      </c>
      <c r="D835" s="44" t="n">
        <v>23.49</v>
      </c>
      <c r="F835" s="38" t="inlineStr">
        <is>
          <t>Publicació municipal 2025; la superfície s'utilitza com a magnitud territorial</t>
        </is>
      </c>
    </row>
    <row r="836" ht="15" customHeight="1" s="39">
      <c r="A836" s="38" t="inlineStr">
        <is>
          <t>[259078] Torrefeta i Florejacs</t>
        </is>
      </c>
      <c r="B836" s="42" t="inlineStr">
        <is>
          <t>259078</t>
        </is>
      </c>
      <c r="C836" s="38" t="inlineStr">
        <is>
          <t>Torrefeta i Florejacs</t>
        </is>
      </c>
      <c r="D836" s="44" t="n">
        <v>88.91</v>
      </c>
      <c r="F836" s="38" t="inlineStr">
        <is>
          <t>Publicació municipal 2025; la superfície s'utilitza com a magnitud territorial</t>
        </is>
      </c>
    </row>
    <row r="837" ht="15" customHeight="1" s="39">
      <c r="A837" s="38" t="inlineStr">
        <is>
          <t>[252304] Torregrossa</t>
        </is>
      </c>
      <c r="B837" s="42" t="inlineStr">
        <is>
          <t>252304</t>
        </is>
      </c>
      <c r="C837" s="38" t="inlineStr">
        <is>
          <t>Torregrossa</t>
        </is>
      </c>
      <c r="D837" s="44" t="n">
        <v>40.52</v>
      </c>
      <c r="F837" s="38" t="inlineStr">
        <is>
          <t>Publicació municipal 2025; la superfície s'utilitza com a magnitud territorial</t>
        </is>
      </c>
    </row>
    <row r="838" ht="15" customHeight="1" s="39">
      <c r="A838" s="38" t="inlineStr">
        <is>
          <t>[252311] Torrelameu</t>
        </is>
      </c>
      <c r="B838" s="42" t="inlineStr">
        <is>
          <t>252311</t>
        </is>
      </c>
      <c r="C838" s="38" t="inlineStr">
        <is>
          <t>Torrelameu</t>
        </is>
      </c>
      <c r="D838" s="44" t="n">
        <v>10.93</v>
      </c>
      <c r="F838" s="38" t="inlineStr">
        <is>
          <t>Publicació municipal 2025; la superfície s'utilitza com a magnitud territorial</t>
        </is>
      </c>
    </row>
    <row r="839" ht="15" customHeight="1" s="39">
      <c r="A839" s="38" t="inlineStr">
        <is>
          <t>[082877] Torrelavit</t>
        </is>
      </c>
      <c r="B839" s="42" t="inlineStr">
        <is>
          <t>082877</t>
        </is>
      </c>
      <c r="C839" s="38" t="inlineStr">
        <is>
          <t>Torrelavit</t>
        </is>
      </c>
      <c r="D839" s="44" t="n">
        <v>23.65</v>
      </c>
      <c r="F839" s="38" t="inlineStr">
        <is>
          <t>Publicació municipal 2025; la superfície s'utilitza com a magnitud territorial</t>
        </is>
      </c>
    </row>
    <row r="840" ht="15" customHeight="1" s="39">
      <c r="A840" s="38" t="inlineStr">
        <is>
          <t>[082883] Torrelles de Foix</t>
        </is>
      </c>
      <c r="B840" s="42" t="inlineStr">
        <is>
          <t>082883</t>
        </is>
      </c>
      <c r="C840" s="38" t="inlineStr">
        <is>
          <t>Torrelles de Foix</t>
        </is>
      </c>
      <c r="D840" s="44" t="n">
        <v>36.72</v>
      </c>
      <c r="F840" s="38" t="inlineStr">
        <is>
          <t>Publicació municipal 2025; la superfície s'utilitza com a magnitud territorial</t>
        </is>
      </c>
    </row>
    <row r="841" ht="15" customHeight="1" s="39">
      <c r="A841" s="38" t="inlineStr">
        <is>
          <t>[082896] Torrelles de Llobregat</t>
        </is>
      </c>
      <c r="B841" s="42" t="inlineStr">
        <is>
          <t>082896</t>
        </is>
      </c>
      <c r="C841" s="38" t="inlineStr">
        <is>
          <t>Torrelles de Llobregat</t>
        </is>
      </c>
      <c r="D841" s="44" t="n">
        <v>13.56</v>
      </c>
      <c r="F841" s="38" t="inlineStr">
        <is>
          <t>Publicació municipal 2025; la superfície s'utilitza com a magnitud territorial</t>
        </is>
      </c>
    </row>
    <row r="842" ht="15" customHeight="1" s="39">
      <c r="A842" s="38" t="inlineStr">
        <is>
          <t>[171978] Torrent</t>
        </is>
      </c>
      <c r="B842" s="42" t="inlineStr">
        <is>
          <t>171978</t>
        </is>
      </c>
      <c r="C842" s="38" t="inlineStr">
        <is>
          <t>Torrent</t>
        </is>
      </c>
      <c r="D842" s="44" t="n">
        <v>7.96</v>
      </c>
      <c r="F842" s="38" t="inlineStr">
        <is>
          <t>Publicació municipal 2025; la superfície s'utilitza com a magnitud territorial</t>
        </is>
      </c>
    </row>
    <row r="843" ht="15" customHeight="1" s="39">
      <c r="A843" s="38" t="inlineStr">
        <is>
          <t>[252326] Torres de Segre</t>
        </is>
      </c>
      <c r="B843" s="42" t="inlineStr">
        <is>
          <t>252326</t>
        </is>
      </c>
      <c r="C843" s="38" t="inlineStr">
        <is>
          <t>Torres de Segre</t>
        </is>
      </c>
      <c r="D843" s="44" t="n">
        <v>50.61</v>
      </c>
      <c r="F843" s="38" t="inlineStr">
        <is>
          <t>Publicació municipal 2025; la superfície s'utilitza com a magnitud territorial</t>
        </is>
      </c>
    </row>
    <row r="844" ht="15" customHeight="1" s="39">
      <c r="A844" s="38" t="inlineStr">
        <is>
          <t>[252332] Torre-serona</t>
        </is>
      </c>
      <c r="B844" s="42" t="inlineStr">
        <is>
          <t>252332</t>
        </is>
      </c>
      <c r="C844" s="38" t="inlineStr">
        <is>
          <t>Torre-serona</t>
        </is>
      </c>
      <c r="D844" s="44" t="n">
        <v>5.89</v>
      </c>
      <c r="F844" s="38" t="inlineStr">
        <is>
          <t>Publicació municipal 2025; la superfície s'utilitza com a magnitud territorial</t>
        </is>
      </c>
    </row>
    <row r="845" ht="15" customHeight="1" s="39">
      <c r="A845" s="38" t="inlineStr">
        <is>
          <t>[171984] Torroella de Fluvià</t>
        </is>
      </c>
      <c r="B845" s="42" t="inlineStr">
        <is>
          <t>171984</t>
        </is>
      </c>
      <c r="C845" s="38" t="inlineStr">
        <is>
          <t>Torroella de Fluvià</t>
        </is>
      </c>
      <c r="D845" s="44" t="n">
        <v>16.85</v>
      </c>
      <c r="F845" s="38" t="inlineStr">
        <is>
          <t>Publicació municipal 2025; la superfície s'utilitza com a magnitud territorial</t>
        </is>
      </c>
    </row>
    <row r="846" ht="15" customHeight="1" s="39">
      <c r="A846" s="38" t="inlineStr">
        <is>
          <t>[171997] Torroella de Montgrí</t>
        </is>
      </c>
      <c r="B846" s="42" t="inlineStr">
        <is>
          <t>171997</t>
        </is>
      </c>
      <c r="C846" s="38" t="inlineStr">
        <is>
          <t>Torroella de Montgrí</t>
        </is>
      </c>
      <c r="D846" s="44" t="n">
        <v>65.93000000000001</v>
      </c>
      <c r="F846" s="38" t="inlineStr">
        <is>
          <t>Publicació municipal 2025; la superfície s'utilitza com a magnitud territorial</t>
        </is>
      </c>
    </row>
    <row r="847" ht="15" customHeight="1" s="39">
      <c r="A847" s="38" t="inlineStr">
        <is>
          <t>[431541] Torroja del Priorat</t>
        </is>
      </c>
      <c r="B847" s="42" t="inlineStr">
        <is>
          <t>431541</t>
        </is>
      </c>
      <c r="C847" s="38" t="inlineStr">
        <is>
          <t>Torroja del Priorat</t>
        </is>
      </c>
      <c r="D847" s="44" t="n">
        <v>13.16</v>
      </c>
      <c r="F847" s="38" t="inlineStr">
        <is>
          <t>Publicació municipal 2025; la superfície s'utilitza com a magnitud territorial</t>
        </is>
      </c>
    </row>
    <row r="848" ht="15" customHeight="1" s="39">
      <c r="A848" s="38" t="inlineStr">
        <is>
          <t>[172001] Tortellà</t>
        </is>
      </c>
      <c r="B848" s="42" t="inlineStr">
        <is>
          <t>172001</t>
        </is>
      </c>
      <c r="C848" s="38" t="inlineStr">
        <is>
          <t>Tortellà</t>
        </is>
      </c>
      <c r="D848" s="44" t="n">
        <v>11.07</v>
      </c>
      <c r="F848" s="38" t="inlineStr">
        <is>
          <t>Publicació municipal 2025; la superfície s'utilitza com a magnitud territorial</t>
        </is>
      </c>
    </row>
    <row r="849" ht="15" customHeight="1" s="39">
      <c r="A849" s="38" t="inlineStr">
        <is>
          <t>[431554] Tortosa</t>
        </is>
      </c>
      <c r="B849" s="42" t="inlineStr">
        <is>
          <t>431554</t>
        </is>
      </c>
      <c r="C849" s="38" t="inlineStr">
        <is>
          <t>Tortosa</t>
        </is>
      </c>
      <c r="D849" s="44" t="n">
        <v>218.51</v>
      </c>
      <c r="F849" s="38" t="inlineStr">
        <is>
          <t>Publicació municipal 2025; la superfície s'utilitza com a magnitud territorial</t>
        </is>
      </c>
    </row>
    <row r="850" ht="15" customHeight="1" s="39">
      <c r="A850" s="38" t="inlineStr">
        <is>
          <t>[172018] Toses</t>
        </is>
      </c>
      <c r="B850" s="42" t="inlineStr">
        <is>
          <t>172018</t>
        </is>
      </c>
      <c r="C850" s="38" t="inlineStr">
        <is>
          <t>Toses</t>
        </is>
      </c>
      <c r="D850" s="44" t="n">
        <v>57.88</v>
      </c>
      <c r="F850" s="38" t="inlineStr">
        <is>
          <t>Publicació municipal 2025; la superfície s'utilitza com a magnitud territorial</t>
        </is>
      </c>
    </row>
    <row r="851" ht="15" customHeight="1" s="39">
      <c r="A851" s="38" t="inlineStr">
        <is>
          <t>[172023] Tossa de Mar</t>
        </is>
      </c>
      <c r="B851" s="42" t="inlineStr">
        <is>
          <t>172023</t>
        </is>
      </c>
      <c r="C851" s="38" t="inlineStr">
        <is>
          <t>Tossa de Mar</t>
        </is>
      </c>
      <c r="D851" s="44" t="n">
        <v>38.58</v>
      </c>
      <c r="F851" s="38" t="inlineStr">
        <is>
          <t>Publicació municipal 2025; la superfície s'utilitza com a magnitud territorial</t>
        </is>
      </c>
    </row>
    <row r="852" ht="15" customHeight="1" s="39">
      <c r="A852" s="38" t="inlineStr">
        <is>
          <t>[252347] Tremp</t>
        </is>
      </c>
      <c r="B852" s="42" t="inlineStr">
        <is>
          <t>252347</t>
        </is>
      </c>
      <c r="C852" s="38" t="inlineStr">
        <is>
          <t>Tremp</t>
        </is>
      </c>
      <c r="D852" s="44" t="n">
        <v>302.82</v>
      </c>
      <c r="F852" s="38" t="inlineStr">
        <is>
          <t>Publicació municipal 2025; la superfície s'utilitza com a magnitud territorial</t>
        </is>
      </c>
    </row>
    <row r="853" ht="15" customHeight="1" s="39">
      <c r="A853" s="38" t="inlineStr">
        <is>
          <t>[172044] Ullà</t>
        </is>
      </c>
      <c r="B853" s="42" t="inlineStr">
        <is>
          <t>172044</t>
        </is>
      </c>
      <c r="C853" s="38" t="inlineStr">
        <is>
          <t>Ullà</t>
        </is>
      </c>
      <c r="D853" s="44" t="n">
        <v>7.29</v>
      </c>
      <c r="F853" s="38" t="inlineStr">
        <is>
          <t>Publicació municipal 2025; la superfície s'utilitza com a magnitud territorial</t>
        </is>
      </c>
    </row>
    <row r="854" ht="15" customHeight="1" s="39">
      <c r="A854" s="38" t="inlineStr">
        <is>
          <t>[082900] Ullastrell</t>
        </is>
      </c>
      <c r="B854" s="42" t="inlineStr">
        <is>
          <t>082900</t>
        </is>
      </c>
      <c r="C854" s="38" t="inlineStr">
        <is>
          <t>Ullastrell</t>
        </is>
      </c>
      <c r="D854" s="44" t="n">
        <v>7.31</v>
      </c>
      <c r="F854" s="38" t="inlineStr">
        <is>
          <t>Publicació municipal 2025; la superfície s'utilitza com a magnitud territorial</t>
        </is>
      </c>
    </row>
    <row r="855" ht="15" customHeight="1" s="39">
      <c r="A855" s="38" t="inlineStr">
        <is>
          <t>[172057] Ullastret</t>
        </is>
      </c>
      <c r="B855" s="42" t="inlineStr">
        <is>
          <t>172057</t>
        </is>
      </c>
      <c r="C855" s="38" t="inlineStr">
        <is>
          <t>Ullastret</t>
        </is>
      </c>
      <c r="D855" s="44" t="n">
        <v>11.09</v>
      </c>
      <c r="F855" s="38" t="inlineStr">
        <is>
          <t>Publicació municipal 2025; la superfície s'utilitza com a magnitud territorial</t>
        </is>
      </c>
    </row>
    <row r="856" ht="15" customHeight="1" s="39">
      <c r="A856" s="38" t="inlineStr">
        <is>
          <t>[431567] Ulldecona</t>
        </is>
      </c>
      <c r="B856" s="42" t="inlineStr">
        <is>
          <t>431567</t>
        </is>
      </c>
      <c r="C856" s="38" t="inlineStr">
        <is>
          <t>Ulldecona</t>
        </is>
      </c>
      <c r="D856" s="44" t="n">
        <v>126.88</v>
      </c>
      <c r="F856" s="38" t="inlineStr">
        <is>
          <t>Publicació municipal 2025; la superfície s'utilitza com a magnitud territorial</t>
        </is>
      </c>
    </row>
    <row r="857" ht="15" customHeight="1" s="39">
      <c r="A857" s="38" t="inlineStr">
        <is>
          <t>[431573] Ulldemolins</t>
        </is>
      </c>
      <c r="B857" s="42" t="inlineStr">
        <is>
          <t>431573</t>
        </is>
      </c>
      <c r="C857" s="38" t="inlineStr">
        <is>
          <t>Ulldemolins</t>
        </is>
      </c>
      <c r="D857" s="44" t="n">
        <v>38.17</v>
      </c>
      <c r="F857" s="38" t="inlineStr">
        <is>
          <t>Publicació municipal 2025; la superfície s'utilitza com a magnitud territorial</t>
        </is>
      </c>
    </row>
    <row r="858" ht="15" customHeight="1" s="39">
      <c r="A858" s="38" t="inlineStr">
        <is>
          <t>[172039] Ultramort</t>
        </is>
      </c>
      <c r="B858" s="42" t="inlineStr">
        <is>
          <t>172039</t>
        </is>
      </c>
      <c r="C858" s="38" t="inlineStr">
        <is>
          <t>Ultramort</t>
        </is>
      </c>
      <c r="D858" s="44" t="n">
        <v>4.35</v>
      </c>
      <c r="F858" s="38" t="inlineStr">
        <is>
          <t>Publicació municipal 2025; la superfície s'utilitza com a magnitud territorial</t>
        </is>
      </c>
    </row>
    <row r="859" ht="15" customHeight="1" s="39">
      <c r="A859" s="38" t="inlineStr">
        <is>
          <t>[172060] Urús</t>
        </is>
      </c>
      <c r="B859" s="42" t="inlineStr">
        <is>
          <t>172060</t>
        </is>
      </c>
      <c r="C859" s="38" t="inlineStr">
        <is>
          <t>Urús</t>
        </is>
      </c>
      <c r="D859" s="44" t="n">
        <v>17.42</v>
      </c>
      <c r="F859" s="38" t="inlineStr">
        <is>
          <t>Publicació municipal 2025; la superfície s'utilitza com a magnitud territorial</t>
        </is>
      </c>
    </row>
    <row r="860" ht="15" customHeight="1" s="39">
      <c r="A860" s="38" t="inlineStr">
        <is>
          <t>[082917] Vacarisses</t>
        </is>
      </c>
      <c r="B860" s="42" t="inlineStr">
        <is>
          <t>082917</t>
        </is>
      </c>
      <c r="C860" s="38" t="inlineStr">
        <is>
          <t>Vacarisses</t>
        </is>
      </c>
      <c r="D860" s="44" t="n">
        <v>40.7</v>
      </c>
      <c r="F860" s="38" t="inlineStr">
        <is>
          <t>Publicació municipal 2025; la superfície s'utilitza com a magnitud territorial</t>
        </is>
      </c>
    </row>
    <row r="861" ht="15" customHeight="1" s="39">
      <c r="A861" s="38" t="inlineStr">
        <is>
          <t>[170144] Vajol, la</t>
        </is>
      </c>
      <c r="B861" s="42" t="inlineStr">
        <is>
          <t>170144</t>
        </is>
      </c>
      <c r="C861" s="38" t="inlineStr">
        <is>
          <t>Vajol, la</t>
        </is>
      </c>
      <c r="D861" s="44" t="n">
        <v>4.71</v>
      </c>
      <c r="F861" s="38" t="inlineStr">
        <is>
          <t>Publicació municipal 2025; la superfície s'utilitza com a magnitud territorial</t>
        </is>
      </c>
    </row>
    <row r="862" ht="15" customHeight="1" s="39">
      <c r="A862" s="38" t="inlineStr">
        <is>
          <t>[172076] Vall d'en Bas, la</t>
        </is>
      </c>
      <c r="B862" s="42" t="inlineStr">
        <is>
          <t>172076</t>
        </is>
      </c>
      <c r="C862" s="38" t="inlineStr">
        <is>
          <t>Vall d'en Bas, la</t>
        </is>
      </c>
      <c r="D862" s="44" t="n">
        <v>90.67</v>
      </c>
      <c r="F862" s="38" t="inlineStr">
        <is>
          <t>Publicació municipal 2025; la superfície s'utilitza com a magnitud territorial</t>
        </is>
      </c>
    </row>
    <row r="863" ht="15" customHeight="1" s="39">
      <c r="A863" s="38" t="inlineStr">
        <is>
          <t>[172082] Vall de Bianya, la</t>
        </is>
      </c>
      <c r="B863" s="42" t="inlineStr">
        <is>
          <t>172082</t>
        </is>
      </c>
      <c r="C863" s="38" t="inlineStr">
        <is>
          <t>Vall de Bianya, la</t>
        </is>
      </c>
      <c r="D863" s="44" t="n">
        <v>93.62</v>
      </c>
      <c r="F863" s="38" t="inlineStr">
        <is>
          <t>Publicació municipal 2025; la superfície s'utilitza com a magnitud territorial</t>
        </is>
      </c>
    </row>
    <row r="864" ht="15" customHeight="1" s="39">
      <c r="A864" s="38" t="inlineStr">
        <is>
          <t>[250432] Vall de Boí, la</t>
        </is>
      </c>
      <c r="B864" s="42" t="inlineStr">
        <is>
          <t>250432</t>
        </is>
      </c>
      <c r="C864" s="38" t="inlineStr">
        <is>
          <t>Vall de Boí, la</t>
        </is>
      </c>
      <c r="D864" s="44" t="n">
        <v>219.49</v>
      </c>
      <c r="F864" s="38" t="inlineStr">
        <is>
          <t>Publicació municipal 2025; la superfície s'utilitza com a magnitud territorial</t>
        </is>
      </c>
    </row>
    <row r="865" ht="15" customHeight="1" s="39">
      <c r="A865" s="38" t="inlineStr">
        <is>
          <t>[259010] Vall de Cardós</t>
        </is>
      </c>
      <c r="B865" s="42" t="inlineStr">
        <is>
          <t>259010</t>
        </is>
      </c>
      <c r="C865" s="38" t="inlineStr">
        <is>
          <t>Vall de Cardós</t>
        </is>
      </c>
      <c r="D865" s="44" t="n">
        <v>56.2</v>
      </c>
      <c r="F865" s="38" t="inlineStr">
        <is>
          <t>Publicació municipal 2025; la superfície s'utilitza com a magnitud territorial</t>
        </is>
      </c>
    </row>
    <row r="866" ht="15" customHeight="1" s="39">
      <c r="A866" s="38" t="inlineStr">
        <is>
          <t>[082922] Vallbona d'Anoia</t>
        </is>
      </c>
      <c r="B866" s="42" t="inlineStr">
        <is>
          <t>082922</t>
        </is>
      </c>
      <c r="C866" s="38" t="inlineStr">
        <is>
          <t>Vallbona d'Anoia</t>
        </is>
      </c>
      <c r="D866" s="44" t="n">
        <v>6.45</v>
      </c>
      <c r="F866" s="38" t="inlineStr">
        <is>
          <t>Publicació municipal 2025; la superfície s'utilitza com a magnitud territorial</t>
        </is>
      </c>
    </row>
    <row r="867" ht="15" customHeight="1" s="39">
      <c r="A867" s="38" t="inlineStr">
        <is>
          <t>[252385] Vallbona de les Monges</t>
        </is>
      </c>
      <c r="B867" s="42" t="inlineStr">
        <is>
          <t>252385</t>
        </is>
      </c>
      <c r="C867" s="38" t="inlineStr">
        <is>
          <t>Vallbona de les Monges</t>
        </is>
      </c>
      <c r="D867" s="44" t="n">
        <v>34.14</v>
      </c>
      <c r="F867" s="38" t="inlineStr">
        <is>
          <t>Publicació municipal 2025; la superfície s'utilitza com a magnitud territorial</t>
        </is>
      </c>
    </row>
    <row r="868" ht="15" customHeight="1" s="39">
      <c r="A868" s="38" t="inlineStr">
        <is>
          <t>[082938] Vallcebre</t>
        </is>
      </c>
      <c r="B868" s="42" t="inlineStr">
        <is>
          <t>082938</t>
        </is>
      </c>
      <c r="C868" s="38" t="inlineStr">
        <is>
          <t>Vallcebre</t>
        </is>
      </c>
      <c r="D868" s="44" t="n">
        <v>27.99</v>
      </c>
      <c r="F868" s="38" t="inlineStr">
        <is>
          <t>Publicació municipal 2025; la superfície s'utilitza com a magnitud territorial</t>
        </is>
      </c>
    </row>
    <row r="869" ht="15" customHeight="1" s="39">
      <c r="A869" s="38" t="inlineStr">
        <is>
          <t>[431589] Vallclara</t>
        </is>
      </c>
      <c r="B869" s="42" t="inlineStr">
        <is>
          <t>431589</t>
        </is>
      </c>
      <c r="C869" s="38" t="inlineStr">
        <is>
          <t>Vallclara</t>
        </is>
      </c>
      <c r="D869" s="44" t="n">
        <v>13.63</v>
      </c>
      <c r="F869" s="38" t="inlineStr">
        <is>
          <t>Publicació municipal 2025; la superfície s'utilitza com a magnitud territorial</t>
        </is>
      </c>
    </row>
    <row r="870" ht="15" customHeight="1" s="39">
      <c r="A870" s="38" t="inlineStr">
        <is>
          <t>[252402] Vallfogona de Balaguer</t>
        </is>
      </c>
      <c r="B870" s="42" t="inlineStr">
        <is>
          <t>252402</t>
        </is>
      </c>
      <c r="C870" s="38" t="inlineStr">
        <is>
          <t>Vallfogona de Balaguer</t>
        </is>
      </c>
      <c r="D870" s="44" t="n">
        <v>26.97</v>
      </c>
      <c r="F870" s="38" t="inlineStr">
        <is>
          <t>Publicació municipal 2025; la superfície s'utilitza com a magnitud territorial</t>
        </is>
      </c>
    </row>
    <row r="871" ht="15" customHeight="1" s="39">
      <c r="A871" s="38" t="inlineStr">
        <is>
          <t>[171707] Vallfogona de Ripollès</t>
        </is>
      </c>
      <c r="B871" s="42" t="inlineStr">
        <is>
          <t>171707</t>
        </is>
      </c>
      <c r="C871" s="38" t="inlineStr">
        <is>
          <t>Vallfogona de Ripollès</t>
        </is>
      </c>
      <c r="D871" s="44" t="n">
        <v>39.2</v>
      </c>
      <c r="F871" s="38" t="inlineStr">
        <is>
          <t>Publicació municipal 2025; la superfície s'utilitza com a magnitud territorial</t>
        </is>
      </c>
    </row>
    <row r="872" ht="15" customHeight="1" s="39">
      <c r="A872" s="38" t="inlineStr">
        <is>
          <t>[431592] Vallfogona de Riucorb</t>
        </is>
      </c>
      <c r="B872" s="42" t="inlineStr">
        <is>
          <t>431592</t>
        </is>
      </c>
      <c r="C872" s="38" t="inlineStr">
        <is>
          <t>Vallfogona de Riucorb</t>
        </is>
      </c>
      <c r="D872" s="44" t="n">
        <v>10.94</v>
      </c>
      <c r="F872" s="38" t="inlineStr">
        <is>
          <t>Publicació municipal 2025; la superfície s'utilitza com a magnitud territorial</t>
        </is>
      </c>
    </row>
    <row r="873" ht="15" customHeight="1" s="39">
      <c r="A873" s="38" t="inlineStr">
        <is>
          <t>[082943] Vallgorguina</t>
        </is>
      </c>
      <c r="B873" s="42" t="inlineStr">
        <is>
          <t>082943</t>
        </is>
      </c>
      <c r="C873" s="38" t="inlineStr">
        <is>
          <t>Vallgorguina</t>
        </is>
      </c>
      <c r="D873" s="44" t="n">
        <v>22.13</v>
      </c>
      <c r="F873" s="38" t="inlineStr">
        <is>
          <t>Publicació municipal 2025; la superfície s'utilitza com a magnitud territorial</t>
        </is>
      </c>
    </row>
    <row r="874" ht="15" customHeight="1" s="39">
      <c r="A874" s="38" t="inlineStr">
        <is>
          <t>[082956] Vallirana</t>
        </is>
      </c>
      <c r="B874" s="42" t="inlineStr">
        <is>
          <t>082956</t>
        </is>
      </c>
      <c r="C874" s="38" t="inlineStr">
        <is>
          <t>Vallirana</t>
        </is>
      </c>
      <c r="D874" s="44" t="n">
        <v>23.88</v>
      </c>
      <c r="F874" s="38" t="inlineStr">
        <is>
          <t>Publicació municipal 2025; la superfície s'utilitza com a magnitud territorial</t>
        </is>
      </c>
    </row>
    <row r="875" ht="15" customHeight="1" s="39">
      <c r="A875" s="38" t="inlineStr">
        <is>
          <t>[172095] Vall-llobrega</t>
        </is>
      </c>
      <c r="B875" s="42" t="inlineStr">
        <is>
          <t>172095</t>
        </is>
      </c>
      <c r="C875" s="38" t="inlineStr">
        <is>
          <t>Vall-llobrega</t>
        </is>
      </c>
      <c r="D875" s="44" t="n">
        <v>5.45</v>
      </c>
      <c r="F875" s="38" t="inlineStr">
        <is>
          <t>Publicació municipal 2025; la superfície s'utilitza com a magnitud territorial</t>
        </is>
      </c>
    </row>
    <row r="876" ht="15" customHeight="1" s="39">
      <c r="A876" s="38" t="inlineStr">
        <is>
          <t>[431606] Vallmoll</t>
        </is>
      </c>
      <c r="B876" s="42" t="inlineStr">
        <is>
          <t>431606</t>
        </is>
      </c>
      <c r="C876" s="38" t="inlineStr">
        <is>
          <t>Vallmoll</t>
        </is>
      </c>
      <c r="D876" s="44" t="n">
        <v>16.68</v>
      </c>
      <c r="F876" s="38" t="inlineStr">
        <is>
          <t>Publicació municipal 2025; la superfície s'utilitza com a magnitud territorial</t>
        </is>
      </c>
    </row>
    <row r="877" ht="15" customHeight="1" s="39">
      <c r="A877" s="38" t="inlineStr">
        <is>
          <t>[082969] Vallromanes</t>
        </is>
      </c>
      <c r="B877" s="42" t="inlineStr">
        <is>
          <t>082969</t>
        </is>
      </c>
      <c r="C877" s="38" t="inlineStr">
        <is>
          <t>Vallromanes</t>
        </is>
      </c>
      <c r="D877" s="44" t="n">
        <v>10.65</v>
      </c>
      <c r="F877" s="38" t="inlineStr">
        <is>
          <t>Publicació municipal 2025; la superfície s'utilitza com a magnitud territorial</t>
        </is>
      </c>
    </row>
    <row r="878" ht="15" customHeight="1" s="39">
      <c r="A878" s="38" t="inlineStr">
        <is>
          <t>[431613] Valls</t>
        </is>
      </c>
      <c r="B878" s="42" t="inlineStr">
        <is>
          <t>431613</t>
        </is>
      </c>
      <c r="C878" s="38" t="inlineStr">
        <is>
          <t>Valls</t>
        </is>
      </c>
      <c r="D878" s="44" t="n">
        <v>55.28</v>
      </c>
      <c r="F878" s="38" t="inlineStr">
        <is>
          <t>Publicació municipal 2025; la superfície s'utilitza com a magnitud territorial</t>
        </is>
      </c>
    </row>
    <row r="879" ht="15" customHeight="1" s="39">
      <c r="A879" s="38" t="inlineStr">
        <is>
          <t>[259062] Valls d'Aguilar, les</t>
        </is>
      </c>
      <c r="B879" s="42" t="inlineStr">
        <is>
          <t>259062</t>
        </is>
      </c>
      <c r="C879" s="38" t="inlineStr">
        <is>
          <t>Valls d'Aguilar, les</t>
        </is>
      </c>
      <c r="D879" s="44" t="n">
        <v>123.81</v>
      </c>
      <c r="F879" s="38" t="inlineStr">
        <is>
          <t>Publicació municipal 2025; la superfície s'utilitza com a magnitud territorial</t>
        </is>
      </c>
    </row>
    <row r="880" ht="15" customHeight="1" s="39">
      <c r="A880" s="38" t="inlineStr">
        <is>
          <t>[252398] Valls de Valira, les</t>
        </is>
      </c>
      <c r="B880" s="42" t="inlineStr">
        <is>
          <t>252398</t>
        </is>
      </c>
      <c r="C880" s="38" t="inlineStr">
        <is>
          <t>Valls de Valira, les</t>
        </is>
      </c>
      <c r="D880" s="44" t="n">
        <v>171.25</v>
      </c>
      <c r="F880" s="38" t="inlineStr">
        <is>
          <t>Publicació municipal 2025; la superfície s'utilitza com a magnitud territorial</t>
        </is>
      </c>
    </row>
    <row r="881" ht="15" customHeight="1" s="39">
      <c r="A881" s="38" t="inlineStr">
        <is>
          <t>[431628] Vandellòs i l'Hospitalet de l'Infant</t>
        </is>
      </c>
      <c r="B881" s="42" t="inlineStr">
        <is>
          <t>431628</t>
        </is>
      </c>
      <c r="C881" s="38" t="inlineStr">
        <is>
          <t>Vandellòs i l'Hospitalet de l'Infant</t>
        </is>
      </c>
      <c r="D881" s="44" t="n">
        <v>102.67</v>
      </c>
      <c r="F881" s="38" t="inlineStr">
        <is>
          <t>Publicació municipal 2025; la superfície s'utilitza com a magnitud territorial</t>
        </is>
      </c>
    </row>
    <row r="882" ht="15" customHeight="1" s="39">
      <c r="A882" s="38" t="inlineStr">
        <is>
          <t>[259097] Vansa i Fórnols, la</t>
        </is>
      </c>
      <c r="B882" s="42" t="inlineStr">
        <is>
          <t>259097</t>
        </is>
      </c>
      <c r="C882" s="38" t="inlineStr">
        <is>
          <t>Vansa i Fórnols, la</t>
        </is>
      </c>
      <c r="D882" s="44" t="n">
        <v>106.08</v>
      </c>
      <c r="F882" s="38" t="inlineStr">
        <is>
          <t>Publicació municipal 2025; la superfície s'utilitza com a magnitud territorial</t>
        </is>
      </c>
    </row>
    <row r="883" ht="15" customHeight="1" s="39">
      <c r="A883" s="38" t="inlineStr">
        <is>
          <t>[082975] Veciana</t>
        </is>
      </c>
      <c r="B883" s="42" t="inlineStr">
        <is>
          <t>082975</t>
        </is>
      </c>
      <c r="C883" s="38" t="inlineStr">
        <is>
          <t>Veciana</t>
        </is>
      </c>
      <c r="D883" s="44" t="n">
        <v>38.9</v>
      </c>
      <c r="F883" s="38" t="inlineStr">
        <is>
          <t>Publicació municipal 2025; la superfície s'utilitza com a magnitud territorial</t>
        </is>
      </c>
    </row>
    <row r="884" ht="15" customHeight="1" s="39">
      <c r="A884" s="38" t="inlineStr">
        <is>
          <t>[431634] Vendrell, el</t>
        </is>
      </c>
      <c r="B884" s="42" t="inlineStr">
        <is>
          <t>431634</t>
        </is>
      </c>
      <c r="C884" s="38" t="inlineStr">
        <is>
          <t>Vendrell, el</t>
        </is>
      </c>
      <c r="D884" s="44" t="n">
        <v>36.8</v>
      </c>
      <c r="F884" s="38" t="inlineStr">
        <is>
          <t>Publicació municipal 2025; la superfície s'utilitza com a magnitud territorial</t>
        </is>
      </c>
    </row>
    <row r="885" ht="15" customHeight="1" s="39">
      <c r="A885" s="38" t="inlineStr">
        <is>
          <t>[172109] Ventalló</t>
        </is>
      </c>
      <c r="B885" s="42" t="inlineStr">
        <is>
          <t>172109</t>
        </is>
      </c>
      <c r="C885" s="38" t="inlineStr">
        <is>
          <t>Ventalló</t>
        </is>
      </c>
      <c r="D885" s="44" t="n">
        <v>25.05</v>
      </c>
      <c r="F885" s="38" t="inlineStr">
        <is>
          <t>Publicació municipal 2025; la superfície s'utilitza com a magnitud territorial</t>
        </is>
      </c>
    </row>
    <row r="886" ht="15" customHeight="1" s="39">
      <c r="A886" s="38" t="inlineStr">
        <is>
          <t>[252424] Verdú</t>
        </is>
      </c>
      <c r="B886" s="42" t="inlineStr">
        <is>
          <t>252424</t>
        </is>
      </c>
      <c r="C886" s="38" t="inlineStr">
        <is>
          <t>Verdú</t>
        </is>
      </c>
      <c r="D886" s="44" t="n">
        <v>35.79</v>
      </c>
      <c r="F886" s="38" t="inlineStr">
        <is>
          <t>Publicació municipal 2025; la superfície s'utilitza com a magnitud territorial</t>
        </is>
      </c>
    </row>
    <row r="887" ht="15" customHeight="1" s="39">
      <c r="A887" s="38" t="inlineStr">
        <is>
          <t>[172116] Verges</t>
        </is>
      </c>
      <c r="B887" s="42" t="inlineStr">
        <is>
          <t>172116</t>
        </is>
      </c>
      <c r="C887" s="38" t="inlineStr">
        <is>
          <t>Verges</t>
        </is>
      </c>
      <c r="D887" s="44" t="n">
        <v>9.699999999999999</v>
      </c>
      <c r="F887" s="38" t="inlineStr">
        <is>
          <t>Publicació municipal 2025; la superfície s'utilitza com a magnitud territorial</t>
        </is>
      </c>
    </row>
    <row r="888" ht="15" customHeight="1" s="39">
      <c r="A888" s="38" t="inlineStr">
        <is>
          <t>[431649] Vespella de Gaià</t>
        </is>
      </c>
      <c r="B888" s="42" t="inlineStr">
        <is>
          <t>431649</t>
        </is>
      </c>
      <c r="C888" s="38" t="inlineStr">
        <is>
          <t>Vespella de Gaià</t>
        </is>
      </c>
      <c r="D888" s="44" t="n">
        <v>18.04</v>
      </c>
      <c r="F888" s="38" t="inlineStr">
        <is>
          <t>Publicació municipal 2025; la superfície s'utilitza com a magnitud territorial</t>
        </is>
      </c>
    </row>
    <row r="889" ht="15" customHeight="1" s="39">
      <c r="A889" s="38" t="inlineStr">
        <is>
          <t>[082981] Vic</t>
        </is>
      </c>
      <c r="B889" s="42" t="inlineStr">
        <is>
          <t>082981</t>
        </is>
      </c>
      <c r="C889" s="38" t="inlineStr">
        <is>
          <t>Vic</t>
        </is>
      </c>
      <c r="D889" s="44" t="n">
        <v>30.58</v>
      </c>
      <c r="F889" s="38" t="inlineStr">
        <is>
          <t>Publicació municipal 2025; la superfície s'utilitza com a magnitud territorial</t>
        </is>
      </c>
    </row>
    <row r="890" ht="15" customHeight="1" s="39">
      <c r="A890" s="38" t="inlineStr">
        <is>
          <t>[172121] Vidrà</t>
        </is>
      </c>
      <c r="B890" s="42" t="inlineStr">
        <is>
          <t>172121</t>
        </is>
      </c>
      <c r="C890" s="38" t="inlineStr">
        <is>
          <t>Vidrà</t>
        </is>
      </c>
      <c r="D890" s="44" t="n">
        <v>34.39</v>
      </c>
      <c r="F890" s="38" t="inlineStr">
        <is>
          <t>Publicació municipal 2025; la superfície s'utilitza com a magnitud territorial</t>
        </is>
      </c>
    </row>
    <row r="891" ht="15" customHeight="1" s="39">
      <c r="A891" s="38" t="inlineStr">
        <is>
          <t>[172137] Vidreres</t>
        </is>
      </c>
      <c r="B891" s="42" t="inlineStr">
        <is>
          <t>172137</t>
        </is>
      </c>
      <c r="C891" s="38" t="inlineStr">
        <is>
          <t>Vidreres</t>
        </is>
      </c>
      <c r="D891" s="44" t="n">
        <v>48.05</v>
      </c>
      <c r="F891" s="38" t="inlineStr">
        <is>
          <t>Publicació municipal 2025; la superfície s'utilitza com a magnitud territorial</t>
        </is>
      </c>
    </row>
    <row r="892" ht="15" customHeight="1" s="39">
      <c r="A892" s="38" t="inlineStr">
        <is>
          <t>[252430] Vielha e Mijaran</t>
        </is>
      </c>
      <c r="B892" s="42" t="inlineStr">
        <is>
          <t>252430</t>
        </is>
      </c>
      <c r="C892" s="38" t="inlineStr">
        <is>
          <t>Vielha e Mijaran</t>
        </is>
      </c>
      <c r="D892" s="44" t="n">
        <v>211.74</v>
      </c>
      <c r="F892" s="38" t="inlineStr">
        <is>
          <t>Publicació municipal 2025; la superfície s'utilitza com a magnitud territorial</t>
        </is>
      </c>
    </row>
    <row r="893" ht="15" customHeight="1" s="39">
      <c r="A893" s="38" t="inlineStr">
        <is>
          <t>[431652] Vilabella</t>
        </is>
      </c>
      <c r="B893" s="42" t="inlineStr">
        <is>
          <t>431652</t>
        </is>
      </c>
      <c r="C893" s="38" t="inlineStr">
        <is>
          <t>Vilabella</t>
        </is>
      </c>
      <c r="D893" s="44" t="n">
        <v>18.19</v>
      </c>
      <c r="F893" s="38" t="inlineStr">
        <is>
          <t>Publicació municipal 2025; la superfície s'utilitza com a magnitud territorial</t>
        </is>
      </c>
    </row>
    <row r="894" ht="15" customHeight="1" s="39">
      <c r="A894" s="38" t="inlineStr">
        <is>
          <t>[172142] Vilabertran</t>
        </is>
      </c>
      <c r="B894" s="42" t="inlineStr">
        <is>
          <t>172142</t>
        </is>
      </c>
      <c r="C894" s="38" t="inlineStr">
        <is>
          <t>Vilabertran</t>
        </is>
      </c>
      <c r="D894" s="44" t="n">
        <v>2.29</v>
      </c>
      <c r="F894" s="38" t="inlineStr">
        <is>
          <t>Publicació municipal 2025; la superfície s'utilitza com a magnitud territorial</t>
        </is>
      </c>
    </row>
    <row r="895" ht="15" customHeight="1" s="39">
      <c r="A895" s="38" t="inlineStr">
        <is>
          <t>[172155] Vilablareix</t>
        </is>
      </c>
      <c r="B895" s="42" t="inlineStr">
        <is>
          <t>172155</t>
        </is>
      </c>
      <c r="C895" s="38" t="inlineStr">
        <is>
          <t>Vilablareix</t>
        </is>
      </c>
      <c r="D895" s="44" t="n">
        <v>6.17</v>
      </c>
      <c r="F895" s="38" t="inlineStr">
        <is>
          <t>Publicació municipal 2025; la superfície s'utilitza com a magnitud territorial</t>
        </is>
      </c>
    </row>
    <row r="896" ht="15" customHeight="1" s="39">
      <c r="A896" s="38" t="inlineStr">
        <is>
          <t>[082994] Vilada</t>
        </is>
      </c>
      <c r="B896" s="42" t="inlineStr">
        <is>
          <t>082994</t>
        </is>
      </c>
      <c r="C896" s="38" t="inlineStr">
        <is>
          <t>Vilada</t>
        </is>
      </c>
      <c r="D896" s="44" t="n">
        <v>22.34</v>
      </c>
      <c r="F896" s="38" t="inlineStr">
        <is>
          <t>Publicació municipal 2025; la superfície s'utilitza com a magnitud territorial</t>
        </is>
      </c>
    </row>
    <row r="897" ht="15" customHeight="1" s="39">
      <c r="A897" s="38" t="inlineStr">
        <is>
          <t>[172174] Viladamat</t>
        </is>
      </c>
      <c r="B897" s="42" t="inlineStr">
        <is>
          <t>172174</t>
        </is>
      </c>
      <c r="C897" s="38" t="inlineStr">
        <is>
          <t>Viladamat</t>
        </is>
      </c>
      <c r="D897" s="44" t="n">
        <v>11.73</v>
      </c>
      <c r="F897" s="38" t="inlineStr">
        <is>
          <t>Publicació municipal 2025; la superfície s'utilitza com a magnitud territorial</t>
        </is>
      </c>
    </row>
    <row r="898" ht="15" customHeight="1" s="39">
      <c r="A898" s="38" t="inlineStr">
        <is>
          <t>[172168] Viladasens</t>
        </is>
      </c>
      <c r="B898" s="42" t="inlineStr">
        <is>
          <t>172168</t>
        </is>
      </c>
      <c r="C898" s="38" t="inlineStr">
        <is>
          <t>Viladasens</t>
        </is>
      </c>
      <c r="D898" s="44" t="n">
        <v>15.74</v>
      </c>
      <c r="F898" s="38" t="inlineStr">
        <is>
          <t>Publicació municipal 2025; la superfície s'utilitza com a magnitud territorial</t>
        </is>
      </c>
    </row>
    <row r="899" ht="15" customHeight="1" s="39">
      <c r="A899" s="38" t="inlineStr">
        <is>
          <t>[083015] Viladecans</t>
        </is>
      </c>
      <c r="B899" s="42" t="inlineStr">
        <is>
          <t>083015</t>
        </is>
      </c>
      <c r="C899" s="38" t="inlineStr">
        <is>
          <t>Viladecans</t>
        </is>
      </c>
      <c r="D899" s="44" t="n">
        <v>20.4</v>
      </c>
      <c r="F899" s="38" t="inlineStr">
        <is>
          <t>Publicació municipal 2025; la superfície s'utilitza com a magnitud territorial</t>
        </is>
      </c>
    </row>
    <row r="900" ht="15" customHeight="1" s="39">
      <c r="A900" s="38" t="inlineStr">
        <is>
          <t>[083008] Viladecavalls</t>
        </is>
      </c>
      <c r="B900" s="42" t="inlineStr">
        <is>
          <t>083008</t>
        </is>
      </c>
      <c r="C900" s="38" t="inlineStr">
        <is>
          <t>Viladecavalls</t>
        </is>
      </c>
      <c r="D900" s="44" t="n">
        <v>20.09</v>
      </c>
      <c r="F900" s="38" t="inlineStr">
        <is>
          <t>Publicació municipal 2025; la superfície s'utilitza com a magnitud territorial</t>
        </is>
      </c>
    </row>
    <row r="901" ht="15" customHeight="1" s="39">
      <c r="A901" s="38" t="inlineStr">
        <is>
          <t>[172180] Vilademuls</t>
        </is>
      </c>
      <c r="B901" s="42" t="inlineStr">
        <is>
          <t>172180</t>
        </is>
      </c>
      <c r="C901" s="38" t="inlineStr">
        <is>
          <t>Vilademuls</t>
        </is>
      </c>
      <c r="D901" s="44" t="n">
        <v>61.54</v>
      </c>
      <c r="F901" s="38" t="inlineStr">
        <is>
          <t>Publicació municipal 2025; la superfície s'utilitza com a magnitud territorial</t>
        </is>
      </c>
    </row>
    <row r="902" ht="15" customHeight="1" s="39">
      <c r="A902" s="38" t="inlineStr">
        <is>
          <t>[172207] Viladrau</t>
        </is>
      </c>
      <c r="B902" s="42" t="inlineStr">
        <is>
          <t>172207</t>
        </is>
      </c>
      <c r="C902" s="38" t="inlineStr">
        <is>
          <t>Viladrau</t>
        </is>
      </c>
      <c r="D902" s="44" t="n">
        <v>50.73</v>
      </c>
      <c r="F902" s="38" t="inlineStr">
        <is>
          <t>Publicació municipal 2025; la superfície s'utilitza com a magnitud territorial</t>
        </is>
      </c>
    </row>
    <row r="903" ht="15" customHeight="1" s="39">
      <c r="A903" s="38" t="inlineStr">
        <is>
          <t>[172214] Vilafant</t>
        </is>
      </c>
      <c r="B903" s="42" t="inlineStr">
        <is>
          <t>172214</t>
        </is>
      </c>
      <c r="C903" s="38" t="inlineStr">
        <is>
          <t>Vilafant</t>
        </is>
      </c>
      <c r="D903" s="44" t="n">
        <v>8.359999999999999</v>
      </c>
      <c r="F903" s="38" t="inlineStr">
        <is>
          <t>Publicació municipal 2025; la superfície s'utilitza com a magnitud territorial</t>
        </is>
      </c>
    </row>
    <row r="904" ht="15" customHeight="1" s="39">
      <c r="A904" s="38" t="inlineStr">
        <is>
          <t>[083054] Vilafranca del Penedès</t>
        </is>
      </c>
      <c r="B904" s="42" t="inlineStr">
        <is>
          <t>083054</t>
        </is>
      </c>
      <c r="C904" s="38" t="inlineStr">
        <is>
          <t>Vilafranca del Penedès</t>
        </is>
      </c>
      <c r="D904" s="44" t="n">
        <v>19.65</v>
      </c>
      <c r="F904" s="38" t="inlineStr">
        <is>
          <t>Publicació municipal 2025; la superfície s'utilitza com a magnitud territorial</t>
        </is>
      </c>
    </row>
    <row r="905" ht="15" customHeight="1" s="39">
      <c r="A905" s="38" t="inlineStr">
        <is>
          <t>[252445] Vilagrassa</t>
        </is>
      </c>
      <c r="B905" s="42" t="inlineStr">
        <is>
          <t>252445</t>
        </is>
      </c>
      <c r="C905" s="38" t="inlineStr">
        <is>
          <t>Vilagrassa</t>
        </is>
      </c>
      <c r="D905" s="44" t="n">
        <v>19.87</v>
      </c>
      <c r="F905" s="38" t="inlineStr">
        <is>
          <t>Publicació municipal 2025; la superfície s'utilitza com a magnitud territorial</t>
        </is>
      </c>
    </row>
    <row r="906" ht="15" customHeight="1" s="39">
      <c r="A906" s="38" t="inlineStr">
        <is>
          <t>[172235] Vilajuïga</t>
        </is>
      </c>
      <c r="B906" s="42" t="inlineStr">
        <is>
          <t>172235</t>
        </is>
      </c>
      <c r="C906" s="38" t="inlineStr">
        <is>
          <t>Vilajuïga</t>
        </is>
      </c>
      <c r="D906" s="44" t="n">
        <v>13.13</v>
      </c>
      <c r="F906" s="38" t="inlineStr">
        <is>
          <t>Publicació municipal 2025; la superfície s'utilitza com a magnitud territorial</t>
        </is>
      </c>
    </row>
    <row r="907" ht="15" customHeight="1" s="39">
      <c r="A907" s="38" t="inlineStr">
        <is>
          <t>[431750] Vilalba dels Arcs</t>
        </is>
      </c>
      <c r="B907" s="42" t="inlineStr">
        <is>
          <t>431750</t>
        </is>
      </c>
      <c r="C907" s="38" t="inlineStr">
        <is>
          <t>Vilalba dels Arcs</t>
        </is>
      </c>
      <c r="D907" s="44" t="n">
        <v>67.25</v>
      </c>
      <c r="F907" s="38" t="inlineStr">
        <is>
          <t>Publicació municipal 2025; la superfície s'utilitza com a magnitud territorial</t>
        </is>
      </c>
    </row>
    <row r="908" ht="15" customHeight="1" s="39">
      <c r="A908" s="38" t="inlineStr">
        <is>
          <t>[083067] Vilalba Sasserra</t>
        </is>
      </c>
      <c r="B908" s="42" t="inlineStr">
        <is>
          <t>083067</t>
        </is>
      </c>
      <c r="C908" s="38" t="inlineStr">
        <is>
          <t>Vilalba Sasserra</t>
        </is>
      </c>
      <c r="D908" s="44" t="n">
        <v>6.05</v>
      </c>
      <c r="F908" s="38" t="inlineStr">
        <is>
          <t>Publicació municipal 2025; la superfície s'utilitza com a magnitud territorial</t>
        </is>
      </c>
    </row>
    <row r="909" ht="15" customHeight="1" s="39">
      <c r="A909" s="38" t="inlineStr">
        <is>
          <t>[252458] Vilaller</t>
        </is>
      </c>
      <c r="B909" s="42" t="inlineStr">
        <is>
          <t>252458</t>
        </is>
      </c>
      <c r="C909" s="38" t="inlineStr">
        <is>
          <t>Vilaller</t>
        </is>
      </c>
      <c r="D909" s="44" t="n">
        <v>59.23</v>
      </c>
      <c r="F909" s="38" t="inlineStr">
        <is>
          <t>Publicació municipal 2025; la superfície s'utilitza com a magnitud territorial</t>
        </is>
      </c>
    </row>
    <row r="910" ht="15" customHeight="1" s="39">
      <c r="A910" s="38" t="inlineStr">
        <is>
          <t>[172240] Vilallonga de Ter</t>
        </is>
      </c>
      <c r="B910" s="42" t="inlineStr">
        <is>
          <t>172240</t>
        </is>
      </c>
      <c r="C910" s="38" t="inlineStr">
        <is>
          <t>Vilallonga de Ter</t>
        </is>
      </c>
      <c r="D910" s="44" t="n">
        <v>64.2</v>
      </c>
      <c r="F910" s="38" t="inlineStr">
        <is>
          <t>Publicació municipal 2025; la superfície s'utilitza com a magnitud territorial</t>
        </is>
      </c>
    </row>
    <row r="911" ht="15" customHeight="1" s="39">
      <c r="A911" s="38" t="inlineStr">
        <is>
          <t>[431665] Vilallonga del Camp</t>
        </is>
      </c>
      <c r="B911" s="42" t="inlineStr">
        <is>
          <t>431665</t>
        </is>
      </c>
      <c r="C911" s="38" t="inlineStr">
        <is>
          <t>Vilallonga del Camp</t>
        </is>
      </c>
      <c r="D911" s="44" t="n">
        <v>9.039999999999999</v>
      </c>
      <c r="F911" s="38" t="inlineStr">
        <is>
          <t>Publicació municipal 2025; la superfície s'utilitza com a magnitud territorial</t>
        </is>
      </c>
    </row>
    <row r="912" ht="15" customHeight="1" s="39">
      <c r="A912" s="38" t="inlineStr">
        <is>
          <t>[172253] Vilamacolum</t>
        </is>
      </c>
      <c r="B912" s="42" t="inlineStr">
        <is>
          <t>172253</t>
        </is>
      </c>
      <c r="C912" s="38" t="inlineStr">
        <is>
          <t>Vilamacolum</t>
        </is>
      </c>
      <c r="D912" s="44" t="n">
        <v>5.57</v>
      </c>
      <c r="F912" s="38" t="inlineStr">
        <is>
          <t>Publicació municipal 2025; la superfície s'utilitza com a magnitud territorial</t>
        </is>
      </c>
    </row>
    <row r="913" ht="15" customHeight="1" s="39">
      <c r="A913" s="38" t="inlineStr">
        <is>
          <t>[172266] Vilamalla</t>
        </is>
      </c>
      <c r="B913" s="42" t="inlineStr">
        <is>
          <t>172266</t>
        </is>
      </c>
      <c r="C913" s="38" t="inlineStr">
        <is>
          <t>Vilamalla</t>
        </is>
      </c>
      <c r="D913" s="44" t="n">
        <v>8.77</v>
      </c>
      <c r="F913" s="38" t="inlineStr">
        <is>
          <t>Publicació municipal 2025; la superfície s'utilitza com a magnitud territorial</t>
        </is>
      </c>
    </row>
    <row r="914" ht="15" customHeight="1" s="39">
      <c r="A914" s="38" t="inlineStr">
        <is>
          <t>[172272] Vilamaniscle</t>
        </is>
      </c>
      <c r="B914" s="42" t="inlineStr">
        <is>
          <t>172272</t>
        </is>
      </c>
      <c r="C914" s="38" t="inlineStr">
        <is>
          <t>Vilamaniscle</t>
        </is>
      </c>
      <c r="D914" s="44" t="n">
        <v>5.46</v>
      </c>
      <c r="F914" s="38" t="inlineStr">
        <is>
          <t>Publicació municipal 2025; la superfície s'utilitza com a magnitud territorial</t>
        </is>
      </c>
    </row>
    <row r="915" ht="15" customHeight="1" s="39">
      <c r="A915" s="38" t="inlineStr">
        <is>
          <t>[252477] Vilamòs</t>
        </is>
      </c>
      <c r="B915" s="42" t="inlineStr">
        <is>
          <t>252477</t>
        </is>
      </c>
      <c r="C915" s="38" t="inlineStr">
        <is>
          <t>Vilamòs</t>
        </is>
      </c>
      <c r="D915" s="44" t="n">
        <v>15.44</v>
      </c>
      <c r="F915" s="38" t="inlineStr">
        <is>
          <t>Publicació municipal 2025; la superfície s'utilitza com a magnitud territorial</t>
        </is>
      </c>
    </row>
    <row r="916" ht="15" customHeight="1" s="39">
      <c r="A916" s="38" t="inlineStr">
        <is>
          <t>[172288] Vilanant</t>
        </is>
      </c>
      <c r="B916" s="42" t="inlineStr">
        <is>
          <t>172288</t>
        </is>
      </c>
      <c r="C916" s="38" t="inlineStr">
        <is>
          <t>Vilanant</t>
        </is>
      </c>
      <c r="D916" s="44" t="n">
        <v>16.87</v>
      </c>
      <c r="F916" s="38" t="inlineStr">
        <is>
          <t>Publicació municipal 2025; la superfície s'utilitza com a magnitud territorial</t>
        </is>
      </c>
    </row>
    <row r="917" ht="15" customHeight="1" s="39">
      <c r="A917" s="38" t="inlineStr">
        <is>
          <t>[431671] Vilanova d'Escornalbou</t>
        </is>
      </c>
      <c r="B917" s="42" t="inlineStr">
        <is>
          <t>431671</t>
        </is>
      </c>
      <c r="C917" s="38" t="inlineStr">
        <is>
          <t>Vilanova d'Escornalbou</t>
        </is>
      </c>
      <c r="D917" s="44" t="n">
        <v>17.16</v>
      </c>
      <c r="F917" s="38" t="inlineStr">
        <is>
          <t>Publicació municipal 2025; la superfície s'utilitza com a magnitud territorial</t>
        </is>
      </c>
    </row>
    <row r="918" ht="15" customHeight="1" s="39">
      <c r="A918" s="38" t="inlineStr">
        <is>
          <t>[252483] Vilanova de Bellpuig</t>
        </is>
      </c>
      <c r="B918" s="42" t="inlineStr">
        <is>
          <t>252483</t>
        </is>
      </c>
      <c r="C918" s="38" t="inlineStr">
        <is>
          <t>Vilanova de Bellpuig</t>
        </is>
      </c>
      <c r="D918" s="44" t="n">
        <v>13.98</v>
      </c>
      <c r="F918" s="38" t="inlineStr">
        <is>
          <t>Publicació municipal 2025; la superfície s'utilitza com a magnitud territorial</t>
        </is>
      </c>
    </row>
    <row r="919" ht="15" customHeight="1" s="39">
      <c r="A919" s="38" t="inlineStr">
        <is>
          <t>[252496] Vilanova de l'Aguda</t>
        </is>
      </c>
      <c r="B919" s="42" t="inlineStr">
        <is>
          <t>252496</t>
        </is>
      </c>
      <c r="C919" s="38" t="inlineStr">
        <is>
          <t>Vilanova de l'Aguda</t>
        </is>
      </c>
      <c r="D919" s="44" t="n">
        <v>53.68</v>
      </c>
      <c r="F919" s="38" t="inlineStr">
        <is>
          <t>Publicació municipal 2025; la superfície s'utilitza com a magnitud territorial</t>
        </is>
      </c>
    </row>
    <row r="920" ht="15" customHeight="1" s="39">
      <c r="A920" s="38" t="inlineStr">
        <is>
          <t>[252542] Vilanova de la Barca</t>
        </is>
      </c>
      <c r="B920" s="42" t="inlineStr">
        <is>
          <t>252542</t>
        </is>
      </c>
      <c r="C920" s="38" t="inlineStr">
        <is>
          <t>Vilanova de la Barca</t>
        </is>
      </c>
      <c r="D920" s="44" t="n">
        <v>21.55</v>
      </c>
      <c r="F920" s="38" t="inlineStr">
        <is>
          <t>Publicació municipal 2025; la superfície s'utilitza com a magnitud territorial</t>
        </is>
      </c>
    </row>
    <row r="921" ht="15" customHeight="1" s="39">
      <c r="A921" s="38" t="inlineStr">
        <is>
          <t>[252509] Vilanova de Meià</t>
        </is>
      </c>
      <c r="B921" s="42" t="inlineStr">
        <is>
          <t>252509</t>
        </is>
      </c>
      <c r="C921" s="38" t="inlineStr">
        <is>
          <t>Vilanova de Meià</t>
        </is>
      </c>
      <c r="D921" s="44" t="n">
        <v>105.24</v>
      </c>
      <c r="F921" s="38" t="inlineStr">
        <is>
          <t>Publicació municipal 2025; la superfície s'utilitza com a magnitud territorial</t>
        </is>
      </c>
    </row>
    <row r="922" ht="15" customHeight="1" s="39">
      <c r="A922" s="38" t="inlineStr">
        <is>
          <t>[431687] Vilanova de Prades</t>
        </is>
      </c>
      <c r="B922" s="42" t="inlineStr">
        <is>
          <t>431687</t>
        </is>
      </c>
      <c r="C922" s="38" t="inlineStr">
        <is>
          <t>Vilanova de Prades</t>
        </is>
      </c>
      <c r="D922" s="44" t="n">
        <v>21.51</v>
      </c>
      <c r="F922" s="38" t="inlineStr">
        <is>
          <t>Publicació municipal 2025; la superfície s'utilitza com a magnitud territorial</t>
        </is>
      </c>
    </row>
    <row r="923" ht="15" customHeight="1" s="39">
      <c r="A923" s="38" t="inlineStr">
        <is>
          <t>[083036] Vilanova de Sau</t>
        </is>
      </c>
      <c r="B923" s="42" t="inlineStr">
        <is>
          <t>083036</t>
        </is>
      </c>
      <c r="C923" s="38" t="inlineStr">
        <is>
          <t>Vilanova de Sau</t>
        </is>
      </c>
      <c r="D923" s="44" t="n">
        <v>58.84</v>
      </c>
      <c r="F923" s="38" t="inlineStr">
        <is>
          <t>Publicació municipal 2025; la superfície s'utilitza com a magnitud territorial</t>
        </is>
      </c>
    </row>
    <row r="924" ht="15" customHeight="1" s="39">
      <c r="A924" s="38" t="inlineStr">
        <is>
          <t>[252516] Vilanova de Segrià</t>
        </is>
      </c>
      <c r="B924" s="42" t="inlineStr">
        <is>
          <t>252516</t>
        </is>
      </c>
      <c r="C924" s="38" t="inlineStr">
        <is>
          <t>Vilanova de Segrià</t>
        </is>
      </c>
      <c r="D924" s="44" t="n">
        <v>8.51</v>
      </c>
      <c r="F924" s="38" t="inlineStr">
        <is>
          <t>Publicació municipal 2025; la superfície s'utilitza com a magnitud territorial</t>
        </is>
      </c>
    </row>
    <row r="925" ht="15" customHeight="1" s="39">
      <c r="A925" s="38" t="inlineStr">
        <is>
          <t>[083020] Vilanova del Camí</t>
        </is>
      </c>
      <c r="B925" s="42" t="inlineStr">
        <is>
          <t>083020</t>
        </is>
      </c>
      <c r="C925" s="38" t="inlineStr">
        <is>
          <t>Vilanova del Camí</t>
        </is>
      </c>
      <c r="D925" s="44" t="n">
        <v>10.28</v>
      </c>
      <c r="F925" s="38" t="inlineStr">
        <is>
          <t>Publicació municipal 2025; la superfície s'utilitza com a magnitud territorial</t>
        </is>
      </c>
    </row>
    <row r="926" ht="15" customHeight="1" s="39">
      <c r="A926" s="38" t="inlineStr">
        <is>
          <t>[089024] Vilanova del Vallès</t>
        </is>
      </c>
      <c r="B926" s="42" t="inlineStr">
        <is>
          <t>089024</t>
        </is>
      </c>
      <c r="C926" s="38" t="inlineStr">
        <is>
          <t>Vilanova del Vallès</t>
        </is>
      </c>
      <c r="D926" s="44" t="n">
        <v>15.2</v>
      </c>
      <c r="F926" s="38" t="inlineStr">
        <is>
          <t>Publicació municipal 2025; la superfície s'utilitza com a magnitud territorial</t>
        </is>
      </c>
    </row>
    <row r="927" ht="15" customHeight="1" s="39">
      <c r="A927" s="38" t="inlineStr">
        <is>
          <t>[083073] Vilanova i la Geltrú</t>
        </is>
      </c>
      <c r="B927" s="42" t="inlineStr">
        <is>
          <t>083073</t>
        </is>
      </c>
      <c r="C927" s="38" t="inlineStr">
        <is>
          <t>Vilanova i la Geltrú</t>
        </is>
      </c>
      <c r="D927" s="44" t="n">
        <v>33.99</v>
      </c>
      <c r="F927" s="38" t="inlineStr">
        <is>
          <t>Publicació municipal 2025; la superfície s'utilitza com a magnitud territorial</t>
        </is>
      </c>
    </row>
    <row r="928" ht="15" customHeight="1" s="39">
      <c r="A928" s="38" t="inlineStr">
        <is>
          <t>[431690] Vilaplana</t>
        </is>
      </c>
      <c r="B928" s="42" t="inlineStr">
        <is>
          <t>431690</t>
        </is>
      </c>
      <c r="C928" s="38" t="inlineStr">
        <is>
          <t>Vilaplana</t>
        </is>
      </c>
      <c r="D928" s="44" t="n">
        <v>23.2</v>
      </c>
      <c r="F928" s="38" t="inlineStr">
        <is>
          <t>Publicació municipal 2025; la superfície s'utilitza com a magnitud territorial</t>
        </is>
      </c>
    </row>
    <row r="929" ht="15" customHeight="1" s="39">
      <c r="A929" s="38" t="inlineStr">
        <is>
          <t>[431704] Vila-rodona</t>
        </is>
      </c>
      <c r="B929" s="42" t="inlineStr">
        <is>
          <t>431704</t>
        </is>
      </c>
      <c r="C929" s="38" t="inlineStr">
        <is>
          <t>Vila-rodona</t>
        </is>
      </c>
      <c r="D929" s="44" t="n">
        <v>33.11</v>
      </c>
      <c r="F929" s="38" t="inlineStr">
        <is>
          <t>Publicació municipal 2025; la superfície s'utilitza com a magnitud territorial</t>
        </is>
      </c>
    </row>
    <row r="930" ht="15" customHeight="1" s="39">
      <c r="A930" s="38" t="inlineStr">
        <is>
          <t>[172305] Vila-sacra</t>
        </is>
      </c>
      <c r="B930" s="42" t="inlineStr">
        <is>
          <t>172305</t>
        </is>
      </c>
      <c r="C930" s="38" t="inlineStr">
        <is>
          <t>Vila-sacra</t>
        </is>
      </c>
      <c r="D930" s="44" t="n">
        <v>6.03</v>
      </c>
      <c r="F930" s="38" t="inlineStr">
        <is>
          <t>Publicació municipal 2025; la superfície s'utilitza com a magnitud territorial</t>
        </is>
      </c>
    </row>
    <row r="931" ht="15" customHeight="1" s="39">
      <c r="A931" s="38" t="inlineStr">
        <is>
          <t>[252521] Vila-sana</t>
        </is>
      </c>
      <c r="B931" s="42" t="inlineStr">
        <is>
          <t>252521</t>
        </is>
      </c>
      <c r="C931" s="38" t="inlineStr">
        <is>
          <t>Vila-sana</t>
        </is>
      </c>
      <c r="D931" s="44" t="n">
        <v>19.1</v>
      </c>
      <c r="F931" s="38" t="inlineStr">
        <is>
          <t>Publicació municipal 2025; la superfície s'utilitza com a magnitud territorial</t>
        </is>
      </c>
    </row>
    <row r="932" ht="15" customHeight="1" s="39">
      <c r="A932" s="38" t="inlineStr">
        <is>
          <t>[431711] Vila-seca</t>
        </is>
      </c>
      <c r="B932" s="42" t="inlineStr">
        <is>
          <t>431711</t>
        </is>
      </c>
      <c r="C932" s="38" t="inlineStr">
        <is>
          <t>Vila-seca</t>
        </is>
      </c>
      <c r="D932" s="44" t="n">
        <v>21.64</v>
      </c>
      <c r="F932" s="38" t="inlineStr">
        <is>
          <t>Publicació municipal 2025; la superfície s'utilitza com a magnitud territorial</t>
        </is>
      </c>
    </row>
    <row r="933" ht="15" customHeight="1" s="39">
      <c r="A933" s="38" t="inlineStr">
        <is>
          <t>[082140] Vilassar de Dalt</t>
        </is>
      </c>
      <c r="B933" s="42" t="inlineStr">
        <is>
          <t>082140</t>
        </is>
      </c>
      <c r="C933" s="38" t="inlineStr">
        <is>
          <t>Vilassar de Dalt</t>
        </is>
      </c>
      <c r="D933" s="44" t="n">
        <v>8.859999999999999</v>
      </c>
      <c r="F933" s="38" t="inlineStr">
        <is>
          <t>Publicació municipal 2025; la superfície s'utilitza com a magnitud territorial</t>
        </is>
      </c>
    </row>
    <row r="934" ht="15" customHeight="1" s="39">
      <c r="A934" s="38" t="inlineStr">
        <is>
          <t>[082191] Vilassar de Mar</t>
        </is>
      </c>
      <c r="B934" s="42" t="inlineStr">
        <is>
          <t>082191</t>
        </is>
      </c>
      <c r="C934" s="38" t="inlineStr">
        <is>
          <t>Vilassar de Mar</t>
        </is>
      </c>
      <c r="D934" s="44" t="n">
        <v>4</v>
      </c>
      <c r="F934" s="38" t="inlineStr">
        <is>
          <t>Publicació municipal 2025; la superfície s'utilitza com a magnitud territorial</t>
        </is>
      </c>
    </row>
    <row r="935" ht="15" customHeight="1" s="39">
      <c r="A935" s="38" t="inlineStr">
        <is>
          <t>[172229] Vilaür</t>
        </is>
      </c>
      <c r="B935" s="42" t="inlineStr">
        <is>
          <t>172229</t>
        </is>
      </c>
      <c r="C935" s="38" t="inlineStr">
        <is>
          <t>Vilaür</t>
        </is>
      </c>
      <c r="D935" s="44" t="n">
        <v>5.49</v>
      </c>
      <c r="F935" s="38" t="inlineStr">
        <is>
          <t>Publicació municipal 2025; la superfície s'utilitza com a magnitud territorial</t>
        </is>
      </c>
    </row>
    <row r="936" ht="15" customHeight="1" s="39">
      <c r="A936" s="38" t="inlineStr">
        <is>
          <t>[431726] Vilaverd</t>
        </is>
      </c>
      <c r="B936" s="42" t="inlineStr">
        <is>
          <t>431726</t>
        </is>
      </c>
      <c r="C936" s="38" t="inlineStr">
        <is>
          <t>Vilaverd</t>
        </is>
      </c>
      <c r="D936" s="44" t="n">
        <v>12.61</v>
      </c>
      <c r="F936" s="38" t="inlineStr">
        <is>
          <t>Publicació municipal 2025; la superfície s'utilitza com a magnitud territorial</t>
        </is>
      </c>
    </row>
    <row r="937" ht="15" customHeight="1" s="39">
      <c r="A937" s="38" t="inlineStr">
        <is>
          <t>[431732] Vilella Alta, la</t>
        </is>
      </c>
      <c r="B937" s="42" t="inlineStr">
        <is>
          <t>431732</t>
        </is>
      </c>
      <c r="C937" s="38" t="inlineStr">
        <is>
          <t>Vilella Alta, la</t>
        </is>
      </c>
      <c r="D937" s="44" t="n">
        <v>5.15</v>
      </c>
      <c r="F937" s="38" t="inlineStr">
        <is>
          <t>Publicació municipal 2025; la superfície s'utilitza com a magnitud territorial</t>
        </is>
      </c>
    </row>
    <row r="938" ht="15" customHeight="1" s="39">
      <c r="A938" s="38" t="inlineStr">
        <is>
          <t>[431747] Vilella Baixa, la</t>
        </is>
      </c>
      <c r="B938" s="42" t="inlineStr">
        <is>
          <t>431747</t>
        </is>
      </c>
      <c r="C938" s="38" t="inlineStr">
        <is>
          <t>Vilella Baixa, la</t>
        </is>
      </c>
      <c r="D938" s="44" t="n">
        <v>5.62</v>
      </c>
      <c r="F938" s="38" t="inlineStr">
        <is>
          <t>Publicació municipal 2025; la superfície s'utilitza com a magnitud territorial</t>
        </is>
      </c>
    </row>
    <row r="939" ht="15" customHeight="1" s="39">
      <c r="A939" s="38" t="inlineStr">
        <is>
          <t>[172333] Vilobí d'Onyar</t>
        </is>
      </c>
      <c r="B939" s="42" t="inlineStr">
        <is>
          <t>172333</t>
        </is>
      </c>
      <c r="C939" s="38" t="inlineStr">
        <is>
          <t>Vilobí d'Onyar</t>
        </is>
      </c>
      <c r="D939" s="44" t="n">
        <v>32.59</v>
      </c>
      <c r="F939" s="38" t="inlineStr">
        <is>
          <t>Publicació municipal 2025; la superfície s'utilitza com a magnitud territorial</t>
        </is>
      </c>
    </row>
    <row r="940" ht="15" customHeight="1" s="39">
      <c r="A940" s="38" t="inlineStr">
        <is>
          <t>[083041] Vilobí del Penedès</t>
        </is>
      </c>
      <c r="B940" s="42" t="inlineStr">
        <is>
          <t>083041</t>
        </is>
      </c>
      <c r="C940" s="38" t="inlineStr">
        <is>
          <t>Vilobí del Penedès</t>
        </is>
      </c>
      <c r="D940" s="44" t="n">
        <v>9.34</v>
      </c>
      <c r="F940" s="38" t="inlineStr">
        <is>
          <t>Publicació municipal 2025; la superfície s'utilitza com a magnitud territorial</t>
        </is>
      </c>
    </row>
    <row r="941" ht="15" customHeight="1" s="39">
      <c r="A941" s="38" t="inlineStr">
        <is>
          <t>[172327] Vilopriu</t>
        </is>
      </c>
      <c r="B941" s="42" t="inlineStr">
        <is>
          <t>172327</t>
        </is>
      </c>
      <c r="C941" s="38" t="inlineStr">
        <is>
          <t>Vilopriu</t>
        </is>
      </c>
      <c r="D941" s="44" t="n">
        <v>16.38</v>
      </c>
      <c r="F941" s="38" t="inlineStr">
        <is>
          <t>Publicació municipal 2025; la superfície s'utilitza com a magnitud territorial</t>
        </is>
      </c>
    </row>
    <row r="942" ht="15" customHeight="1" s="39">
      <c r="A942" s="38" t="inlineStr">
        <is>
          <t>[252537] Vilosell, el</t>
        </is>
      </c>
      <c r="B942" s="42" t="inlineStr">
        <is>
          <t>252537</t>
        </is>
      </c>
      <c r="C942" s="38" t="inlineStr">
        <is>
          <t>Vilosell, el</t>
        </is>
      </c>
      <c r="D942" s="44" t="n">
        <v>18.88</v>
      </c>
      <c r="F942" s="38" t="inlineStr">
        <is>
          <t>Publicació municipal 2025; la superfície s'utilitza com a magnitud territorial</t>
        </is>
      </c>
    </row>
    <row r="943" ht="15" customHeight="1" s="39">
      <c r="A943" s="38" t="inlineStr">
        <is>
          <t>[431763] Vimbodí i Poblet</t>
        </is>
      </c>
      <c r="B943" s="42" t="inlineStr">
        <is>
          <t>431763</t>
        </is>
      </c>
      <c r="C943" s="38" t="inlineStr">
        <is>
          <t>Vimbodí i Poblet</t>
        </is>
      </c>
      <c r="D943" s="44" t="n">
        <v>66.09</v>
      </c>
      <c r="F943" s="38" t="inlineStr">
        <is>
          <t>Publicació municipal 2025; la superfície s'utilitza com a magnitud territorial</t>
        </is>
      </c>
    </row>
    <row r="944" ht="15" customHeight="1" s="39">
      <c r="A944" s="38" t="inlineStr">
        <is>
          <t>[252555] Vinaixa</t>
        </is>
      </c>
      <c r="B944" s="42" t="inlineStr">
        <is>
          <t>252555</t>
        </is>
      </c>
      <c r="C944" s="38" t="inlineStr">
        <is>
          <t>Vinaixa</t>
        </is>
      </c>
      <c r="D944" s="44" t="n">
        <v>37.59</v>
      </c>
      <c r="F944" s="38" t="inlineStr">
        <is>
          <t>Publicació municipal 2025; la superfície s'utilitza com a magnitud territorial</t>
        </is>
      </c>
    </row>
    <row r="945" ht="15" customHeight="1" s="39">
      <c r="A945" s="38" t="inlineStr">
        <is>
          <t>[431779] Vinebre</t>
        </is>
      </c>
      <c r="B945" s="42" t="inlineStr">
        <is>
          <t>431779</t>
        </is>
      </c>
      <c r="C945" s="38" t="inlineStr">
        <is>
          <t>Vinebre</t>
        </is>
      </c>
      <c r="D945" s="44" t="n">
        <v>26.44</v>
      </c>
      <c r="F945" s="38" t="inlineStr">
        <is>
          <t>Publicació municipal 2025; la superfície s'utilitza com a magnitud territorial</t>
        </is>
      </c>
    </row>
    <row r="946" ht="15" customHeight="1" s="39">
      <c r="A946" s="38" t="inlineStr">
        <is>
          <t>[431785] Vinyols i els Arcs</t>
        </is>
      </c>
      <c r="B946" s="42" t="inlineStr">
        <is>
          <t>431785</t>
        </is>
      </c>
      <c r="C946" s="38" t="inlineStr">
        <is>
          <t>Vinyols i els Arcs</t>
        </is>
      </c>
      <c r="D946" s="44" t="n">
        <v>10.83</v>
      </c>
      <c r="F946" s="38" t="inlineStr">
        <is>
          <t>Publicació municipal 2025; la superfície s'utilitza com a magnitud territorial</t>
        </is>
      </c>
    </row>
    <row r="947" ht="15" customHeight="1" s="39">
      <c r="A947" s="38" t="inlineStr">
        <is>
          <t>[083089] Viver i Serrateix</t>
        </is>
      </c>
      <c r="B947" s="42" t="inlineStr">
        <is>
          <t>083089</t>
        </is>
      </c>
      <c r="C947" s="38" t="inlineStr">
        <is>
          <t>Viver i Serrateix</t>
        </is>
      </c>
      <c r="D947" s="44" t="n">
        <v>66.8</v>
      </c>
      <c r="F947" s="38" t="inlineStr">
        <is>
          <t>Publicació municipal 2025; la superfície s'utilitza com a magnitud territorial</t>
        </is>
      </c>
    </row>
    <row r="948" ht="15" customHeight="1" s="39">
      <c r="A948" s="38" t="inlineStr">
        <is>
          <t>[430521] Xerta</t>
        </is>
      </c>
      <c r="B948" s="42" t="inlineStr">
        <is>
          <t>430521</t>
        </is>
      </c>
      <c r="C948" s="38" t="inlineStr">
        <is>
          <t>Xerta</t>
        </is>
      </c>
      <c r="D948" s="44" t="n">
        <v>32.39</v>
      </c>
      <c r="F948" s="38" t="inlineStr">
        <is>
          <t>Publicació municipal 2025; la superfície s'utilitza com a magnitud territorial</t>
        </is>
      </c>
    </row>
  </sheetData>
  <autoFilter ref="A1:F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22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19" customWidth="1" style="38" min="2" max="3"/>
    <col width="12" customWidth="1" style="38" min="4" max="4"/>
    <col width="16" customWidth="1" style="38" min="5" max="5"/>
    <col width="12" customWidth="1" style="38" min="6" max="6"/>
    <col width="22" customWidth="1" style="38" min="7" max="7"/>
    <col width="14" customWidth="1" style="38" min="8" max="8"/>
    <col width="42" customWidth="1" style="38" min="9" max="9"/>
  </cols>
  <sheetData>
    <row r="1" ht="30.75" customHeight="1" s="39">
      <c r="A1" s="40" t="inlineStr">
        <is>
          <t>year</t>
        </is>
      </c>
      <c r="B1" s="41" t="inlineStr">
        <is>
          <t>municipality_code</t>
        </is>
      </c>
      <c r="C1" s="40" t="inlineStr">
        <is>
          <t>municipality_name</t>
        </is>
      </c>
      <c r="D1" s="40" t="inlineStr">
        <is>
          <t>age_code</t>
        </is>
      </c>
      <c r="E1" s="40" t="inlineStr">
        <is>
          <t>age_label</t>
        </is>
      </c>
      <c r="F1" s="40" t="inlineStr">
        <is>
          <t>age_years</t>
        </is>
      </c>
      <c r="G1" s="40" t="inlineStr">
        <is>
          <t>population_total_sex</t>
        </is>
      </c>
      <c r="H1" s="40" t="inlineStr">
        <is>
          <t>value_status</t>
        </is>
      </c>
      <c r="I1" s="40" t="inlineStr">
        <is>
          <t>import_notes</t>
        </is>
      </c>
    </row>
    <row r="2" ht="15" customHeight="1" s="39">
      <c r="A2" s="38" t="n">
        <v>2021</v>
      </c>
      <c r="B2" s="42" t="inlineStr">
        <is>
          <t>430120</t>
        </is>
      </c>
      <c r="C2" s="38" t="inlineStr">
        <is>
          <t>Altafulla</t>
        </is>
      </c>
      <c r="D2" s="38" t="inlineStr">
        <is>
          <t>Y000</t>
        </is>
      </c>
      <c r="E2" s="38" t="inlineStr">
        <is>
          <t>0 anys</t>
        </is>
      </c>
      <c r="F2" s="38" t="n">
        <v>0</v>
      </c>
      <c r="G2" s="38" t="n">
        <v>40</v>
      </c>
      <c r="I2" s="38" t="inlineStr">
        <is>
          <t>Total de tots els sexes; resposta JSON-stat de l'API d'Idescat</t>
        </is>
      </c>
    </row>
    <row r="3" ht="15" customHeight="1" s="39">
      <c r="A3" s="38" t="n">
        <v>2021</v>
      </c>
      <c r="B3" s="42" t="inlineStr">
        <is>
          <t>430120</t>
        </is>
      </c>
      <c r="C3" s="38" t="inlineStr">
        <is>
          <t>Altafulla</t>
        </is>
      </c>
      <c r="D3" s="38" t="inlineStr">
        <is>
          <t>Y001</t>
        </is>
      </c>
      <c r="E3" s="38" t="inlineStr">
        <is>
          <t>1 any</t>
        </is>
      </c>
      <c r="F3" s="38" t="n">
        <v>1</v>
      </c>
      <c r="G3" s="38" t="n">
        <v>50</v>
      </c>
      <c r="I3" s="38" t="inlineStr">
        <is>
          <t>Total de tots els sexes; resposta JSON-stat de l'API d'Idescat</t>
        </is>
      </c>
    </row>
    <row r="4" ht="15" customHeight="1" s="39">
      <c r="A4" s="38" t="n">
        <v>2021</v>
      </c>
      <c r="B4" s="42" t="inlineStr">
        <is>
          <t>430120</t>
        </is>
      </c>
      <c r="C4" s="38" t="inlineStr">
        <is>
          <t>Altafulla</t>
        </is>
      </c>
      <c r="D4" s="38" t="inlineStr">
        <is>
          <t>Y002</t>
        </is>
      </c>
      <c r="E4" s="38" t="inlineStr">
        <is>
          <t>2 anys</t>
        </is>
      </c>
      <c r="F4" s="38" t="n">
        <v>2</v>
      </c>
      <c r="G4" s="38" t="n">
        <v>44</v>
      </c>
      <c r="I4" s="38" t="inlineStr">
        <is>
          <t>Total de tots els sexes; resposta JSON-stat de l'API d'Idescat</t>
        </is>
      </c>
    </row>
    <row r="5" ht="15" customHeight="1" s="39">
      <c r="A5" s="38" t="n">
        <v>2021</v>
      </c>
      <c r="B5" s="42" t="inlineStr">
        <is>
          <t>430120</t>
        </is>
      </c>
      <c r="C5" s="38" t="inlineStr">
        <is>
          <t>Altafulla</t>
        </is>
      </c>
      <c r="D5" s="38" t="inlineStr">
        <is>
          <t>Y003</t>
        </is>
      </c>
      <c r="E5" s="38" t="inlineStr">
        <is>
          <t>3 anys</t>
        </is>
      </c>
      <c r="F5" s="38" t="n">
        <v>3</v>
      </c>
      <c r="G5" s="38" t="n">
        <v>58</v>
      </c>
      <c r="I5" s="38" t="inlineStr">
        <is>
          <t>Total de tots els sexes; resposta JSON-stat de l'API d'Idescat</t>
        </is>
      </c>
    </row>
    <row r="6" ht="15" customHeight="1" s="39">
      <c r="A6" s="38" t="n">
        <v>2021</v>
      </c>
      <c r="B6" s="42" t="inlineStr">
        <is>
          <t>430120</t>
        </is>
      </c>
      <c r="C6" s="38" t="inlineStr">
        <is>
          <t>Altafulla</t>
        </is>
      </c>
      <c r="D6" s="38" t="inlineStr">
        <is>
          <t>Y004</t>
        </is>
      </c>
      <c r="E6" s="38" t="inlineStr">
        <is>
          <t>4 anys</t>
        </is>
      </c>
      <c r="F6" s="38" t="n">
        <v>4</v>
      </c>
      <c r="G6" s="38" t="n">
        <v>73</v>
      </c>
      <c r="I6" s="38" t="inlineStr">
        <is>
          <t>Total de tots els sexes; resposta JSON-stat de l'API d'Idescat</t>
        </is>
      </c>
    </row>
    <row r="7" ht="15" customHeight="1" s="39">
      <c r="A7" s="38" t="n">
        <v>2021</v>
      </c>
      <c r="B7" s="42" t="inlineStr">
        <is>
          <t>430120</t>
        </is>
      </c>
      <c r="C7" s="38" t="inlineStr">
        <is>
          <t>Altafulla</t>
        </is>
      </c>
      <c r="D7" s="38" t="inlineStr">
        <is>
          <t>Y005</t>
        </is>
      </c>
      <c r="E7" s="38" t="inlineStr">
        <is>
          <t>5 anys</t>
        </is>
      </c>
      <c r="F7" s="38" t="n">
        <v>5</v>
      </c>
      <c r="G7" s="38" t="n">
        <v>55</v>
      </c>
      <c r="I7" s="38" t="inlineStr">
        <is>
          <t>Total de tots els sexes; resposta JSON-stat de l'API d'Idescat</t>
        </is>
      </c>
    </row>
    <row r="8" ht="15" customHeight="1" s="39">
      <c r="A8" s="38" t="n">
        <v>2021</v>
      </c>
      <c r="B8" s="42" t="inlineStr">
        <is>
          <t>430120</t>
        </is>
      </c>
      <c r="C8" s="38" t="inlineStr">
        <is>
          <t>Altafulla</t>
        </is>
      </c>
      <c r="D8" s="38" t="inlineStr">
        <is>
          <t>Y006</t>
        </is>
      </c>
      <c r="E8" s="38" t="inlineStr">
        <is>
          <t>6 anys</t>
        </is>
      </c>
      <c r="F8" s="38" t="n">
        <v>6</v>
      </c>
      <c r="G8" s="38" t="n">
        <v>68</v>
      </c>
      <c r="I8" s="38" t="inlineStr">
        <is>
          <t>Total de tots els sexes; resposta JSON-stat de l'API d'Idescat</t>
        </is>
      </c>
    </row>
    <row r="9" ht="15" customHeight="1" s="39">
      <c r="A9" s="38" t="n">
        <v>2021</v>
      </c>
      <c r="B9" s="42" t="inlineStr">
        <is>
          <t>430120</t>
        </is>
      </c>
      <c r="C9" s="38" t="inlineStr">
        <is>
          <t>Altafulla</t>
        </is>
      </c>
      <c r="D9" s="38" t="inlineStr">
        <is>
          <t>Y007</t>
        </is>
      </c>
      <c r="E9" s="38" t="inlineStr">
        <is>
          <t>7 anys</t>
        </is>
      </c>
      <c r="F9" s="38" t="n">
        <v>7</v>
      </c>
      <c r="G9" s="38" t="n">
        <v>69</v>
      </c>
      <c r="I9" s="38" t="inlineStr">
        <is>
          <t>Total de tots els sexes; resposta JSON-stat de l'API d'Idescat</t>
        </is>
      </c>
    </row>
    <row r="10" ht="15" customHeight="1" s="39">
      <c r="A10" s="38" t="n">
        <v>2021</v>
      </c>
      <c r="B10" s="42" t="inlineStr">
        <is>
          <t>430120</t>
        </is>
      </c>
      <c r="C10" s="38" t="inlineStr">
        <is>
          <t>Altafulla</t>
        </is>
      </c>
      <c r="D10" s="38" t="inlineStr">
        <is>
          <t>Y008</t>
        </is>
      </c>
      <c r="E10" s="38" t="inlineStr">
        <is>
          <t>8 anys</t>
        </is>
      </c>
      <c r="F10" s="38" t="n">
        <v>8</v>
      </c>
      <c r="G10" s="38" t="n">
        <v>68</v>
      </c>
      <c r="I10" s="38" t="inlineStr">
        <is>
          <t>Total de tots els sexes; resposta JSON-stat de l'API d'Idescat</t>
        </is>
      </c>
    </row>
    <row r="11" ht="15" customHeight="1" s="39">
      <c r="A11" s="38" t="n">
        <v>2021</v>
      </c>
      <c r="B11" s="42" t="inlineStr">
        <is>
          <t>430120</t>
        </is>
      </c>
      <c r="C11" s="38" t="inlineStr">
        <is>
          <t>Altafulla</t>
        </is>
      </c>
      <c r="D11" s="38" t="inlineStr">
        <is>
          <t>Y009</t>
        </is>
      </c>
      <c r="E11" s="38" t="inlineStr">
        <is>
          <t>9 anys</t>
        </is>
      </c>
      <c r="F11" s="38" t="n">
        <v>9</v>
      </c>
      <c r="G11" s="38" t="n">
        <v>60</v>
      </c>
      <c r="I11" s="38" t="inlineStr">
        <is>
          <t>Total de tots els sexes; resposta JSON-stat de l'API d'Idescat</t>
        </is>
      </c>
    </row>
    <row r="12" ht="15" customHeight="1" s="39">
      <c r="A12" s="38" t="n">
        <v>2021</v>
      </c>
      <c r="B12" s="42" t="inlineStr">
        <is>
          <t>430120</t>
        </is>
      </c>
      <c r="C12" s="38" t="inlineStr">
        <is>
          <t>Altafulla</t>
        </is>
      </c>
      <c r="D12" s="38" t="inlineStr">
        <is>
          <t>Y010</t>
        </is>
      </c>
      <c r="E12" s="38" t="inlineStr">
        <is>
          <t>10 anys</t>
        </is>
      </c>
      <c r="F12" s="38" t="n">
        <v>10</v>
      </c>
      <c r="G12" s="38" t="n">
        <v>81</v>
      </c>
      <c r="I12" s="38" t="inlineStr">
        <is>
          <t>Total de tots els sexes; resposta JSON-stat de l'API d'Idescat</t>
        </is>
      </c>
    </row>
    <row r="13" ht="15" customHeight="1" s="39">
      <c r="A13" s="38" t="n">
        <v>2021</v>
      </c>
      <c r="B13" s="42" t="inlineStr">
        <is>
          <t>430120</t>
        </is>
      </c>
      <c r="C13" s="38" t="inlineStr">
        <is>
          <t>Altafulla</t>
        </is>
      </c>
      <c r="D13" s="38" t="inlineStr">
        <is>
          <t>Y011</t>
        </is>
      </c>
      <c r="E13" s="38" t="inlineStr">
        <is>
          <t>11 anys</t>
        </is>
      </c>
      <c r="F13" s="38" t="n">
        <v>11</v>
      </c>
      <c r="G13" s="38" t="n">
        <v>70</v>
      </c>
      <c r="I13" s="38" t="inlineStr">
        <is>
          <t>Total de tots els sexes; resposta JSON-stat de l'API d'Idescat</t>
        </is>
      </c>
    </row>
    <row r="14" ht="15" customHeight="1" s="39">
      <c r="A14" s="38" t="n">
        <v>2021</v>
      </c>
      <c r="B14" s="42" t="inlineStr">
        <is>
          <t>430120</t>
        </is>
      </c>
      <c r="C14" s="38" t="inlineStr">
        <is>
          <t>Altafulla</t>
        </is>
      </c>
      <c r="D14" s="38" t="inlineStr">
        <is>
          <t>Y012</t>
        </is>
      </c>
      <c r="E14" s="38" t="inlineStr">
        <is>
          <t>12 anys</t>
        </is>
      </c>
      <c r="F14" s="38" t="n">
        <v>12</v>
      </c>
      <c r="G14" s="38" t="n">
        <v>79</v>
      </c>
      <c r="I14" s="38" t="inlineStr">
        <is>
          <t>Total de tots els sexes; resposta JSON-stat de l'API d'Idescat</t>
        </is>
      </c>
    </row>
    <row r="15" ht="15" customHeight="1" s="39">
      <c r="A15" s="38" t="n">
        <v>2021</v>
      </c>
      <c r="B15" s="42" t="inlineStr">
        <is>
          <t>430120</t>
        </is>
      </c>
      <c r="C15" s="38" t="inlineStr">
        <is>
          <t>Altafulla</t>
        </is>
      </c>
      <c r="D15" s="38" t="inlineStr">
        <is>
          <t>Y013</t>
        </is>
      </c>
      <c r="E15" s="38" t="inlineStr">
        <is>
          <t>13 anys</t>
        </is>
      </c>
      <c r="F15" s="38" t="n">
        <v>13</v>
      </c>
      <c r="G15" s="38" t="n">
        <v>60</v>
      </c>
      <c r="I15" s="38" t="inlineStr">
        <is>
          <t>Total de tots els sexes; resposta JSON-stat de l'API d'Idescat</t>
        </is>
      </c>
    </row>
    <row r="16" ht="15" customHeight="1" s="39">
      <c r="A16" s="38" t="n">
        <v>2021</v>
      </c>
      <c r="B16" s="42" t="inlineStr">
        <is>
          <t>430120</t>
        </is>
      </c>
      <c r="C16" s="38" t="inlineStr">
        <is>
          <t>Altafulla</t>
        </is>
      </c>
      <c r="D16" s="38" t="inlineStr">
        <is>
          <t>Y014</t>
        </is>
      </c>
      <c r="E16" s="38" t="inlineStr">
        <is>
          <t>14 anys</t>
        </is>
      </c>
      <c r="F16" s="38" t="n">
        <v>14</v>
      </c>
      <c r="G16" s="38" t="n">
        <v>59</v>
      </c>
      <c r="I16" s="38" t="inlineStr">
        <is>
          <t>Total de tots els sexes; resposta JSON-stat de l'API d'Idescat</t>
        </is>
      </c>
    </row>
    <row r="17" ht="15" customHeight="1" s="39">
      <c r="A17" s="38" t="n">
        <v>2021</v>
      </c>
      <c r="B17" s="42" t="inlineStr">
        <is>
          <t>430120</t>
        </is>
      </c>
      <c r="C17" s="38" t="inlineStr">
        <is>
          <t>Altafulla</t>
        </is>
      </c>
      <c r="D17" s="38" t="inlineStr">
        <is>
          <t>Y015</t>
        </is>
      </c>
      <c r="E17" s="38" t="inlineStr">
        <is>
          <t>15 anys</t>
        </is>
      </c>
      <c r="F17" s="38" t="n">
        <v>15</v>
      </c>
      <c r="G17" s="38" t="n">
        <v>72</v>
      </c>
      <c r="I17" s="38" t="inlineStr">
        <is>
          <t>Total de tots els sexes; resposta JSON-stat de l'API d'Idescat</t>
        </is>
      </c>
    </row>
    <row r="18" ht="15" customHeight="1" s="39">
      <c r="A18" s="38" t="n">
        <v>2021</v>
      </c>
      <c r="B18" s="42" t="inlineStr">
        <is>
          <t>430120</t>
        </is>
      </c>
      <c r="C18" s="38" t="inlineStr">
        <is>
          <t>Altafulla</t>
        </is>
      </c>
      <c r="D18" s="38" t="inlineStr">
        <is>
          <t>Y016</t>
        </is>
      </c>
      <c r="E18" s="38" t="inlineStr">
        <is>
          <t>16 anys</t>
        </is>
      </c>
      <c r="F18" s="38" t="n">
        <v>16</v>
      </c>
      <c r="G18" s="38" t="n">
        <v>61</v>
      </c>
      <c r="I18" s="38" t="inlineStr">
        <is>
          <t>Total de tots els sexes; resposta JSON-stat de l'API d'Idescat</t>
        </is>
      </c>
    </row>
    <row r="19" ht="15" customHeight="1" s="39">
      <c r="A19" s="38" t="n">
        <v>2021</v>
      </c>
      <c r="B19" s="42" t="inlineStr">
        <is>
          <t>430120</t>
        </is>
      </c>
      <c r="C19" s="38" t="inlineStr">
        <is>
          <t>Altafulla</t>
        </is>
      </c>
      <c r="D19" s="38" t="inlineStr">
        <is>
          <t>Y017</t>
        </is>
      </c>
      <c r="E19" s="38" t="inlineStr">
        <is>
          <t>17 anys</t>
        </is>
      </c>
      <c r="F19" s="38" t="n">
        <v>17</v>
      </c>
      <c r="G19" s="38" t="n">
        <v>61</v>
      </c>
      <c r="I19" s="38" t="inlineStr">
        <is>
          <t>Total de tots els sexes; resposta JSON-stat de l'API d'Idescat</t>
        </is>
      </c>
    </row>
    <row r="20" ht="15" customHeight="1" s="39">
      <c r="A20" s="38" t="n">
        <v>2021</v>
      </c>
      <c r="B20" s="42" t="inlineStr">
        <is>
          <t>430120</t>
        </is>
      </c>
      <c r="C20" s="38" t="inlineStr">
        <is>
          <t>Altafulla</t>
        </is>
      </c>
      <c r="D20" s="38" t="inlineStr">
        <is>
          <t>Y018</t>
        </is>
      </c>
      <c r="E20" s="38" t="inlineStr">
        <is>
          <t>18 anys</t>
        </is>
      </c>
      <c r="F20" s="38" t="n">
        <v>18</v>
      </c>
      <c r="G20" s="38" t="n">
        <v>47</v>
      </c>
      <c r="I20" s="38" t="inlineStr">
        <is>
          <t>Total de tots els sexes; resposta JSON-stat de l'API d'Idescat</t>
        </is>
      </c>
    </row>
    <row r="21" ht="15" customHeight="1" s="39">
      <c r="A21" s="38" t="n">
        <v>2021</v>
      </c>
      <c r="B21" s="42" t="inlineStr">
        <is>
          <t>430120</t>
        </is>
      </c>
      <c r="C21" s="38" t="inlineStr">
        <is>
          <t>Altafulla</t>
        </is>
      </c>
      <c r="D21" s="38" t="inlineStr">
        <is>
          <t>Y019</t>
        </is>
      </c>
      <c r="E21" s="38" t="inlineStr">
        <is>
          <t>19 anys</t>
        </is>
      </c>
      <c r="F21" s="38" t="n">
        <v>19</v>
      </c>
      <c r="G21" s="38" t="n">
        <v>58</v>
      </c>
      <c r="I21" s="38" t="inlineStr">
        <is>
          <t>Total de tots els sexes; resposta JSON-stat de l'API d'Idescat</t>
        </is>
      </c>
    </row>
    <row r="22" ht="15" customHeight="1" s="39">
      <c r="A22" s="38" t="n">
        <v>2021</v>
      </c>
      <c r="B22" s="42" t="inlineStr">
        <is>
          <t>430120</t>
        </is>
      </c>
      <c r="C22" s="38" t="inlineStr">
        <is>
          <t>Altafulla</t>
        </is>
      </c>
      <c r="D22" s="38" t="inlineStr">
        <is>
          <t>Y020</t>
        </is>
      </c>
      <c r="E22" s="38" t="inlineStr">
        <is>
          <t>20 anys</t>
        </is>
      </c>
      <c r="F22" s="38" t="n">
        <v>20</v>
      </c>
      <c r="G22" s="38" t="n">
        <v>48</v>
      </c>
      <c r="I22" s="38" t="inlineStr">
        <is>
          <t>Total de tots els sexes; resposta JSON-stat de l'API d'Idescat</t>
        </is>
      </c>
    </row>
    <row r="23" ht="15" customHeight="1" s="39">
      <c r="A23" s="38" t="n">
        <v>2021</v>
      </c>
      <c r="B23" s="42" t="inlineStr">
        <is>
          <t>430120</t>
        </is>
      </c>
      <c r="C23" s="38" t="inlineStr">
        <is>
          <t>Altafulla</t>
        </is>
      </c>
      <c r="D23" s="38" t="inlineStr">
        <is>
          <t>Y021</t>
        </is>
      </c>
      <c r="E23" s="38" t="inlineStr">
        <is>
          <t>21 anys</t>
        </is>
      </c>
      <c r="F23" s="38" t="n">
        <v>21</v>
      </c>
      <c r="G23" s="38" t="n">
        <v>61</v>
      </c>
      <c r="I23" s="38" t="inlineStr">
        <is>
          <t>Total de tots els sexes; resposta JSON-stat de l'API d'Idescat</t>
        </is>
      </c>
    </row>
    <row r="24" ht="15" customHeight="1" s="39">
      <c r="A24" s="38" t="n">
        <v>2021</v>
      </c>
      <c r="B24" s="42" t="inlineStr">
        <is>
          <t>430120</t>
        </is>
      </c>
      <c r="C24" s="38" t="inlineStr">
        <is>
          <t>Altafulla</t>
        </is>
      </c>
      <c r="D24" s="38" t="inlineStr">
        <is>
          <t>Y022</t>
        </is>
      </c>
      <c r="E24" s="38" t="inlineStr">
        <is>
          <t>22 anys</t>
        </is>
      </c>
      <c r="F24" s="38" t="n">
        <v>22</v>
      </c>
      <c r="G24" s="38" t="n">
        <v>56</v>
      </c>
      <c r="I24" s="38" t="inlineStr">
        <is>
          <t>Total de tots els sexes; resposta JSON-stat de l'API d'Idescat</t>
        </is>
      </c>
    </row>
    <row r="25" ht="15" customHeight="1" s="39">
      <c r="A25" s="38" t="n">
        <v>2021</v>
      </c>
      <c r="B25" s="42" t="inlineStr">
        <is>
          <t>430120</t>
        </is>
      </c>
      <c r="C25" s="38" t="inlineStr">
        <is>
          <t>Altafulla</t>
        </is>
      </c>
      <c r="D25" s="38" t="inlineStr">
        <is>
          <t>Y023</t>
        </is>
      </c>
      <c r="E25" s="38" t="inlineStr">
        <is>
          <t>23 anys</t>
        </is>
      </c>
      <c r="F25" s="38" t="n">
        <v>23</v>
      </c>
      <c r="G25" s="38" t="n">
        <v>48</v>
      </c>
      <c r="I25" s="38" t="inlineStr">
        <is>
          <t>Total de tots els sexes; resposta JSON-stat de l'API d'Idescat</t>
        </is>
      </c>
    </row>
    <row r="26" ht="15" customHeight="1" s="39">
      <c r="A26" s="38" t="n">
        <v>2021</v>
      </c>
      <c r="B26" s="42" t="inlineStr">
        <is>
          <t>430120</t>
        </is>
      </c>
      <c r="C26" s="38" t="inlineStr">
        <is>
          <t>Altafulla</t>
        </is>
      </c>
      <c r="D26" s="38" t="inlineStr">
        <is>
          <t>Y024</t>
        </is>
      </c>
      <c r="E26" s="38" t="inlineStr">
        <is>
          <t>24 anys</t>
        </is>
      </c>
      <c r="F26" s="38" t="n">
        <v>24</v>
      </c>
      <c r="G26" s="38" t="n">
        <v>52</v>
      </c>
      <c r="I26" s="38" t="inlineStr">
        <is>
          <t>Total de tots els sexes; resposta JSON-stat de l'API d'Idescat</t>
        </is>
      </c>
    </row>
    <row r="27" ht="15" customHeight="1" s="39">
      <c r="A27" s="38" t="n">
        <v>2021</v>
      </c>
      <c r="B27" s="42" t="inlineStr">
        <is>
          <t>430120</t>
        </is>
      </c>
      <c r="C27" s="38" t="inlineStr">
        <is>
          <t>Altafulla</t>
        </is>
      </c>
      <c r="D27" s="38" t="inlineStr">
        <is>
          <t>Y025</t>
        </is>
      </c>
      <c r="E27" s="38" t="inlineStr">
        <is>
          <t>25 anys</t>
        </is>
      </c>
      <c r="F27" s="38" t="n">
        <v>25</v>
      </c>
      <c r="G27" s="38" t="n">
        <v>48</v>
      </c>
      <c r="I27" s="38" t="inlineStr">
        <is>
          <t>Total de tots els sexes; resposta JSON-stat de l'API d'Idescat</t>
        </is>
      </c>
    </row>
    <row r="28" ht="15" customHeight="1" s="39">
      <c r="A28" s="38" t="n">
        <v>2021</v>
      </c>
      <c r="B28" s="42" t="inlineStr">
        <is>
          <t>430120</t>
        </is>
      </c>
      <c r="C28" s="38" t="inlineStr">
        <is>
          <t>Altafulla</t>
        </is>
      </c>
      <c r="D28" s="38" t="inlineStr">
        <is>
          <t>Y026</t>
        </is>
      </c>
      <c r="E28" s="38" t="inlineStr">
        <is>
          <t>26 anys</t>
        </is>
      </c>
      <c r="F28" s="38" t="n">
        <v>26</v>
      </c>
      <c r="G28" s="38" t="n">
        <v>34</v>
      </c>
      <c r="I28" s="38" t="inlineStr">
        <is>
          <t>Total de tots els sexes; resposta JSON-stat de l'API d'Idescat</t>
        </is>
      </c>
    </row>
    <row r="29" ht="15" customHeight="1" s="39">
      <c r="A29" s="38" t="n">
        <v>2021</v>
      </c>
      <c r="B29" s="42" t="inlineStr">
        <is>
          <t>430120</t>
        </is>
      </c>
      <c r="C29" s="38" t="inlineStr">
        <is>
          <t>Altafulla</t>
        </is>
      </c>
      <c r="D29" s="38" t="inlineStr">
        <is>
          <t>Y027</t>
        </is>
      </c>
      <c r="E29" s="38" t="inlineStr">
        <is>
          <t>27 anys</t>
        </is>
      </c>
      <c r="F29" s="38" t="n">
        <v>27</v>
      </c>
      <c r="G29" s="38" t="n">
        <v>32</v>
      </c>
      <c r="I29" s="38" t="inlineStr">
        <is>
          <t>Total de tots els sexes; resposta JSON-stat de l'API d'Idescat</t>
        </is>
      </c>
    </row>
    <row r="30" ht="15" customHeight="1" s="39">
      <c r="A30" s="38" t="n">
        <v>2021</v>
      </c>
      <c r="B30" s="42" t="inlineStr">
        <is>
          <t>430120</t>
        </is>
      </c>
      <c r="C30" s="38" t="inlineStr">
        <is>
          <t>Altafulla</t>
        </is>
      </c>
      <c r="D30" s="38" t="inlineStr">
        <is>
          <t>Y028</t>
        </is>
      </c>
      <c r="E30" s="38" t="inlineStr">
        <is>
          <t>28 anys</t>
        </is>
      </c>
      <c r="F30" s="38" t="n">
        <v>28</v>
      </c>
      <c r="G30" s="38" t="n">
        <v>58</v>
      </c>
      <c r="I30" s="38" t="inlineStr">
        <is>
          <t>Total de tots els sexes; resposta JSON-stat de l'API d'Idescat</t>
        </is>
      </c>
    </row>
    <row r="31" ht="15" customHeight="1" s="39">
      <c r="A31" s="38" t="n">
        <v>2021</v>
      </c>
      <c r="B31" s="42" t="inlineStr">
        <is>
          <t>430120</t>
        </is>
      </c>
      <c r="C31" s="38" t="inlineStr">
        <is>
          <t>Altafulla</t>
        </is>
      </c>
      <c r="D31" s="38" t="inlineStr">
        <is>
          <t>Y029</t>
        </is>
      </c>
      <c r="E31" s="38" t="inlineStr">
        <is>
          <t>29 anys</t>
        </is>
      </c>
      <c r="F31" s="38" t="n">
        <v>29</v>
      </c>
      <c r="G31" s="38" t="n">
        <v>43</v>
      </c>
      <c r="I31" s="38" t="inlineStr">
        <is>
          <t>Total de tots els sexes; resposta JSON-stat de l'API d'Idescat</t>
        </is>
      </c>
    </row>
    <row r="32" ht="15" customHeight="1" s="39">
      <c r="A32" s="38" t="n">
        <v>2021</v>
      </c>
      <c r="B32" s="42" t="inlineStr">
        <is>
          <t>430120</t>
        </is>
      </c>
      <c r="C32" s="38" t="inlineStr">
        <is>
          <t>Altafulla</t>
        </is>
      </c>
      <c r="D32" s="38" t="inlineStr">
        <is>
          <t>Y030</t>
        </is>
      </c>
      <c r="E32" s="38" t="inlineStr">
        <is>
          <t>30 anys</t>
        </is>
      </c>
      <c r="F32" s="38" t="n">
        <v>30</v>
      </c>
      <c r="G32" s="38" t="n">
        <v>50</v>
      </c>
      <c r="I32" s="38" t="inlineStr">
        <is>
          <t>Total de tots els sexes; resposta JSON-stat de l'API d'Idescat</t>
        </is>
      </c>
    </row>
    <row r="33" ht="15" customHeight="1" s="39">
      <c r="A33" s="38" t="n">
        <v>2021</v>
      </c>
      <c r="B33" s="42" t="inlineStr">
        <is>
          <t>430120</t>
        </is>
      </c>
      <c r="C33" s="38" t="inlineStr">
        <is>
          <t>Altafulla</t>
        </is>
      </c>
      <c r="D33" s="38" t="inlineStr">
        <is>
          <t>Y031</t>
        </is>
      </c>
      <c r="E33" s="38" t="inlineStr">
        <is>
          <t>31 anys</t>
        </is>
      </c>
      <c r="F33" s="38" t="n">
        <v>31</v>
      </c>
      <c r="G33" s="38" t="n">
        <v>56</v>
      </c>
      <c r="I33" s="38" t="inlineStr">
        <is>
          <t>Total de tots els sexes; resposta JSON-stat de l'API d'Idescat</t>
        </is>
      </c>
    </row>
    <row r="34" ht="15" customHeight="1" s="39">
      <c r="A34" s="38" t="n">
        <v>2021</v>
      </c>
      <c r="B34" s="42" t="inlineStr">
        <is>
          <t>430120</t>
        </is>
      </c>
      <c r="C34" s="38" t="inlineStr">
        <is>
          <t>Altafulla</t>
        </is>
      </c>
      <c r="D34" s="38" t="inlineStr">
        <is>
          <t>Y032</t>
        </is>
      </c>
      <c r="E34" s="38" t="inlineStr">
        <is>
          <t>32 anys</t>
        </is>
      </c>
      <c r="F34" s="38" t="n">
        <v>32</v>
      </c>
      <c r="G34" s="38" t="n">
        <v>51</v>
      </c>
      <c r="I34" s="38" t="inlineStr">
        <is>
          <t>Total de tots els sexes; resposta JSON-stat de l'API d'Idescat</t>
        </is>
      </c>
    </row>
    <row r="35" ht="15" customHeight="1" s="39">
      <c r="A35" s="38" t="n">
        <v>2021</v>
      </c>
      <c r="B35" s="42" t="inlineStr">
        <is>
          <t>430120</t>
        </is>
      </c>
      <c r="C35" s="38" t="inlineStr">
        <is>
          <t>Altafulla</t>
        </is>
      </c>
      <c r="D35" s="38" t="inlineStr">
        <is>
          <t>Y033</t>
        </is>
      </c>
      <c r="E35" s="38" t="inlineStr">
        <is>
          <t>33 anys</t>
        </is>
      </c>
      <c r="F35" s="38" t="n">
        <v>33</v>
      </c>
      <c r="G35" s="38" t="n">
        <v>41</v>
      </c>
      <c r="I35" s="38" t="inlineStr">
        <is>
          <t>Total de tots els sexes; resposta JSON-stat de l'API d'Idescat</t>
        </is>
      </c>
    </row>
    <row r="36" ht="15" customHeight="1" s="39">
      <c r="A36" s="38" t="n">
        <v>2021</v>
      </c>
      <c r="B36" s="42" t="inlineStr">
        <is>
          <t>430120</t>
        </is>
      </c>
      <c r="C36" s="38" t="inlineStr">
        <is>
          <t>Altafulla</t>
        </is>
      </c>
      <c r="D36" s="38" t="inlineStr">
        <is>
          <t>Y034</t>
        </is>
      </c>
      <c r="E36" s="38" t="inlineStr">
        <is>
          <t>34 anys</t>
        </is>
      </c>
      <c r="F36" s="38" t="n">
        <v>34</v>
      </c>
      <c r="G36" s="38" t="n">
        <v>52</v>
      </c>
      <c r="I36" s="38" t="inlineStr">
        <is>
          <t>Total de tots els sexes; resposta JSON-stat de l'API d'Idescat</t>
        </is>
      </c>
    </row>
    <row r="37" ht="15" customHeight="1" s="39">
      <c r="A37" s="38" t="n">
        <v>2021</v>
      </c>
      <c r="B37" s="42" t="inlineStr">
        <is>
          <t>430120</t>
        </is>
      </c>
      <c r="C37" s="38" t="inlineStr">
        <is>
          <t>Altafulla</t>
        </is>
      </c>
      <c r="D37" s="38" t="inlineStr">
        <is>
          <t>Y035</t>
        </is>
      </c>
      <c r="E37" s="38" t="inlineStr">
        <is>
          <t>35 anys</t>
        </is>
      </c>
      <c r="F37" s="38" t="n">
        <v>35</v>
      </c>
      <c r="G37" s="38" t="n">
        <v>55</v>
      </c>
      <c r="I37" s="38" t="inlineStr">
        <is>
          <t>Total de tots els sexes; resposta JSON-stat de l'API d'Idescat</t>
        </is>
      </c>
    </row>
    <row r="38" ht="15" customHeight="1" s="39">
      <c r="A38" s="38" t="n">
        <v>2021</v>
      </c>
      <c r="B38" s="42" t="inlineStr">
        <is>
          <t>430120</t>
        </is>
      </c>
      <c r="C38" s="38" t="inlineStr">
        <is>
          <t>Altafulla</t>
        </is>
      </c>
      <c r="D38" s="38" t="inlineStr">
        <is>
          <t>Y036</t>
        </is>
      </c>
      <c r="E38" s="38" t="inlineStr">
        <is>
          <t>36 anys</t>
        </is>
      </c>
      <c r="F38" s="38" t="n">
        <v>36</v>
      </c>
      <c r="G38" s="38" t="n">
        <v>75</v>
      </c>
      <c r="I38" s="38" t="inlineStr">
        <is>
          <t>Total de tots els sexes; resposta JSON-stat de l'API d'Idescat</t>
        </is>
      </c>
    </row>
    <row r="39" ht="15" customHeight="1" s="39">
      <c r="A39" s="38" t="n">
        <v>2021</v>
      </c>
      <c r="B39" s="42" t="inlineStr">
        <is>
          <t>430120</t>
        </is>
      </c>
      <c r="C39" s="38" t="inlineStr">
        <is>
          <t>Altafulla</t>
        </is>
      </c>
      <c r="D39" s="38" t="inlineStr">
        <is>
          <t>Y037</t>
        </is>
      </c>
      <c r="E39" s="38" t="inlineStr">
        <is>
          <t>37 anys</t>
        </is>
      </c>
      <c r="F39" s="38" t="n">
        <v>37</v>
      </c>
      <c r="G39" s="38" t="n">
        <v>73</v>
      </c>
      <c r="I39" s="38" t="inlineStr">
        <is>
          <t>Total de tots els sexes; resposta JSON-stat de l'API d'Idescat</t>
        </is>
      </c>
    </row>
    <row r="40" ht="15" customHeight="1" s="39">
      <c r="A40" s="38" t="n">
        <v>2021</v>
      </c>
      <c r="B40" s="42" t="inlineStr">
        <is>
          <t>430120</t>
        </is>
      </c>
      <c r="C40" s="38" t="inlineStr">
        <is>
          <t>Altafulla</t>
        </is>
      </c>
      <c r="D40" s="38" t="inlineStr">
        <is>
          <t>Y038</t>
        </is>
      </c>
      <c r="E40" s="38" t="inlineStr">
        <is>
          <t>38 anys</t>
        </is>
      </c>
      <c r="F40" s="38" t="n">
        <v>38</v>
      </c>
      <c r="G40" s="38" t="n">
        <v>86</v>
      </c>
      <c r="I40" s="38" t="inlineStr">
        <is>
          <t>Total de tots els sexes; resposta JSON-stat de l'API d'Idescat</t>
        </is>
      </c>
    </row>
    <row r="41" ht="15" customHeight="1" s="39">
      <c r="A41" s="38" t="n">
        <v>2021</v>
      </c>
      <c r="B41" s="42" t="inlineStr">
        <is>
          <t>430120</t>
        </is>
      </c>
      <c r="C41" s="38" t="inlineStr">
        <is>
          <t>Altafulla</t>
        </is>
      </c>
      <c r="D41" s="38" t="inlineStr">
        <is>
          <t>Y039</t>
        </is>
      </c>
      <c r="E41" s="38" t="inlineStr">
        <is>
          <t>39 anys</t>
        </is>
      </c>
      <c r="F41" s="38" t="n">
        <v>39</v>
      </c>
      <c r="G41" s="38" t="n">
        <v>91</v>
      </c>
      <c r="I41" s="38" t="inlineStr">
        <is>
          <t>Total de tots els sexes; resposta JSON-stat de l'API d'Idescat</t>
        </is>
      </c>
    </row>
    <row r="42" ht="15" customHeight="1" s="39">
      <c r="A42" s="38" t="n">
        <v>2021</v>
      </c>
      <c r="B42" s="42" t="inlineStr">
        <is>
          <t>430120</t>
        </is>
      </c>
      <c r="C42" s="38" t="inlineStr">
        <is>
          <t>Altafulla</t>
        </is>
      </c>
      <c r="D42" s="38" t="inlineStr">
        <is>
          <t>Y040</t>
        </is>
      </c>
      <c r="E42" s="38" t="inlineStr">
        <is>
          <t>40 anys</t>
        </is>
      </c>
      <c r="F42" s="38" t="n">
        <v>40</v>
      </c>
      <c r="G42" s="38" t="n">
        <v>92</v>
      </c>
      <c r="I42" s="38" t="inlineStr">
        <is>
          <t>Total de tots els sexes; resposta JSON-stat de l'API d'Idescat</t>
        </is>
      </c>
    </row>
    <row r="43" ht="15" customHeight="1" s="39">
      <c r="A43" s="38" t="n">
        <v>2021</v>
      </c>
      <c r="B43" s="42" t="inlineStr">
        <is>
          <t>430120</t>
        </is>
      </c>
      <c r="C43" s="38" t="inlineStr">
        <is>
          <t>Altafulla</t>
        </is>
      </c>
      <c r="D43" s="38" t="inlineStr">
        <is>
          <t>Y041</t>
        </is>
      </c>
      <c r="E43" s="38" t="inlineStr">
        <is>
          <t>41 anys</t>
        </is>
      </c>
      <c r="F43" s="38" t="n">
        <v>41</v>
      </c>
      <c r="G43" s="38" t="n">
        <v>79</v>
      </c>
      <c r="I43" s="38" t="inlineStr">
        <is>
          <t>Total de tots els sexes; resposta JSON-stat de l'API d'Idescat</t>
        </is>
      </c>
    </row>
    <row r="44" ht="15" customHeight="1" s="39">
      <c r="A44" s="38" t="n">
        <v>2021</v>
      </c>
      <c r="B44" s="42" t="inlineStr">
        <is>
          <t>430120</t>
        </is>
      </c>
      <c r="C44" s="38" t="inlineStr">
        <is>
          <t>Altafulla</t>
        </is>
      </c>
      <c r="D44" s="38" t="inlineStr">
        <is>
          <t>Y042</t>
        </is>
      </c>
      <c r="E44" s="38" t="inlineStr">
        <is>
          <t>42 anys</t>
        </is>
      </c>
      <c r="F44" s="38" t="n">
        <v>42</v>
      </c>
      <c r="G44" s="38" t="n">
        <v>104</v>
      </c>
      <c r="I44" s="38" t="inlineStr">
        <is>
          <t>Total de tots els sexes; resposta JSON-stat de l'API d'Idescat</t>
        </is>
      </c>
    </row>
    <row r="45" ht="15" customHeight="1" s="39">
      <c r="A45" s="38" t="n">
        <v>2021</v>
      </c>
      <c r="B45" s="42" t="inlineStr">
        <is>
          <t>430120</t>
        </is>
      </c>
      <c r="C45" s="38" t="inlineStr">
        <is>
          <t>Altafulla</t>
        </is>
      </c>
      <c r="D45" s="38" t="inlineStr">
        <is>
          <t>Y043</t>
        </is>
      </c>
      <c r="E45" s="38" t="inlineStr">
        <is>
          <t>43 anys</t>
        </is>
      </c>
      <c r="F45" s="38" t="n">
        <v>43</v>
      </c>
      <c r="G45" s="38" t="n">
        <v>103</v>
      </c>
      <c r="I45" s="38" t="inlineStr">
        <is>
          <t>Total de tots els sexes; resposta JSON-stat de l'API d'Idescat</t>
        </is>
      </c>
    </row>
    <row r="46" ht="15" customHeight="1" s="39">
      <c r="A46" s="38" t="n">
        <v>2021</v>
      </c>
      <c r="B46" s="42" t="inlineStr">
        <is>
          <t>430120</t>
        </is>
      </c>
      <c r="C46" s="38" t="inlineStr">
        <is>
          <t>Altafulla</t>
        </is>
      </c>
      <c r="D46" s="38" t="inlineStr">
        <is>
          <t>Y044</t>
        </is>
      </c>
      <c r="E46" s="38" t="inlineStr">
        <is>
          <t>44 anys</t>
        </is>
      </c>
      <c r="F46" s="38" t="n">
        <v>44</v>
      </c>
      <c r="G46" s="38" t="n">
        <v>90</v>
      </c>
      <c r="I46" s="38" t="inlineStr">
        <is>
          <t>Total de tots els sexes; resposta JSON-stat de l'API d'Idescat</t>
        </is>
      </c>
    </row>
    <row r="47" ht="15" customHeight="1" s="39">
      <c r="A47" s="38" t="n">
        <v>2021</v>
      </c>
      <c r="B47" s="42" t="inlineStr">
        <is>
          <t>430120</t>
        </is>
      </c>
      <c r="C47" s="38" t="inlineStr">
        <is>
          <t>Altafulla</t>
        </is>
      </c>
      <c r="D47" s="38" t="inlineStr">
        <is>
          <t>Y045</t>
        </is>
      </c>
      <c r="E47" s="38" t="inlineStr">
        <is>
          <t>45 anys</t>
        </is>
      </c>
      <c r="F47" s="38" t="n">
        <v>45</v>
      </c>
      <c r="G47" s="38" t="n">
        <v>116</v>
      </c>
      <c r="I47" s="38" t="inlineStr">
        <is>
          <t>Total de tots els sexes; resposta JSON-stat de l'API d'Idescat</t>
        </is>
      </c>
    </row>
    <row r="48" ht="15" customHeight="1" s="39">
      <c r="A48" s="38" t="n">
        <v>2021</v>
      </c>
      <c r="B48" s="42" t="inlineStr">
        <is>
          <t>430120</t>
        </is>
      </c>
      <c r="C48" s="38" t="inlineStr">
        <is>
          <t>Altafulla</t>
        </is>
      </c>
      <c r="D48" s="38" t="inlineStr">
        <is>
          <t>Y046</t>
        </is>
      </c>
      <c r="E48" s="38" t="inlineStr">
        <is>
          <t>46 anys</t>
        </is>
      </c>
      <c r="F48" s="38" t="n">
        <v>46</v>
      </c>
      <c r="G48" s="38" t="n">
        <v>108</v>
      </c>
      <c r="I48" s="38" t="inlineStr">
        <is>
          <t>Total de tots els sexes; resposta JSON-stat de l'API d'Idescat</t>
        </is>
      </c>
    </row>
    <row r="49" ht="15" customHeight="1" s="39">
      <c r="A49" s="38" t="n">
        <v>2021</v>
      </c>
      <c r="B49" s="42" t="inlineStr">
        <is>
          <t>430120</t>
        </is>
      </c>
      <c r="C49" s="38" t="inlineStr">
        <is>
          <t>Altafulla</t>
        </is>
      </c>
      <c r="D49" s="38" t="inlineStr">
        <is>
          <t>Y047</t>
        </is>
      </c>
      <c r="E49" s="38" t="inlineStr">
        <is>
          <t>47 anys</t>
        </is>
      </c>
      <c r="F49" s="38" t="n">
        <v>47</v>
      </c>
      <c r="G49" s="38" t="n">
        <v>74</v>
      </c>
      <c r="I49" s="38" t="inlineStr">
        <is>
          <t>Total de tots els sexes; resposta JSON-stat de l'API d'Idescat</t>
        </is>
      </c>
    </row>
    <row r="50" ht="15" customHeight="1" s="39">
      <c r="A50" s="38" t="n">
        <v>2021</v>
      </c>
      <c r="B50" s="42" t="inlineStr">
        <is>
          <t>430120</t>
        </is>
      </c>
      <c r="C50" s="38" t="inlineStr">
        <is>
          <t>Altafulla</t>
        </is>
      </c>
      <c r="D50" s="38" t="inlineStr">
        <is>
          <t>Y048</t>
        </is>
      </c>
      <c r="E50" s="38" t="inlineStr">
        <is>
          <t>48 anys</t>
        </is>
      </c>
      <c r="F50" s="38" t="n">
        <v>48</v>
      </c>
      <c r="G50" s="38" t="n">
        <v>93</v>
      </c>
      <c r="I50" s="38" t="inlineStr">
        <is>
          <t>Total de tots els sexes; resposta JSON-stat de l'API d'Idescat</t>
        </is>
      </c>
    </row>
    <row r="51" ht="15" customHeight="1" s="39">
      <c r="A51" s="38" t="n">
        <v>2021</v>
      </c>
      <c r="B51" s="42" t="inlineStr">
        <is>
          <t>430120</t>
        </is>
      </c>
      <c r="C51" s="38" t="inlineStr">
        <is>
          <t>Altafulla</t>
        </is>
      </c>
      <c r="D51" s="38" t="inlineStr">
        <is>
          <t>Y049</t>
        </is>
      </c>
      <c r="E51" s="38" t="inlineStr">
        <is>
          <t>49 anys</t>
        </is>
      </c>
      <c r="F51" s="38" t="n">
        <v>49</v>
      </c>
      <c r="G51" s="38" t="n">
        <v>89</v>
      </c>
      <c r="I51" s="38" t="inlineStr">
        <is>
          <t>Total de tots els sexes; resposta JSON-stat de l'API d'Idescat</t>
        </is>
      </c>
    </row>
    <row r="52" ht="15" customHeight="1" s="39">
      <c r="A52" s="38" t="n">
        <v>2021</v>
      </c>
      <c r="B52" s="42" t="inlineStr">
        <is>
          <t>430120</t>
        </is>
      </c>
      <c r="C52" s="38" t="inlineStr">
        <is>
          <t>Altafulla</t>
        </is>
      </c>
      <c r="D52" s="38" t="inlineStr">
        <is>
          <t>Y050</t>
        </is>
      </c>
      <c r="E52" s="38" t="inlineStr">
        <is>
          <t>50 anys</t>
        </is>
      </c>
      <c r="F52" s="38" t="n">
        <v>50</v>
      </c>
      <c r="G52" s="38" t="n">
        <v>82</v>
      </c>
      <c r="I52" s="38" t="inlineStr">
        <is>
          <t>Total de tots els sexes; resposta JSON-stat de l'API d'Idescat</t>
        </is>
      </c>
    </row>
    <row r="53" ht="15" customHeight="1" s="39">
      <c r="A53" s="38" t="n">
        <v>2021</v>
      </c>
      <c r="B53" s="42" t="inlineStr">
        <is>
          <t>430120</t>
        </is>
      </c>
      <c r="C53" s="38" t="inlineStr">
        <is>
          <t>Altafulla</t>
        </is>
      </c>
      <c r="D53" s="38" t="inlineStr">
        <is>
          <t>Y051</t>
        </is>
      </c>
      <c r="E53" s="38" t="inlineStr">
        <is>
          <t>51 anys</t>
        </is>
      </c>
      <c r="F53" s="38" t="n">
        <v>51</v>
      </c>
      <c r="G53" s="38" t="n">
        <v>82</v>
      </c>
      <c r="I53" s="38" t="inlineStr">
        <is>
          <t>Total de tots els sexes; resposta JSON-stat de l'API d'Idescat</t>
        </is>
      </c>
    </row>
    <row r="54" ht="15" customHeight="1" s="39">
      <c r="A54" s="38" t="n">
        <v>2021</v>
      </c>
      <c r="B54" s="42" t="inlineStr">
        <is>
          <t>430120</t>
        </is>
      </c>
      <c r="C54" s="38" t="inlineStr">
        <is>
          <t>Altafulla</t>
        </is>
      </c>
      <c r="D54" s="38" t="inlineStr">
        <is>
          <t>Y052</t>
        </is>
      </c>
      <c r="E54" s="38" t="inlineStr">
        <is>
          <t>52 anys</t>
        </is>
      </c>
      <c r="F54" s="38" t="n">
        <v>52</v>
      </c>
      <c r="G54" s="38" t="n">
        <v>93</v>
      </c>
      <c r="I54" s="38" t="inlineStr">
        <is>
          <t>Total de tots els sexes; resposta JSON-stat de l'API d'Idescat</t>
        </is>
      </c>
    </row>
    <row r="55" ht="15" customHeight="1" s="39">
      <c r="A55" s="38" t="n">
        <v>2021</v>
      </c>
      <c r="B55" s="42" t="inlineStr">
        <is>
          <t>430120</t>
        </is>
      </c>
      <c r="C55" s="38" t="inlineStr">
        <is>
          <t>Altafulla</t>
        </is>
      </c>
      <c r="D55" s="38" t="inlineStr">
        <is>
          <t>Y053</t>
        </is>
      </c>
      <c r="E55" s="38" t="inlineStr">
        <is>
          <t>53 anys</t>
        </is>
      </c>
      <c r="F55" s="38" t="n">
        <v>53</v>
      </c>
      <c r="G55" s="38" t="n">
        <v>75</v>
      </c>
      <c r="I55" s="38" t="inlineStr">
        <is>
          <t>Total de tots els sexes; resposta JSON-stat de l'API d'Idescat</t>
        </is>
      </c>
    </row>
    <row r="56" ht="15" customHeight="1" s="39">
      <c r="A56" s="38" t="n">
        <v>2021</v>
      </c>
      <c r="B56" s="42" t="inlineStr">
        <is>
          <t>430120</t>
        </is>
      </c>
      <c r="C56" s="38" t="inlineStr">
        <is>
          <t>Altafulla</t>
        </is>
      </c>
      <c r="D56" s="38" t="inlineStr">
        <is>
          <t>Y054</t>
        </is>
      </c>
      <c r="E56" s="38" t="inlineStr">
        <is>
          <t>54 anys</t>
        </is>
      </c>
      <c r="F56" s="38" t="n">
        <v>54</v>
      </c>
      <c r="G56" s="38" t="n">
        <v>80</v>
      </c>
      <c r="I56" s="38" t="inlineStr">
        <is>
          <t>Total de tots els sexes; resposta JSON-stat de l'API d'Idescat</t>
        </is>
      </c>
    </row>
    <row r="57" ht="15" customHeight="1" s="39">
      <c r="A57" s="38" t="n">
        <v>2021</v>
      </c>
      <c r="B57" s="42" t="inlineStr">
        <is>
          <t>430120</t>
        </is>
      </c>
      <c r="C57" s="38" t="inlineStr">
        <is>
          <t>Altafulla</t>
        </is>
      </c>
      <c r="D57" s="38" t="inlineStr">
        <is>
          <t>Y055</t>
        </is>
      </c>
      <c r="E57" s="38" t="inlineStr">
        <is>
          <t>55 anys</t>
        </is>
      </c>
      <c r="F57" s="38" t="n">
        <v>55</v>
      </c>
      <c r="G57" s="38" t="n">
        <v>90</v>
      </c>
      <c r="I57" s="38" t="inlineStr">
        <is>
          <t>Total de tots els sexes; resposta JSON-stat de l'API d'Idescat</t>
        </is>
      </c>
    </row>
    <row r="58" ht="15" customHeight="1" s="39">
      <c r="A58" s="38" t="n">
        <v>2021</v>
      </c>
      <c r="B58" s="42" t="inlineStr">
        <is>
          <t>430120</t>
        </is>
      </c>
      <c r="C58" s="38" t="inlineStr">
        <is>
          <t>Altafulla</t>
        </is>
      </c>
      <c r="D58" s="38" t="inlineStr">
        <is>
          <t>Y056</t>
        </is>
      </c>
      <c r="E58" s="38" t="inlineStr">
        <is>
          <t>56 anys</t>
        </is>
      </c>
      <c r="F58" s="38" t="n">
        <v>56</v>
      </c>
      <c r="G58" s="38" t="n">
        <v>93</v>
      </c>
      <c r="I58" s="38" t="inlineStr">
        <is>
          <t>Total de tots els sexes; resposta JSON-stat de l'API d'Idescat</t>
        </is>
      </c>
    </row>
    <row r="59" ht="15" customHeight="1" s="39">
      <c r="A59" s="38" t="n">
        <v>2021</v>
      </c>
      <c r="B59" s="42" t="inlineStr">
        <is>
          <t>430120</t>
        </is>
      </c>
      <c r="C59" s="38" t="inlineStr">
        <is>
          <t>Altafulla</t>
        </is>
      </c>
      <c r="D59" s="38" t="inlineStr">
        <is>
          <t>Y057</t>
        </is>
      </c>
      <c r="E59" s="38" t="inlineStr">
        <is>
          <t>57 anys</t>
        </is>
      </c>
      <c r="F59" s="38" t="n">
        <v>57</v>
      </c>
      <c r="G59" s="38" t="n">
        <v>79</v>
      </c>
      <c r="I59" s="38" t="inlineStr">
        <is>
          <t>Total de tots els sexes; resposta JSON-stat de l'API d'Idescat</t>
        </is>
      </c>
    </row>
    <row r="60" ht="15" customHeight="1" s="39">
      <c r="A60" s="38" t="n">
        <v>2021</v>
      </c>
      <c r="B60" s="42" t="inlineStr">
        <is>
          <t>430120</t>
        </is>
      </c>
      <c r="C60" s="38" t="inlineStr">
        <is>
          <t>Altafulla</t>
        </is>
      </c>
      <c r="D60" s="38" t="inlineStr">
        <is>
          <t>Y058</t>
        </is>
      </c>
      <c r="E60" s="38" t="inlineStr">
        <is>
          <t>58 anys</t>
        </is>
      </c>
      <c r="F60" s="38" t="n">
        <v>58</v>
      </c>
      <c r="G60" s="38" t="n">
        <v>85</v>
      </c>
      <c r="I60" s="38" t="inlineStr">
        <is>
          <t>Total de tots els sexes; resposta JSON-stat de l'API d'Idescat</t>
        </is>
      </c>
    </row>
    <row r="61" ht="15" customHeight="1" s="39">
      <c r="A61" s="38" t="n">
        <v>2021</v>
      </c>
      <c r="B61" s="42" t="inlineStr">
        <is>
          <t>430120</t>
        </is>
      </c>
      <c r="C61" s="38" t="inlineStr">
        <is>
          <t>Altafulla</t>
        </is>
      </c>
      <c r="D61" s="38" t="inlineStr">
        <is>
          <t>Y059</t>
        </is>
      </c>
      <c r="E61" s="38" t="inlineStr">
        <is>
          <t>59 anys</t>
        </is>
      </c>
      <c r="F61" s="38" t="n">
        <v>59</v>
      </c>
      <c r="G61" s="38" t="n">
        <v>82</v>
      </c>
      <c r="I61" s="38" t="inlineStr">
        <is>
          <t>Total de tots els sexes; resposta JSON-stat de l'API d'Idescat</t>
        </is>
      </c>
    </row>
    <row r="62" ht="15" customHeight="1" s="39">
      <c r="A62" s="38" t="n">
        <v>2021</v>
      </c>
      <c r="B62" s="42" t="inlineStr">
        <is>
          <t>430120</t>
        </is>
      </c>
      <c r="C62" s="38" t="inlineStr">
        <is>
          <t>Altafulla</t>
        </is>
      </c>
      <c r="D62" s="38" t="inlineStr">
        <is>
          <t>Y060</t>
        </is>
      </c>
      <c r="E62" s="38" t="inlineStr">
        <is>
          <t>60 anys</t>
        </is>
      </c>
      <c r="F62" s="38" t="n">
        <v>60</v>
      </c>
      <c r="G62" s="38" t="n">
        <v>90</v>
      </c>
      <c r="I62" s="38" t="inlineStr">
        <is>
          <t>Total de tots els sexes; resposta JSON-stat de l'API d'Idescat</t>
        </is>
      </c>
    </row>
    <row r="63" ht="15" customHeight="1" s="39">
      <c r="A63" s="38" t="n">
        <v>2021</v>
      </c>
      <c r="B63" s="42" t="inlineStr">
        <is>
          <t>430120</t>
        </is>
      </c>
      <c r="C63" s="38" t="inlineStr">
        <is>
          <t>Altafulla</t>
        </is>
      </c>
      <c r="D63" s="38" t="inlineStr">
        <is>
          <t>Y061</t>
        </is>
      </c>
      <c r="E63" s="38" t="inlineStr">
        <is>
          <t>61 anys</t>
        </is>
      </c>
      <c r="F63" s="38" t="n">
        <v>61</v>
      </c>
      <c r="G63" s="38" t="n">
        <v>61</v>
      </c>
      <c r="I63" s="38" t="inlineStr">
        <is>
          <t>Total de tots els sexes; resposta JSON-stat de l'API d'Idescat</t>
        </is>
      </c>
    </row>
    <row r="64" ht="15" customHeight="1" s="39">
      <c r="A64" s="38" t="n">
        <v>2021</v>
      </c>
      <c r="B64" s="42" t="inlineStr">
        <is>
          <t>430120</t>
        </is>
      </c>
      <c r="C64" s="38" t="inlineStr">
        <is>
          <t>Altafulla</t>
        </is>
      </c>
      <c r="D64" s="38" t="inlineStr">
        <is>
          <t>Y062</t>
        </is>
      </c>
      <c r="E64" s="38" t="inlineStr">
        <is>
          <t>62 anys</t>
        </is>
      </c>
      <c r="F64" s="38" t="n">
        <v>62</v>
      </c>
      <c r="G64" s="38" t="n">
        <v>68</v>
      </c>
      <c r="I64" s="38" t="inlineStr">
        <is>
          <t>Total de tots els sexes; resposta JSON-stat de l'API d'Idescat</t>
        </is>
      </c>
    </row>
    <row r="65" ht="15" customHeight="1" s="39">
      <c r="A65" s="38" t="n">
        <v>2021</v>
      </c>
      <c r="B65" s="42" t="inlineStr">
        <is>
          <t>430120</t>
        </is>
      </c>
      <c r="C65" s="38" t="inlineStr">
        <is>
          <t>Altafulla</t>
        </is>
      </c>
      <c r="D65" s="38" t="inlineStr">
        <is>
          <t>Y063</t>
        </is>
      </c>
      <c r="E65" s="38" t="inlineStr">
        <is>
          <t>63 anys</t>
        </is>
      </c>
      <c r="F65" s="38" t="n">
        <v>63</v>
      </c>
      <c r="G65" s="38" t="n">
        <v>83</v>
      </c>
      <c r="I65" s="38" t="inlineStr">
        <is>
          <t>Total de tots els sexes; resposta JSON-stat de l'API d'Idescat</t>
        </is>
      </c>
    </row>
    <row r="66" ht="15" customHeight="1" s="39">
      <c r="A66" s="38" t="n">
        <v>2021</v>
      </c>
      <c r="B66" s="42" t="inlineStr">
        <is>
          <t>430120</t>
        </is>
      </c>
      <c r="C66" s="38" t="inlineStr">
        <is>
          <t>Altafulla</t>
        </is>
      </c>
      <c r="D66" s="38" t="inlineStr">
        <is>
          <t>Y064</t>
        </is>
      </c>
      <c r="E66" s="38" t="inlineStr">
        <is>
          <t>64 anys</t>
        </is>
      </c>
      <c r="F66" s="38" t="n">
        <v>64</v>
      </c>
      <c r="G66" s="38" t="n">
        <v>55</v>
      </c>
      <c r="I66" s="38" t="inlineStr">
        <is>
          <t>Total de tots els sexes; resposta JSON-stat de l'API d'Idescat</t>
        </is>
      </c>
    </row>
    <row r="67" ht="15" customHeight="1" s="39">
      <c r="A67" s="38" t="n">
        <v>2021</v>
      </c>
      <c r="B67" s="42" t="inlineStr">
        <is>
          <t>430120</t>
        </is>
      </c>
      <c r="C67" s="38" t="inlineStr">
        <is>
          <t>Altafulla</t>
        </is>
      </c>
      <c r="D67" s="38" t="inlineStr">
        <is>
          <t>Y065</t>
        </is>
      </c>
      <c r="E67" s="38" t="inlineStr">
        <is>
          <t>65 anys</t>
        </is>
      </c>
      <c r="F67" s="38" t="n">
        <v>65</v>
      </c>
      <c r="G67" s="38" t="n">
        <v>65</v>
      </c>
      <c r="I67" s="38" t="inlineStr">
        <is>
          <t>Total de tots els sexes; resposta JSON-stat de l'API d'Idescat</t>
        </is>
      </c>
    </row>
    <row r="68" ht="15" customHeight="1" s="39">
      <c r="A68" s="38" t="n">
        <v>2021</v>
      </c>
      <c r="B68" s="42" t="inlineStr">
        <is>
          <t>430120</t>
        </is>
      </c>
      <c r="C68" s="38" t="inlineStr">
        <is>
          <t>Altafulla</t>
        </is>
      </c>
      <c r="D68" s="38" t="inlineStr">
        <is>
          <t>Y066</t>
        </is>
      </c>
      <c r="E68" s="38" t="inlineStr">
        <is>
          <t>66 anys</t>
        </is>
      </c>
      <c r="F68" s="38" t="n">
        <v>66</v>
      </c>
      <c r="G68" s="38" t="n">
        <v>77</v>
      </c>
      <c r="I68" s="38" t="inlineStr">
        <is>
          <t>Total de tots els sexes; resposta JSON-stat de l'API d'Idescat</t>
        </is>
      </c>
    </row>
    <row r="69" ht="15" customHeight="1" s="39">
      <c r="A69" s="38" t="n">
        <v>2021</v>
      </c>
      <c r="B69" s="42" t="inlineStr">
        <is>
          <t>430120</t>
        </is>
      </c>
      <c r="C69" s="38" t="inlineStr">
        <is>
          <t>Altafulla</t>
        </is>
      </c>
      <c r="D69" s="38" t="inlineStr">
        <is>
          <t>Y067</t>
        </is>
      </c>
      <c r="E69" s="38" t="inlineStr">
        <is>
          <t>67 anys</t>
        </is>
      </c>
      <c r="F69" s="38" t="n">
        <v>67</v>
      </c>
      <c r="G69" s="38" t="n">
        <v>66</v>
      </c>
      <c r="I69" s="38" t="inlineStr">
        <is>
          <t>Total de tots els sexes; resposta JSON-stat de l'API d'Idescat</t>
        </is>
      </c>
    </row>
    <row r="70" ht="15" customHeight="1" s="39">
      <c r="A70" s="38" t="n">
        <v>2021</v>
      </c>
      <c r="B70" s="42" t="inlineStr">
        <is>
          <t>430120</t>
        </is>
      </c>
      <c r="C70" s="38" t="inlineStr">
        <is>
          <t>Altafulla</t>
        </is>
      </c>
      <c r="D70" s="38" t="inlineStr">
        <is>
          <t>Y068</t>
        </is>
      </c>
      <c r="E70" s="38" t="inlineStr">
        <is>
          <t>68 anys</t>
        </is>
      </c>
      <c r="F70" s="38" t="n">
        <v>68</v>
      </c>
      <c r="G70" s="38" t="n">
        <v>71</v>
      </c>
      <c r="I70" s="38" t="inlineStr">
        <is>
          <t>Total de tots els sexes; resposta JSON-stat de l'API d'Idescat</t>
        </is>
      </c>
    </row>
    <row r="71" ht="15" customHeight="1" s="39">
      <c r="A71" s="38" t="n">
        <v>2021</v>
      </c>
      <c r="B71" s="42" t="inlineStr">
        <is>
          <t>430120</t>
        </is>
      </c>
      <c r="C71" s="38" t="inlineStr">
        <is>
          <t>Altafulla</t>
        </is>
      </c>
      <c r="D71" s="38" t="inlineStr">
        <is>
          <t>Y069</t>
        </is>
      </c>
      <c r="E71" s="38" t="inlineStr">
        <is>
          <t>69 anys</t>
        </is>
      </c>
      <c r="F71" s="38" t="n">
        <v>69</v>
      </c>
      <c r="G71" s="38" t="n">
        <v>60</v>
      </c>
      <c r="I71" s="38" t="inlineStr">
        <is>
          <t>Total de tots els sexes; resposta JSON-stat de l'API d'Idescat</t>
        </is>
      </c>
    </row>
    <row r="72" ht="15" customHeight="1" s="39">
      <c r="A72" s="38" t="n">
        <v>2021</v>
      </c>
      <c r="B72" s="42" t="inlineStr">
        <is>
          <t>430120</t>
        </is>
      </c>
      <c r="C72" s="38" t="inlineStr">
        <is>
          <t>Altafulla</t>
        </is>
      </c>
      <c r="D72" s="38" t="inlineStr">
        <is>
          <t>Y070</t>
        </is>
      </c>
      <c r="E72" s="38" t="inlineStr">
        <is>
          <t>70 anys</t>
        </is>
      </c>
      <c r="F72" s="38" t="n">
        <v>70</v>
      </c>
      <c r="G72" s="38" t="n">
        <v>60</v>
      </c>
      <c r="I72" s="38" t="inlineStr">
        <is>
          <t>Total de tots els sexes; resposta JSON-stat de l'API d'Idescat</t>
        </is>
      </c>
    </row>
    <row r="73" ht="15" customHeight="1" s="39">
      <c r="A73" s="38" t="n">
        <v>2021</v>
      </c>
      <c r="B73" s="42" t="inlineStr">
        <is>
          <t>430120</t>
        </is>
      </c>
      <c r="C73" s="38" t="inlineStr">
        <is>
          <t>Altafulla</t>
        </is>
      </c>
      <c r="D73" s="38" t="inlineStr">
        <is>
          <t>Y071</t>
        </is>
      </c>
      <c r="E73" s="38" t="inlineStr">
        <is>
          <t>71 anys</t>
        </is>
      </c>
      <c r="F73" s="38" t="n">
        <v>71</v>
      </c>
      <c r="G73" s="38" t="n">
        <v>48</v>
      </c>
      <c r="I73" s="38" t="inlineStr">
        <is>
          <t>Total de tots els sexes; resposta JSON-stat de l'API d'Idescat</t>
        </is>
      </c>
    </row>
    <row r="74" ht="15" customHeight="1" s="39">
      <c r="A74" s="38" t="n">
        <v>2021</v>
      </c>
      <c r="B74" s="42" t="inlineStr">
        <is>
          <t>430120</t>
        </is>
      </c>
      <c r="C74" s="38" t="inlineStr">
        <is>
          <t>Altafulla</t>
        </is>
      </c>
      <c r="D74" s="38" t="inlineStr">
        <is>
          <t>Y072</t>
        </is>
      </c>
      <c r="E74" s="38" t="inlineStr">
        <is>
          <t>72 anys</t>
        </is>
      </c>
      <c r="F74" s="38" t="n">
        <v>72</v>
      </c>
      <c r="G74" s="38" t="n">
        <v>50</v>
      </c>
      <c r="I74" s="38" t="inlineStr">
        <is>
          <t>Total de tots els sexes; resposta JSON-stat de l'API d'Idescat</t>
        </is>
      </c>
    </row>
    <row r="75" ht="15" customHeight="1" s="39">
      <c r="A75" s="38" t="n">
        <v>2021</v>
      </c>
      <c r="B75" s="42" t="inlineStr">
        <is>
          <t>430120</t>
        </is>
      </c>
      <c r="C75" s="38" t="inlineStr">
        <is>
          <t>Altafulla</t>
        </is>
      </c>
      <c r="D75" s="38" t="inlineStr">
        <is>
          <t>Y073</t>
        </is>
      </c>
      <c r="E75" s="38" t="inlineStr">
        <is>
          <t>73 anys</t>
        </is>
      </c>
      <c r="F75" s="38" t="n">
        <v>73</v>
      </c>
      <c r="G75" s="38" t="n">
        <v>52</v>
      </c>
      <c r="I75" s="38" t="inlineStr">
        <is>
          <t>Total de tots els sexes; resposta JSON-stat de l'API d'Idescat</t>
        </is>
      </c>
    </row>
    <row r="76" ht="15" customHeight="1" s="39">
      <c r="A76" s="38" t="n">
        <v>2021</v>
      </c>
      <c r="B76" s="42" t="inlineStr">
        <is>
          <t>430120</t>
        </is>
      </c>
      <c r="C76" s="38" t="inlineStr">
        <is>
          <t>Altafulla</t>
        </is>
      </c>
      <c r="D76" s="38" t="inlineStr">
        <is>
          <t>Y074</t>
        </is>
      </c>
      <c r="E76" s="38" t="inlineStr">
        <is>
          <t>74 anys</t>
        </is>
      </c>
      <c r="F76" s="38" t="n">
        <v>74</v>
      </c>
      <c r="G76" s="38" t="n">
        <v>60</v>
      </c>
      <c r="I76" s="38" t="inlineStr">
        <is>
          <t>Total de tots els sexes; resposta JSON-stat de l'API d'Idescat</t>
        </is>
      </c>
    </row>
    <row r="77" ht="15" customHeight="1" s="39">
      <c r="A77" s="38" t="n">
        <v>2021</v>
      </c>
      <c r="B77" s="42" t="inlineStr">
        <is>
          <t>430120</t>
        </is>
      </c>
      <c r="C77" s="38" t="inlineStr">
        <is>
          <t>Altafulla</t>
        </is>
      </c>
      <c r="D77" s="38" t="inlineStr">
        <is>
          <t>Y075</t>
        </is>
      </c>
      <c r="E77" s="38" t="inlineStr">
        <is>
          <t>75 anys</t>
        </is>
      </c>
      <c r="F77" s="38" t="n">
        <v>75</v>
      </c>
      <c r="G77" s="38" t="n">
        <v>31</v>
      </c>
      <c r="I77" s="38" t="inlineStr">
        <is>
          <t>Total de tots els sexes; resposta JSON-stat de l'API d'Idescat</t>
        </is>
      </c>
    </row>
    <row r="78" ht="15" customHeight="1" s="39">
      <c r="A78" s="38" t="n">
        <v>2021</v>
      </c>
      <c r="B78" s="42" t="inlineStr">
        <is>
          <t>430120</t>
        </is>
      </c>
      <c r="C78" s="38" t="inlineStr">
        <is>
          <t>Altafulla</t>
        </is>
      </c>
      <c r="D78" s="38" t="inlineStr">
        <is>
          <t>Y076</t>
        </is>
      </c>
      <c r="E78" s="38" t="inlineStr">
        <is>
          <t>76 anys</t>
        </is>
      </c>
      <c r="F78" s="38" t="n">
        <v>76</v>
      </c>
      <c r="G78" s="38" t="n">
        <v>35</v>
      </c>
      <c r="I78" s="38" t="inlineStr">
        <is>
          <t>Total de tots els sexes; resposta JSON-stat de l'API d'Idescat</t>
        </is>
      </c>
    </row>
    <row r="79" ht="15" customHeight="1" s="39">
      <c r="A79" s="38" t="n">
        <v>2021</v>
      </c>
      <c r="B79" s="42" t="inlineStr">
        <is>
          <t>430120</t>
        </is>
      </c>
      <c r="C79" s="38" t="inlineStr">
        <is>
          <t>Altafulla</t>
        </is>
      </c>
      <c r="D79" s="38" t="inlineStr">
        <is>
          <t>Y077</t>
        </is>
      </c>
      <c r="E79" s="38" t="inlineStr">
        <is>
          <t>77 anys</t>
        </is>
      </c>
      <c r="F79" s="38" t="n">
        <v>77</v>
      </c>
      <c r="G79" s="38" t="n">
        <v>51</v>
      </c>
      <c r="I79" s="38" t="inlineStr">
        <is>
          <t>Total de tots els sexes; resposta JSON-stat de l'API d'Idescat</t>
        </is>
      </c>
    </row>
    <row r="80" ht="15" customHeight="1" s="39">
      <c r="A80" s="38" t="n">
        <v>2021</v>
      </c>
      <c r="B80" s="42" t="inlineStr">
        <is>
          <t>430120</t>
        </is>
      </c>
      <c r="C80" s="38" t="inlineStr">
        <is>
          <t>Altafulla</t>
        </is>
      </c>
      <c r="D80" s="38" t="inlineStr">
        <is>
          <t>Y078</t>
        </is>
      </c>
      <c r="E80" s="38" t="inlineStr">
        <is>
          <t>78 anys</t>
        </is>
      </c>
      <c r="F80" s="38" t="n">
        <v>78</v>
      </c>
      <c r="G80" s="38" t="n">
        <v>26</v>
      </c>
      <c r="I80" s="38" t="inlineStr">
        <is>
          <t>Total de tots els sexes; resposta JSON-stat de l'API d'Idescat</t>
        </is>
      </c>
    </row>
    <row r="81" ht="15" customHeight="1" s="39">
      <c r="A81" s="38" t="n">
        <v>2021</v>
      </c>
      <c r="B81" s="42" t="inlineStr">
        <is>
          <t>430120</t>
        </is>
      </c>
      <c r="C81" s="38" t="inlineStr">
        <is>
          <t>Altafulla</t>
        </is>
      </c>
      <c r="D81" s="38" t="inlineStr">
        <is>
          <t>Y079</t>
        </is>
      </c>
      <c r="E81" s="38" t="inlineStr">
        <is>
          <t>79 anys</t>
        </is>
      </c>
      <c r="F81" s="38" t="n">
        <v>79</v>
      </c>
      <c r="G81" s="38" t="n">
        <v>26</v>
      </c>
      <c r="I81" s="38" t="inlineStr">
        <is>
          <t>Total de tots els sexes; resposta JSON-stat de l'API d'Idescat</t>
        </is>
      </c>
    </row>
    <row r="82" ht="15" customHeight="1" s="39">
      <c r="A82" s="38" t="n">
        <v>2021</v>
      </c>
      <c r="B82" s="42" t="inlineStr">
        <is>
          <t>430120</t>
        </is>
      </c>
      <c r="C82" s="38" t="inlineStr">
        <is>
          <t>Altafulla</t>
        </is>
      </c>
      <c r="D82" s="38" t="inlineStr">
        <is>
          <t>Y080</t>
        </is>
      </c>
      <c r="E82" s="38" t="inlineStr">
        <is>
          <t>80 anys</t>
        </is>
      </c>
      <c r="F82" s="38" t="n">
        <v>80</v>
      </c>
      <c r="G82" s="38" t="n">
        <v>31</v>
      </c>
      <c r="I82" s="38" t="inlineStr">
        <is>
          <t>Total de tots els sexes; resposta JSON-stat de l'API d'Idescat</t>
        </is>
      </c>
    </row>
    <row r="83" ht="15" customHeight="1" s="39">
      <c r="A83" s="38" t="n">
        <v>2021</v>
      </c>
      <c r="B83" s="42" t="inlineStr">
        <is>
          <t>430120</t>
        </is>
      </c>
      <c r="C83" s="38" t="inlineStr">
        <is>
          <t>Altafulla</t>
        </is>
      </c>
      <c r="D83" s="38" t="inlineStr">
        <is>
          <t>Y081</t>
        </is>
      </c>
      <c r="E83" s="38" t="inlineStr">
        <is>
          <t>81 anys</t>
        </is>
      </c>
      <c r="F83" s="38" t="n">
        <v>81</v>
      </c>
      <c r="G83" s="38" t="n">
        <v>13</v>
      </c>
      <c r="I83" s="38" t="inlineStr">
        <is>
          <t>Total de tots els sexes; resposta JSON-stat de l'API d'Idescat</t>
        </is>
      </c>
    </row>
    <row r="84" ht="15" customHeight="1" s="39">
      <c r="A84" s="38" t="n">
        <v>2021</v>
      </c>
      <c r="B84" s="42" t="inlineStr">
        <is>
          <t>430120</t>
        </is>
      </c>
      <c r="C84" s="38" t="inlineStr">
        <is>
          <t>Altafulla</t>
        </is>
      </c>
      <c r="D84" s="38" t="inlineStr">
        <is>
          <t>Y082</t>
        </is>
      </c>
      <c r="E84" s="38" t="inlineStr">
        <is>
          <t>82 anys</t>
        </is>
      </c>
      <c r="F84" s="38" t="n">
        <v>82</v>
      </c>
      <c r="G84" s="38" t="n">
        <v>16</v>
      </c>
      <c r="I84" s="38" t="inlineStr">
        <is>
          <t>Total de tots els sexes; resposta JSON-stat de l'API d'Idescat</t>
        </is>
      </c>
    </row>
    <row r="85" ht="15" customHeight="1" s="39">
      <c r="A85" s="38" t="n">
        <v>2021</v>
      </c>
      <c r="B85" s="42" t="inlineStr">
        <is>
          <t>430120</t>
        </is>
      </c>
      <c r="C85" s="38" t="inlineStr">
        <is>
          <t>Altafulla</t>
        </is>
      </c>
      <c r="D85" s="38" t="inlineStr">
        <is>
          <t>Y083</t>
        </is>
      </c>
      <c r="E85" s="38" t="inlineStr">
        <is>
          <t>83 anys</t>
        </is>
      </c>
      <c r="F85" s="38" t="n">
        <v>83</v>
      </c>
      <c r="G85" s="38" t="n">
        <v>22</v>
      </c>
      <c r="I85" s="38" t="inlineStr">
        <is>
          <t>Total de tots els sexes; resposta JSON-stat de l'API d'Idescat</t>
        </is>
      </c>
    </row>
    <row r="86" ht="15" customHeight="1" s="39">
      <c r="A86" s="38" t="n">
        <v>2021</v>
      </c>
      <c r="B86" s="42" t="inlineStr">
        <is>
          <t>430120</t>
        </is>
      </c>
      <c r="C86" s="38" t="inlineStr">
        <is>
          <t>Altafulla</t>
        </is>
      </c>
      <c r="D86" s="38" t="inlineStr">
        <is>
          <t>Y084</t>
        </is>
      </c>
      <c r="E86" s="38" t="inlineStr">
        <is>
          <t>84 anys</t>
        </is>
      </c>
      <c r="F86" s="38" t="n">
        <v>84</v>
      </c>
      <c r="G86" s="38" t="n">
        <v>13</v>
      </c>
      <c r="I86" s="38" t="inlineStr">
        <is>
          <t>Total de tots els sexes; resposta JSON-stat de l'API d'Idescat</t>
        </is>
      </c>
    </row>
    <row r="87" ht="15" customHeight="1" s="39">
      <c r="A87" s="38" t="n">
        <v>2021</v>
      </c>
      <c r="B87" s="42" t="inlineStr">
        <is>
          <t>430120</t>
        </is>
      </c>
      <c r="C87" s="38" t="inlineStr">
        <is>
          <t>Altafulla</t>
        </is>
      </c>
      <c r="D87" s="38" t="inlineStr">
        <is>
          <t>Y085</t>
        </is>
      </c>
      <c r="E87" s="38" t="inlineStr">
        <is>
          <t>85 anys</t>
        </is>
      </c>
      <c r="F87" s="38" t="n">
        <v>85</v>
      </c>
      <c r="G87" s="38" t="n">
        <v>20</v>
      </c>
      <c r="I87" s="38" t="inlineStr">
        <is>
          <t>Total de tots els sexes; resposta JSON-stat de l'API d'Idescat</t>
        </is>
      </c>
    </row>
    <row r="88" ht="15" customHeight="1" s="39">
      <c r="A88" s="38" t="n">
        <v>2021</v>
      </c>
      <c r="B88" s="42" t="inlineStr">
        <is>
          <t>430120</t>
        </is>
      </c>
      <c r="C88" s="38" t="inlineStr">
        <is>
          <t>Altafulla</t>
        </is>
      </c>
      <c r="D88" s="38" t="inlineStr">
        <is>
          <t>Y086</t>
        </is>
      </c>
      <c r="E88" s="38" t="inlineStr">
        <is>
          <t>86 anys</t>
        </is>
      </c>
      <c r="F88" s="38" t="n">
        <v>86</v>
      </c>
      <c r="G88" s="38" t="n">
        <v>26</v>
      </c>
      <c r="I88" s="38" t="inlineStr">
        <is>
          <t>Total de tots els sexes; resposta JSON-stat de l'API d'Idescat</t>
        </is>
      </c>
    </row>
    <row r="89" ht="15" customHeight="1" s="39">
      <c r="A89" s="38" t="n">
        <v>2021</v>
      </c>
      <c r="B89" s="42" t="inlineStr">
        <is>
          <t>430120</t>
        </is>
      </c>
      <c r="C89" s="38" t="inlineStr">
        <is>
          <t>Altafulla</t>
        </is>
      </c>
      <c r="D89" s="38" t="inlineStr">
        <is>
          <t>Y087</t>
        </is>
      </c>
      <c r="E89" s="38" t="inlineStr">
        <is>
          <t>87 anys</t>
        </is>
      </c>
      <c r="F89" s="38" t="n">
        <v>87</v>
      </c>
      <c r="G89" s="38" t="n">
        <v>20</v>
      </c>
      <c r="I89" s="38" t="inlineStr">
        <is>
          <t>Total de tots els sexes; resposta JSON-stat de l'API d'Idescat</t>
        </is>
      </c>
    </row>
    <row r="90" ht="15" customHeight="1" s="39">
      <c r="A90" s="38" t="n">
        <v>2021</v>
      </c>
      <c r="B90" s="42" t="inlineStr">
        <is>
          <t>430120</t>
        </is>
      </c>
      <c r="C90" s="38" t="inlineStr">
        <is>
          <t>Altafulla</t>
        </is>
      </c>
      <c r="D90" s="38" t="inlineStr">
        <is>
          <t>Y088</t>
        </is>
      </c>
      <c r="E90" s="38" t="inlineStr">
        <is>
          <t>88 anys</t>
        </is>
      </c>
      <c r="F90" s="38" t="n">
        <v>88</v>
      </c>
      <c r="G90" s="38" t="n">
        <v>12</v>
      </c>
      <c r="I90" s="38" t="inlineStr">
        <is>
          <t>Total de tots els sexes; resposta JSON-stat de l'API d'Idescat</t>
        </is>
      </c>
    </row>
    <row r="91" ht="15" customHeight="1" s="39">
      <c r="A91" s="38" t="n">
        <v>2021</v>
      </c>
      <c r="B91" s="42" t="inlineStr">
        <is>
          <t>430120</t>
        </is>
      </c>
      <c r="C91" s="38" t="inlineStr">
        <is>
          <t>Altafulla</t>
        </is>
      </c>
      <c r="D91" s="38" t="inlineStr">
        <is>
          <t>Y089</t>
        </is>
      </c>
      <c r="E91" s="38" t="inlineStr">
        <is>
          <t>89 anys</t>
        </is>
      </c>
      <c r="F91" s="38" t="n">
        <v>89</v>
      </c>
      <c r="G91" s="38" t="n">
        <v>11</v>
      </c>
      <c r="I91" s="38" t="inlineStr">
        <is>
          <t>Total de tots els sexes; resposta JSON-stat de l'API d'Idescat</t>
        </is>
      </c>
    </row>
    <row r="92" ht="15" customHeight="1" s="39">
      <c r="A92" s="38" t="n">
        <v>2021</v>
      </c>
      <c r="B92" s="42" t="inlineStr">
        <is>
          <t>430120</t>
        </is>
      </c>
      <c r="C92" s="38" t="inlineStr">
        <is>
          <t>Altafulla</t>
        </is>
      </c>
      <c r="D92" s="38" t="inlineStr">
        <is>
          <t>Y090</t>
        </is>
      </c>
      <c r="E92" s="38" t="inlineStr">
        <is>
          <t>90 anys</t>
        </is>
      </c>
      <c r="F92" s="38" t="n">
        <v>90</v>
      </c>
      <c r="G92" s="38" t="n">
        <v>11</v>
      </c>
      <c r="I92" s="38" t="inlineStr">
        <is>
          <t>Total de tots els sexes; resposta JSON-stat de l'API d'Idescat</t>
        </is>
      </c>
    </row>
    <row r="93" ht="15" customHeight="1" s="39">
      <c r="A93" s="38" t="n">
        <v>2021</v>
      </c>
      <c r="B93" s="42" t="inlineStr">
        <is>
          <t>430120</t>
        </is>
      </c>
      <c r="C93" s="38" t="inlineStr">
        <is>
          <t>Altafulla</t>
        </is>
      </c>
      <c r="D93" s="38" t="inlineStr">
        <is>
          <t>Y091</t>
        </is>
      </c>
      <c r="E93" s="38" t="inlineStr">
        <is>
          <t>91 anys</t>
        </is>
      </c>
      <c r="F93" s="38" t="n">
        <v>91</v>
      </c>
      <c r="G93" s="38" t="n">
        <v>9</v>
      </c>
      <c r="I93" s="38" t="inlineStr">
        <is>
          <t>Total de tots els sexes; resposta JSON-stat de l'API d'Idescat</t>
        </is>
      </c>
    </row>
    <row r="94" ht="15" customHeight="1" s="39">
      <c r="A94" s="38" t="n">
        <v>2021</v>
      </c>
      <c r="B94" s="42" t="inlineStr">
        <is>
          <t>430120</t>
        </is>
      </c>
      <c r="C94" s="38" t="inlineStr">
        <is>
          <t>Altafulla</t>
        </is>
      </c>
      <c r="D94" s="38" t="inlineStr">
        <is>
          <t>Y092</t>
        </is>
      </c>
      <c r="E94" s="38" t="inlineStr">
        <is>
          <t>92 anys</t>
        </is>
      </c>
      <c r="F94" s="38" t="n">
        <v>92</v>
      </c>
      <c r="G94" s="38" t="n">
        <v>10</v>
      </c>
      <c r="I94" s="38" t="inlineStr">
        <is>
          <t>Total de tots els sexes; resposta JSON-stat de l'API d'Idescat</t>
        </is>
      </c>
    </row>
    <row r="95" ht="15" customHeight="1" s="39">
      <c r="A95" s="38" t="n">
        <v>2021</v>
      </c>
      <c r="B95" s="42" t="inlineStr">
        <is>
          <t>430120</t>
        </is>
      </c>
      <c r="C95" s="38" t="inlineStr">
        <is>
          <t>Altafulla</t>
        </is>
      </c>
      <c r="D95" s="38" t="inlineStr">
        <is>
          <t>Y093</t>
        </is>
      </c>
      <c r="E95" s="38" t="inlineStr">
        <is>
          <t>93 anys</t>
        </is>
      </c>
      <c r="F95" s="38" t="n">
        <v>93</v>
      </c>
      <c r="G95" s="38" t="n">
        <v>2</v>
      </c>
      <c r="I95" s="38" t="inlineStr">
        <is>
          <t>Total de tots els sexes; resposta JSON-stat de l'API d'Idescat</t>
        </is>
      </c>
    </row>
    <row r="96" ht="15" customHeight="1" s="39">
      <c r="A96" s="38" t="n">
        <v>2021</v>
      </c>
      <c r="B96" s="42" t="inlineStr">
        <is>
          <t>430120</t>
        </is>
      </c>
      <c r="C96" s="38" t="inlineStr">
        <is>
          <t>Altafulla</t>
        </is>
      </c>
      <c r="D96" s="38" t="inlineStr">
        <is>
          <t>Y094</t>
        </is>
      </c>
      <c r="E96" s="38" t="inlineStr">
        <is>
          <t>94 anys</t>
        </is>
      </c>
      <c r="F96" s="38" t="n">
        <v>94</v>
      </c>
      <c r="G96" s="38" t="n">
        <v>2</v>
      </c>
      <c r="I96" s="38" t="inlineStr">
        <is>
          <t>Total de tots els sexes; resposta JSON-stat de l'API d'Idescat</t>
        </is>
      </c>
    </row>
    <row r="97" ht="15" customHeight="1" s="39">
      <c r="A97" s="38" t="n">
        <v>2021</v>
      </c>
      <c r="B97" s="42" t="inlineStr">
        <is>
          <t>430120</t>
        </is>
      </c>
      <c r="C97" s="38" t="inlineStr">
        <is>
          <t>Altafulla</t>
        </is>
      </c>
      <c r="D97" s="38" t="inlineStr">
        <is>
          <t>Y095</t>
        </is>
      </c>
      <c r="E97" s="38" t="inlineStr">
        <is>
          <t>95 anys</t>
        </is>
      </c>
      <c r="F97" s="38" t="n">
        <v>95</v>
      </c>
      <c r="G97" s="38" t="n">
        <v>2</v>
      </c>
      <c r="I97" s="38" t="inlineStr">
        <is>
          <t>Total de tots els sexes; resposta JSON-stat de l'API d'Idescat</t>
        </is>
      </c>
    </row>
    <row r="98" ht="15" customHeight="1" s="39">
      <c r="A98" s="38" t="n">
        <v>2021</v>
      </c>
      <c r="B98" s="42" t="inlineStr">
        <is>
          <t>430120</t>
        </is>
      </c>
      <c r="C98" s="38" t="inlineStr">
        <is>
          <t>Altafulla</t>
        </is>
      </c>
      <c r="D98" s="38" t="inlineStr">
        <is>
          <t>Y096</t>
        </is>
      </c>
      <c r="E98" s="38" t="inlineStr">
        <is>
          <t>96 anys</t>
        </is>
      </c>
      <c r="F98" s="38" t="n">
        <v>96</v>
      </c>
      <c r="G98" s="38" t="n">
        <v>2</v>
      </c>
      <c r="I98" s="38" t="inlineStr">
        <is>
          <t>Total de tots els sexes; resposta JSON-stat de l'API d'Idescat</t>
        </is>
      </c>
    </row>
    <row r="99" ht="15" customHeight="1" s="39">
      <c r="A99" s="38" t="n">
        <v>2021</v>
      </c>
      <c r="B99" s="42" t="inlineStr">
        <is>
          <t>430120</t>
        </is>
      </c>
      <c r="C99" s="38" t="inlineStr">
        <is>
          <t>Altafulla</t>
        </is>
      </c>
      <c r="D99" s="38" t="inlineStr">
        <is>
          <t>Y097</t>
        </is>
      </c>
      <c r="E99" s="38" t="inlineStr">
        <is>
          <t>97 anys</t>
        </is>
      </c>
      <c r="F99" s="38" t="n">
        <v>97</v>
      </c>
      <c r="G99" s="38" t="n">
        <v>2</v>
      </c>
      <c r="I99" s="38" t="inlineStr">
        <is>
          <t>Total de tots els sexes; resposta JSON-stat de l'API d'Idescat</t>
        </is>
      </c>
    </row>
    <row r="100" ht="15" customHeight="1" s="39">
      <c r="A100" s="38" t="n">
        <v>2021</v>
      </c>
      <c r="B100" s="42" t="inlineStr">
        <is>
          <t>430120</t>
        </is>
      </c>
      <c r="C100" s="38" t="inlineStr">
        <is>
          <t>Altafulla</t>
        </is>
      </c>
      <c r="D100" s="38" t="inlineStr">
        <is>
          <t>Y098</t>
        </is>
      </c>
      <c r="E100" s="38" t="inlineStr">
        <is>
          <t>98 anys</t>
        </is>
      </c>
      <c r="F100" s="38" t="n">
        <v>98</v>
      </c>
      <c r="G100" s="38" t="n">
        <v>2</v>
      </c>
      <c r="I100" s="38" t="inlineStr">
        <is>
          <t>Total de tots els sexes; resposta JSON-stat de l'API d'Idescat</t>
        </is>
      </c>
    </row>
    <row r="101" ht="15" customHeight="1" s="39">
      <c r="A101" s="38" t="n">
        <v>2021</v>
      </c>
      <c r="B101" s="42" t="inlineStr">
        <is>
          <t>430120</t>
        </is>
      </c>
      <c r="C101" s="38" t="inlineStr">
        <is>
          <t>Altafulla</t>
        </is>
      </c>
      <c r="D101" s="38" t="inlineStr">
        <is>
          <t>Y099</t>
        </is>
      </c>
      <c r="E101" s="38" t="inlineStr">
        <is>
          <t>99 anys</t>
        </is>
      </c>
      <c r="F101" s="38" t="n">
        <v>99</v>
      </c>
      <c r="G101" s="38" t="n">
        <v>1</v>
      </c>
      <c r="I101" s="38" t="inlineStr">
        <is>
          <t>Total de tots els sexes; resposta JSON-stat de l'API d'Idescat</t>
        </is>
      </c>
    </row>
    <row r="102" ht="15" customHeight="1" s="39">
      <c r="A102" s="38" t="n">
        <v>2021</v>
      </c>
      <c r="B102" s="42" t="inlineStr">
        <is>
          <t>430120</t>
        </is>
      </c>
      <c r="C102" s="38" t="inlineStr">
        <is>
          <t>Altafulla</t>
        </is>
      </c>
      <c r="D102" s="38" t="inlineStr">
        <is>
          <t>Y_GE100</t>
        </is>
      </c>
      <c r="E102" s="38" t="inlineStr">
        <is>
          <t>100 anys o més</t>
        </is>
      </c>
      <c r="F102" s="38" t="n">
        <v>100</v>
      </c>
      <c r="G102" s="38" t="n">
        <v>2</v>
      </c>
      <c r="I102" s="38" t="inlineStr">
        <is>
          <t>Total de tots els sexes; resposta JSON-stat de l'API d'Idescat</t>
        </is>
      </c>
    </row>
    <row r="103" ht="15" customHeight="1" s="39">
      <c r="A103" s="38" t="n">
        <v>2021</v>
      </c>
      <c r="B103" s="42" t="inlineStr">
        <is>
          <t>430120</t>
        </is>
      </c>
      <c r="C103" s="38" t="inlineStr">
        <is>
          <t>Altafulla</t>
        </is>
      </c>
      <c r="D103" s="38" t="inlineStr">
        <is>
          <t>TOTAL</t>
        </is>
      </c>
      <c r="E103" s="38" t="inlineStr">
        <is>
          <t>total</t>
        </is>
      </c>
      <c r="G103" s="38" t="n">
        <v>5496</v>
      </c>
      <c r="I103" s="38" t="inlineStr">
        <is>
          <t>Total de tots els sexes; resposta JSON-stat de l'API d'Idescat</t>
        </is>
      </c>
    </row>
    <row r="104" ht="15" customHeight="1" s="39">
      <c r="A104" s="38" t="n">
        <v>2021</v>
      </c>
      <c r="B104" s="42" t="inlineStr">
        <is>
          <t>439076</t>
        </is>
      </c>
      <c r="C104" s="38" t="inlineStr">
        <is>
          <t>Canonja, la</t>
        </is>
      </c>
      <c r="D104" s="38" t="inlineStr">
        <is>
          <t>Y000</t>
        </is>
      </c>
      <c r="E104" s="38" t="inlineStr">
        <is>
          <t>0 anys</t>
        </is>
      </c>
      <c r="F104" s="38" t="n">
        <v>0</v>
      </c>
      <c r="G104" s="38" t="n">
        <v>48</v>
      </c>
      <c r="I104" s="38" t="inlineStr">
        <is>
          <t>Total de tots els sexes; resposta JSON-stat de l'API d'Idescat</t>
        </is>
      </c>
    </row>
    <row r="105" ht="15" customHeight="1" s="39">
      <c r="A105" s="38" t="n">
        <v>2021</v>
      </c>
      <c r="B105" s="42" t="inlineStr">
        <is>
          <t>439076</t>
        </is>
      </c>
      <c r="C105" s="38" t="inlineStr">
        <is>
          <t>Canonja, la</t>
        </is>
      </c>
      <c r="D105" s="38" t="inlineStr">
        <is>
          <t>Y001</t>
        </is>
      </c>
      <c r="E105" s="38" t="inlineStr">
        <is>
          <t>1 any</t>
        </is>
      </c>
      <c r="F105" s="38" t="n">
        <v>1</v>
      </c>
      <c r="G105" s="38" t="n">
        <v>55</v>
      </c>
      <c r="I105" s="38" t="inlineStr">
        <is>
          <t>Total de tots els sexes; resposta JSON-stat de l'API d'Idescat</t>
        </is>
      </c>
    </row>
    <row r="106" ht="15" customHeight="1" s="39">
      <c r="A106" s="38" t="n">
        <v>2021</v>
      </c>
      <c r="B106" s="42" t="inlineStr">
        <is>
          <t>439076</t>
        </is>
      </c>
      <c r="C106" s="38" t="inlineStr">
        <is>
          <t>Canonja, la</t>
        </is>
      </c>
      <c r="D106" s="38" t="inlineStr">
        <is>
          <t>Y002</t>
        </is>
      </c>
      <c r="E106" s="38" t="inlineStr">
        <is>
          <t>2 anys</t>
        </is>
      </c>
      <c r="F106" s="38" t="n">
        <v>2</v>
      </c>
      <c r="G106" s="38" t="n">
        <v>56</v>
      </c>
      <c r="I106" s="38" t="inlineStr">
        <is>
          <t>Total de tots els sexes; resposta JSON-stat de l'API d'Idescat</t>
        </is>
      </c>
    </row>
    <row r="107" ht="15" customHeight="1" s="39">
      <c r="A107" s="38" t="n">
        <v>2021</v>
      </c>
      <c r="B107" s="42" t="inlineStr">
        <is>
          <t>439076</t>
        </is>
      </c>
      <c r="C107" s="38" t="inlineStr">
        <is>
          <t>Canonja, la</t>
        </is>
      </c>
      <c r="D107" s="38" t="inlineStr">
        <is>
          <t>Y003</t>
        </is>
      </c>
      <c r="E107" s="38" t="inlineStr">
        <is>
          <t>3 anys</t>
        </is>
      </c>
      <c r="F107" s="38" t="n">
        <v>3</v>
      </c>
      <c r="G107" s="38" t="n">
        <v>53</v>
      </c>
      <c r="I107" s="38" t="inlineStr">
        <is>
          <t>Total de tots els sexes; resposta JSON-stat de l'API d'Idescat</t>
        </is>
      </c>
    </row>
    <row r="108" ht="15" customHeight="1" s="39">
      <c r="A108" s="38" t="n">
        <v>2021</v>
      </c>
      <c r="B108" s="42" t="inlineStr">
        <is>
          <t>439076</t>
        </is>
      </c>
      <c r="C108" s="38" t="inlineStr">
        <is>
          <t>Canonja, la</t>
        </is>
      </c>
      <c r="D108" s="38" t="inlineStr">
        <is>
          <t>Y004</t>
        </is>
      </c>
      <c r="E108" s="38" t="inlineStr">
        <is>
          <t>4 anys</t>
        </is>
      </c>
      <c r="F108" s="38" t="n">
        <v>4</v>
      </c>
      <c r="G108" s="38" t="n">
        <v>67</v>
      </c>
      <c r="I108" s="38" t="inlineStr">
        <is>
          <t>Total de tots els sexes; resposta JSON-stat de l'API d'Idescat</t>
        </is>
      </c>
    </row>
    <row r="109" ht="15" customHeight="1" s="39">
      <c r="A109" s="38" t="n">
        <v>2021</v>
      </c>
      <c r="B109" s="42" t="inlineStr">
        <is>
          <t>439076</t>
        </is>
      </c>
      <c r="C109" s="38" t="inlineStr">
        <is>
          <t>Canonja, la</t>
        </is>
      </c>
      <c r="D109" s="38" t="inlineStr">
        <is>
          <t>Y005</t>
        </is>
      </c>
      <c r="E109" s="38" t="inlineStr">
        <is>
          <t>5 anys</t>
        </is>
      </c>
      <c r="F109" s="38" t="n">
        <v>5</v>
      </c>
      <c r="G109" s="38" t="n">
        <v>55</v>
      </c>
      <c r="I109" s="38" t="inlineStr">
        <is>
          <t>Total de tots els sexes; resposta JSON-stat de l'API d'Idescat</t>
        </is>
      </c>
    </row>
    <row r="110" ht="15" customHeight="1" s="39">
      <c r="A110" s="38" t="n">
        <v>2021</v>
      </c>
      <c r="B110" s="42" t="inlineStr">
        <is>
          <t>439076</t>
        </is>
      </c>
      <c r="C110" s="38" t="inlineStr">
        <is>
          <t>Canonja, la</t>
        </is>
      </c>
      <c r="D110" s="38" t="inlineStr">
        <is>
          <t>Y006</t>
        </is>
      </c>
      <c r="E110" s="38" t="inlineStr">
        <is>
          <t>6 anys</t>
        </is>
      </c>
      <c r="F110" s="38" t="n">
        <v>6</v>
      </c>
      <c r="G110" s="38" t="n">
        <v>65</v>
      </c>
      <c r="I110" s="38" t="inlineStr">
        <is>
          <t>Total de tots els sexes; resposta JSON-stat de l'API d'Idescat</t>
        </is>
      </c>
    </row>
    <row r="111" ht="15" customHeight="1" s="39">
      <c r="A111" s="38" t="n">
        <v>2021</v>
      </c>
      <c r="B111" s="42" t="inlineStr">
        <is>
          <t>439076</t>
        </is>
      </c>
      <c r="C111" s="38" t="inlineStr">
        <is>
          <t>Canonja, la</t>
        </is>
      </c>
      <c r="D111" s="38" t="inlineStr">
        <is>
          <t>Y007</t>
        </is>
      </c>
      <c r="E111" s="38" t="inlineStr">
        <is>
          <t>7 anys</t>
        </is>
      </c>
      <c r="F111" s="38" t="n">
        <v>7</v>
      </c>
      <c r="G111" s="38" t="n">
        <v>64</v>
      </c>
      <c r="I111" s="38" t="inlineStr">
        <is>
          <t>Total de tots els sexes; resposta JSON-stat de l'API d'Idescat</t>
        </is>
      </c>
    </row>
    <row r="112" ht="15" customHeight="1" s="39">
      <c r="A112" s="38" t="n">
        <v>2021</v>
      </c>
      <c r="B112" s="42" t="inlineStr">
        <is>
          <t>439076</t>
        </is>
      </c>
      <c r="C112" s="38" t="inlineStr">
        <is>
          <t>Canonja, la</t>
        </is>
      </c>
      <c r="D112" s="38" t="inlineStr">
        <is>
          <t>Y008</t>
        </is>
      </c>
      <c r="E112" s="38" t="inlineStr">
        <is>
          <t>8 anys</t>
        </is>
      </c>
      <c r="F112" s="38" t="n">
        <v>8</v>
      </c>
      <c r="G112" s="38" t="n">
        <v>64</v>
      </c>
      <c r="I112" s="38" t="inlineStr">
        <is>
          <t>Total de tots els sexes; resposta JSON-stat de l'API d'Idescat</t>
        </is>
      </c>
    </row>
    <row r="113" ht="15" customHeight="1" s="39">
      <c r="A113" s="38" t="n">
        <v>2021</v>
      </c>
      <c r="B113" s="42" t="inlineStr">
        <is>
          <t>439076</t>
        </is>
      </c>
      <c r="C113" s="38" t="inlineStr">
        <is>
          <t>Canonja, la</t>
        </is>
      </c>
      <c r="D113" s="38" t="inlineStr">
        <is>
          <t>Y009</t>
        </is>
      </c>
      <c r="E113" s="38" t="inlineStr">
        <is>
          <t>9 anys</t>
        </is>
      </c>
      <c r="F113" s="38" t="n">
        <v>9</v>
      </c>
      <c r="G113" s="38" t="n">
        <v>76</v>
      </c>
      <c r="I113" s="38" t="inlineStr">
        <is>
          <t>Total de tots els sexes; resposta JSON-stat de l'API d'Idescat</t>
        </is>
      </c>
    </row>
    <row r="114" ht="15" customHeight="1" s="39">
      <c r="A114" s="38" t="n">
        <v>2021</v>
      </c>
      <c r="B114" s="42" t="inlineStr">
        <is>
          <t>439076</t>
        </is>
      </c>
      <c r="C114" s="38" t="inlineStr">
        <is>
          <t>Canonja, la</t>
        </is>
      </c>
      <c r="D114" s="38" t="inlineStr">
        <is>
          <t>Y010</t>
        </is>
      </c>
      <c r="E114" s="38" t="inlineStr">
        <is>
          <t>10 anys</t>
        </is>
      </c>
      <c r="F114" s="38" t="n">
        <v>10</v>
      </c>
      <c r="G114" s="38" t="n">
        <v>81</v>
      </c>
      <c r="I114" s="38" t="inlineStr">
        <is>
          <t>Total de tots els sexes; resposta JSON-stat de l'API d'Idescat</t>
        </is>
      </c>
    </row>
    <row r="115" ht="15" customHeight="1" s="39">
      <c r="A115" s="38" t="n">
        <v>2021</v>
      </c>
      <c r="B115" s="42" t="inlineStr">
        <is>
          <t>439076</t>
        </is>
      </c>
      <c r="C115" s="38" t="inlineStr">
        <is>
          <t>Canonja, la</t>
        </is>
      </c>
      <c r="D115" s="38" t="inlineStr">
        <is>
          <t>Y011</t>
        </is>
      </c>
      <c r="E115" s="38" t="inlineStr">
        <is>
          <t>11 anys</t>
        </is>
      </c>
      <c r="F115" s="38" t="n">
        <v>11</v>
      </c>
      <c r="G115" s="38" t="n">
        <v>86</v>
      </c>
      <c r="I115" s="38" t="inlineStr">
        <is>
          <t>Total de tots els sexes; resposta JSON-stat de l'API d'Idescat</t>
        </is>
      </c>
    </row>
    <row r="116" ht="15" customHeight="1" s="39">
      <c r="A116" s="38" t="n">
        <v>2021</v>
      </c>
      <c r="B116" s="42" t="inlineStr">
        <is>
          <t>439076</t>
        </is>
      </c>
      <c r="C116" s="38" t="inlineStr">
        <is>
          <t>Canonja, la</t>
        </is>
      </c>
      <c r="D116" s="38" t="inlineStr">
        <is>
          <t>Y012</t>
        </is>
      </c>
      <c r="E116" s="38" t="inlineStr">
        <is>
          <t>12 anys</t>
        </is>
      </c>
      <c r="F116" s="38" t="n">
        <v>12</v>
      </c>
      <c r="G116" s="38" t="n">
        <v>83</v>
      </c>
      <c r="I116" s="38" t="inlineStr">
        <is>
          <t>Total de tots els sexes; resposta JSON-stat de l'API d'Idescat</t>
        </is>
      </c>
    </row>
    <row r="117" ht="15" customHeight="1" s="39">
      <c r="A117" s="38" t="n">
        <v>2021</v>
      </c>
      <c r="B117" s="42" t="inlineStr">
        <is>
          <t>439076</t>
        </is>
      </c>
      <c r="C117" s="38" t="inlineStr">
        <is>
          <t>Canonja, la</t>
        </is>
      </c>
      <c r="D117" s="38" t="inlineStr">
        <is>
          <t>Y013</t>
        </is>
      </c>
      <c r="E117" s="38" t="inlineStr">
        <is>
          <t>13 anys</t>
        </is>
      </c>
      <c r="F117" s="38" t="n">
        <v>13</v>
      </c>
      <c r="G117" s="38" t="n">
        <v>74</v>
      </c>
      <c r="I117" s="38" t="inlineStr">
        <is>
          <t>Total de tots els sexes; resposta JSON-stat de l'API d'Idescat</t>
        </is>
      </c>
    </row>
    <row r="118" ht="15" customHeight="1" s="39">
      <c r="A118" s="38" t="n">
        <v>2021</v>
      </c>
      <c r="B118" s="42" t="inlineStr">
        <is>
          <t>439076</t>
        </is>
      </c>
      <c r="C118" s="38" t="inlineStr">
        <is>
          <t>Canonja, la</t>
        </is>
      </c>
      <c r="D118" s="38" t="inlineStr">
        <is>
          <t>Y014</t>
        </is>
      </c>
      <c r="E118" s="38" t="inlineStr">
        <is>
          <t>14 anys</t>
        </is>
      </c>
      <c r="F118" s="38" t="n">
        <v>14</v>
      </c>
      <c r="G118" s="38" t="n">
        <v>90</v>
      </c>
      <c r="I118" s="38" t="inlineStr">
        <is>
          <t>Total de tots els sexes; resposta JSON-stat de l'API d'Idescat</t>
        </is>
      </c>
    </row>
    <row r="119" ht="15" customHeight="1" s="39">
      <c r="A119" s="38" t="n">
        <v>2021</v>
      </c>
      <c r="B119" s="42" t="inlineStr">
        <is>
          <t>439076</t>
        </is>
      </c>
      <c r="C119" s="38" t="inlineStr">
        <is>
          <t>Canonja, la</t>
        </is>
      </c>
      <c r="D119" s="38" t="inlineStr">
        <is>
          <t>Y015</t>
        </is>
      </c>
      <c r="E119" s="38" t="inlineStr">
        <is>
          <t>15 anys</t>
        </is>
      </c>
      <c r="F119" s="38" t="n">
        <v>15</v>
      </c>
      <c r="G119" s="38" t="n">
        <v>78</v>
      </c>
      <c r="I119" s="38" t="inlineStr">
        <is>
          <t>Total de tots els sexes; resposta JSON-stat de l'API d'Idescat</t>
        </is>
      </c>
    </row>
    <row r="120" ht="15" customHeight="1" s="39">
      <c r="A120" s="38" t="n">
        <v>2021</v>
      </c>
      <c r="B120" s="42" t="inlineStr">
        <is>
          <t>439076</t>
        </is>
      </c>
      <c r="C120" s="38" t="inlineStr">
        <is>
          <t>Canonja, la</t>
        </is>
      </c>
      <c r="D120" s="38" t="inlineStr">
        <is>
          <t>Y016</t>
        </is>
      </c>
      <c r="E120" s="38" t="inlineStr">
        <is>
          <t>16 anys</t>
        </is>
      </c>
      <c r="F120" s="38" t="n">
        <v>16</v>
      </c>
      <c r="G120" s="38" t="n">
        <v>73</v>
      </c>
      <c r="I120" s="38" t="inlineStr">
        <is>
          <t>Total de tots els sexes; resposta JSON-stat de l'API d'Idescat</t>
        </is>
      </c>
    </row>
    <row r="121" ht="15" customHeight="1" s="39">
      <c r="A121" s="38" t="n">
        <v>2021</v>
      </c>
      <c r="B121" s="42" t="inlineStr">
        <is>
          <t>439076</t>
        </is>
      </c>
      <c r="C121" s="38" t="inlineStr">
        <is>
          <t>Canonja, la</t>
        </is>
      </c>
      <c r="D121" s="38" t="inlineStr">
        <is>
          <t>Y017</t>
        </is>
      </c>
      <c r="E121" s="38" t="inlineStr">
        <is>
          <t>17 anys</t>
        </is>
      </c>
      <c r="F121" s="38" t="n">
        <v>17</v>
      </c>
      <c r="G121" s="38" t="n">
        <v>64</v>
      </c>
      <c r="I121" s="38" t="inlineStr">
        <is>
          <t>Total de tots els sexes; resposta JSON-stat de l'API d'Idescat</t>
        </is>
      </c>
    </row>
    <row r="122" ht="15" customHeight="1" s="39">
      <c r="A122" s="38" t="n">
        <v>2021</v>
      </c>
      <c r="B122" s="42" t="inlineStr">
        <is>
          <t>439076</t>
        </is>
      </c>
      <c r="C122" s="38" t="inlineStr">
        <is>
          <t>Canonja, la</t>
        </is>
      </c>
      <c r="D122" s="38" t="inlineStr">
        <is>
          <t>Y018</t>
        </is>
      </c>
      <c r="E122" s="38" t="inlineStr">
        <is>
          <t>18 anys</t>
        </is>
      </c>
      <c r="F122" s="38" t="n">
        <v>18</v>
      </c>
      <c r="G122" s="38" t="n">
        <v>66</v>
      </c>
      <c r="I122" s="38" t="inlineStr">
        <is>
          <t>Total de tots els sexes; resposta JSON-stat de l'API d'Idescat</t>
        </is>
      </c>
    </row>
    <row r="123" ht="15" customHeight="1" s="39">
      <c r="A123" s="38" t="n">
        <v>2021</v>
      </c>
      <c r="B123" s="42" t="inlineStr">
        <is>
          <t>439076</t>
        </is>
      </c>
      <c r="C123" s="38" t="inlineStr">
        <is>
          <t>Canonja, la</t>
        </is>
      </c>
      <c r="D123" s="38" t="inlineStr">
        <is>
          <t>Y019</t>
        </is>
      </c>
      <c r="E123" s="38" t="inlineStr">
        <is>
          <t>19 anys</t>
        </is>
      </c>
      <c r="F123" s="38" t="n">
        <v>19</v>
      </c>
      <c r="G123" s="38" t="n">
        <v>63</v>
      </c>
      <c r="I123" s="38" t="inlineStr">
        <is>
          <t>Total de tots els sexes; resposta JSON-stat de l'API d'Idescat</t>
        </is>
      </c>
    </row>
    <row r="124" ht="15" customHeight="1" s="39">
      <c r="A124" s="38" t="n">
        <v>2021</v>
      </c>
      <c r="B124" s="42" t="inlineStr">
        <is>
          <t>439076</t>
        </is>
      </c>
      <c r="C124" s="38" t="inlineStr">
        <is>
          <t>Canonja, la</t>
        </is>
      </c>
      <c r="D124" s="38" t="inlineStr">
        <is>
          <t>Y020</t>
        </is>
      </c>
      <c r="E124" s="38" t="inlineStr">
        <is>
          <t>20 anys</t>
        </is>
      </c>
      <c r="F124" s="38" t="n">
        <v>20</v>
      </c>
      <c r="G124" s="38" t="n">
        <v>72</v>
      </c>
      <c r="I124" s="38" t="inlineStr">
        <is>
          <t>Total de tots els sexes; resposta JSON-stat de l'API d'Idescat</t>
        </is>
      </c>
    </row>
    <row r="125" ht="15" customHeight="1" s="39">
      <c r="A125" s="38" t="n">
        <v>2021</v>
      </c>
      <c r="B125" s="42" t="inlineStr">
        <is>
          <t>439076</t>
        </is>
      </c>
      <c r="C125" s="38" t="inlineStr">
        <is>
          <t>Canonja, la</t>
        </is>
      </c>
      <c r="D125" s="38" t="inlineStr">
        <is>
          <t>Y021</t>
        </is>
      </c>
      <c r="E125" s="38" t="inlineStr">
        <is>
          <t>21 anys</t>
        </is>
      </c>
      <c r="F125" s="38" t="n">
        <v>21</v>
      </c>
      <c r="G125" s="38" t="n">
        <v>49</v>
      </c>
      <c r="I125" s="38" t="inlineStr">
        <is>
          <t>Total de tots els sexes; resposta JSON-stat de l'API d'Idescat</t>
        </is>
      </c>
    </row>
    <row r="126" ht="15" customHeight="1" s="39">
      <c r="A126" s="38" t="n">
        <v>2021</v>
      </c>
      <c r="B126" s="42" t="inlineStr">
        <is>
          <t>439076</t>
        </is>
      </c>
      <c r="C126" s="38" t="inlineStr">
        <is>
          <t>Canonja, la</t>
        </is>
      </c>
      <c r="D126" s="38" t="inlineStr">
        <is>
          <t>Y022</t>
        </is>
      </c>
      <c r="E126" s="38" t="inlineStr">
        <is>
          <t>22 anys</t>
        </is>
      </c>
      <c r="F126" s="38" t="n">
        <v>22</v>
      </c>
      <c r="G126" s="38" t="n">
        <v>65</v>
      </c>
      <c r="I126" s="38" t="inlineStr">
        <is>
          <t>Total de tots els sexes; resposta JSON-stat de l'API d'Idescat</t>
        </is>
      </c>
    </row>
    <row r="127" ht="15" customHeight="1" s="39">
      <c r="A127" s="38" t="n">
        <v>2021</v>
      </c>
      <c r="B127" s="42" t="inlineStr">
        <is>
          <t>439076</t>
        </is>
      </c>
      <c r="C127" s="38" t="inlineStr">
        <is>
          <t>Canonja, la</t>
        </is>
      </c>
      <c r="D127" s="38" t="inlineStr">
        <is>
          <t>Y023</t>
        </is>
      </c>
      <c r="E127" s="38" t="inlineStr">
        <is>
          <t>23 anys</t>
        </is>
      </c>
      <c r="F127" s="38" t="n">
        <v>23</v>
      </c>
      <c r="G127" s="38" t="n">
        <v>57</v>
      </c>
      <c r="I127" s="38" t="inlineStr">
        <is>
          <t>Total de tots els sexes; resposta JSON-stat de l'API d'Idescat</t>
        </is>
      </c>
    </row>
    <row r="128" ht="15" customHeight="1" s="39">
      <c r="A128" s="38" t="n">
        <v>2021</v>
      </c>
      <c r="B128" s="42" t="inlineStr">
        <is>
          <t>439076</t>
        </is>
      </c>
      <c r="C128" s="38" t="inlineStr">
        <is>
          <t>Canonja, la</t>
        </is>
      </c>
      <c r="D128" s="38" t="inlineStr">
        <is>
          <t>Y024</t>
        </is>
      </c>
      <c r="E128" s="38" t="inlineStr">
        <is>
          <t>24 anys</t>
        </is>
      </c>
      <c r="F128" s="38" t="n">
        <v>24</v>
      </c>
      <c r="G128" s="38" t="n">
        <v>68</v>
      </c>
      <c r="I128" s="38" t="inlineStr">
        <is>
          <t>Total de tots els sexes; resposta JSON-stat de l'API d'Idescat</t>
        </is>
      </c>
    </row>
    <row r="129" ht="15" customHeight="1" s="39">
      <c r="A129" s="38" t="n">
        <v>2021</v>
      </c>
      <c r="B129" s="42" t="inlineStr">
        <is>
          <t>439076</t>
        </is>
      </c>
      <c r="C129" s="38" t="inlineStr">
        <is>
          <t>Canonja, la</t>
        </is>
      </c>
      <c r="D129" s="38" t="inlineStr">
        <is>
          <t>Y025</t>
        </is>
      </c>
      <c r="E129" s="38" t="inlineStr">
        <is>
          <t>25 anys</t>
        </is>
      </c>
      <c r="F129" s="38" t="n">
        <v>25</v>
      </c>
      <c r="G129" s="38" t="n">
        <v>69</v>
      </c>
      <c r="I129" s="38" t="inlineStr">
        <is>
          <t>Total de tots els sexes; resposta JSON-stat de l'API d'Idescat</t>
        </is>
      </c>
    </row>
    <row r="130" ht="15" customHeight="1" s="39">
      <c r="A130" s="38" t="n">
        <v>2021</v>
      </c>
      <c r="B130" s="42" t="inlineStr">
        <is>
          <t>439076</t>
        </is>
      </c>
      <c r="C130" s="38" t="inlineStr">
        <is>
          <t>Canonja, la</t>
        </is>
      </c>
      <c r="D130" s="38" t="inlineStr">
        <is>
          <t>Y026</t>
        </is>
      </c>
      <c r="E130" s="38" t="inlineStr">
        <is>
          <t>26 anys</t>
        </is>
      </c>
      <c r="F130" s="38" t="n">
        <v>26</v>
      </c>
      <c r="G130" s="38" t="n">
        <v>66</v>
      </c>
      <c r="I130" s="38" t="inlineStr">
        <is>
          <t>Total de tots els sexes; resposta JSON-stat de l'API d'Idescat</t>
        </is>
      </c>
    </row>
    <row r="131" ht="15" customHeight="1" s="39">
      <c r="A131" s="38" t="n">
        <v>2021</v>
      </c>
      <c r="B131" s="42" t="inlineStr">
        <is>
          <t>439076</t>
        </is>
      </c>
      <c r="C131" s="38" t="inlineStr">
        <is>
          <t>Canonja, la</t>
        </is>
      </c>
      <c r="D131" s="38" t="inlineStr">
        <is>
          <t>Y027</t>
        </is>
      </c>
      <c r="E131" s="38" t="inlineStr">
        <is>
          <t>27 anys</t>
        </is>
      </c>
      <c r="F131" s="38" t="n">
        <v>27</v>
      </c>
      <c r="G131" s="38" t="n">
        <v>73</v>
      </c>
      <c r="I131" s="38" t="inlineStr">
        <is>
          <t>Total de tots els sexes; resposta JSON-stat de l'API d'Idescat</t>
        </is>
      </c>
    </row>
    <row r="132" ht="15" customHeight="1" s="39">
      <c r="A132" s="38" t="n">
        <v>2021</v>
      </c>
      <c r="B132" s="42" t="inlineStr">
        <is>
          <t>439076</t>
        </is>
      </c>
      <c r="C132" s="38" t="inlineStr">
        <is>
          <t>Canonja, la</t>
        </is>
      </c>
      <c r="D132" s="38" t="inlineStr">
        <is>
          <t>Y028</t>
        </is>
      </c>
      <c r="E132" s="38" t="inlineStr">
        <is>
          <t>28 anys</t>
        </is>
      </c>
      <c r="F132" s="38" t="n">
        <v>28</v>
      </c>
      <c r="G132" s="38" t="n">
        <v>66</v>
      </c>
      <c r="I132" s="38" t="inlineStr">
        <is>
          <t>Total de tots els sexes; resposta JSON-stat de l'API d'Idescat</t>
        </is>
      </c>
    </row>
    <row r="133" ht="15" customHeight="1" s="39">
      <c r="A133" s="38" t="n">
        <v>2021</v>
      </c>
      <c r="B133" s="42" t="inlineStr">
        <is>
          <t>439076</t>
        </is>
      </c>
      <c r="C133" s="38" t="inlineStr">
        <is>
          <t>Canonja, la</t>
        </is>
      </c>
      <c r="D133" s="38" t="inlineStr">
        <is>
          <t>Y029</t>
        </is>
      </c>
      <c r="E133" s="38" t="inlineStr">
        <is>
          <t>29 anys</t>
        </is>
      </c>
      <c r="F133" s="38" t="n">
        <v>29</v>
      </c>
      <c r="G133" s="38" t="n">
        <v>78</v>
      </c>
      <c r="I133" s="38" t="inlineStr">
        <is>
          <t>Total de tots els sexes; resposta JSON-stat de l'API d'Idescat</t>
        </is>
      </c>
    </row>
    <row r="134" ht="15" customHeight="1" s="39">
      <c r="A134" s="38" t="n">
        <v>2021</v>
      </c>
      <c r="B134" s="42" t="inlineStr">
        <is>
          <t>439076</t>
        </is>
      </c>
      <c r="C134" s="38" t="inlineStr">
        <is>
          <t>Canonja, la</t>
        </is>
      </c>
      <c r="D134" s="38" t="inlineStr">
        <is>
          <t>Y030</t>
        </is>
      </c>
      <c r="E134" s="38" t="inlineStr">
        <is>
          <t>30 anys</t>
        </is>
      </c>
      <c r="F134" s="38" t="n">
        <v>30</v>
      </c>
      <c r="G134" s="38" t="n">
        <v>67</v>
      </c>
      <c r="I134" s="38" t="inlineStr">
        <is>
          <t>Total de tots els sexes; resposta JSON-stat de l'API d'Idescat</t>
        </is>
      </c>
    </row>
    <row r="135" ht="15" customHeight="1" s="39">
      <c r="A135" s="38" t="n">
        <v>2021</v>
      </c>
      <c r="B135" s="42" t="inlineStr">
        <is>
          <t>439076</t>
        </is>
      </c>
      <c r="C135" s="38" t="inlineStr">
        <is>
          <t>Canonja, la</t>
        </is>
      </c>
      <c r="D135" s="38" t="inlineStr">
        <is>
          <t>Y031</t>
        </is>
      </c>
      <c r="E135" s="38" t="inlineStr">
        <is>
          <t>31 anys</t>
        </is>
      </c>
      <c r="F135" s="38" t="n">
        <v>31</v>
      </c>
      <c r="G135" s="38" t="n">
        <v>63</v>
      </c>
      <c r="I135" s="38" t="inlineStr">
        <is>
          <t>Total de tots els sexes; resposta JSON-stat de l'API d'Idescat</t>
        </is>
      </c>
    </row>
    <row r="136" ht="15" customHeight="1" s="39">
      <c r="A136" s="38" t="n">
        <v>2021</v>
      </c>
      <c r="B136" s="42" t="inlineStr">
        <is>
          <t>439076</t>
        </is>
      </c>
      <c r="C136" s="38" t="inlineStr">
        <is>
          <t>Canonja, la</t>
        </is>
      </c>
      <c r="D136" s="38" t="inlineStr">
        <is>
          <t>Y032</t>
        </is>
      </c>
      <c r="E136" s="38" t="inlineStr">
        <is>
          <t>32 anys</t>
        </is>
      </c>
      <c r="F136" s="38" t="n">
        <v>32</v>
      </c>
      <c r="G136" s="38" t="n">
        <v>84</v>
      </c>
      <c r="I136" s="38" t="inlineStr">
        <is>
          <t>Total de tots els sexes; resposta JSON-stat de l'API d'Idescat</t>
        </is>
      </c>
    </row>
    <row r="137" ht="15" customHeight="1" s="39">
      <c r="A137" s="38" t="n">
        <v>2021</v>
      </c>
      <c r="B137" s="42" t="inlineStr">
        <is>
          <t>439076</t>
        </is>
      </c>
      <c r="C137" s="38" t="inlineStr">
        <is>
          <t>Canonja, la</t>
        </is>
      </c>
      <c r="D137" s="38" t="inlineStr">
        <is>
          <t>Y033</t>
        </is>
      </c>
      <c r="E137" s="38" t="inlineStr">
        <is>
          <t>33 anys</t>
        </is>
      </c>
      <c r="F137" s="38" t="n">
        <v>33</v>
      </c>
      <c r="G137" s="38" t="n">
        <v>83</v>
      </c>
      <c r="I137" s="38" t="inlineStr">
        <is>
          <t>Total de tots els sexes; resposta JSON-stat de l'API d'Idescat</t>
        </is>
      </c>
    </row>
    <row r="138" ht="15" customHeight="1" s="39">
      <c r="A138" s="38" t="n">
        <v>2021</v>
      </c>
      <c r="B138" s="42" t="inlineStr">
        <is>
          <t>439076</t>
        </is>
      </c>
      <c r="C138" s="38" t="inlineStr">
        <is>
          <t>Canonja, la</t>
        </is>
      </c>
      <c r="D138" s="38" t="inlineStr">
        <is>
          <t>Y034</t>
        </is>
      </c>
      <c r="E138" s="38" t="inlineStr">
        <is>
          <t>34 anys</t>
        </is>
      </c>
      <c r="F138" s="38" t="n">
        <v>34</v>
      </c>
      <c r="G138" s="38" t="n">
        <v>87</v>
      </c>
      <c r="I138" s="38" t="inlineStr">
        <is>
          <t>Total de tots els sexes; resposta JSON-stat de l'API d'Idescat</t>
        </is>
      </c>
    </row>
    <row r="139" ht="15" customHeight="1" s="39">
      <c r="A139" s="38" t="n">
        <v>2021</v>
      </c>
      <c r="B139" s="42" t="inlineStr">
        <is>
          <t>439076</t>
        </is>
      </c>
      <c r="C139" s="38" t="inlineStr">
        <is>
          <t>Canonja, la</t>
        </is>
      </c>
      <c r="D139" s="38" t="inlineStr">
        <is>
          <t>Y035</t>
        </is>
      </c>
      <c r="E139" s="38" t="inlineStr">
        <is>
          <t>35 anys</t>
        </is>
      </c>
      <c r="F139" s="38" t="n">
        <v>35</v>
      </c>
      <c r="G139" s="38" t="n">
        <v>59</v>
      </c>
      <c r="I139" s="38" t="inlineStr">
        <is>
          <t>Total de tots els sexes; resposta JSON-stat de l'API d'Idescat</t>
        </is>
      </c>
    </row>
    <row r="140" ht="15" customHeight="1" s="39">
      <c r="A140" s="38" t="n">
        <v>2021</v>
      </c>
      <c r="B140" s="42" t="inlineStr">
        <is>
          <t>439076</t>
        </is>
      </c>
      <c r="C140" s="38" t="inlineStr">
        <is>
          <t>Canonja, la</t>
        </is>
      </c>
      <c r="D140" s="38" t="inlineStr">
        <is>
          <t>Y036</t>
        </is>
      </c>
      <c r="E140" s="38" t="inlineStr">
        <is>
          <t>36 anys</t>
        </is>
      </c>
      <c r="F140" s="38" t="n">
        <v>36</v>
      </c>
      <c r="G140" s="38" t="n">
        <v>81</v>
      </c>
      <c r="I140" s="38" t="inlineStr">
        <is>
          <t>Total de tots els sexes; resposta JSON-stat de l'API d'Idescat</t>
        </is>
      </c>
    </row>
    <row r="141" ht="15" customHeight="1" s="39">
      <c r="A141" s="38" t="n">
        <v>2021</v>
      </c>
      <c r="B141" s="42" t="inlineStr">
        <is>
          <t>439076</t>
        </is>
      </c>
      <c r="C141" s="38" t="inlineStr">
        <is>
          <t>Canonja, la</t>
        </is>
      </c>
      <c r="D141" s="38" t="inlineStr">
        <is>
          <t>Y037</t>
        </is>
      </c>
      <c r="E141" s="38" t="inlineStr">
        <is>
          <t>37 anys</t>
        </is>
      </c>
      <c r="F141" s="38" t="n">
        <v>37</v>
      </c>
      <c r="G141" s="38" t="n">
        <v>89</v>
      </c>
      <c r="I141" s="38" t="inlineStr">
        <is>
          <t>Total de tots els sexes; resposta JSON-stat de l'API d'Idescat</t>
        </is>
      </c>
    </row>
    <row r="142" ht="15" customHeight="1" s="39">
      <c r="A142" s="38" t="n">
        <v>2021</v>
      </c>
      <c r="B142" s="42" t="inlineStr">
        <is>
          <t>439076</t>
        </is>
      </c>
      <c r="C142" s="38" t="inlineStr">
        <is>
          <t>Canonja, la</t>
        </is>
      </c>
      <c r="D142" s="38" t="inlineStr">
        <is>
          <t>Y038</t>
        </is>
      </c>
      <c r="E142" s="38" t="inlineStr">
        <is>
          <t>38 anys</t>
        </is>
      </c>
      <c r="F142" s="38" t="n">
        <v>38</v>
      </c>
      <c r="G142" s="38" t="n">
        <v>90</v>
      </c>
      <c r="I142" s="38" t="inlineStr">
        <is>
          <t>Total de tots els sexes; resposta JSON-stat de l'API d'Idescat</t>
        </is>
      </c>
    </row>
    <row r="143" ht="15" customHeight="1" s="39">
      <c r="A143" s="38" t="n">
        <v>2021</v>
      </c>
      <c r="B143" s="42" t="inlineStr">
        <is>
          <t>439076</t>
        </is>
      </c>
      <c r="C143" s="38" t="inlineStr">
        <is>
          <t>Canonja, la</t>
        </is>
      </c>
      <c r="D143" s="38" t="inlineStr">
        <is>
          <t>Y039</t>
        </is>
      </c>
      <c r="E143" s="38" t="inlineStr">
        <is>
          <t>39 anys</t>
        </is>
      </c>
      <c r="F143" s="38" t="n">
        <v>39</v>
      </c>
      <c r="G143" s="38" t="n">
        <v>83</v>
      </c>
      <c r="I143" s="38" t="inlineStr">
        <is>
          <t>Total de tots els sexes; resposta JSON-stat de l'API d'Idescat</t>
        </is>
      </c>
    </row>
    <row r="144" ht="15" customHeight="1" s="39">
      <c r="A144" s="38" t="n">
        <v>2021</v>
      </c>
      <c r="B144" s="42" t="inlineStr">
        <is>
          <t>439076</t>
        </is>
      </c>
      <c r="C144" s="38" t="inlineStr">
        <is>
          <t>Canonja, la</t>
        </is>
      </c>
      <c r="D144" s="38" t="inlineStr">
        <is>
          <t>Y040</t>
        </is>
      </c>
      <c r="E144" s="38" t="inlineStr">
        <is>
          <t>40 anys</t>
        </is>
      </c>
      <c r="F144" s="38" t="n">
        <v>40</v>
      </c>
      <c r="G144" s="38" t="n">
        <v>116</v>
      </c>
      <c r="I144" s="38" t="inlineStr">
        <is>
          <t>Total de tots els sexes; resposta JSON-stat de l'API d'Idescat</t>
        </is>
      </c>
    </row>
    <row r="145" ht="15" customHeight="1" s="39">
      <c r="A145" s="38" t="n">
        <v>2021</v>
      </c>
      <c r="B145" s="42" t="inlineStr">
        <is>
          <t>439076</t>
        </is>
      </c>
      <c r="C145" s="38" t="inlineStr">
        <is>
          <t>Canonja, la</t>
        </is>
      </c>
      <c r="D145" s="38" t="inlineStr">
        <is>
          <t>Y041</t>
        </is>
      </c>
      <c r="E145" s="38" t="inlineStr">
        <is>
          <t>41 anys</t>
        </is>
      </c>
      <c r="F145" s="38" t="n">
        <v>41</v>
      </c>
      <c r="G145" s="38" t="n">
        <v>103</v>
      </c>
      <c r="I145" s="38" t="inlineStr">
        <is>
          <t>Total de tots els sexes; resposta JSON-stat de l'API d'Idescat</t>
        </is>
      </c>
    </row>
    <row r="146" ht="15" customHeight="1" s="39">
      <c r="A146" s="38" t="n">
        <v>2021</v>
      </c>
      <c r="B146" s="42" t="inlineStr">
        <is>
          <t>439076</t>
        </is>
      </c>
      <c r="C146" s="38" t="inlineStr">
        <is>
          <t>Canonja, la</t>
        </is>
      </c>
      <c r="D146" s="38" t="inlineStr">
        <is>
          <t>Y042</t>
        </is>
      </c>
      <c r="E146" s="38" t="inlineStr">
        <is>
          <t>42 anys</t>
        </is>
      </c>
      <c r="F146" s="38" t="n">
        <v>42</v>
      </c>
      <c r="G146" s="38" t="n">
        <v>105</v>
      </c>
      <c r="I146" s="38" t="inlineStr">
        <is>
          <t>Total de tots els sexes; resposta JSON-stat de l'API d'Idescat</t>
        </is>
      </c>
    </row>
    <row r="147" ht="15" customHeight="1" s="39">
      <c r="A147" s="38" t="n">
        <v>2021</v>
      </c>
      <c r="B147" s="42" t="inlineStr">
        <is>
          <t>439076</t>
        </is>
      </c>
      <c r="C147" s="38" t="inlineStr">
        <is>
          <t>Canonja, la</t>
        </is>
      </c>
      <c r="D147" s="38" t="inlineStr">
        <is>
          <t>Y043</t>
        </is>
      </c>
      <c r="E147" s="38" t="inlineStr">
        <is>
          <t>43 anys</t>
        </is>
      </c>
      <c r="F147" s="38" t="n">
        <v>43</v>
      </c>
      <c r="G147" s="38" t="n">
        <v>109</v>
      </c>
      <c r="I147" s="38" t="inlineStr">
        <is>
          <t>Total de tots els sexes; resposta JSON-stat de l'API d'Idescat</t>
        </is>
      </c>
    </row>
    <row r="148" ht="15" customHeight="1" s="39">
      <c r="A148" s="38" t="n">
        <v>2021</v>
      </c>
      <c r="B148" s="42" t="inlineStr">
        <is>
          <t>439076</t>
        </is>
      </c>
      <c r="C148" s="38" t="inlineStr">
        <is>
          <t>Canonja, la</t>
        </is>
      </c>
      <c r="D148" s="38" t="inlineStr">
        <is>
          <t>Y044</t>
        </is>
      </c>
      <c r="E148" s="38" t="inlineStr">
        <is>
          <t>44 anys</t>
        </is>
      </c>
      <c r="F148" s="38" t="n">
        <v>44</v>
      </c>
      <c r="G148" s="38" t="n">
        <v>99</v>
      </c>
      <c r="I148" s="38" t="inlineStr">
        <is>
          <t>Total de tots els sexes; resposta JSON-stat de l'API d'Idescat</t>
        </is>
      </c>
    </row>
    <row r="149" ht="15" customHeight="1" s="39">
      <c r="A149" s="38" t="n">
        <v>2021</v>
      </c>
      <c r="B149" s="42" t="inlineStr">
        <is>
          <t>439076</t>
        </is>
      </c>
      <c r="C149" s="38" t="inlineStr">
        <is>
          <t>Canonja, la</t>
        </is>
      </c>
      <c r="D149" s="38" t="inlineStr">
        <is>
          <t>Y045</t>
        </is>
      </c>
      <c r="E149" s="38" t="inlineStr">
        <is>
          <t>45 anys</t>
        </is>
      </c>
      <c r="F149" s="38" t="n">
        <v>45</v>
      </c>
      <c r="G149" s="38" t="n">
        <v>124</v>
      </c>
      <c r="I149" s="38" t="inlineStr">
        <is>
          <t>Total de tots els sexes; resposta JSON-stat de l'API d'Idescat</t>
        </is>
      </c>
    </row>
    <row r="150" ht="15" customHeight="1" s="39">
      <c r="A150" s="38" t="n">
        <v>2021</v>
      </c>
      <c r="B150" s="42" t="inlineStr">
        <is>
          <t>439076</t>
        </is>
      </c>
      <c r="C150" s="38" t="inlineStr">
        <is>
          <t>Canonja, la</t>
        </is>
      </c>
      <c r="D150" s="38" t="inlineStr">
        <is>
          <t>Y046</t>
        </is>
      </c>
      <c r="E150" s="38" t="inlineStr">
        <is>
          <t>46 anys</t>
        </is>
      </c>
      <c r="F150" s="38" t="n">
        <v>46</v>
      </c>
      <c r="G150" s="38" t="n">
        <v>99</v>
      </c>
      <c r="I150" s="38" t="inlineStr">
        <is>
          <t>Total de tots els sexes; resposta JSON-stat de l'API d'Idescat</t>
        </is>
      </c>
    </row>
    <row r="151" ht="15" customHeight="1" s="39">
      <c r="A151" s="38" t="n">
        <v>2021</v>
      </c>
      <c r="B151" s="42" t="inlineStr">
        <is>
          <t>439076</t>
        </is>
      </c>
      <c r="C151" s="38" t="inlineStr">
        <is>
          <t>Canonja, la</t>
        </is>
      </c>
      <c r="D151" s="38" t="inlineStr">
        <is>
          <t>Y047</t>
        </is>
      </c>
      <c r="E151" s="38" t="inlineStr">
        <is>
          <t>47 anys</t>
        </is>
      </c>
      <c r="F151" s="38" t="n">
        <v>47</v>
      </c>
      <c r="G151" s="38" t="n">
        <v>97</v>
      </c>
      <c r="I151" s="38" t="inlineStr">
        <is>
          <t>Total de tots els sexes; resposta JSON-stat de l'API d'Idescat</t>
        </is>
      </c>
    </row>
    <row r="152" ht="15" customHeight="1" s="39">
      <c r="A152" s="38" t="n">
        <v>2021</v>
      </c>
      <c r="B152" s="42" t="inlineStr">
        <is>
          <t>439076</t>
        </is>
      </c>
      <c r="C152" s="38" t="inlineStr">
        <is>
          <t>Canonja, la</t>
        </is>
      </c>
      <c r="D152" s="38" t="inlineStr">
        <is>
          <t>Y048</t>
        </is>
      </c>
      <c r="E152" s="38" t="inlineStr">
        <is>
          <t>48 anys</t>
        </is>
      </c>
      <c r="F152" s="38" t="n">
        <v>48</v>
      </c>
      <c r="G152" s="38" t="n">
        <v>91</v>
      </c>
      <c r="I152" s="38" t="inlineStr">
        <is>
          <t>Total de tots els sexes; resposta JSON-stat de l'API d'Idescat</t>
        </is>
      </c>
    </row>
    <row r="153" ht="15" customHeight="1" s="39">
      <c r="A153" s="38" t="n">
        <v>2021</v>
      </c>
      <c r="B153" s="42" t="inlineStr">
        <is>
          <t>439076</t>
        </is>
      </c>
      <c r="C153" s="38" t="inlineStr">
        <is>
          <t>Canonja, la</t>
        </is>
      </c>
      <c r="D153" s="38" t="inlineStr">
        <is>
          <t>Y049</t>
        </is>
      </c>
      <c r="E153" s="38" t="inlineStr">
        <is>
          <t>49 anys</t>
        </is>
      </c>
      <c r="F153" s="38" t="n">
        <v>49</v>
      </c>
      <c r="G153" s="38" t="n">
        <v>91</v>
      </c>
      <c r="I153" s="38" t="inlineStr">
        <is>
          <t>Total de tots els sexes; resposta JSON-stat de l'API d'Idescat</t>
        </is>
      </c>
    </row>
    <row r="154" ht="15" customHeight="1" s="39">
      <c r="A154" s="38" t="n">
        <v>2021</v>
      </c>
      <c r="B154" s="42" t="inlineStr">
        <is>
          <t>439076</t>
        </is>
      </c>
      <c r="C154" s="38" t="inlineStr">
        <is>
          <t>Canonja, la</t>
        </is>
      </c>
      <c r="D154" s="38" t="inlineStr">
        <is>
          <t>Y050</t>
        </is>
      </c>
      <c r="E154" s="38" t="inlineStr">
        <is>
          <t>50 anys</t>
        </is>
      </c>
      <c r="F154" s="38" t="n">
        <v>50</v>
      </c>
      <c r="G154" s="38" t="n">
        <v>95</v>
      </c>
      <c r="I154" s="38" t="inlineStr">
        <is>
          <t>Total de tots els sexes; resposta JSON-stat de l'API d'Idescat</t>
        </is>
      </c>
    </row>
    <row r="155" ht="15" customHeight="1" s="39">
      <c r="A155" s="38" t="n">
        <v>2021</v>
      </c>
      <c r="B155" s="42" t="inlineStr">
        <is>
          <t>439076</t>
        </is>
      </c>
      <c r="C155" s="38" t="inlineStr">
        <is>
          <t>Canonja, la</t>
        </is>
      </c>
      <c r="D155" s="38" t="inlineStr">
        <is>
          <t>Y051</t>
        </is>
      </c>
      <c r="E155" s="38" t="inlineStr">
        <is>
          <t>51 anys</t>
        </is>
      </c>
      <c r="F155" s="38" t="n">
        <v>51</v>
      </c>
      <c r="G155" s="38" t="n">
        <v>80</v>
      </c>
      <c r="I155" s="38" t="inlineStr">
        <is>
          <t>Total de tots els sexes; resposta JSON-stat de l'API d'Idescat</t>
        </is>
      </c>
    </row>
    <row r="156" ht="15" customHeight="1" s="39">
      <c r="A156" s="38" t="n">
        <v>2021</v>
      </c>
      <c r="B156" s="42" t="inlineStr">
        <is>
          <t>439076</t>
        </is>
      </c>
      <c r="C156" s="38" t="inlineStr">
        <is>
          <t>Canonja, la</t>
        </is>
      </c>
      <c r="D156" s="38" t="inlineStr">
        <is>
          <t>Y052</t>
        </is>
      </c>
      <c r="E156" s="38" t="inlineStr">
        <is>
          <t>52 anys</t>
        </is>
      </c>
      <c r="F156" s="38" t="n">
        <v>52</v>
      </c>
      <c r="G156" s="38" t="n">
        <v>91</v>
      </c>
      <c r="I156" s="38" t="inlineStr">
        <is>
          <t>Total de tots els sexes; resposta JSON-stat de l'API d'Idescat</t>
        </is>
      </c>
    </row>
    <row r="157" ht="15" customHeight="1" s="39">
      <c r="A157" s="38" t="n">
        <v>2021</v>
      </c>
      <c r="B157" s="42" t="inlineStr">
        <is>
          <t>439076</t>
        </is>
      </c>
      <c r="C157" s="38" t="inlineStr">
        <is>
          <t>Canonja, la</t>
        </is>
      </c>
      <c r="D157" s="38" t="inlineStr">
        <is>
          <t>Y053</t>
        </is>
      </c>
      <c r="E157" s="38" t="inlineStr">
        <is>
          <t>53 anys</t>
        </is>
      </c>
      <c r="F157" s="38" t="n">
        <v>53</v>
      </c>
      <c r="G157" s="38" t="n">
        <v>79</v>
      </c>
      <c r="I157" s="38" t="inlineStr">
        <is>
          <t>Total de tots els sexes; resposta JSON-stat de l'API d'Idescat</t>
        </is>
      </c>
    </row>
    <row r="158" ht="15" customHeight="1" s="39">
      <c r="A158" s="38" t="n">
        <v>2021</v>
      </c>
      <c r="B158" s="42" t="inlineStr">
        <is>
          <t>439076</t>
        </is>
      </c>
      <c r="C158" s="38" t="inlineStr">
        <is>
          <t>Canonja, la</t>
        </is>
      </c>
      <c r="D158" s="38" t="inlineStr">
        <is>
          <t>Y054</t>
        </is>
      </c>
      <c r="E158" s="38" t="inlineStr">
        <is>
          <t>54 anys</t>
        </is>
      </c>
      <c r="F158" s="38" t="n">
        <v>54</v>
      </c>
      <c r="G158" s="38" t="n">
        <v>83</v>
      </c>
      <c r="I158" s="38" t="inlineStr">
        <is>
          <t>Total de tots els sexes; resposta JSON-stat de l'API d'Idescat</t>
        </is>
      </c>
    </row>
    <row r="159" ht="15" customHeight="1" s="39">
      <c r="A159" s="38" t="n">
        <v>2021</v>
      </c>
      <c r="B159" s="42" t="inlineStr">
        <is>
          <t>439076</t>
        </is>
      </c>
      <c r="C159" s="38" t="inlineStr">
        <is>
          <t>Canonja, la</t>
        </is>
      </c>
      <c r="D159" s="38" t="inlineStr">
        <is>
          <t>Y055</t>
        </is>
      </c>
      <c r="E159" s="38" t="inlineStr">
        <is>
          <t>55 anys</t>
        </is>
      </c>
      <c r="F159" s="38" t="n">
        <v>55</v>
      </c>
      <c r="G159" s="38" t="n">
        <v>91</v>
      </c>
      <c r="I159" s="38" t="inlineStr">
        <is>
          <t>Total de tots els sexes; resposta JSON-stat de l'API d'Idescat</t>
        </is>
      </c>
    </row>
    <row r="160" ht="15" customHeight="1" s="39">
      <c r="A160" s="38" t="n">
        <v>2021</v>
      </c>
      <c r="B160" s="42" t="inlineStr">
        <is>
          <t>439076</t>
        </is>
      </c>
      <c r="C160" s="38" t="inlineStr">
        <is>
          <t>Canonja, la</t>
        </is>
      </c>
      <c r="D160" s="38" t="inlineStr">
        <is>
          <t>Y056</t>
        </is>
      </c>
      <c r="E160" s="38" t="inlineStr">
        <is>
          <t>56 anys</t>
        </is>
      </c>
      <c r="F160" s="38" t="n">
        <v>56</v>
      </c>
      <c r="G160" s="38" t="n">
        <v>97</v>
      </c>
      <c r="I160" s="38" t="inlineStr">
        <is>
          <t>Total de tots els sexes; resposta JSON-stat de l'API d'Idescat</t>
        </is>
      </c>
    </row>
    <row r="161" ht="15" customHeight="1" s="39">
      <c r="A161" s="38" t="n">
        <v>2021</v>
      </c>
      <c r="B161" s="42" t="inlineStr">
        <is>
          <t>439076</t>
        </is>
      </c>
      <c r="C161" s="38" t="inlineStr">
        <is>
          <t>Canonja, la</t>
        </is>
      </c>
      <c r="D161" s="38" t="inlineStr">
        <is>
          <t>Y057</t>
        </is>
      </c>
      <c r="E161" s="38" t="inlineStr">
        <is>
          <t>57 anys</t>
        </is>
      </c>
      <c r="F161" s="38" t="n">
        <v>57</v>
      </c>
      <c r="G161" s="38" t="n">
        <v>79</v>
      </c>
      <c r="I161" s="38" t="inlineStr">
        <is>
          <t>Total de tots els sexes; resposta JSON-stat de l'API d'Idescat</t>
        </is>
      </c>
    </row>
    <row r="162" ht="15" customHeight="1" s="39">
      <c r="A162" s="38" t="n">
        <v>2021</v>
      </c>
      <c r="B162" s="42" t="inlineStr">
        <is>
          <t>439076</t>
        </is>
      </c>
      <c r="C162" s="38" t="inlineStr">
        <is>
          <t>Canonja, la</t>
        </is>
      </c>
      <c r="D162" s="38" t="inlineStr">
        <is>
          <t>Y058</t>
        </is>
      </c>
      <c r="E162" s="38" t="inlineStr">
        <is>
          <t>58 anys</t>
        </is>
      </c>
      <c r="F162" s="38" t="n">
        <v>58</v>
      </c>
      <c r="G162" s="38" t="n">
        <v>62</v>
      </c>
      <c r="I162" s="38" t="inlineStr">
        <is>
          <t>Total de tots els sexes; resposta JSON-stat de l'API d'Idescat</t>
        </is>
      </c>
    </row>
    <row r="163" ht="15" customHeight="1" s="39">
      <c r="A163" s="38" t="n">
        <v>2021</v>
      </c>
      <c r="B163" s="42" t="inlineStr">
        <is>
          <t>439076</t>
        </is>
      </c>
      <c r="C163" s="38" t="inlineStr">
        <is>
          <t>Canonja, la</t>
        </is>
      </c>
      <c r="D163" s="38" t="inlineStr">
        <is>
          <t>Y059</t>
        </is>
      </c>
      <c r="E163" s="38" t="inlineStr">
        <is>
          <t>59 anys</t>
        </is>
      </c>
      <c r="F163" s="38" t="n">
        <v>59</v>
      </c>
      <c r="G163" s="38" t="n">
        <v>77</v>
      </c>
      <c r="I163" s="38" t="inlineStr">
        <is>
          <t>Total de tots els sexes; resposta JSON-stat de l'API d'Idescat</t>
        </is>
      </c>
    </row>
    <row r="164" ht="15" customHeight="1" s="39">
      <c r="A164" s="38" t="n">
        <v>2021</v>
      </c>
      <c r="B164" s="42" t="inlineStr">
        <is>
          <t>439076</t>
        </is>
      </c>
      <c r="C164" s="38" t="inlineStr">
        <is>
          <t>Canonja, la</t>
        </is>
      </c>
      <c r="D164" s="38" t="inlineStr">
        <is>
          <t>Y060</t>
        </is>
      </c>
      <c r="E164" s="38" t="inlineStr">
        <is>
          <t>60 anys</t>
        </is>
      </c>
      <c r="F164" s="38" t="n">
        <v>60</v>
      </c>
      <c r="G164" s="38" t="n">
        <v>69</v>
      </c>
      <c r="I164" s="38" t="inlineStr">
        <is>
          <t>Total de tots els sexes; resposta JSON-stat de l'API d'Idescat</t>
        </is>
      </c>
    </row>
    <row r="165" ht="15" customHeight="1" s="39">
      <c r="A165" s="38" t="n">
        <v>2021</v>
      </c>
      <c r="B165" s="42" t="inlineStr">
        <is>
          <t>439076</t>
        </is>
      </c>
      <c r="C165" s="38" t="inlineStr">
        <is>
          <t>Canonja, la</t>
        </is>
      </c>
      <c r="D165" s="38" t="inlineStr">
        <is>
          <t>Y061</t>
        </is>
      </c>
      <c r="E165" s="38" t="inlineStr">
        <is>
          <t>61 anys</t>
        </is>
      </c>
      <c r="F165" s="38" t="n">
        <v>61</v>
      </c>
      <c r="G165" s="38" t="n">
        <v>61</v>
      </c>
      <c r="I165" s="38" t="inlineStr">
        <is>
          <t>Total de tots els sexes; resposta JSON-stat de l'API d'Idescat</t>
        </is>
      </c>
    </row>
    <row r="166" ht="15" customHeight="1" s="39">
      <c r="A166" s="38" t="n">
        <v>2021</v>
      </c>
      <c r="B166" s="42" t="inlineStr">
        <is>
          <t>439076</t>
        </is>
      </c>
      <c r="C166" s="38" t="inlineStr">
        <is>
          <t>Canonja, la</t>
        </is>
      </c>
      <c r="D166" s="38" t="inlineStr">
        <is>
          <t>Y062</t>
        </is>
      </c>
      <c r="E166" s="38" t="inlineStr">
        <is>
          <t>62 anys</t>
        </is>
      </c>
      <c r="F166" s="38" t="n">
        <v>62</v>
      </c>
      <c r="G166" s="38" t="n">
        <v>79</v>
      </c>
      <c r="I166" s="38" t="inlineStr">
        <is>
          <t>Total de tots els sexes; resposta JSON-stat de l'API d'Idescat</t>
        </is>
      </c>
    </row>
    <row r="167" ht="15" customHeight="1" s="39">
      <c r="A167" s="38" t="n">
        <v>2021</v>
      </c>
      <c r="B167" s="42" t="inlineStr">
        <is>
          <t>439076</t>
        </is>
      </c>
      <c r="C167" s="38" t="inlineStr">
        <is>
          <t>Canonja, la</t>
        </is>
      </c>
      <c r="D167" s="38" t="inlineStr">
        <is>
          <t>Y063</t>
        </is>
      </c>
      <c r="E167" s="38" t="inlineStr">
        <is>
          <t>63 anys</t>
        </is>
      </c>
      <c r="F167" s="38" t="n">
        <v>63</v>
      </c>
      <c r="G167" s="38" t="n">
        <v>70</v>
      </c>
      <c r="I167" s="38" t="inlineStr">
        <is>
          <t>Total de tots els sexes; resposta JSON-stat de l'API d'Idescat</t>
        </is>
      </c>
    </row>
    <row r="168" ht="15" customHeight="1" s="39">
      <c r="A168" s="38" t="n">
        <v>2021</v>
      </c>
      <c r="B168" s="42" t="inlineStr">
        <is>
          <t>439076</t>
        </is>
      </c>
      <c r="C168" s="38" t="inlineStr">
        <is>
          <t>Canonja, la</t>
        </is>
      </c>
      <c r="D168" s="38" t="inlineStr">
        <is>
          <t>Y064</t>
        </is>
      </c>
      <c r="E168" s="38" t="inlineStr">
        <is>
          <t>64 anys</t>
        </is>
      </c>
      <c r="F168" s="38" t="n">
        <v>64</v>
      </c>
      <c r="G168" s="38" t="n">
        <v>57</v>
      </c>
      <c r="I168" s="38" t="inlineStr">
        <is>
          <t>Total de tots els sexes; resposta JSON-stat de l'API d'Idescat</t>
        </is>
      </c>
    </row>
    <row r="169" ht="15" customHeight="1" s="39">
      <c r="A169" s="38" t="n">
        <v>2021</v>
      </c>
      <c r="B169" s="42" t="inlineStr">
        <is>
          <t>439076</t>
        </is>
      </c>
      <c r="C169" s="38" t="inlineStr">
        <is>
          <t>Canonja, la</t>
        </is>
      </c>
      <c r="D169" s="38" t="inlineStr">
        <is>
          <t>Y065</t>
        </is>
      </c>
      <c r="E169" s="38" t="inlineStr">
        <is>
          <t>65 anys</t>
        </is>
      </c>
      <c r="F169" s="38" t="n">
        <v>65</v>
      </c>
      <c r="G169" s="38" t="n">
        <v>66</v>
      </c>
      <c r="I169" s="38" t="inlineStr">
        <is>
          <t>Total de tots els sexes; resposta JSON-stat de l'API d'Idescat</t>
        </is>
      </c>
    </row>
    <row r="170" ht="15" customHeight="1" s="39">
      <c r="A170" s="38" t="n">
        <v>2021</v>
      </c>
      <c r="B170" s="42" t="inlineStr">
        <is>
          <t>439076</t>
        </is>
      </c>
      <c r="C170" s="38" t="inlineStr">
        <is>
          <t>Canonja, la</t>
        </is>
      </c>
      <c r="D170" s="38" t="inlineStr">
        <is>
          <t>Y066</t>
        </is>
      </c>
      <c r="E170" s="38" t="inlineStr">
        <is>
          <t>66 anys</t>
        </is>
      </c>
      <c r="F170" s="38" t="n">
        <v>66</v>
      </c>
      <c r="G170" s="38" t="n">
        <v>54</v>
      </c>
      <c r="I170" s="38" t="inlineStr">
        <is>
          <t>Total de tots els sexes; resposta JSON-stat de l'API d'Idescat</t>
        </is>
      </c>
    </row>
    <row r="171" ht="15" customHeight="1" s="39">
      <c r="A171" s="38" t="n">
        <v>2021</v>
      </c>
      <c r="B171" s="42" t="inlineStr">
        <is>
          <t>439076</t>
        </is>
      </c>
      <c r="C171" s="38" t="inlineStr">
        <is>
          <t>Canonja, la</t>
        </is>
      </c>
      <c r="D171" s="38" t="inlineStr">
        <is>
          <t>Y067</t>
        </is>
      </c>
      <c r="E171" s="38" t="inlineStr">
        <is>
          <t>67 anys</t>
        </is>
      </c>
      <c r="F171" s="38" t="n">
        <v>67</v>
      </c>
      <c r="G171" s="38" t="n">
        <v>61</v>
      </c>
      <c r="I171" s="38" t="inlineStr">
        <is>
          <t>Total de tots els sexes; resposta JSON-stat de l'API d'Idescat</t>
        </is>
      </c>
    </row>
    <row r="172" ht="15" customHeight="1" s="39">
      <c r="A172" s="38" t="n">
        <v>2021</v>
      </c>
      <c r="B172" s="42" t="inlineStr">
        <is>
          <t>439076</t>
        </is>
      </c>
      <c r="C172" s="38" t="inlineStr">
        <is>
          <t>Canonja, la</t>
        </is>
      </c>
      <c r="D172" s="38" t="inlineStr">
        <is>
          <t>Y068</t>
        </is>
      </c>
      <c r="E172" s="38" t="inlineStr">
        <is>
          <t>68 anys</t>
        </is>
      </c>
      <c r="F172" s="38" t="n">
        <v>68</v>
      </c>
      <c r="G172" s="38" t="n">
        <v>54</v>
      </c>
      <c r="I172" s="38" t="inlineStr">
        <is>
          <t>Total de tots els sexes; resposta JSON-stat de l'API d'Idescat</t>
        </is>
      </c>
    </row>
    <row r="173" ht="15" customHeight="1" s="39">
      <c r="A173" s="38" t="n">
        <v>2021</v>
      </c>
      <c r="B173" s="42" t="inlineStr">
        <is>
          <t>439076</t>
        </is>
      </c>
      <c r="C173" s="38" t="inlineStr">
        <is>
          <t>Canonja, la</t>
        </is>
      </c>
      <c r="D173" s="38" t="inlineStr">
        <is>
          <t>Y069</t>
        </is>
      </c>
      <c r="E173" s="38" t="inlineStr">
        <is>
          <t>69 anys</t>
        </is>
      </c>
      <c r="F173" s="38" t="n">
        <v>69</v>
      </c>
      <c r="G173" s="38" t="n">
        <v>56</v>
      </c>
      <c r="I173" s="38" t="inlineStr">
        <is>
          <t>Total de tots els sexes; resposta JSON-stat de l'API d'Idescat</t>
        </is>
      </c>
    </row>
    <row r="174" ht="15" customHeight="1" s="39">
      <c r="A174" s="38" t="n">
        <v>2021</v>
      </c>
      <c r="B174" s="42" t="inlineStr">
        <is>
          <t>439076</t>
        </is>
      </c>
      <c r="C174" s="38" t="inlineStr">
        <is>
          <t>Canonja, la</t>
        </is>
      </c>
      <c r="D174" s="38" t="inlineStr">
        <is>
          <t>Y070</t>
        </is>
      </c>
      <c r="E174" s="38" t="inlineStr">
        <is>
          <t>70 anys</t>
        </is>
      </c>
      <c r="F174" s="38" t="n">
        <v>70</v>
      </c>
      <c r="G174" s="38" t="n">
        <v>42</v>
      </c>
      <c r="I174" s="38" t="inlineStr">
        <is>
          <t>Total de tots els sexes; resposta JSON-stat de l'API d'Idescat</t>
        </is>
      </c>
    </row>
    <row r="175" ht="15" customHeight="1" s="39">
      <c r="A175" s="38" t="n">
        <v>2021</v>
      </c>
      <c r="B175" s="42" t="inlineStr">
        <is>
          <t>439076</t>
        </is>
      </c>
      <c r="C175" s="38" t="inlineStr">
        <is>
          <t>Canonja, la</t>
        </is>
      </c>
      <c r="D175" s="38" t="inlineStr">
        <is>
          <t>Y071</t>
        </is>
      </c>
      <c r="E175" s="38" t="inlineStr">
        <is>
          <t>71 anys</t>
        </is>
      </c>
      <c r="F175" s="38" t="n">
        <v>71</v>
      </c>
      <c r="G175" s="38" t="n">
        <v>56</v>
      </c>
      <c r="I175" s="38" t="inlineStr">
        <is>
          <t>Total de tots els sexes; resposta JSON-stat de l'API d'Idescat</t>
        </is>
      </c>
    </row>
    <row r="176" ht="15" customHeight="1" s="39">
      <c r="A176" s="38" t="n">
        <v>2021</v>
      </c>
      <c r="B176" s="42" t="inlineStr">
        <is>
          <t>439076</t>
        </is>
      </c>
      <c r="C176" s="38" t="inlineStr">
        <is>
          <t>Canonja, la</t>
        </is>
      </c>
      <c r="D176" s="38" t="inlineStr">
        <is>
          <t>Y072</t>
        </is>
      </c>
      <c r="E176" s="38" t="inlineStr">
        <is>
          <t>72 anys</t>
        </is>
      </c>
      <c r="F176" s="38" t="n">
        <v>72</v>
      </c>
      <c r="G176" s="38" t="n">
        <v>46</v>
      </c>
      <c r="I176" s="38" t="inlineStr">
        <is>
          <t>Total de tots els sexes; resposta JSON-stat de l'API d'Idescat</t>
        </is>
      </c>
    </row>
    <row r="177" ht="15" customHeight="1" s="39">
      <c r="A177" s="38" t="n">
        <v>2021</v>
      </c>
      <c r="B177" s="42" t="inlineStr">
        <is>
          <t>439076</t>
        </is>
      </c>
      <c r="C177" s="38" t="inlineStr">
        <is>
          <t>Canonja, la</t>
        </is>
      </c>
      <c r="D177" s="38" t="inlineStr">
        <is>
          <t>Y073</t>
        </is>
      </c>
      <c r="E177" s="38" t="inlineStr">
        <is>
          <t>73 anys</t>
        </is>
      </c>
      <c r="F177" s="38" t="n">
        <v>73</v>
      </c>
      <c r="G177" s="38" t="n">
        <v>50</v>
      </c>
      <c r="I177" s="38" t="inlineStr">
        <is>
          <t>Total de tots els sexes; resposta JSON-stat de l'API d'Idescat</t>
        </is>
      </c>
    </row>
    <row r="178" ht="15" customHeight="1" s="39">
      <c r="A178" s="38" t="n">
        <v>2021</v>
      </c>
      <c r="B178" s="42" t="inlineStr">
        <is>
          <t>439076</t>
        </is>
      </c>
      <c r="C178" s="38" t="inlineStr">
        <is>
          <t>Canonja, la</t>
        </is>
      </c>
      <c r="D178" s="38" t="inlineStr">
        <is>
          <t>Y074</t>
        </is>
      </c>
      <c r="E178" s="38" t="inlineStr">
        <is>
          <t>74 anys</t>
        </is>
      </c>
      <c r="F178" s="38" t="n">
        <v>74</v>
      </c>
      <c r="G178" s="38" t="n">
        <v>41</v>
      </c>
      <c r="I178" s="38" t="inlineStr">
        <is>
          <t>Total de tots els sexes; resposta JSON-stat de l'API d'Idescat</t>
        </is>
      </c>
    </row>
    <row r="179" ht="15" customHeight="1" s="39">
      <c r="A179" s="38" t="n">
        <v>2021</v>
      </c>
      <c r="B179" s="42" t="inlineStr">
        <is>
          <t>439076</t>
        </is>
      </c>
      <c r="C179" s="38" t="inlineStr">
        <is>
          <t>Canonja, la</t>
        </is>
      </c>
      <c r="D179" s="38" t="inlineStr">
        <is>
          <t>Y075</t>
        </is>
      </c>
      <c r="E179" s="38" t="inlineStr">
        <is>
          <t>75 anys</t>
        </is>
      </c>
      <c r="F179" s="38" t="n">
        <v>75</v>
      </c>
      <c r="G179" s="38" t="n">
        <v>41</v>
      </c>
      <c r="I179" s="38" t="inlineStr">
        <is>
          <t>Total de tots els sexes; resposta JSON-stat de l'API d'Idescat</t>
        </is>
      </c>
    </row>
    <row r="180" ht="15" customHeight="1" s="39">
      <c r="A180" s="38" t="n">
        <v>2021</v>
      </c>
      <c r="B180" s="42" t="inlineStr">
        <is>
          <t>439076</t>
        </is>
      </c>
      <c r="C180" s="38" t="inlineStr">
        <is>
          <t>Canonja, la</t>
        </is>
      </c>
      <c r="D180" s="38" t="inlineStr">
        <is>
          <t>Y076</t>
        </is>
      </c>
      <c r="E180" s="38" t="inlineStr">
        <is>
          <t>76 anys</t>
        </is>
      </c>
      <c r="F180" s="38" t="n">
        <v>76</v>
      </c>
      <c r="G180" s="38" t="n">
        <v>38</v>
      </c>
      <c r="I180" s="38" t="inlineStr">
        <is>
          <t>Total de tots els sexes; resposta JSON-stat de l'API d'Idescat</t>
        </is>
      </c>
    </row>
    <row r="181" ht="15" customHeight="1" s="39">
      <c r="A181" s="38" t="n">
        <v>2021</v>
      </c>
      <c r="B181" s="42" t="inlineStr">
        <is>
          <t>439076</t>
        </is>
      </c>
      <c r="C181" s="38" t="inlineStr">
        <is>
          <t>Canonja, la</t>
        </is>
      </c>
      <c r="D181" s="38" t="inlineStr">
        <is>
          <t>Y077</t>
        </is>
      </c>
      <c r="E181" s="38" t="inlineStr">
        <is>
          <t>77 anys</t>
        </is>
      </c>
      <c r="F181" s="38" t="n">
        <v>77</v>
      </c>
      <c r="G181" s="38" t="n">
        <v>39</v>
      </c>
      <c r="I181" s="38" t="inlineStr">
        <is>
          <t>Total de tots els sexes; resposta JSON-stat de l'API d'Idescat</t>
        </is>
      </c>
    </row>
    <row r="182" ht="15" customHeight="1" s="39">
      <c r="A182" s="38" t="n">
        <v>2021</v>
      </c>
      <c r="B182" s="42" t="inlineStr">
        <is>
          <t>439076</t>
        </is>
      </c>
      <c r="C182" s="38" t="inlineStr">
        <is>
          <t>Canonja, la</t>
        </is>
      </c>
      <c r="D182" s="38" t="inlineStr">
        <is>
          <t>Y078</t>
        </is>
      </c>
      <c r="E182" s="38" t="inlineStr">
        <is>
          <t>78 anys</t>
        </is>
      </c>
      <c r="F182" s="38" t="n">
        <v>78</v>
      </c>
      <c r="G182" s="38" t="n">
        <v>28</v>
      </c>
      <c r="I182" s="38" t="inlineStr">
        <is>
          <t>Total de tots els sexes; resposta JSON-stat de l'API d'Idescat</t>
        </is>
      </c>
    </row>
    <row r="183" ht="15" customHeight="1" s="39">
      <c r="A183" s="38" t="n">
        <v>2021</v>
      </c>
      <c r="B183" s="42" t="inlineStr">
        <is>
          <t>439076</t>
        </is>
      </c>
      <c r="C183" s="38" t="inlineStr">
        <is>
          <t>Canonja, la</t>
        </is>
      </c>
      <c r="D183" s="38" t="inlineStr">
        <is>
          <t>Y079</t>
        </is>
      </c>
      <c r="E183" s="38" t="inlineStr">
        <is>
          <t>79 anys</t>
        </is>
      </c>
      <c r="F183" s="38" t="n">
        <v>79</v>
      </c>
      <c r="G183" s="38" t="n">
        <v>30</v>
      </c>
      <c r="I183" s="38" t="inlineStr">
        <is>
          <t>Total de tots els sexes; resposta JSON-stat de l'API d'Idescat</t>
        </is>
      </c>
    </row>
    <row r="184" ht="15" customHeight="1" s="39">
      <c r="A184" s="38" t="n">
        <v>2021</v>
      </c>
      <c r="B184" s="42" t="inlineStr">
        <is>
          <t>439076</t>
        </is>
      </c>
      <c r="C184" s="38" t="inlineStr">
        <is>
          <t>Canonja, la</t>
        </is>
      </c>
      <c r="D184" s="38" t="inlineStr">
        <is>
          <t>Y080</t>
        </is>
      </c>
      <c r="E184" s="38" t="inlineStr">
        <is>
          <t>80 anys</t>
        </is>
      </c>
      <c r="F184" s="38" t="n">
        <v>80</v>
      </c>
      <c r="G184" s="38" t="n">
        <v>30</v>
      </c>
      <c r="I184" s="38" t="inlineStr">
        <is>
          <t>Total de tots els sexes; resposta JSON-stat de l'API d'Idescat</t>
        </is>
      </c>
    </row>
    <row r="185" ht="15" customHeight="1" s="39">
      <c r="A185" s="38" t="n">
        <v>2021</v>
      </c>
      <c r="B185" s="42" t="inlineStr">
        <is>
          <t>439076</t>
        </is>
      </c>
      <c r="C185" s="38" t="inlineStr">
        <is>
          <t>Canonja, la</t>
        </is>
      </c>
      <c r="D185" s="38" t="inlineStr">
        <is>
          <t>Y081</t>
        </is>
      </c>
      <c r="E185" s="38" t="inlineStr">
        <is>
          <t>81 anys</t>
        </is>
      </c>
      <c r="F185" s="38" t="n">
        <v>81</v>
      </c>
      <c r="G185" s="38" t="n">
        <v>18</v>
      </c>
      <c r="I185" s="38" t="inlineStr">
        <is>
          <t>Total de tots els sexes; resposta JSON-stat de l'API d'Idescat</t>
        </is>
      </c>
    </row>
    <row r="186" ht="15" customHeight="1" s="39">
      <c r="A186" s="38" t="n">
        <v>2021</v>
      </c>
      <c r="B186" s="42" t="inlineStr">
        <is>
          <t>439076</t>
        </is>
      </c>
      <c r="C186" s="38" t="inlineStr">
        <is>
          <t>Canonja, la</t>
        </is>
      </c>
      <c r="D186" s="38" t="inlineStr">
        <is>
          <t>Y082</t>
        </is>
      </c>
      <c r="E186" s="38" t="inlineStr">
        <is>
          <t>82 anys</t>
        </is>
      </c>
      <c r="F186" s="38" t="n">
        <v>82</v>
      </c>
      <c r="G186" s="38" t="n">
        <v>19</v>
      </c>
      <c r="I186" s="38" t="inlineStr">
        <is>
          <t>Total de tots els sexes; resposta JSON-stat de l'API d'Idescat</t>
        </is>
      </c>
    </row>
    <row r="187" ht="15" customHeight="1" s="39">
      <c r="A187" s="38" t="n">
        <v>2021</v>
      </c>
      <c r="B187" s="42" t="inlineStr">
        <is>
          <t>439076</t>
        </is>
      </c>
      <c r="C187" s="38" t="inlineStr">
        <is>
          <t>Canonja, la</t>
        </is>
      </c>
      <c r="D187" s="38" t="inlineStr">
        <is>
          <t>Y083</t>
        </is>
      </c>
      <c r="E187" s="38" t="inlineStr">
        <is>
          <t>83 anys</t>
        </is>
      </c>
      <c r="F187" s="38" t="n">
        <v>83</v>
      </c>
      <c r="G187" s="38" t="n">
        <v>32</v>
      </c>
      <c r="I187" s="38" t="inlineStr">
        <is>
          <t>Total de tots els sexes; resposta JSON-stat de l'API d'Idescat</t>
        </is>
      </c>
    </row>
    <row r="188" ht="15" customHeight="1" s="39">
      <c r="A188" s="38" t="n">
        <v>2021</v>
      </c>
      <c r="B188" s="42" t="inlineStr">
        <is>
          <t>439076</t>
        </is>
      </c>
      <c r="C188" s="38" t="inlineStr">
        <is>
          <t>Canonja, la</t>
        </is>
      </c>
      <c r="D188" s="38" t="inlineStr">
        <is>
          <t>Y084</t>
        </is>
      </c>
      <c r="E188" s="38" t="inlineStr">
        <is>
          <t>84 anys</t>
        </is>
      </c>
      <c r="F188" s="38" t="n">
        <v>84</v>
      </c>
      <c r="G188" s="38" t="n">
        <v>29</v>
      </c>
      <c r="I188" s="38" t="inlineStr">
        <is>
          <t>Total de tots els sexes; resposta JSON-stat de l'API d'Idescat</t>
        </is>
      </c>
    </row>
    <row r="189" ht="15" customHeight="1" s="39">
      <c r="A189" s="38" t="n">
        <v>2021</v>
      </c>
      <c r="B189" s="42" t="inlineStr">
        <is>
          <t>439076</t>
        </is>
      </c>
      <c r="C189" s="38" t="inlineStr">
        <is>
          <t>Canonja, la</t>
        </is>
      </c>
      <c r="D189" s="38" t="inlineStr">
        <is>
          <t>Y085</t>
        </is>
      </c>
      <c r="E189" s="38" t="inlineStr">
        <is>
          <t>85 anys</t>
        </is>
      </c>
      <c r="F189" s="38" t="n">
        <v>85</v>
      </c>
      <c r="G189" s="38" t="n">
        <v>20</v>
      </c>
      <c r="I189" s="38" t="inlineStr">
        <is>
          <t>Total de tots els sexes; resposta JSON-stat de l'API d'Idescat</t>
        </is>
      </c>
    </row>
    <row r="190" ht="15" customHeight="1" s="39">
      <c r="A190" s="38" t="n">
        <v>2021</v>
      </c>
      <c r="B190" s="42" t="inlineStr">
        <is>
          <t>439076</t>
        </is>
      </c>
      <c r="C190" s="38" t="inlineStr">
        <is>
          <t>Canonja, la</t>
        </is>
      </c>
      <c r="D190" s="38" t="inlineStr">
        <is>
          <t>Y086</t>
        </is>
      </c>
      <c r="E190" s="38" t="inlineStr">
        <is>
          <t>86 anys</t>
        </is>
      </c>
      <c r="F190" s="38" t="n">
        <v>86</v>
      </c>
      <c r="G190" s="38" t="n">
        <v>18</v>
      </c>
      <c r="I190" s="38" t="inlineStr">
        <is>
          <t>Total de tots els sexes; resposta JSON-stat de l'API d'Idescat</t>
        </is>
      </c>
    </row>
    <row r="191" ht="15" customHeight="1" s="39">
      <c r="A191" s="38" t="n">
        <v>2021</v>
      </c>
      <c r="B191" s="42" t="inlineStr">
        <is>
          <t>439076</t>
        </is>
      </c>
      <c r="C191" s="38" t="inlineStr">
        <is>
          <t>Canonja, la</t>
        </is>
      </c>
      <c r="D191" s="38" t="inlineStr">
        <is>
          <t>Y087</t>
        </is>
      </c>
      <c r="E191" s="38" t="inlineStr">
        <is>
          <t>87 anys</t>
        </is>
      </c>
      <c r="F191" s="38" t="n">
        <v>87</v>
      </c>
      <c r="G191" s="38" t="n">
        <v>13</v>
      </c>
      <c r="I191" s="38" t="inlineStr">
        <is>
          <t>Total de tots els sexes; resposta JSON-stat de l'API d'Idescat</t>
        </is>
      </c>
    </row>
    <row r="192" ht="15" customHeight="1" s="39">
      <c r="A192" s="38" t="n">
        <v>2021</v>
      </c>
      <c r="B192" s="42" t="inlineStr">
        <is>
          <t>439076</t>
        </is>
      </c>
      <c r="C192" s="38" t="inlineStr">
        <is>
          <t>Canonja, la</t>
        </is>
      </c>
      <c r="D192" s="38" t="inlineStr">
        <is>
          <t>Y088</t>
        </is>
      </c>
      <c r="E192" s="38" t="inlineStr">
        <is>
          <t>88 anys</t>
        </is>
      </c>
      <c r="F192" s="38" t="n">
        <v>88</v>
      </c>
      <c r="G192" s="38" t="n">
        <v>15</v>
      </c>
      <c r="I192" s="38" t="inlineStr">
        <is>
          <t>Total de tots els sexes; resposta JSON-stat de l'API d'Idescat</t>
        </is>
      </c>
    </row>
    <row r="193" ht="15" customHeight="1" s="39">
      <c r="A193" s="38" t="n">
        <v>2021</v>
      </c>
      <c r="B193" s="42" t="inlineStr">
        <is>
          <t>439076</t>
        </is>
      </c>
      <c r="C193" s="38" t="inlineStr">
        <is>
          <t>Canonja, la</t>
        </is>
      </c>
      <c r="D193" s="38" t="inlineStr">
        <is>
          <t>Y089</t>
        </is>
      </c>
      <c r="E193" s="38" t="inlineStr">
        <is>
          <t>89 anys</t>
        </is>
      </c>
      <c r="F193" s="38" t="n">
        <v>89</v>
      </c>
      <c r="G193" s="38" t="n">
        <v>17</v>
      </c>
      <c r="I193" s="38" t="inlineStr">
        <is>
          <t>Total de tots els sexes; resposta JSON-stat de l'API d'Idescat</t>
        </is>
      </c>
    </row>
    <row r="194" ht="15" customHeight="1" s="39">
      <c r="A194" s="38" t="n">
        <v>2021</v>
      </c>
      <c r="B194" s="42" t="inlineStr">
        <is>
          <t>439076</t>
        </is>
      </c>
      <c r="C194" s="38" t="inlineStr">
        <is>
          <t>Canonja, la</t>
        </is>
      </c>
      <c r="D194" s="38" t="inlineStr">
        <is>
          <t>Y090</t>
        </is>
      </c>
      <c r="E194" s="38" t="inlineStr">
        <is>
          <t>90 anys</t>
        </is>
      </c>
      <c r="F194" s="38" t="n">
        <v>90</v>
      </c>
      <c r="G194" s="38" t="n">
        <v>11</v>
      </c>
      <c r="I194" s="38" t="inlineStr">
        <is>
          <t>Total de tots els sexes; resposta JSON-stat de l'API d'Idescat</t>
        </is>
      </c>
    </row>
    <row r="195" ht="15" customHeight="1" s="39">
      <c r="A195" s="38" t="n">
        <v>2021</v>
      </c>
      <c r="B195" s="42" t="inlineStr">
        <is>
          <t>439076</t>
        </is>
      </c>
      <c r="C195" s="38" t="inlineStr">
        <is>
          <t>Canonja, la</t>
        </is>
      </c>
      <c r="D195" s="38" t="inlineStr">
        <is>
          <t>Y091</t>
        </is>
      </c>
      <c r="E195" s="38" t="inlineStr">
        <is>
          <t>91 anys</t>
        </is>
      </c>
      <c r="F195" s="38" t="n">
        <v>91</v>
      </c>
      <c r="G195" s="38" t="n">
        <v>8</v>
      </c>
      <c r="I195" s="38" t="inlineStr">
        <is>
          <t>Total de tots els sexes; resposta JSON-stat de l'API d'Idescat</t>
        </is>
      </c>
    </row>
    <row r="196" ht="15" customHeight="1" s="39">
      <c r="A196" s="38" t="n">
        <v>2021</v>
      </c>
      <c r="B196" s="42" t="inlineStr">
        <is>
          <t>439076</t>
        </is>
      </c>
      <c r="C196" s="38" t="inlineStr">
        <is>
          <t>Canonja, la</t>
        </is>
      </c>
      <c r="D196" s="38" t="inlineStr">
        <is>
          <t>Y092</t>
        </is>
      </c>
      <c r="E196" s="38" t="inlineStr">
        <is>
          <t>92 anys</t>
        </is>
      </c>
      <c r="F196" s="38" t="n">
        <v>92</v>
      </c>
      <c r="G196" s="38" t="n">
        <v>11</v>
      </c>
      <c r="I196" s="38" t="inlineStr">
        <is>
          <t>Total de tots els sexes; resposta JSON-stat de l'API d'Idescat</t>
        </is>
      </c>
    </row>
    <row r="197" ht="15" customHeight="1" s="39">
      <c r="A197" s="38" t="n">
        <v>2021</v>
      </c>
      <c r="B197" s="42" t="inlineStr">
        <is>
          <t>439076</t>
        </is>
      </c>
      <c r="C197" s="38" t="inlineStr">
        <is>
          <t>Canonja, la</t>
        </is>
      </c>
      <c r="D197" s="38" t="inlineStr">
        <is>
          <t>Y093</t>
        </is>
      </c>
      <c r="E197" s="38" t="inlineStr">
        <is>
          <t>93 anys</t>
        </is>
      </c>
      <c r="F197" s="38" t="n">
        <v>93</v>
      </c>
      <c r="G197" s="38" t="n">
        <v>2</v>
      </c>
      <c r="I197" s="38" t="inlineStr">
        <is>
          <t>Total de tots els sexes; resposta JSON-stat de l'API d'Idescat</t>
        </is>
      </c>
    </row>
    <row r="198" ht="15" customHeight="1" s="39">
      <c r="A198" s="38" t="n">
        <v>2021</v>
      </c>
      <c r="B198" s="42" t="inlineStr">
        <is>
          <t>439076</t>
        </is>
      </c>
      <c r="C198" s="38" t="inlineStr">
        <is>
          <t>Canonja, la</t>
        </is>
      </c>
      <c r="D198" s="38" t="inlineStr">
        <is>
          <t>Y094</t>
        </is>
      </c>
      <c r="E198" s="38" t="inlineStr">
        <is>
          <t>94 anys</t>
        </is>
      </c>
      <c r="F198" s="38" t="n">
        <v>94</v>
      </c>
      <c r="G198" s="38" t="n">
        <v>3</v>
      </c>
      <c r="I198" s="38" t="inlineStr">
        <is>
          <t>Total de tots els sexes; resposta JSON-stat de l'API d'Idescat</t>
        </is>
      </c>
    </row>
    <row r="199" ht="15" customHeight="1" s="39">
      <c r="A199" s="38" t="n">
        <v>2021</v>
      </c>
      <c r="B199" s="42" t="inlineStr">
        <is>
          <t>439076</t>
        </is>
      </c>
      <c r="C199" s="38" t="inlineStr">
        <is>
          <t>Canonja, la</t>
        </is>
      </c>
      <c r="D199" s="38" t="inlineStr">
        <is>
          <t>Y095</t>
        </is>
      </c>
      <c r="E199" s="38" t="inlineStr">
        <is>
          <t>95 anys</t>
        </is>
      </c>
      <c r="F199" s="38" t="n">
        <v>95</v>
      </c>
      <c r="G199" s="38" t="n">
        <v>5</v>
      </c>
      <c r="I199" s="38" t="inlineStr">
        <is>
          <t>Total de tots els sexes; resposta JSON-stat de l'API d'Idescat</t>
        </is>
      </c>
    </row>
    <row r="200" ht="15" customHeight="1" s="39">
      <c r="A200" s="38" t="n">
        <v>2021</v>
      </c>
      <c r="B200" s="42" t="inlineStr">
        <is>
          <t>439076</t>
        </is>
      </c>
      <c r="C200" s="38" t="inlineStr">
        <is>
          <t>Canonja, la</t>
        </is>
      </c>
      <c r="D200" s="38" t="inlineStr">
        <is>
          <t>Y096</t>
        </is>
      </c>
      <c r="E200" s="38" t="inlineStr">
        <is>
          <t>96 anys</t>
        </is>
      </c>
      <c r="F200" s="38" t="n">
        <v>96</v>
      </c>
      <c r="G200" s="38" t="n">
        <v>0</v>
      </c>
      <c r="I200" s="38" t="inlineStr">
        <is>
          <t>Total de tots els sexes; resposta JSON-stat de l'API d'Idescat</t>
        </is>
      </c>
    </row>
    <row r="201" ht="15" customHeight="1" s="39">
      <c r="A201" s="38" t="n">
        <v>2021</v>
      </c>
      <c r="B201" s="42" t="inlineStr">
        <is>
          <t>439076</t>
        </is>
      </c>
      <c r="C201" s="38" t="inlineStr">
        <is>
          <t>Canonja, la</t>
        </is>
      </c>
      <c r="D201" s="38" t="inlineStr">
        <is>
          <t>Y097</t>
        </is>
      </c>
      <c r="E201" s="38" t="inlineStr">
        <is>
          <t>97 anys</t>
        </is>
      </c>
      <c r="F201" s="38" t="n">
        <v>97</v>
      </c>
      <c r="G201" s="38" t="n">
        <v>0</v>
      </c>
      <c r="I201" s="38" t="inlineStr">
        <is>
          <t>Total de tots els sexes; resposta JSON-stat de l'API d'Idescat</t>
        </is>
      </c>
    </row>
    <row r="202" ht="15" customHeight="1" s="39">
      <c r="A202" s="38" t="n">
        <v>2021</v>
      </c>
      <c r="B202" s="42" t="inlineStr">
        <is>
          <t>439076</t>
        </is>
      </c>
      <c r="C202" s="38" t="inlineStr">
        <is>
          <t>Canonja, la</t>
        </is>
      </c>
      <c r="D202" s="38" t="inlineStr">
        <is>
          <t>Y098</t>
        </is>
      </c>
      <c r="E202" s="38" t="inlineStr">
        <is>
          <t>98 anys</t>
        </is>
      </c>
      <c r="F202" s="38" t="n">
        <v>98</v>
      </c>
      <c r="G202" s="38" t="n">
        <v>2</v>
      </c>
      <c r="I202" s="38" t="inlineStr">
        <is>
          <t>Total de tots els sexes; resposta JSON-stat de l'API d'Idescat</t>
        </is>
      </c>
    </row>
    <row r="203" ht="15" customHeight="1" s="39">
      <c r="A203" s="38" t="n">
        <v>2021</v>
      </c>
      <c r="B203" s="42" t="inlineStr">
        <is>
          <t>439076</t>
        </is>
      </c>
      <c r="C203" s="38" t="inlineStr">
        <is>
          <t>Canonja, la</t>
        </is>
      </c>
      <c r="D203" s="38" t="inlineStr">
        <is>
          <t>Y099</t>
        </is>
      </c>
      <c r="E203" s="38" t="inlineStr">
        <is>
          <t>99 anys</t>
        </is>
      </c>
      <c r="F203" s="38" t="n">
        <v>99</v>
      </c>
      <c r="G203" s="38" t="n">
        <v>1</v>
      </c>
      <c r="I203" s="38" t="inlineStr">
        <is>
          <t>Total de tots els sexes; resposta JSON-stat de l'API d'Idescat</t>
        </is>
      </c>
    </row>
    <row r="204" ht="15" customHeight="1" s="39">
      <c r="A204" s="38" t="n">
        <v>2021</v>
      </c>
      <c r="B204" s="42" t="inlineStr">
        <is>
          <t>439076</t>
        </is>
      </c>
      <c r="C204" s="38" t="inlineStr">
        <is>
          <t>Canonja, la</t>
        </is>
      </c>
      <c r="D204" s="38" t="inlineStr">
        <is>
          <t>Y_GE100</t>
        </is>
      </c>
      <c r="E204" s="38" t="inlineStr">
        <is>
          <t>100 anys o més</t>
        </is>
      </c>
      <c r="F204" s="38" t="n">
        <v>100</v>
      </c>
      <c r="G204" s="38" t="n">
        <v>1</v>
      </c>
      <c r="I204" s="38" t="inlineStr">
        <is>
          <t>Total de tots els sexes; resposta JSON-stat de l'API d'Idescat</t>
        </is>
      </c>
    </row>
    <row r="205" ht="15" customHeight="1" s="39">
      <c r="A205" s="38" t="n">
        <v>2021</v>
      </c>
      <c r="B205" s="42" t="inlineStr">
        <is>
          <t>439076</t>
        </is>
      </c>
      <c r="C205" s="38" t="inlineStr">
        <is>
          <t>Canonja, la</t>
        </is>
      </c>
      <c r="D205" s="38" t="inlineStr">
        <is>
          <t>TOTAL</t>
        </is>
      </c>
      <c r="E205" s="38" t="inlineStr">
        <is>
          <t>total</t>
        </is>
      </c>
      <c r="G205" s="38" t="n">
        <v>5971</v>
      </c>
      <c r="I205" s="38" t="inlineStr">
        <is>
          <t>Total de tots els sexes; resposta JSON-stat de l'API d'Idescat</t>
        </is>
      </c>
    </row>
    <row r="206" ht="15" customHeight="1" s="39">
      <c r="A206" s="38" t="n">
        <v>2021</v>
      </c>
      <c r="B206" s="42" t="inlineStr">
        <is>
          <t>430430</t>
        </is>
      </c>
      <c r="C206" s="38" t="inlineStr">
        <is>
          <t>Catllar, el</t>
        </is>
      </c>
      <c r="D206" s="38" t="inlineStr">
        <is>
          <t>Y000</t>
        </is>
      </c>
      <c r="E206" s="38" t="inlineStr">
        <is>
          <t>0 anys</t>
        </is>
      </c>
      <c r="F206" s="38" t="n">
        <v>0</v>
      </c>
      <c r="G206" s="38" t="n">
        <v>38</v>
      </c>
      <c r="I206" s="38" t="inlineStr">
        <is>
          <t>Total de tots els sexes; resposta JSON-stat de l'API d'Idescat</t>
        </is>
      </c>
    </row>
    <row r="207" ht="15" customHeight="1" s="39">
      <c r="A207" s="38" t="n">
        <v>2021</v>
      </c>
      <c r="B207" s="42" t="inlineStr">
        <is>
          <t>430430</t>
        </is>
      </c>
      <c r="C207" s="38" t="inlineStr">
        <is>
          <t>Catllar, el</t>
        </is>
      </c>
      <c r="D207" s="38" t="inlineStr">
        <is>
          <t>Y001</t>
        </is>
      </c>
      <c r="E207" s="38" t="inlineStr">
        <is>
          <t>1 any</t>
        </is>
      </c>
      <c r="F207" s="38" t="n">
        <v>1</v>
      </c>
      <c r="G207" s="38" t="n">
        <v>42</v>
      </c>
      <c r="I207" s="38" t="inlineStr">
        <is>
          <t>Total de tots els sexes; resposta JSON-stat de l'API d'Idescat</t>
        </is>
      </c>
    </row>
    <row r="208" ht="15" customHeight="1" s="39">
      <c r="A208" s="38" t="n">
        <v>2021</v>
      </c>
      <c r="B208" s="42" t="inlineStr">
        <is>
          <t>430430</t>
        </is>
      </c>
      <c r="C208" s="38" t="inlineStr">
        <is>
          <t>Catllar, el</t>
        </is>
      </c>
      <c r="D208" s="38" t="inlineStr">
        <is>
          <t>Y002</t>
        </is>
      </c>
      <c r="E208" s="38" t="inlineStr">
        <is>
          <t>2 anys</t>
        </is>
      </c>
      <c r="F208" s="38" t="n">
        <v>2</v>
      </c>
      <c r="G208" s="38" t="n">
        <v>43</v>
      </c>
      <c r="I208" s="38" t="inlineStr">
        <is>
          <t>Total de tots els sexes; resposta JSON-stat de l'API d'Idescat</t>
        </is>
      </c>
    </row>
    <row r="209" ht="15" customHeight="1" s="39">
      <c r="A209" s="38" t="n">
        <v>2021</v>
      </c>
      <c r="B209" s="42" t="inlineStr">
        <is>
          <t>430430</t>
        </is>
      </c>
      <c r="C209" s="38" t="inlineStr">
        <is>
          <t>Catllar, el</t>
        </is>
      </c>
      <c r="D209" s="38" t="inlineStr">
        <is>
          <t>Y003</t>
        </is>
      </c>
      <c r="E209" s="38" t="inlineStr">
        <is>
          <t>3 anys</t>
        </is>
      </c>
      <c r="F209" s="38" t="n">
        <v>3</v>
      </c>
      <c r="G209" s="38" t="n">
        <v>41</v>
      </c>
      <c r="I209" s="38" t="inlineStr">
        <is>
          <t>Total de tots els sexes; resposta JSON-stat de l'API d'Idescat</t>
        </is>
      </c>
    </row>
    <row r="210" ht="15" customHeight="1" s="39">
      <c r="A210" s="38" t="n">
        <v>2021</v>
      </c>
      <c r="B210" s="42" t="inlineStr">
        <is>
          <t>430430</t>
        </is>
      </c>
      <c r="C210" s="38" t="inlineStr">
        <is>
          <t>Catllar, el</t>
        </is>
      </c>
      <c r="D210" s="38" t="inlineStr">
        <is>
          <t>Y004</t>
        </is>
      </c>
      <c r="E210" s="38" t="inlineStr">
        <is>
          <t>4 anys</t>
        </is>
      </c>
      <c r="F210" s="38" t="n">
        <v>4</v>
      </c>
      <c r="G210" s="38" t="n">
        <v>50</v>
      </c>
      <c r="I210" s="38" t="inlineStr">
        <is>
          <t>Total de tots els sexes; resposta JSON-stat de l'API d'Idescat</t>
        </is>
      </c>
    </row>
    <row r="211" ht="15" customHeight="1" s="39">
      <c r="A211" s="38" t="n">
        <v>2021</v>
      </c>
      <c r="B211" s="42" t="inlineStr">
        <is>
          <t>430430</t>
        </is>
      </c>
      <c r="C211" s="38" t="inlineStr">
        <is>
          <t>Catllar, el</t>
        </is>
      </c>
      <c r="D211" s="38" t="inlineStr">
        <is>
          <t>Y005</t>
        </is>
      </c>
      <c r="E211" s="38" t="inlineStr">
        <is>
          <t>5 anys</t>
        </is>
      </c>
      <c r="F211" s="38" t="n">
        <v>5</v>
      </c>
      <c r="G211" s="38" t="n">
        <v>57</v>
      </c>
      <c r="I211" s="38" t="inlineStr">
        <is>
          <t>Total de tots els sexes; resposta JSON-stat de l'API d'Idescat</t>
        </is>
      </c>
    </row>
    <row r="212" ht="15" customHeight="1" s="39">
      <c r="A212" s="38" t="n">
        <v>2021</v>
      </c>
      <c r="B212" s="42" t="inlineStr">
        <is>
          <t>430430</t>
        </is>
      </c>
      <c r="C212" s="38" t="inlineStr">
        <is>
          <t>Catllar, el</t>
        </is>
      </c>
      <c r="D212" s="38" t="inlineStr">
        <is>
          <t>Y006</t>
        </is>
      </c>
      <c r="E212" s="38" t="inlineStr">
        <is>
          <t>6 anys</t>
        </is>
      </c>
      <c r="F212" s="38" t="n">
        <v>6</v>
      </c>
      <c r="G212" s="38" t="n">
        <v>53</v>
      </c>
      <c r="I212" s="38" t="inlineStr">
        <is>
          <t>Total de tots els sexes; resposta JSON-stat de l'API d'Idescat</t>
        </is>
      </c>
    </row>
    <row r="213" ht="15" customHeight="1" s="39">
      <c r="A213" s="38" t="n">
        <v>2021</v>
      </c>
      <c r="B213" s="42" t="inlineStr">
        <is>
          <t>430430</t>
        </is>
      </c>
      <c r="C213" s="38" t="inlineStr">
        <is>
          <t>Catllar, el</t>
        </is>
      </c>
      <c r="D213" s="38" t="inlineStr">
        <is>
          <t>Y007</t>
        </is>
      </c>
      <c r="E213" s="38" t="inlineStr">
        <is>
          <t>7 anys</t>
        </is>
      </c>
      <c r="F213" s="38" t="n">
        <v>7</v>
      </c>
      <c r="G213" s="38" t="n">
        <v>62</v>
      </c>
      <c r="I213" s="38" t="inlineStr">
        <is>
          <t>Total de tots els sexes; resposta JSON-stat de l'API d'Idescat</t>
        </is>
      </c>
    </row>
    <row r="214" ht="15" customHeight="1" s="39">
      <c r="A214" s="38" t="n">
        <v>2021</v>
      </c>
      <c r="B214" s="42" t="inlineStr">
        <is>
          <t>430430</t>
        </is>
      </c>
      <c r="C214" s="38" t="inlineStr">
        <is>
          <t>Catllar, el</t>
        </is>
      </c>
      <c r="D214" s="38" t="inlineStr">
        <is>
          <t>Y008</t>
        </is>
      </c>
      <c r="E214" s="38" t="inlineStr">
        <is>
          <t>8 anys</t>
        </is>
      </c>
      <c r="F214" s="38" t="n">
        <v>8</v>
      </c>
      <c r="G214" s="38" t="n">
        <v>55</v>
      </c>
      <c r="I214" s="38" t="inlineStr">
        <is>
          <t>Total de tots els sexes; resposta JSON-stat de l'API d'Idescat</t>
        </is>
      </c>
    </row>
    <row r="215" ht="15" customHeight="1" s="39">
      <c r="A215" s="38" t="n">
        <v>2021</v>
      </c>
      <c r="B215" s="42" t="inlineStr">
        <is>
          <t>430430</t>
        </is>
      </c>
      <c r="C215" s="38" t="inlineStr">
        <is>
          <t>Catllar, el</t>
        </is>
      </c>
      <c r="D215" s="38" t="inlineStr">
        <is>
          <t>Y009</t>
        </is>
      </c>
      <c r="E215" s="38" t="inlineStr">
        <is>
          <t>9 anys</t>
        </is>
      </c>
      <c r="F215" s="38" t="n">
        <v>9</v>
      </c>
      <c r="G215" s="38" t="n">
        <v>53</v>
      </c>
      <c r="I215" s="38" t="inlineStr">
        <is>
          <t>Total de tots els sexes; resposta JSON-stat de l'API d'Idescat</t>
        </is>
      </c>
    </row>
    <row r="216" ht="15" customHeight="1" s="39">
      <c r="A216" s="38" t="n">
        <v>2021</v>
      </c>
      <c r="B216" s="42" t="inlineStr">
        <is>
          <t>430430</t>
        </is>
      </c>
      <c r="C216" s="38" t="inlineStr">
        <is>
          <t>Catllar, el</t>
        </is>
      </c>
      <c r="D216" s="38" t="inlineStr">
        <is>
          <t>Y010</t>
        </is>
      </c>
      <c r="E216" s="38" t="inlineStr">
        <is>
          <t>10 anys</t>
        </is>
      </c>
      <c r="F216" s="38" t="n">
        <v>10</v>
      </c>
      <c r="G216" s="38" t="n">
        <v>46</v>
      </c>
      <c r="I216" s="38" t="inlineStr">
        <is>
          <t>Total de tots els sexes; resposta JSON-stat de l'API d'Idescat</t>
        </is>
      </c>
    </row>
    <row r="217" ht="15" customHeight="1" s="39">
      <c r="A217" s="38" t="n">
        <v>2021</v>
      </c>
      <c r="B217" s="42" t="inlineStr">
        <is>
          <t>430430</t>
        </is>
      </c>
      <c r="C217" s="38" t="inlineStr">
        <is>
          <t>Catllar, el</t>
        </is>
      </c>
      <c r="D217" s="38" t="inlineStr">
        <is>
          <t>Y011</t>
        </is>
      </c>
      <c r="E217" s="38" t="inlineStr">
        <is>
          <t>11 anys</t>
        </is>
      </c>
      <c r="F217" s="38" t="n">
        <v>11</v>
      </c>
      <c r="G217" s="38" t="n">
        <v>65</v>
      </c>
      <c r="I217" s="38" t="inlineStr">
        <is>
          <t>Total de tots els sexes; resposta JSON-stat de l'API d'Idescat</t>
        </is>
      </c>
    </row>
    <row r="218" ht="15" customHeight="1" s="39">
      <c r="A218" s="38" t="n">
        <v>2021</v>
      </c>
      <c r="B218" s="42" t="inlineStr">
        <is>
          <t>430430</t>
        </is>
      </c>
      <c r="C218" s="38" t="inlineStr">
        <is>
          <t>Catllar, el</t>
        </is>
      </c>
      <c r="D218" s="38" t="inlineStr">
        <is>
          <t>Y012</t>
        </is>
      </c>
      <c r="E218" s="38" t="inlineStr">
        <is>
          <t>12 anys</t>
        </is>
      </c>
      <c r="F218" s="38" t="n">
        <v>12</v>
      </c>
      <c r="G218" s="38" t="n">
        <v>77</v>
      </c>
      <c r="I218" s="38" t="inlineStr">
        <is>
          <t>Total de tots els sexes; resposta JSON-stat de l'API d'Idescat</t>
        </is>
      </c>
    </row>
    <row r="219" ht="15" customHeight="1" s="39">
      <c r="A219" s="38" t="n">
        <v>2021</v>
      </c>
      <c r="B219" s="42" t="inlineStr">
        <is>
          <t>430430</t>
        </is>
      </c>
      <c r="C219" s="38" t="inlineStr">
        <is>
          <t>Catllar, el</t>
        </is>
      </c>
      <c r="D219" s="38" t="inlineStr">
        <is>
          <t>Y013</t>
        </is>
      </c>
      <c r="E219" s="38" t="inlineStr">
        <is>
          <t>13 anys</t>
        </is>
      </c>
      <c r="F219" s="38" t="n">
        <v>13</v>
      </c>
      <c r="G219" s="38" t="n">
        <v>59</v>
      </c>
      <c r="I219" s="38" t="inlineStr">
        <is>
          <t>Total de tots els sexes; resposta JSON-stat de l'API d'Idescat</t>
        </is>
      </c>
    </row>
    <row r="220" ht="15" customHeight="1" s="39">
      <c r="A220" s="38" t="n">
        <v>2021</v>
      </c>
      <c r="B220" s="42" t="inlineStr">
        <is>
          <t>430430</t>
        </is>
      </c>
      <c r="C220" s="38" t="inlineStr">
        <is>
          <t>Catllar, el</t>
        </is>
      </c>
      <c r="D220" s="38" t="inlineStr">
        <is>
          <t>Y014</t>
        </is>
      </c>
      <c r="E220" s="38" t="inlineStr">
        <is>
          <t>14 anys</t>
        </is>
      </c>
      <c r="F220" s="38" t="n">
        <v>14</v>
      </c>
      <c r="G220" s="38" t="n">
        <v>63</v>
      </c>
      <c r="I220" s="38" t="inlineStr">
        <is>
          <t>Total de tots els sexes; resposta JSON-stat de l'API d'Idescat</t>
        </is>
      </c>
    </row>
    <row r="221" ht="15" customHeight="1" s="39">
      <c r="A221" s="38" t="n">
        <v>2021</v>
      </c>
      <c r="B221" s="42" t="inlineStr">
        <is>
          <t>430430</t>
        </is>
      </c>
      <c r="C221" s="38" t="inlineStr">
        <is>
          <t>Catllar, el</t>
        </is>
      </c>
      <c r="D221" s="38" t="inlineStr">
        <is>
          <t>Y015</t>
        </is>
      </c>
      <c r="E221" s="38" t="inlineStr">
        <is>
          <t>15 anys</t>
        </is>
      </c>
      <c r="F221" s="38" t="n">
        <v>15</v>
      </c>
      <c r="G221" s="38" t="n">
        <v>67</v>
      </c>
      <c r="I221" s="38" t="inlineStr">
        <is>
          <t>Total de tots els sexes; resposta JSON-stat de l'API d'Idescat</t>
        </is>
      </c>
    </row>
    <row r="222" ht="15" customHeight="1" s="39">
      <c r="A222" s="38" t="n">
        <v>2021</v>
      </c>
      <c r="B222" s="42" t="inlineStr">
        <is>
          <t>430430</t>
        </is>
      </c>
      <c r="C222" s="38" t="inlineStr">
        <is>
          <t>Catllar, el</t>
        </is>
      </c>
      <c r="D222" s="38" t="inlineStr">
        <is>
          <t>Y016</t>
        </is>
      </c>
      <c r="E222" s="38" t="inlineStr">
        <is>
          <t>16 anys</t>
        </is>
      </c>
      <c r="F222" s="38" t="n">
        <v>16</v>
      </c>
      <c r="G222" s="38" t="n">
        <v>55</v>
      </c>
      <c r="I222" s="38" t="inlineStr">
        <is>
          <t>Total de tots els sexes; resposta JSON-stat de l'API d'Idescat</t>
        </is>
      </c>
    </row>
    <row r="223" ht="15" customHeight="1" s="39">
      <c r="A223" s="38" t="n">
        <v>2021</v>
      </c>
      <c r="B223" s="42" t="inlineStr">
        <is>
          <t>430430</t>
        </is>
      </c>
      <c r="C223" s="38" t="inlineStr">
        <is>
          <t>Catllar, el</t>
        </is>
      </c>
      <c r="D223" s="38" t="inlineStr">
        <is>
          <t>Y017</t>
        </is>
      </c>
      <c r="E223" s="38" t="inlineStr">
        <is>
          <t>17 anys</t>
        </is>
      </c>
      <c r="F223" s="38" t="n">
        <v>17</v>
      </c>
      <c r="G223" s="38" t="n">
        <v>42</v>
      </c>
      <c r="I223" s="38" t="inlineStr">
        <is>
          <t>Total de tots els sexes; resposta JSON-stat de l'API d'Idescat</t>
        </is>
      </c>
    </row>
    <row r="224" ht="15" customHeight="1" s="39">
      <c r="A224" s="38" t="n">
        <v>2021</v>
      </c>
      <c r="B224" s="42" t="inlineStr">
        <is>
          <t>430430</t>
        </is>
      </c>
      <c r="C224" s="38" t="inlineStr">
        <is>
          <t>Catllar, el</t>
        </is>
      </c>
      <c r="D224" s="38" t="inlineStr">
        <is>
          <t>Y018</t>
        </is>
      </c>
      <c r="E224" s="38" t="inlineStr">
        <is>
          <t>18 anys</t>
        </is>
      </c>
      <c r="F224" s="38" t="n">
        <v>18</v>
      </c>
      <c r="G224" s="38" t="n">
        <v>37</v>
      </c>
      <c r="I224" s="38" t="inlineStr">
        <is>
          <t>Total de tots els sexes; resposta JSON-stat de l'API d'Idescat</t>
        </is>
      </c>
    </row>
    <row r="225" ht="15" customHeight="1" s="39">
      <c r="A225" s="38" t="n">
        <v>2021</v>
      </c>
      <c r="B225" s="42" t="inlineStr">
        <is>
          <t>430430</t>
        </is>
      </c>
      <c r="C225" s="38" t="inlineStr">
        <is>
          <t>Catllar, el</t>
        </is>
      </c>
      <c r="D225" s="38" t="inlineStr">
        <is>
          <t>Y019</t>
        </is>
      </c>
      <c r="E225" s="38" t="inlineStr">
        <is>
          <t>19 anys</t>
        </is>
      </c>
      <c r="F225" s="38" t="n">
        <v>19</v>
      </c>
      <c r="G225" s="38" t="n">
        <v>60</v>
      </c>
      <c r="I225" s="38" t="inlineStr">
        <is>
          <t>Total de tots els sexes; resposta JSON-stat de l'API d'Idescat</t>
        </is>
      </c>
    </row>
    <row r="226" ht="15" customHeight="1" s="39">
      <c r="A226" s="38" t="n">
        <v>2021</v>
      </c>
      <c r="B226" s="42" t="inlineStr">
        <is>
          <t>430430</t>
        </is>
      </c>
      <c r="C226" s="38" t="inlineStr">
        <is>
          <t>Catllar, el</t>
        </is>
      </c>
      <c r="D226" s="38" t="inlineStr">
        <is>
          <t>Y020</t>
        </is>
      </c>
      <c r="E226" s="38" t="inlineStr">
        <is>
          <t>20 anys</t>
        </is>
      </c>
      <c r="F226" s="38" t="n">
        <v>20</v>
      </c>
      <c r="G226" s="38" t="n">
        <v>42</v>
      </c>
      <c r="I226" s="38" t="inlineStr">
        <is>
          <t>Total de tots els sexes; resposta JSON-stat de l'API d'Idescat</t>
        </is>
      </c>
    </row>
    <row r="227" ht="15" customHeight="1" s="39">
      <c r="A227" s="38" t="n">
        <v>2021</v>
      </c>
      <c r="B227" s="42" t="inlineStr">
        <is>
          <t>430430</t>
        </is>
      </c>
      <c r="C227" s="38" t="inlineStr">
        <is>
          <t>Catllar, el</t>
        </is>
      </c>
      <c r="D227" s="38" t="inlineStr">
        <is>
          <t>Y021</t>
        </is>
      </c>
      <c r="E227" s="38" t="inlineStr">
        <is>
          <t>21 anys</t>
        </is>
      </c>
      <c r="F227" s="38" t="n">
        <v>21</v>
      </c>
      <c r="G227" s="38" t="n">
        <v>47</v>
      </c>
      <c r="I227" s="38" t="inlineStr">
        <is>
          <t>Total de tots els sexes; resposta JSON-stat de l'API d'Idescat</t>
        </is>
      </c>
    </row>
    <row r="228" ht="15" customHeight="1" s="39">
      <c r="A228" s="38" t="n">
        <v>2021</v>
      </c>
      <c r="B228" s="42" t="inlineStr">
        <is>
          <t>430430</t>
        </is>
      </c>
      <c r="C228" s="38" t="inlineStr">
        <is>
          <t>Catllar, el</t>
        </is>
      </c>
      <c r="D228" s="38" t="inlineStr">
        <is>
          <t>Y022</t>
        </is>
      </c>
      <c r="E228" s="38" t="inlineStr">
        <is>
          <t>22 anys</t>
        </is>
      </c>
      <c r="F228" s="38" t="n">
        <v>22</v>
      </c>
      <c r="G228" s="38" t="n">
        <v>35</v>
      </c>
      <c r="I228" s="38" t="inlineStr">
        <is>
          <t>Total de tots els sexes; resposta JSON-stat de l'API d'Idescat</t>
        </is>
      </c>
    </row>
    <row r="229" ht="15" customHeight="1" s="39">
      <c r="A229" s="38" t="n">
        <v>2021</v>
      </c>
      <c r="B229" s="42" t="inlineStr">
        <is>
          <t>430430</t>
        </is>
      </c>
      <c r="C229" s="38" t="inlineStr">
        <is>
          <t>Catllar, el</t>
        </is>
      </c>
      <c r="D229" s="38" t="inlineStr">
        <is>
          <t>Y023</t>
        </is>
      </c>
      <c r="E229" s="38" t="inlineStr">
        <is>
          <t>23 anys</t>
        </is>
      </c>
      <c r="F229" s="38" t="n">
        <v>23</v>
      </c>
      <c r="G229" s="38" t="n">
        <v>61</v>
      </c>
      <c r="I229" s="38" t="inlineStr">
        <is>
          <t>Total de tots els sexes; resposta JSON-stat de l'API d'Idescat</t>
        </is>
      </c>
    </row>
    <row r="230" ht="15" customHeight="1" s="39">
      <c r="A230" s="38" t="n">
        <v>2021</v>
      </c>
      <c r="B230" s="42" t="inlineStr">
        <is>
          <t>430430</t>
        </is>
      </c>
      <c r="C230" s="38" t="inlineStr">
        <is>
          <t>Catllar, el</t>
        </is>
      </c>
      <c r="D230" s="38" t="inlineStr">
        <is>
          <t>Y024</t>
        </is>
      </c>
      <c r="E230" s="38" t="inlineStr">
        <is>
          <t>24 anys</t>
        </is>
      </c>
      <c r="F230" s="38" t="n">
        <v>24</v>
      </c>
      <c r="G230" s="38" t="n">
        <v>37</v>
      </c>
      <c r="I230" s="38" t="inlineStr">
        <is>
          <t>Total de tots els sexes; resposta JSON-stat de l'API d'Idescat</t>
        </is>
      </c>
    </row>
    <row r="231" ht="15" customHeight="1" s="39">
      <c r="A231" s="38" t="n">
        <v>2021</v>
      </c>
      <c r="B231" s="42" t="inlineStr">
        <is>
          <t>430430</t>
        </is>
      </c>
      <c r="C231" s="38" t="inlineStr">
        <is>
          <t>Catllar, el</t>
        </is>
      </c>
      <c r="D231" s="38" t="inlineStr">
        <is>
          <t>Y025</t>
        </is>
      </c>
      <c r="E231" s="38" t="inlineStr">
        <is>
          <t>25 anys</t>
        </is>
      </c>
      <c r="F231" s="38" t="n">
        <v>25</v>
      </c>
      <c r="G231" s="38" t="n">
        <v>47</v>
      </c>
      <c r="I231" s="38" t="inlineStr">
        <is>
          <t>Total de tots els sexes; resposta JSON-stat de l'API d'Idescat</t>
        </is>
      </c>
    </row>
    <row r="232" ht="15" customHeight="1" s="39">
      <c r="A232" s="38" t="n">
        <v>2021</v>
      </c>
      <c r="B232" s="42" t="inlineStr">
        <is>
          <t>430430</t>
        </is>
      </c>
      <c r="C232" s="38" t="inlineStr">
        <is>
          <t>Catllar, el</t>
        </is>
      </c>
      <c r="D232" s="38" t="inlineStr">
        <is>
          <t>Y026</t>
        </is>
      </c>
      <c r="E232" s="38" t="inlineStr">
        <is>
          <t>26 anys</t>
        </is>
      </c>
      <c r="F232" s="38" t="n">
        <v>26</v>
      </c>
      <c r="G232" s="38" t="n">
        <v>50</v>
      </c>
      <c r="I232" s="38" t="inlineStr">
        <is>
          <t>Total de tots els sexes; resposta JSON-stat de l'API d'Idescat</t>
        </is>
      </c>
    </row>
    <row r="233" ht="15" customHeight="1" s="39">
      <c r="A233" s="38" t="n">
        <v>2021</v>
      </c>
      <c r="B233" s="42" t="inlineStr">
        <is>
          <t>430430</t>
        </is>
      </c>
      <c r="C233" s="38" t="inlineStr">
        <is>
          <t>Catllar, el</t>
        </is>
      </c>
      <c r="D233" s="38" t="inlineStr">
        <is>
          <t>Y027</t>
        </is>
      </c>
      <c r="E233" s="38" t="inlineStr">
        <is>
          <t>27 anys</t>
        </is>
      </c>
      <c r="F233" s="38" t="n">
        <v>27</v>
      </c>
      <c r="G233" s="38" t="n">
        <v>32</v>
      </c>
      <c r="I233" s="38" t="inlineStr">
        <is>
          <t>Total de tots els sexes; resposta JSON-stat de l'API d'Idescat</t>
        </is>
      </c>
    </row>
    <row r="234" ht="15" customHeight="1" s="39">
      <c r="A234" s="38" t="n">
        <v>2021</v>
      </c>
      <c r="B234" s="42" t="inlineStr">
        <is>
          <t>430430</t>
        </is>
      </c>
      <c r="C234" s="38" t="inlineStr">
        <is>
          <t>Catllar, el</t>
        </is>
      </c>
      <c r="D234" s="38" t="inlineStr">
        <is>
          <t>Y028</t>
        </is>
      </c>
      <c r="E234" s="38" t="inlineStr">
        <is>
          <t>28 anys</t>
        </is>
      </c>
      <c r="F234" s="38" t="n">
        <v>28</v>
      </c>
      <c r="G234" s="38" t="n">
        <v>38</v>
      </c>
      <c r="I234" s="38" t="inlineStr">
        <is>
          <t>Total de tots els sexes; resposta JSON-stat de l'API d'Idescat</t>
        </is>
      </c>
    </row>
    <row r="235" ht="15" customHeight="1" s="39">
      <c r="A235" s="38" t="n">
        <v>2021</v>
      </c>
      <c r="B235" s="42" t="inlineStr">
        <is>
          <t>430430</t>
        </is>
      </c>
      <c r="C235" s="38" t="inlineStr">
        <is>
          <t>Catllar, el</t>
        </is>
      </c>
      <c r="D235" s="38" t="inlineStr">
        <is>
          <t>Y029</t>
        </is>
      </c>
      <c r="E235" s="38" t="inlineStr">
        <is>
          <t>29 anys</t>
        </is>
      </c>
      <c r="F235" s="38" t="n">
        <v>29</v>
      </c>
      <c r="G235" s="38" t="n">
        <v>55</v>
      </c>
      <c r="I235" s="38" t="inlineStr">
        <is>
          <t>Total de tots els sexes; resposta JSON-stat de l'API d'Idescat</t>
        </is>
      </c>
    </row>
    <row r="236" ht="15" customHeight="1" s="39">
      <c r="A236" s="38" t="n">
        <v>2021</v>
      </c>
      <c r="B236" s="42" t="inlineStr">
        <is>
          <t>430430</t>
        </is>
      </c>
      <c r="C236" s="38" t="inlineStr">
        <is>
          <t>Catllar, el</t>
        </is>
      </c>
      <c r="D236" s="38" t="inlineStr">
        <is>
          <t>Y030</t>
        </is>
      </c>
      <c r="E236" s="38" t="inlineStr">
        <is>
          <t>30 anys</t>
        </is>
      </c>
      <c r="F236" s="38" t="n">
        <v>30</v>
      </c>
      <c r="G236" s="38" t="n">
        <v>51</v>
      </c>
      <c r="I236" s="38" t="inlineStr">
        <is>
          <t>Total de tots els sexes; resposta JSON-stat de l'API d'Idescat</t>
        </is>
      </c>
    </row>
    <row r="237" ht="15" customHeight="1" s="39">
      <c r="A237" s="38" t="n">
        <v>2021</v>
      </c>
      <c r="B237" s="42" t="inlineStr">
        <is>
          <t>430430</t>
        </is>
      </c>
      <c r="C237" s="38" t="inlineStr">
        <is>
          <t>Catllar, el</t>
        </is>
      </c>
      <c r="D237" s="38" t="inlineStr">
        <is>
          <t>Y031</t>
        </is>
      </c>
      <c r="E237" s="38" t="inlineStr">
        <is>
          <t>31 anys</t>
        </is>
      </c>
      <c r="F237" s="38" t="n">
        <v>31</v>
      </c>
      <c r="G237" s="38" t="n">
        <v>42</v>
      </c>
      <c r="I237" s="38" t="inlineStr">
        <is>
          <t>Total de tots els sexes; resposta JSON-stat de l'API d'Idescat</t>
        </is>
      </c>
    </row>
    <row r="238" ht="15" customHeight="1" s="39">
      <c r="A238" s="38" t="n">
        <v>2021</v>
      </c>
      <c r="B238" s="42" t="inlineStr">
        <is>
          <t>430430</t>
        </is>
      </c>
      <c r="C238" s="38" t="inlineStr">
        <is>
          <t>Catllar, el</t>
        </is>
      </c>
      <c r="D238" s="38" t="inlineStr">
        <is>
          <t>Y032</t>
        </is>
      </c>
      <c r="E238" s="38" t="inlineStr">
        <is>
          <t>32 anys</t>
        </is>
      </c>
      <c r="F238" s="38" t="n">
        <v>32</v>
      </c>
      <c r="G238" s="38" t="n">
        <v>53</v>
      </c>
      <c r="I238" s="38" t="inlineStr">
        <is>
          <t>Total de tots els sexes; resposta JSON-stat de l'API d'Idescat</t>
        </is>
      </c>
    </row>
    <row r="239" ht="15" customHeight="1" s="39">
      <c r="A239" s="38" t="n">
        <v>2021</v>
      </c>
      <c r="B239" s="42" t="inlineStr">
        <is>
          <t>430430</t>
        </is>
      </c>
      <c r="C239" s="38" t="inlineStr">
        <is>
          <t>Catllar, el</t>
        </is>
      </c>
      <c r="D239" s="38" t="inlineStr">
        <is>
          <t>Y033</t>
        </is>
      </c>
      <c r="E239" s="38" t="inlineStr">
        <is>
          <t>33 anys</t>
        </is>
      </c>
      <c r="F239" s="38" t="n">
        <v>33</v>
      </c>
      <c r="G239" s="38" t="n">
        <v>50</v>
      </c>
      <c r="I239" s="38" t="inlineStr">
        <is>
          <t>Total de tots els sexes; resposta JSON-stat de l'API d'Idescat</t>
        </is>
      </c>
    </row>
    <row r="240" ht="15" customHeight="1" s="39">
      <c r="A240" s="38" t="n">
        <v>2021</v>
      </c>
      <c r="B240" s="42" t="inlineStr">
        <is>
          <t>430430</t>
        </is>
      </c>
      <c r="C240" s="38" t="inlineStr">
        <is>
          <t>Catllar, el</t>
        </is>
      </c>
      <c r="D240" s="38" t="inlineStr">
        <is>
          <t>Y034</t>
        </is>
      </c>
      <c r="E240" s="38" t="inlineStr">
        <is>
          <t>34 anys</t>
        </is>
      </c>
      <c r="F240" s="38" t="n">
        <v>34</v>
      </c>
      <c r="G240" s="38" t="n">
        <v>46</v>
      </c>
      <c r="I240" s="38" t="inlineStr">
        <is>
          <t>Total de tots els sexes; resposta JSON-stat de l'API d'Idescat</t>
        </is>
      </c>
    </row>
    <row r="241" ht="15" customHeight="1" s="39">
      <c r="A241" s="38" t="n">
        <v>2021</v>
      </c>
      <c r="B241" s="42" t="inlineStr">
        <is>
          <t>430430</t>
        </is>
      </c>
      <c r="C241" s="38" t="inlineStr">
        <is>
          <t>Catllar, el</t>
        </is>
      </c>
      <c r="D241" s="38" t="inlineStr">
        <is>
          <t>Y035</t>
        </is>
      </c>
      <c r="E241" s="38" t="inlineStr">
        <is>
          <t>35 anys</t>
        </is>
      </c>
      <c r="F241" s="38" t="n">
        <v>35</v>
      </c>
      <c r="G241" s="38" t="n">
        <v>57</v>
      </c>
      <c r="I241" s="38" t="inlineStr">
        <is>
          <t>Total de tots els sexes; resposta JSON-stat de l'API d'Idescat</t>
        </is>
      </c>
    </row>
    <row r="242" ht="15" customHeight="1" s="39">
      <c r="A242" s="38" t="n">
        <v>2021</v>
      </c>
      <c r="B242" s="42" t="inlineStr">
        <is>
          <t>430430</t>
        </is>
      </c>
      <c r="C242" s="38" t="inlineStr">
        <is>
          <t>Catllar, el</t>
        </is>
      </c>
      <c r="D242" s="38" t="inlineStr">
        <is>
          <t>Y036</t>
        </is>
      </c>
      <c r="E242" s="38" t="inlineStr">
        <is>
          <t>36 anys</t>
        </is>
      </c>
      <c r="F242" s="38" t="n">
        <v>36</v>
      </c>
      <c r="G242" s="38" t="n">
        <v>47</v>
      </c>
      <c r="I242" s="38" t="inlineStr">
        <is>
          <t>Total de tots els sexes; resposta JSON-stat de l'API d'Idescat</t>
        </is>
      </c>
    </row>
    <row r="243" ht="15" customHeight="1" s="39">
      <c r="A243" s="38" t="n">
        <v>2021</v>
      </c>
      <c r="B243" s="42" t="inlineStr">
        <is>
          <t>430430</t>
        </is>
      </c>
      <c r="C243" s="38" t="inlineStr">
        <is>
          <t>Catllar, el</t>
        </is>
      </c>
      <c r="D243" s="38" t="inlineStr">
        <is>
          <t>Y037</t>
        </is>
      </c>
      <c r="E243" s="38" t="inlineStr">
        <is>
          <t>37 anys</t>
        </is>
      </c>
      <c r="F243" s="38" t="n">
        <v>37</v>
      </c>
      <c r="G243" s="38" t="n">
        <v>58</v>
      </c>
      <c r="I243" s="38" t="inlineStr">
        <is>
          <t>Total de tots els sexes; resposta JSON-stat de l'API d'Idescat</t>
        </is>
      </c>
    </row>
    <row r="244" ht="15" customHeight="1" s="39">
      <c r="A244" s="38" t="n">
        <v>2021</v>
      </c>
      <c r="B244" s="42" t="inlineStr">
        <is>
          <t>430430</t>
        </is>
      </c>
      <c r="C244" s="38" t="inlineStr">
        <is>
          <t>Catllar, el</t>
        </is>
      </c>
      <c r="D244" s="38" t="inlineStr">
        <is>
          <t>Y038</t>
        </is>
      </c>
      <c r="E244" s="38" t="inlineStr">
        <is>
          <t>38 anys</t>
        </is>
      </c>
      <c r="F244" s="38" t="n">
        <v>38</v>
      </c>
      <c r="G244" s="38" t="n">
        <v>63</v>
      </c>
      <c r="I244" s="38" t="inlineStr">
        <is>
          <t>Total de tots els sexes; resposta JSON-stat de l'API d'Idescat</t>
        </is>
      </c>
    </row>
    <row r="245" ht="15" customHeight="1" s="39">
      <c r="A245" s="38" t="n">
        <v>2021</v>
      </c>
      <c r="B245" s="42" t="inlineStr">
        <is>
          <t>430430</t>
        </is>
      </c>
      <c r="C245" s="38" t="inlineStr">
        <is>
          <t>Catllar, el</t>
        </is>
      </c>
      <c r="D245" s="38" t="inlineStr">
        <is>
          <t>Y039</t>
        </is>
      </c>
      <c r="E245" s="38" t="inlineStr">
        <is>
          <t>39 anys</t>
        </is>
      </c>
      <c r="F245" s="38" t="n">
        <v>39</v>
      </c>
      <c r="G245" s="38" t="n">
        <v>66</v>
      </c>
      <c r="I245" s="38" t="inlineStr">
        <is>
          <t>Total de tots els sexes; resposta JSON-stat de l'API d'Idescat</t>
        </is>
      </c>
    </row>
    <row r="246" ht="15" customHeight="1" s="39">
      <c r="A246" s="38" t="n">
        <v>2021</v>
      </c>
      <c r="B246" s="42" t="inlineStr">
        <is>
          <t>430430</t>
        </is>
      </c>
      <c r="C246" s="38" t="inlineStr">
        <is>
          <t>Catllar, el</t>
        </is>
      </c>
      <c r="D246" s="38" t="inlineStr">
        <is>
          <t>Y040</t>
        </is>
      </c>
      <c r="E246" s="38" t="inlineStr">
        <is>
          <t>40 anys</t>
        </is>
      </c>
      <c r="F246" s="38" t="n">
        <v>40</v>
      </c>
      <c r="G246" s="38" t="n">
        <v>79</v>
      </c>
      <c r="I246" s="38" t="inlineStr">
        <is>
          <t>Total de tots els sexes; resposta JSON-stat de l'API d'Idescat</t>
        </is>
      </c>
    </row>
    <row r="247" ht="15" customHeight="1" s="39">
      <c r="A247" s="38" t="n">
        <v>2021</v>
      </c>
      <c r="B247" s="42" t="inlineStr">
        <is>
          <t>430430</t>
        </is>
      </c>
      <c r="C247" s="38" t="inlineStr">
        <is>
          <t>Catllar, el</t>
        </is>
      </c>
      <c r="D247" s="38" t="inlineStr">
        <is>
          <t>Y041</t>
        </is>
      </c>
      <c r="E247" s="38" t="inlineStr">
        <is>
          <t>41 anys</t>
        </is>
      </c>
      <c r="F247" s="38" t="n">
        <v>41</v>
      </c>
      <c r="G247" s="38" t="n">
        <v>76</v>
      </c>
      <c r="I247" s="38" t="inlineStr">
        <is>
          <t>Total de tots els sexes; resposta JSON-stat de l'API d'Idescat</t>
        </is>
      </c>
    </row>
    <row r="248" ht="15" customHeight="1" s="39">
      <c r="A248" s="38" t="n">
        <v>2021</v>
      </c>
      <c r="B248" s="42" t="inlineStr">
        <is>
          <t>430430</t>
        </is>
      </c>
      <c r="C248" s="38" t="inlineStr">
        <is>
          <t>Catllar, el</t>
        </is>
      </c>
      <c r="D248" s="38" t="inlineStr">
        <is>
          <t>Y042</t>
        </is>
      </c>
      <c r="E248" s="38" t="inlineStr">
        <is>
          <t>42 anys</t>
        </is>
      </c>
      <c r="F248" s="38" t="n">
        <v>42</v>
      </c>
      <c r="G248" s="38" t="n">
        <v>86</v>
      </c>
      <c r="I248" s="38" t="inlineStr">
        <is>
          <t>Total de tots els sexes; resposta JSON-stat de l'API d'Idescat</t>
        </is>
      </c>
    </row>
    <row r="249" ht="15" customHeight="1" s="39">
      <c r="A249" s="38" t="n">
        <v>2021</v>
      </c>
      <c r="B249" s="42" t="inlineStr">
        <is>
          <t>430430</t>
        </is>
      </c>
      <c r="C249" s="38" t="inlineStr">
        <is>
          <t>Catllar, el</t>
        </is>
      </c>
      <c r="D249" s="38" t="inlineStr">
        <is>
          <t>Y043</t>
        </is>
      </c>
      <c r="E249" s="38" t="inlineStr">
        <is>
          <t>43 anys</t>
        </is>
      </c>
      <c r="F249" s="38" t="n">
        <v>43</v>
      </c>
      <c r="G249" s="38" t="n">
        <v>93</v>
      </c>
      <c r="I249" s="38" t="inlineStr">
        <is>
          <t>Total de tots els sexes; resposta JSON-stat de l'API d'Idescat</t>
        </is>
      </c>
    </row>
    <row r="250" ht="15" customHeight="1" s="39">
      <c r="A250" s="38" t="n">
        <v>2021</v>
      </c>
      <c r="B250" s="42" t="inlineStr">
        <is>
          <t>430430</t>
        </is>
      </c>
      <c r="C250" s="38" t="inlineStr">
        <is>
          <t>Catllar, el</t>
        </is>
      </c>
      <c r="D250" s="38" t="inlineStr">
        <is>
          <t>Y044</t>
        </is>
      </c>
      <c r="E250" s="38" t="inlineStr">
        <is>
          <t>44 anys</t>
        </is>
      </c>
      <c r="F250" s="38" t="n">
        <v>44</v>
      </c>
      <c r="G250" s="38" t="n">
        <v>88</v>
      </c>
      <c r="I250" s="38" t="inlineStr">
        <is>
          <t>Total de tots els sexes; resposta JSON-stat de l'API d'Idescat</t>
        </is>
      </c>
    </row>
    <row r="251" ht="15" customHeight="1" s="39">
      <c r="A251" s="38" t="n">
        <v>2021</v>
      </c>
      <c r="B251" s="42" t="inlineStr">
        <is>
          <t>430430</t>
        </is>
      </c>
      <c r="C251" s="38" t="inlineStr">
        <is>
          <t>Catllar, el</t>
        </is>
      </c>
      <c r="D251" s="38" t="inlineStr">
        <is>
          <t>Y045</t>
        </is>
      </c>
      <c r="E251" s="38" t="inlineStr">
        <is>
          <t>45 anys</t>
        </is>
      </c>
      <c r="F251" s="38" t="n">
        <v>45</v>
      </c>
      <c r="G251" s="38" t="n">
        <v>98</v>
      </c>
      <c r="I251" s="38" t="inlineStr">
        <is>
          <t>Total de tots els sexes; resposta JSON-stat de l'API d'Idescat</t>
        </is>
      </c>
    </row>
    <row r="252" ht="15" customHeight="1" s="39">
      <c r="A252" s="38" t="n">
        <v>2021</v>
      </c>
      <c r="B252" s="42" t="inlineStr">
        <is>
          <t>430430</t>
        </is>
      </c>
      <c r="C252" s="38" t="inlineStr">
        <is>
          <t>Catllar, el</t>
        </is>
      </c>
      <c r="D252" s="38" t="inlineStr">
        <is>
          <t>Y046</t>
        </is>
      </c>
      <c r="E252" s="38" t="inlineStr">
        <is>
          <t>46 anys</t>
        </is>
      </c>
      <c r="F252" s="38" t="n">
        <v>46</v>
      </c>
      <c r="G252" s="38" t="n">
        <v>75</v>
      </c>
      <c r="I252" s="38" t="inlineStr">
        <is>
          <t>Total de tots els sexes; resposta JSON-stat de l'API d'Idescat</t>
        </is>
      </c>
    </row>
    <row r="253" ht="15" customHeight="1" s="39">
      <c r="A253" s="38" t="n">
        <v>2021</v>
      </c>
      <c r="B253" s="42" t="inlineStr">
        <is>
          <t>430430</t>
        </is>
      </c>
      <c r="C253" s="38" t="inlineStr">
        <is>
          <t>Catllar, el</t>
        </is>
      </c>
      <c r="D253" s="38" t="inlineStr">
        <is>
          <t>Y047</t>
        </is>
      </c>
      <c r="E253" s="38" t="inlineStr">
        <is>
          <t>47 anys</t>
        </is>
      </c>
      <c r="F253" s="38" t="n">
        <v>47</v>
      </c>
      <c r="G253" s="38" t="n">
        <v>89</v>
      </c>
      <c r="I253" s="38" t="inlineStr">
        <is>
          <t>Total de tots els sexes; resposta JSON-stat de l'API d'Idescat</t>
        </is>
      </c>
    </row>
    <row r="254" ht="15" customHeight="1" s="39">
      <c r="A254" s="38" t="n">
        <v>2021</v>
      </c>
      <c r="B254" s="42" t="inlineStr">
        <is>
          <t>430430</t>
        </is>
      </c>
      <c r="C254" s="38" t="inlineStr">
        <is>
          <t>Catllar, el</t>
        </is>
      </c>
      <c r="D254" s="38" t="inlineStr">
        <is>
          <t>Y048</t>
        </is>
      </c>
      <c r="E254" s="38" t="inlineStr">
        <is>
          <t>48 anys</t>
        </is>
      </c>
      <c r="F254" s="38" t="n">
        <v>48</v>
      </c>
      <c r="G254" s="38" t="n">
        <v>103</v>
      </c>
      <c r="I254" s="38" t="inlineStr">
        <is>
          <t>Total de tots els sexes; resposta JSON-stat de l'API d'Idescat</t>
        </is>
      </c>
    </row>
    <row r="255" ht="15" customHeight="1" s="39">
      <c r="A255" s="38" t="n">
        <v>2021</v>
      </c>
      <c r="B255" s="42" t="inlineStr">
        <is>
          <t>430430</t>
        </is>
      </c>
      <c r="C255" s="38" t="inlineStr">
        <is>
          <t>Catllar, el</t>
        </is>
      </c>
      <c r="D255" s="38" t="inlineStr">
        <is>
          <t>Y049</t>
        </is>
      </c>
      <c r="E255" s="38" t="inlineStr">
        <is>
          <t>49 anys</t>
        </is>
      </c>
      <c r="F255" s="38" t="n">
        <v>49</v>
      </c>
      <c r="G255" s="38" t="n">
        <v>94</v>
      </c>
      <c r="I255" s="38" t="inlineStr">
        <is>
          <t>Total de tots els sexes; resposta JSON-stat de l'API d'Idescat</t>
        </is>
      </c>
    </row>
    <row r="256" ht="15" customHeight="1" s="39">
      <c r="A256" s="38" t="n">
        <v>2021</v>
      </c>
      <c r="B256" s="42" t="inlineStr">
        <is>
          <t>430430</t>
        </is>
      </c>
      <c r="C256" s="38" t="inlineStr">
        <is>
          <t>Catllar, el</t>
        </is>
      </c>
      <c r="D256" s="38" t="inlineStr">
        <is>
          <t>Y050</t>
        </is>
      </c>
      <c r="E256" s="38" t="inlineStr">
        <is>
          <t>50 anys</t>
        </is>
      </c>
      <c r="F256" s="38" t="n">
        <v>50</v>
      </c>
      <c r="G256" s="38" t="n">
        <v>90</v>
      </c>
      <c r="I256" s="38" t="inlineStr">
        <is>
          <t>Total de tots els sexes; resposta JSON-stat de l'API d'Idescat</t>
        </is>
      </c>
    </row>
    <row r="257" ht="15" customHeight="1" s="39">
      <c r="A257" s="38" t="n">
        <v>2021</v>
      </c>
      <c r="B257" s="42" t="inlineStr">
        <is>
          <t>430430</t>
        </is>
      </c>
      <c r="C257" s="38" t="inlineStr">
        <is>
          <t>Catllar, el</t>
        </is>
      </c>
      <c r="D257" s="38" t="inlineStr">
        <is>
          <t>Y051</t>
        </is>
      </c>
      <c r="E257" s="38" t="inlineStr">
        <is>
          <t>51 anys</t>
        </is>
      </c>
      <c r="F257" s="38" t="n">
        <v>51</v>
      </c>
      <c r="G257" s="38" t="n">
        <v>85</v>
      </c>
      <c r="I257" s="38" t="inlineStr">
        <is>
          <t>Total de tots els sexes; resposta JSON-stat de l'API d'Idescat</t>
        </is>
      </c>
    </row>
    <row r="258" ht="15" customHeight="1" s="39">
      <c r="A258" s="38" t="n">
        <v>2021</v>
      </c>
      <c r="B258" s="42" t="inlineStr">
        <is>
          <t>430430</t>
        </is>
      </c>
      <c r="C258" s="38" t="inlineStr">
        <is>
          <t>Catllar, el</t>
        </is>
      </c>
      <c r="D258" s="38" t="inlineStr">
        <is>
          <t>Y052</t>
        </is>
      </c>
      <c r="E258" s="38" t="inlineStr">
        <is>
          <t>52 anys</t>
        </is>
      </c>
      <c r="F258" s="38" t="n">
        <v>52</v>
      </c>
      <c r="G258" s="38" t="n">
        <v>71</v>
      </c>
      <c r="I258" s="38" t="inlineStr">
        <is>
          <t>Total de tots els sexes; resposta JSON-stat de l'API d'Idescat</t>
        </is>
      </c>
    </row>
    <row r="259" ht="15" customHeight="1" s="39">
      <c r="A259" s="38" t="n">
        <v>2021</v>
      </c>
      <c r="B259" s="42" t="inlineStr">
        <is>
          <t>430430</t>
        </is>
      </c>
      <c r="C259" s="38" t="inlineStr">
        <is>
          <t>Catllar, el</t>
        </is>
      </c>
      <c r="D259" s="38" t="inlineStr">
        <is>
          <t>Y053</t>
        </is>
      </c>
      <c r="E259" s="38" t="inlineStr">
        <is>
          <t>53 anys</t>
        </is>
      </c>
      <c r="F259" s="38" t="n">
        <v>53</v>
      </c>
      <c r="G259" s="38" t="n">
        <v>80</v>
      </c>
      <c r="I259" s="38" t="inlineStr">
        <is>
          <t>Total de tots els sexes; resposta JSON-stat de l'API d'Idescat</t>
        </is>
      </c>
    </row>
    <row r="260" ht="15" customHeight="1" s="39">
      <c r="A260" s="38" t="n">
        <v>2021</v>
      </c>
      <c r="B260" s="42" t="inlineStr">
        <is>
          <t>430430</t>
        </is>
      </c>
      <c r="C260" s="38" t="inlineStr">
        <is>
          <t>Catllar, el</t>
        </is>
      </c>
      <c r="D260" s="38" t="inlineStr">
        <is>
          <t>Y054</t>
        </is>
      </c>
      <c r="E260" s="38" t="inlineStr">
        <is>
          <t>54 anys</t>
        </is>
      </c>
      <c r="F260" s="38" t="n">
        <v>54</v>
      </c>
      <c r="G260" s="38" t="n">
        <v>90</v>
      </c>
      <c r="I260" s="38" t="inlineStr">
        <is>
          <t>Total de tots els sexes; resposta JSON-stat de l'API d'Idescat</t>
        </is>
      </c>
    </row>
    <row r="261" ht="15" customHeight="1" s="39">
      <c r="A261" s="38" t="n">
        <v>2021</v>
      </c>
      <c r="B261" s="42" t="inlineStr">
        <is>
          <t>430430</t>
        </is>
      </c>
      <c r="C261" s="38" t="inlineStr">
        <is>
          <t>Catllar, el</t>
        </is>
      </c>
      <c r="D261" s="38" t="inlineStr">
        <is>
          <t>Y055</t>
        </is>
      </c>
      <c r="E261" s="38" t="inlineStr">
        <is>
          <t>55 anys</t>
        </is>
      </c>
      <c r="F261" s="38" t="n">
        <v>55</v>
      </c>
      <c r="G261" s="38" t="n">
        <v>84</v>
      </c>
      <c r="I261" s="38" t="inlineStr">
        <is>
          <t>Total de tots els sexes; resposta JSON-stat de l'API d'Idescat</t>
        </is>
      </c>
    </row>
    <row r="262" ht="15" customHeight="1" s="39">
      <c r="A262" s="38" t="n">
        <v>2021</v>
      </c>
      <c r="B262" s="42" t="inlineStr">
        <is>
          <t>430430</t>
        </is>
      </c>
      <c r="C262" s="38" t="inlineStr">
        <is>
          <t>Catllar, el</t>
        </is>
      </c>
      <c r="D262" s="38" t="inlineStr">
        <is>
          <t>Y056</t>
        </is>
      </c>
      <c r="E262" s="38" t="inlineStr">
        <is>
          <t>56 anys</t>
        </is>
      </c>
      <c r="F262" s="38" t="n">
        <v>56</v>
      </c>
      <c r="G262" s="38" t="n">
        <v>81</v>
      </c>
      <c r="I262" s="38" t="inlineStr">
        <is>
          <t>Total de tots els sexes; resposta JSON-stat de l'API d'Idescat</t>
        </is>
      </c>
    </row>
    <row r="263" ht="15" customHeight="1" s="39">
      <c r="A263" s="38" t="n">
        <v>2021</v>
      </c>
      <c r="B263" s="42" t="inlineStr">
        <is>
          <t>430430</t>
        </is>
      </c>
      <c r="C263" s="38" t="inlineStr">
        <is>
          <t>Catllar, el</t>
        </is>
      </c>
      <c r="D263" s="38" t="inlineStr">
        <is>
          <t>Y057</t>
        </is>
      </c>
      <c r="E263" s="38" t="inlineStr">
        <is>
          <t>57 anys</t>
        </is>
      </c>
      <c r="F263" s="38" t="n">
        <v>57</v>
      </c>
      <c r="G263" s="38" t="n">
        <v>82</v>
      </c>
      <c r="I263" s="38" t="inlineStr">
        <is>
          <t>Total de tots els sexes; resposta JSON-stat de l'API d'Idescat</t>
        </is>
      </c>
    </row>
    <row r="264" ht="15" customHeight="1" s="39">
      <c r="A264" s="38" t="n">
        <v>2021</v>
      </c>
      <c r="B264" s="42" t="inlineStr">
        <is>
          <t>430430</t>
        </is>
      </c>
      <c r="C264" s="38" t="inlineStr">
        <is>
          <t>Catllar, el</t>
        </is>
      </c>
      <c r="D264" s="38" t="inlineStr">
        <is>
          <t>Y058</t>
        </is>
      </c>
      <c r="E264" s="38" t="inlineStr">
        <is>
          <t>58 anys</t>
        </is>
      </c>
      <c r="F264" s="38" t="n">
        <v>58</v>
      </c>
      <c r="G264" s="38" t="n">
        <v>67</v>
      </c>
      <c r="I264" s="38" t="inlineStr">
        <is>
          <t>Total de tots els sexes; resposta JSON-stat de l'API d'Idescat</t>
        </is>
      </c>
    </row>
    <row r="265" ht="15" customHeight="1" s="39">
      <c r="A265" s="38" t="n">
        <v>2021</v>
      </c>
      <c r="B265" s="42" t="inlineStr">
        <is>
          <t>430430</t>
        </is>
      </c>
      <c r="C265" s="38" t="inlineStr">
        <is>
          <t>Catllar, el</t>
        </is>
      </c>
      <c r="D265" s="38" t="inlineStr">
        <is>
          <t>Y059</t>
        </is>
      </c>
      <c r="E265" s="38" t="inlineStr">
        <is>
          <t>59 anys</t>
        </is>
      </c>
      <c r="F265" s="38" t="n">
        <v>59</v>
      </c>
      <c r="G265" s="38" t="n">
        <v>75</v>
      </c>
      <c r="I265" s="38" t="inlineStr">
        <is>
          <t>Total de tots els sexes; resposta JSON-stat de l'API d'Idescat</t>
        </is>
      </c>
    </row>
    <row r="266" ht="15" customHeight="1" s="39">
      <c r="A266" s="38" t="n">
        <v>2021</v>
      </c>
      <c r="B266" s="42" t="inlineStr">
        <is>
          <t>430430</t>
        </is>
      </c>
      <c r="C266" s="38" t="inlineStr">
        <is>
          <t>Catllar, el</t>
        </is>
      </c>
      <c r="D266" s="38" t="inlineStr">
        <is>
          <t>Y060</t>
        </is>
      </c>
      <c r="E266" s="38" t="inlineStr">
        <is>
          <t>60 anys</t>
        </is>
      </c>
      <c r="F266" s="38" t="n">
        <v>60</v>
      </c>
      <c r="G266" s="38" t="n">
        <v>58</v>
      </c>
      <c r="I266" s="38" t="inlineStr">
        <is>
          <t>Total de tots els sexes; resposta JSON-stat de l'API d'Idescat</t>
        </is>
      </c>
    </row>
    <row r="267" ht="15" customHeight="1" s="39">
      <c r="A267" s="38" t="n">
        <v>2021</v>
      </c>
      <c r="B267" s="42" t="inlineStr">
        <is>
          <t>430430</t>
        </is>
      </c>
      <c r="C267" s="38" t="inlineStr">
        <is>
          <t>Catllar, el</t>
        </is>
      </c>
      <c r="D267" s="38" t="inlineStr">
        <is>
          <t>Y061</t>
        </is>
      </c>
      <c r="E267" s="38" t="inlineStr">
        <is>
          <t>61 anys</t>
        </is>
      </c>
      <c r="F267" s="38" t="n">
        <v>61</v>
      </c>
      <c r="G267" s="38" t="n">
        <v>65</v>
      </c>
      <c r="I267" s="38" t="inlineStr">
        <is>
          <t>Total de tots els sexes; resposta JSON-stat de l'API d'Idescat</t>
        </is>
      </c>
    </row>
    <row r="268" ht="15" customHeight="1" s="39">
      <c r="A268" s="38" t="n">
        <v>2021</v>
      </c>
      <c r="B268" s="42" t="inlineStr">
        <is>
          <t>430430</t>
        </is>
      </c>
      <c r="C268" s="38" t="inlineStr">
        <is>
          <t>Catllar, el</t>
        </is>
      </c>
      <c r="D268" s="38" t="inlineStr">
        <is>
          <t>Y062</t>
        </is>
      </c>
      <c r="E268" s="38" t="inlineStr">
        <is>
          <t>62 anys</t>
        </is>
      </c>
      <c r="F268" s="38" t="n">
        <v>62</v>
      </c>
      <c r="G268" s="38" t="n">
        <v>66</v>
      </c>
      <c r="I268" s="38" t="inlineStr">
        <is>
          <t>Total de tots els sexes; resposta JSON-stat de l'API d'Idescat</t>
        </is>
      </c>
    </row>
    <row r="269" ht="15" customHeight="1" s="39">
      <c r="A269" s="38" t="n">
        <v>2021</v>
      </c>
      <c r="B269" s="42" t="inlineStr">
        <is>
          <t>430430</t>
        </is>
      </c>
      <c r="C269" s="38" t="inlineStr">
        <is>
          <t>Catllar, el</t>
        </is>
      </c>
      <c r="D269" s="38" t="inlineStr">
        <is>
          <t>Y063</t>
        </is>
      </c>
      <c r="E269" s="38" t="inlineStr">
        <is>
          <t>63 anys</t>
        </is>
      </c>
      <c r="F269" s="38" t="n">
        <v>63</v>
      </c>
      <c r="G269" s="38" t="n">
        <v>65</v>
      </c>
      <c r="I269" s="38" t="inlineStr">
        <is>
          <t>Total de tots els sexes; resposta JSON-stat de l'API d'Idescat</t>
        </is>
      </c>
    </row>
    <row r="270" ht="15" customHeight="1" s="39">
      <c r="A270" s="38" t="n">
        <v>2021</v>
      </c>
      <c r="B270" s="42" t="inlineStr">
        <is>
          <t>430430</t>
        </is>
      </c>
      <c r="C270" s="38" t="inlineStr">
        <is>
          <t>Catllar, el</t>
        </is>
      </c>
      <c r="D270" s="38" t="inlineStr">
        <is>
          <t>Y064</t>
        </is>
      </c>
      <c r="E270" s="38" t="inlineStr">
        <is>
          <t>64 anys</t>
        </is>
      </c>
      <c r="F270" s="38" t="n">
        <v>64</v>
      </c>
      <c r="G270" s="38" t="n">
        <v>64</v>
      </c>
      <c r="I270" s="38" t="inlineStr">
        <is>
          <t>Total de tots els sexes; resposta JSON-stat de l'API d'Idescat</t>
        </is>
      </c>
    </row>
    <row r="271" ht="15" customHeight="1" s="39">
      <c r="A271" s="38" t="n">
        <v>2021</v>
      </c>
      <c r="B271" s="42" t="inlineStr">
        <is>
          <t>430430</t>
        </is>
      </c>
      <c r="C271" s="38" t="inlineStr">
        <is>
          <t>Catllar, el</t>
        </is>
      </c>
      <c r="D271" s="38" t="inlineStr">
        <is>
          <t>Y065</t>
        </is>
      </c>
      <c r="E271" s="38" t="inlineStr">
        <is>
          <t>65 anys</t>
        </is>
      </c>
      <c r="F271" s="38" t="n">
        <v>65</v>
      </c>
      <c r="G271" s="38" t="n">
        <v>48</v>
      </c>
      <c r="I271" s="38" t="inlineStr">
        <is>
          <t>Total de tots els sexes; resposta JSON-stat de l'API d'Idescat</t>
        </is>
      </c>
    </row>
    <row r="272" ht="15" customHeight="1" s="39">
      <c r="A272" s="38" t="n">
        <v>2021</v>
      </c>
      <c r="B272" s="42" t="inlineStr">
        <is>
          <t>430430</t>
        </is>
      </c>
      <c r="C272" s="38" t="inlineStr">
        <is>
          <t>Catllar, el</t>
        </is>
      </c>
      <c r="D272" s="38" t="inlineStr">
        <is>
          <t>Y066</t>
        </is>
      </c>
      <c r="E272" s="38" t="inlineStr">
        <is>
          <t>66 anys</t>
        </is>
      </c>
      <c r="F272" s="38" t="n">
        <v>66</v>
      </c>
      <c r="G272" s="38" t="n">
        <v>47</v>
      </c>
      <c r="I272" s="38" t="inlineStr">
        <is>
          <t>Total de tots els sexes; resposta JSON-stat de l'API d'Idescat</t>
        </is>
      </c>
    </row>
    <row r="273" ht="15" customHeight="1" s="39">
      <c r="A273" s="38" t="n">
        <v>2021</v>
      </c>
      <c r="B273" s="42" t="inlineStr">
        <is>
          <t>430430</t>
        </is>
      </c>
      <c r="C273" s="38" t="inlineStr">
        <is>
          <t>Catllar, el</t>
        </is>
      </c>
      <c r="D273" s="38" t="inlineStr">
        <is>
          <t>Y067</t>
        </is>
      </c>
      <c r="E273" s="38" t="inlineStr">
        <is>
          <t>67 anys</t>
        </is>
      </c>
      <c r="F273" s="38" t="n">
        <v>67</v>
      </c>
      <c r="G273" s="38" t="n">
        <v>54</v>
      </c>
      <c r="I273" s="38" t="inlineStr">
        <is>
          <t>Total de tots els sexes; resposta JSON-stat de l'API d'Idescat</t>
        </is>
      </c>
    </row>
    <row r="274" ht="15" customHeight="1" s="39">
      <c r="A274" s="38" t="n">
        <v>2021</v>
      </c>
      <c r="B274" s="42" t="inlineStr">
        <is>
          <t>430430</t>
        </is>
      </c>
      <c r="C274" s="38" t="inlineStr">
        <is>
          <t>Catllar, el</t>
        </is>
      </c>
      <c r="D274" s="38" t="inlineStr">
        <is>
          <t>Y068</t>
        </is>
      </c>
      <c r="E274" s="38" t="inlineStr">
        <is>
          <t>68 anys</t>
        </is>
      </c>
      <c r="F274" s="38" t="n">
        <v>68</v>
      </c>
      <c r="G274" s="38" t="n">
        <v>50</v>
      </c>
      <c r="I274" s="38" t="inlineStr">
        <is>
          <t>Total de tots els sexes; resposta JSON-stat de l'API d'Idescat</t>
        </is>
      </c>
    </row>
    <row r="275" ht="15" customHeight="1" s="39">
      <c r="A275" s="38" t="n">
        <v>2021</v>
      </c>
      <c r="B275" s="42" t="inlineStr">
        <is>
          <t>430430</t>
        </is>
      </c>
      <c r="C275" s="38" t="inlineStr">
        <is>
          <t>Catllar, el</t>
        </is>
      </c>
      <c r="D275" s="38" t="inlineStr">
        <is>
          <t>Y069</t>
        </is>
      </c>
      <c r="E275" s="38" t="inlineStr">
        <is>
          <t>69 anys</t>
        </is>
      </c>
      <c r="F275" s="38" t="n">
        <v>69</v>
      </c>
      <c r="G275" s="38" t="n">
        <v>29</v>
      </c>
      <c r="I275" s="38" t="inlineStr">
        <is>
          <t>Total de tots els sexes; resposta JSON-stat de l'API d'Idescat</t>
        </is>
      </c>
    </row>
    <row r="276" ht="15" customHeight="1" s="39">
      <c r="A276" s="38" t="n">
        <v>2021</v>
      </c>
      <c r="B276" s="42" t="inlineStr">
        <is>
          <t>430430</t>
        </is>
      </c>
      <c r="C276" s="38" t="inlineStr">
        <is>
          <t>Catllar, el</t>
        </is>
      </c>
      <c r="D276" s="38" t="inlineStr">
        <is>
          <t>Y070</t>
        </is>
      </c>
      <c r="E276" s="38" t="inlineStr">
        <is>
          <t>70 anys</t>
        </is>
      </c>
      <c r="F276" s="38" t="n">
        <v>70</v>
      </c>
      <c r="G276" s="38" t="n">
        <v>52</v>
      </c>
      <c r="I276" s="38" t="inlineStr">
        <is>
          <t>Total de tots els sexes; resposta JSON-stat de l'API d'Idescat</t>
        </is>
      </c>
    </row>
    <row r="277" ht="15" customHeight="1" s="39">
      <c r="A277" s="38" t="n">
        <v>2021</v>
      </c>
      <c r="B277" s="42" t="inlineStr">
        <is>
          <t>430430</t>
        </is>
      </c>
      <c r="C277" s="38" t="inlineStr">
        <is>
          <t>Catllar, el</t>
        </is>
      </c>
      <c r="D277" s="38" t="inlineStr">
        <is>
          <t>Y071</t>
        </is>
      </c>
      <c r="E277" s="38" t="inlineStr">
        <is>
          <t>71 anys</t>
        </is>
      </c>
      <c r="F277" s="38" t="n">
        <v>71</v>
      </c>
      <c r="G277" s="38" t="n">
        <v>28</v>
      </c>
      <c r="I277" s="38" t="inlineStr">
        <is>
          <t>Total de tots els sexes; resposta JSON-stat de l'API d'Idescat</t>
        </is>
      </c>
    </row>
    <row r="278" ht="15" customHeight="1" s="39">
      <c r="A278" s="38" t="n">
        <v>2021</v>
      </c>
      <c r="B278" s="42" t="inlineStr">
        <is>
          <t>430430</t>
        </is>
      </c>
      <c r="C278" s="38" t="inlineStr">
        <is>
          <t>Catllar, el</t>
        </is>
      </c>
      <c r="D278" s="38" t="inlineStr">
        <is>
          <t>Y072</t>
        </is>
      </c>
      <c r="E278" s="38" t="inlineStr">
        <is>
          <t>72 anys</t>
        </is>
      </c>
      <c r="F278" s="38" t="n">
        <v>72</v>
      </c>
      <c r="G278" s="38" t="n">
        <v>53</v>
      </c>
      <c r="I278" s="38" t="inlineStr">
        <is>
          <t>Total de tots els sexes; resposta JSON-stat de l'API d'Idescat</t>
        </is>
      </c>
    </row>
    <row r="279" ht="15" customHeight="1" s="39">
      <c r="A279" s="38" t="n">
        <v>2021</v>
      </c>
      <c r="B279" s="42" t="inlineStr">
        <is>
          <t>430430</t>
        </is>
      </c>
      <c r="C279" s="38" t="inlineStr">
        <is>
          <t>Catllar, el</t>
        </is>
      </c>
      <c r="D279" s="38" t="inlineStr">
        <is>
          <t>Y073</t>
        </is>
      </c>
      <c r="E279" s="38" t="inlineStr">
        <is>
          <t>73 anys</t>
        </is>
      </c>
      <c r="F279" s="38" t="n">
        <v>73</v>
      </c>
      <c r="G279" s="38" t="n">
        <v>30</v>
      </c>
      <c r="I279" s="38" t="inlineStr">
        <is>
          <t>Total de tots els sexes; resposta JSON-stat de l'API d'Idescat</t>
        </is>
      </c>
    </row>
    <row r="280" ht="15" customHeight="1" s="39">
      <c r="A280" s="38" t="n">
        <v>2021</v>
      </c>
      <c r="B280" s="42" t="inlineStr">
        <is>
          <t>430430</t>
        </is>
      </c>
      <c r="C280" s="38" t="inlineStr">
        <is>
          <t>Catllar, el</t>
        </is>
      </c>
      <c r="D280" s="38" t="inlineStr">
        <is>
          <t>Y074</t>
        </is>
      </c>
      <c r="E280" s="38" t="inlineStr">
        <is>
          <t>74 anys</t>
        </is>
      </c>
      <c r="F280" s="38" t="n">
        <v>74</v>
      </c>
      <c r="G280" s="38" t="n">
        <v>32</v>
      </c>
      <c r="I280" s="38" t="inlineStr">
        <is>
          <t>Total de tots els sexes; resposta JSON-stat de l'API d'Idescat</t>
        </is>
      </c>
    </row>
    <row r="281" ht="15" customHeight="1" s="39">
      <c r="A281" s="38" t="n">
        <v>2021</v>
      </c>
      <c r="B281" s="42" t="inlineStr">
        <is>
          <t>430430</t>
        </is>
      </c>
      <c r="C281" s="38" t="inlineStr">
        <is>
          <t>Catllar, el</t>
        </is>
      </c>
      <c r="D281" s="38" t="inlineStr">
        <is>
          <t>Y075</t>
        </is>
      </c>
      <c r="E281" s="38" t="inlineStr">
        <is>
          <t>75 anys</t>
        </is>
      </c>
      <c r="F281" s="38" t="n">
        <v>75</v>
      </c>
      <c r="G281" s="38" t="n">
        <v>29</v>
      </c>
      <c r="I281" s="38" t="inlineStr">
        <is>
          <t>Total de tots els sexes; resposta JSON-stat de l'API d'Idescat</t>
        </is>
      </c>
    </row>
    <row r="282" ht="15" customHeight="1" s="39">
      <c r="A282" s="38" t="n">
        <v>2021</v>
      </c>
      <c r="B282" s="42" t="inlineStr">
        <is>
          <t>430430</t>
        </is>
      </c>
      <c r="C282" s="38" t="inlineStr">
        <is>
          <t>Catllar, el</t>
        </is>
      </c>
      <c r="D282" s="38" t="inlineStr">
        <is>
          <t>Y076</t>
        </is>
      </c>
      <c r="E282" s="38" t="inlineStr">
        <is>
          <t>76 anys</t>
        </is>
      </c>
      <c r="F282" s="38" t="n">
        <v>76</v>
      </c>
      <c r="G282" s="38" t="n">
        <v>25</v>
      </c>
      <c r="I282" s="38" t="inlineStr">
        <is>
          <t>Total de tots els sexes; resposta JSON-stat de l'API d'Idescat</t>
        </is>
      </c>
    </row>
    <row r="283" ht="15" customHeight="1" s="39">
      <c r="A283" s="38" t="n">
        <v>2021</v>
      </c>
      <c r="B283" s="42" t="inlineStr">
        <is>
          <t>430430</t>
        </is>
      </c>
      <c r="C283" s="38" t="inlineStr">
        <is>
          <t>Catllar, el</t>
        </is>
      </c>
      <c r="D283" s="38" t="inlineStr">
        <is>
          <t>Y077</t>
        </is>
      </c>
      <c r="E283" s="38" t="inlineStr">
        <is>
          <t>77 anys</t>
        </is>
      </c>
      <c r="F283" s="38" t="n">
        <v>77</v>
      </c>
      <c r="G283" s="38" t="n">
        <v>21</v>
      </c>
      <c r="I283" s="38" t="inlineStr">
        <is>
          <t>Total de tots els sexes; resposta JSON-stat de l'API d'Idescat</t>
        </is>
      </c>
    </row>
    <row r="284" ht="15" customHeight="1" s="39">
      <c r="A284" s="38" t="n">
        <v>2021</v>
      </c>
      <c r="B284" s="42" t="inlineStr">
        <is>
          <t>430430</t>
        </is>
      </c>
      <c r="C284" s="38" t="inlineStr">
        <is>
          <t>Catllar, el</t>
        </is>
      </c>
      <c r="D284" s="38" t="inlineStr">
        <is>
          <t>Y078</t>
        </is>
      </c>
      <c r="E284" s="38" t="inlineStr">
        <is>
          <t>78 anys</t>
        </is>
      </c>
      <c r="F284" s="38" t="n">
        <v>78</v>
      </c>
      <c r="G284" s="38" t="n">
        <v>21</v>
      </c>
      <c r="I284" s="38" t="inlineStr">
        <is>
          <t>Total de tots els sexes; resposta JSON-stat de l'API d'Idescat</t>
        </is>
      </c>
    </row>
    <row r="285" ht="15" customHeight="1" s="39">
      <c r="A285" s="38" t="n">
        <v>2021</v>
      </c>
      <c r="B285" s="42" t="inlineStr">
        <is>
          <t>430430</t>
        </is>
      </c>
      <c r="C285" s="38" t="inlineStr">
        <is>
          <t>Catllar, el</t>
        </is>
      </c>
      <c r="D285" s="38" t="inlineStr">
        <is>
          <t>Y079</t>
        </is>
      </c>
      <c r="E285" s="38" t="inlineStr">
        <is>
          <t>79 anys</t>
        </is>
      </c>
      <c r="F285" s="38" t="n">
        <v>79</v>
      </c>
      <c r="G285" s="38" t="n">
        <v>18</v>
      </c>
      <c r="I285" s="38" t="inlineStr">
        <is>
          <t>Total de tots els sexes; resposta JSON-stat de l'API d'Idescat</t>
        </is>
      </c>
    </row>
    <row r="286" ht="15" customHeight="1" s="39">
      <c r="A286" s="38" t="n">
        <v>2021</v>
      </c>
      <c r="B286" s="42" t="inlineStr">
        <is>
          <t>430430</t>
        </is>
      </c>
      <c r="C286" s="38" t="inlineStr">
        <is>
          <t>Catllar, el</t>
        </is>
      </c>
      <c r="D286" s="38" t="inlineStr">
        <is>
          <t>Y080</t>
        </is>
      </c>
      <c r="E286" s="38" t="inlineStr">
        <is>
          <t>80 anys</t>
        </is>
      </c>
      <c r="F286" s="38" t="n">
        <v>80</v>
      </c>
      <c r="G286" s="38" t="n">
        <v>22</v>
      </c>
      <c r="I286" s="38" t="inlineStr">
        <is>
          <t>Total de tots els sexes; resposta JSON-stat de l'API d'Idescat</t>
        </is>
      </c>
    </row>
    <row r="287" ht="15" customHeight="1" s="39">
      <c r="A287" s="38" t="n">
        <v>2021</v>
      </c>
      <c r="B287" s="42" t="inlineStr">
        <is>
          <t>430430</t>
        </is>
      </c>
      <c r="C287" s="38" t="inlineStr">
        <is>
          <t>Catllar, el</t>
        </is>
      </c>
      <c r="D287" s="38" t="inlineStr">
        <is>
          <t>Y081</t>
        </is>
      </c>
      <c r="E287" s="38" t="inlineStr">
        <is>
          <t>81 anys</t>
        </is>
      </c>
      <c r="F287" s="38" t="n">
        <v>81</v>
      </c>
      <c r="G287" s="38" t="n">
        <v>12</v>
      </c>
      <c r="I287" s="38" t="inlineStr">
        <is>
          <t>Total de tots els sexes; resposta JSON-stat de l'API d'Idescat</t>
        </is>
      </c>
    </row>
    <row r="288" ht="15" customHeight="1" s="39">
      <c r="A288" s="38" t="n">
        <v>2021</v>
      </c>
      <c r="B288" s="42" t="inlineStr">
        <is>
          <t>430430</t>
        </is>
      </c>
      <c r="C288" s="38" t="inlineStr">
        <is>
          <t>Catllar, el</t>
        </is>
      </c>
      <c r="D288" s="38" t="inlineStr">
        <is>
          <t>Y082</t>
        </is>
      </c>
      <c r="E288" s="38" t="inlineStr">
        <is>
          <t>82 anys</t>
        </is>
      </c>
      <c r="F288" s="38" t="n">
        <v>82</v>
      </c>
      <c r="G288" s="38" t="n">
        <v>17</v>
      </c>
      <c r="I288" s="38" t="inlineStr">
        <is>
          <t>Total de tots els sexes; resposta JSON-stat de l'API d'Idescat</t>
        </is>
      </c>
    </row>
    <row r="289" ht="15" customHeight="1" s="39">
      <c r="A289" s="38" t="n">
        <v>2021</v>
      </c>
      <c r="B289" s="42" t="inlineStr">
        <is>
          <t>430430</t>
        </is>
      </c>
      <c r="C289" s="38" t="inlineStr">
        <is>
          <t>Catllar, el</t>
        </is>
      </c>
      <c r="D289" s="38" t="inlineStr">
        <is>
          <t>Y083</t>
        </is>
      </c>
      <c r="E289" s="38" t="inlineStr">
        <is>
          <t>83 anys</t>
        </is>
      </c>
      <c r="F289" s="38" t="n">
        <v>83</v>
      </c>
      <c r="G289" s="38" t="n">
        <v>16</v>
      </c>
      <c r="I289" s="38" t="inlineStr">
        <is>
          <t>Total de tots els sexes; resposta JSON-stat de l'API d'Idescat</t>
        </is>
      </c>
    </row>
    <row r="290" ht="15" customHeight="1" s="39">
      <c r="A290" s="38" t="n">
        <v>2021</v>
      </c>
      <c r="B290" s="42" t="inlineStr">
        <is>
          <t>430430</t>
        </is>
      </c>
      <c r="C290" s="38" t="inlineStr">
        <is>
          <t>Catllar, el</t>
        </is>
      </c>
      <c r="D290" s="38" t="inlineStr">
        <is>
          <t>Y084</t>
        </is>
      </c>
      <c r="E290" s="38" t="inlineStr">
        <is>
          <t>84 anys</t>
        </is>
      </c>
      <c r="F290" s="38" t="n">
        <v>84</v>
      </c>
      <c r="G290" s="38" t="n">
        <v>14</v>
      </c>
      <c r="I290" s="38" t="inlineStr">
        <is>
          <t>Total de tots els sexes; resposta JSON-stat de l'API d'Idescat</t>
        </is>
      </c>
    </row>
    <row r="291" ht="15" customHeight="1" s="39">
      <c r="A291" s="38" t="n">
        <v>2021</v>
      </c>
      <c r="B291" s="42" t="inlineStr">
        <is>
          <t>430430</t>
        </is>
      </c>
      <c r="C291" s="38" t="inlineStr">
        <is>
          <t>Catllar, el</t>
        </is>
      </c>
      <c r="D291" s="38" t="inlineStr">
        <is>
          <t>Y085</t>
        </is>
      </c>
      <c r="E291" s="38" t="inlineStr">
        <is>
          <t>85 anys</t>
        </is>
      </c>
      <c r="F291" s="38" t="n">
        <v>85</v>
      </c>
      <c r="G291" s="38" t="n">
        <v>10</v>
      </c>
      <c r="I291" s="38" t="inlineStr">
        <is>
          <t>Total de tots els sexes; resposta JSON-stat de l'API d'Idescat</t>
        </is>
      </c>
    </row>
    <row r="292" ht="15" customHeight="1" s="39">
      <c r="A292" s="38" t="n">
        <v>2021</v>
      </c>
      <c r="B292" s="42" t="inlineStr">
        <is>
          <t>430430</t>
        </is>
      </c>
      <c r="C292" s="38" t="inlineStr">
        <is>
          <t>Catllar, el</t>
        </is>
      </c>
      <c r="D292" s="38" t="inlineStr">
        <is>
          <t>Y086</t>
        </is>
      </c>
      <c r="E292" s="38" t="inlineStr">
        <is>
          <t>86 anys</t>
        </is>
      </c>
      <c r="F292" s="38" t="n">
        <v>86</v>
      </c>
      <c r="G292" s="38" t="n">
        <v>7</v>
      </c>
      <c r="I292" s="38" t="inlineStr">
        <is>
          <t>Total de tots els sexes; resposta JSON-stat de l'API d'Idescat</t>
        </is>
      </c>
    </row>
    <row r="293" ht="15" customHeight="1" s="39">
      <c r="A293" s="38" t="n">
        <v>2021</v>
      </c>
      <c r="B293" s="42" t="inlineStr">
        <is>
          <t>430430</t>
        </is>
      </c>
      <c r="C293" s="38" t="inlineStr">
        <is>
          <t>Catllar, el</t>
        </is>
      </c>
      <c r="D293" s="38" t="inlineStr">
        <is>
          <t>Y087</t>
        </is>
      </c>
      <c r="E293" s="38" t="inlineStr">
        <is>
          <t>87 anys</t>
        </is>
      </c>
      <c r="F293" s="38" t="n">
        <v>87</v>
      </c>
      <c r="G293" s="38" t="n">
        <v>20</v>
      </c>
      <c r="I293" s="38" t="inlineStr">
        <is>
          <t>Total de tots els sexes; resposta JSON-stat de l'API d'Idescat</t>
        </is>
      </c>
    </row>
    <row r="294" ht="15" customHeight="1" s="39">
      <c r="A294" s="38" t="n">
        <v>2021</v>
      </c>
      <c r="B294" s="42" t="inlineStr">
        <is>
          <t>430430</t>
        </is>
      </c>
      <c r="C294" s="38" t="inlineStr">
        <is>
          <t>Catllar, el</t>
        </is>
      </c>
      <c r="D294" s="38" t="inlineStr">
        <is>
          <t>Y088</t>
        </is>
      </c>
      <c r="E294" s="38" t="inlineStr">
        <is>
          <t>88 anys</t>
        </is>
      </c>
      <c r="F294" s="38" t="n">
        <v>88</v>
      </c>
      <c r="G294" s="38" t="n">
        <v>9</v>
      </c>
      <c r="I294" s="38" t="inlineStr">
        <is>
          <t>Total de tots els sexes; resposta JSON-stat de l'API d'Idescat</t>
        </is>
      </c>
    </row>
    <row r="295" ht="15" customHeight="1" s="39">
      <c r="A295" s="38" t="n">
        <v>2021</v>
      </c>
      <c r="B295" s="42" t="inlineStr">
        <is>
          <t>430430</t>
        </is>
      </c>
      <c r="C295" s="38" t="inlineStr">
        <is>
          <t>Catllar, el</t>
        </is>
      </c>
      <c r="D295" s="38" t="inlineStr">
        <is>
          <t>Y089</t>
        </is>
      </c>
      <c r="E295" s="38" t="inlineStr">
        <is>
          <t>89 anys</t>
        </is>
      </c>
      <c r="F295" s="38" t="n">
        <v>89</v>
      </c>
      <c r="G295" s="38" t="n">
        <v>8</v>
      </c>
      <c r="I295" s="38" t="inlineStr">
        <is>
          <t>Total de tots els sexes; resposta JSON-stat de l'API d'Idescat</t>
        </is>
      </c>
    </row>
    <row r="296" ht="15" customHeight="1" s="39">
      <c r="A296" s="38" t="n">
        <v>2021</v>
      </c>
      <c r="B296" s="42" t="inlineStr">
        <is>
          <t>430430</t>
        </is>
      </c>
      <c r="C296" s="38" t="inlineStr">
        <is>
          <t>Catllar, el</t>
        </is>
      </c>
      <c r="D296" s="38" t="inlineStr">
        <is>
          <t>Y090</t>
        </is>
      </c>
      <c r="E296" s="38" t="inlineStr">
        <is>
          <t>90 anys</t>
        </is>
      </c>
      <c r="F296" s="38" t="n">
        <v>90</v>
      </c>
      <c r="G296" s="38" t="n">
        <v>7</v>
      </c>
      <c r="I296" s="38" t="inlineStr">
        <is>
          <t>Total de tots els sexes; resposta JSON-stat de l'API d'Idescat</t>
        </is>
      </c>
    </row>
    <row r="297" ht="15" customHeight="1" s="39">
      <c r="A297" s="38" t="n">
        <v>2021</v>
      </c>
      <c r="B297" s="42" t="inlineStr">
        <is>
          <t>430430</t>
        </is>
      </c>
      <c r="C297" s="38" t="inlineStr">
        <is>
          <t>Catllar, el</t>
        </is>
      </c>
      <c r="D297" s="38" t="inlineStr">
        <is>
          <t>Y091</t>
        </is>
      </c>
      <c r="E297" s="38" t="inlineStr">
        <is>
          <t>91 anys</t>
        </is>
      </c>
      <c r="F297" s="38" t="n">
        <v>91</v>
      </c>
      <c r="G297" s="38" t="n">
        <v>4</v>
      </c>
      <c r="I297" s="38" t="inlineStr">
        <is>
          <t>Total de tots els sexes; resposta JSON-stat de l'API d'Idescat</t>
        </is>
      </c>
    </row>
    <row r="298" ht="15" customHeight="1" s="39">
      <c r="A298" s="38" t="n">
        <v>2021</v>
      </c>
      <c r="B298" s="42" t="inlineStr">
        <is>
          <t>430430</t>
        </is>
      </c>
      <c r="C298" s="38" t="inlineStr">
        <is>
          <t>Catllar, el</t>
        </is>
      </c>
      <c r="D298" s="38" t="inlineStr">
        <is>
          <t>Y092</t>
        </is>
      </c>
      <c r="E298" s="38" t="inlineStr">
        <is>
          <t>92 anys</t>
        </is>
      </c>
      <c r="F298" s="38" t="n">
        <v>92</v>
      </c>
      <c r="G298" s="38" t="n">
        <v>6</v>
      </c>
      <c r="I298" s="38" t="inlineStr">
        <is>
          <t>Total de tots els sexes; resposta JSON-stat de l'API d'Idescat</t>
        </is>
      </c>
    </row>
    <row r="299" ht="15" customHeight="1" s="39">
      <c r="A299" s="38" t="n">
        <v>2021</v>
      </c>
      <c r="B299" s="42" t="inlineStr">
        <is>
          <t>430430</t>
        </is>
      </c>
      <c r="C299" s="38" t="inlineStr">
        <is>
          <t>Catllar, el</t>
        </is>
      </c>
      <c r="D299" s="38" t="inlineStr">
        <is>
          <t>Y093</t>
        </is>
      </c>
      <c r="E299" s="38" t="inlineStr">
        <is>
          <t>93 anys</t>
        </is>
      </c>
      <c r="F299" s="38" t="n">
        <v>93</v>
      </c>
      <c r="G299" s="38" t="n">
        <v>1</v>
      </c>
      <c r="I299" s="38" t="inlineStr">
        <is>
          <t>Total de tots els sexes; resposta JSON-stat de l'API d'Idescat</t>
        </is>
      </c>
    </row>
    <row r="300" ht="15" customHeight="1" s="39">
      <c r="A300" s="38" t="n">
        <v>2021</v>
      </c>
      <c r="B300" s="42" t="inlineStr">
        <is>
          <t>430430</t>
        </is>
      </c>
      <c r="C300" s="38" t="inlineStr">
        <is>
          <t>Catllar, el</t>
        </is>
      </c>
      <c r="D300" s="38" t="inlineStr">
        <is>
          <t>Y094</t>
        </is>
      </c>
      <c r="E300" s="38" t="inlineStr">
        <is>
          <t>94 anys</t>
        </is>
      </c>
      <c r="F300" s="38" t="n">
        <v>94</v>
      </c>
      <c r="G300" s="38" t="n">
        <v>4</v>
      </c>
      <c r="I300" s="38" t="inlineStr">
        <is>
          <t>Total de tots els sexes; resposta JSON-stat de l'API d'Idescat</t>
        </is>
      </c>
    </row>
    <row r="301" ht="15" customHeight="1" s="39">
      <c r="A301" s="38" t="n">
        <v>2021</v>
      </c>
      <c r="B301" s="42" t="inlineStr">
        <is>
          <t>430430</t>
        </is>
      </c>
      <c r="C301" s="38" t="inlineStr">
        <is>
          <t>Catllar, el</t>
        </is>
      </c>
      <c r="D301" s="38" t="inlineStr">
        <is>
          <t>Y095</t>
        </is>
      </c>
      <c r="E301" s="38" t="inlineStr">
        <is>
          <t>95 anys</t>
        </is>
      </c>
      <c r="F301" s="38" t="n">
        <v>95</v>
      </c>
      <c r="G301" s="38" t="n">
        <v>4</v>
      </c>
      <c r="I301" s="38" t="inlineStr">
        <is>
          <t>Total de tots els sexes; resposta JSON-stat de l'API d'Idescat</t>
        </is>
      </c>
    </row>
    <row r="302" ht="15" customHeight="1" s="39">
      <c r="A302" s="38" t="n">
        <v>2021</v>
      </c>
      <c r="B302" s="42" t="inlineStr">
        <is>
          <t>430430</t>
        </is>
      </c>
      <c r="C302" s="38" t="inlineStr">
        <is>
          <t>Catllar, el</t>
        </is>
      </c>
      <c r="D302" s="38" t="inlineStr">
        <is>
          <t>Y096</t>
        </is>
      </c>
      <c r="E302" s="38" t="inlineStr">
        <is>
          <t>96 anys</t>
        </is>
      </c>
      <c r="F302" s="38" t="n">
        <v>96</v>
      </c>
      <c r="G302" s="38" t="n">
        <v>2</v>
      </c>
      <c r="I302" s="38" t="inlineStr">
        <is>
          <t>Total de tots els sexes; resposta JSON-stat de l'API d'Idescat</t>
        </is>
      </c>
    </row>
    <row r="303" ht="15" customHeight="1" s="39">
      <c r="A303" s="38" t="n">
        <v>2021</v>
      </c>
      <c r="B303" s="42" t="inlineStr">
        <is>
          <t>430430</t>
        </is>
      </c>
      <c r="C303" s="38" t="inlineStr">
        <is>
          <t>Catllar, el</t>
        </is>
      </c>
      <c r="D303" s="38" t="inlineStr">
        <is>
          <t>Y097</t>
        </is>
      </c>
      <c r="E303" s="38" t="inlineStr">
        <is>
          <t>97 anys</t>
        </is>
      </c>
      <c r="F303" s="38" t="n">
        <v>97</v>
      </c>
      <c r="G303" s="38" t="n">
        <v>0</v>
      </c>
      <c r="I303" s="38" t="inlineStr">
        <is>
          <t>Total de tots els sexes; resposta JSON-stat de l'API d'Idescat</t>
        </is>
      </c>
    </row>
    <row r="304" ht="15" customHeight="1" s="39">
      <c r="A304" s="38" t="n">
        <v>2021</v>
      </c>
      <c r="B304" s="42" t="inlineStr">
        <is>
          <t>430430</t>
        </is>
      </c>
      <c r="C304" s="38" t="inlineStr">
        <is>
          <t>Catllar, el</t>
        </is>
      </c>
      <c r="D304" s="38" t="inlineStr">
        <is>
          <t>Y098</t>
        </is>
      </c>
      <c r="E304" s="38" t="inlineStr">
        <is>
          <t>98 anys</t>
        </is>
      </c>
      <c r="F304" s="38" t="n">
        <v>98</v>
      </c>
      <c r="G304" s="38" t="n">
        <v>1</v>
      </c>
      <c r="I304" s="38" t="inlineStr">
        <is>
          <t>Total de tots els sexes; resposta JSON-stat de l'API d'Idescat</t>
        </is>
      </c>
    </row>
    <row r="305" ht="15" customHeight="1" s="39">
      <c r="A305" s="38" t="n">
        <v>2021</v>
      </c>
      <c r="B305" s="42" t="inlineStr">
        <is>
          <t>430430</t>
        </is>
      </c>
      <c r="C305" s="38" t="inlineStr">
        <is>
          <t>Catllar, el</t>
        </is>
      </c>
      <c r="D305" s="38" t="inlineStr">
        <is>
          <t>Y099</t>
        </is>
      </c>
      <c r="E305" s="38" t="inlineStr">
        <is>
          <t>99 anys</t>
        </is>
      </c>
      <c r="F305" s="38" t="n">
        <v>99</v>
      </c>
      <c r="G305" s="38" t="n">
        <v>1</v>
      </c>
      <c r="I305" s="38" t="inlineStr">
        <is>
          <t>Total de tots els sexes; resposta JSON-stat de l'API d'Idescat</t>
        </is>
      </c>
    </row>
    <row r="306" ht="15" customHeight="1" s="39">
      <c r="A306" s="38" t="n">
        <v>2021</v>
      </c>
      <c r="B306" s="42" t="inlineStr">
        <is>
          <t>430430</t>
        </is>
      </c>
      <c r="C306" s="38" t="inlineStr">
        <is>
          <t>Catllar, el</t>
        </is>
      </c>
      <c r="D306" s="38" t="inlineStr">
        <is>
          <t>Y_GE100</t>
        </is>
      </c>
      <c r="E306" s="38" t="inlineStr">
        <is>
          <t>100 anys o més</t>
        </is>
      </c>
      <c r="F306" s="38" t="n">
        <v>100</v>
      </c>
      <c r="G306" s="38" t="n">
        <v>1</v>
      </c>
      <c r="I306" s="38" t="inlineStr">
        <is>
          <t>Total de tots els sexes; resposta JSON-stat de l'API d'Idescat</t>
        </is>
      </c>
    </row>
    <row r="307" ht="15" customHeight="1" s="39">
      <c r="A307" s="38" t="n">
        <v>2021</v>
      </c>
      <c r="B307" s="42" t="inlineStr">
        <is>
          <t>430430</t>
        </is>
      </c>
      <c r="C307" s="38" t="inlineStr">
        <is>
          <t>Catllar, el</t>
        </is>
      </c>
      <c r="D307" s="38" t="inlineStr">
        <is>
          <t>TOTAL</t>
        </is>
      </c>
      <c r="E307" s="38" t="inlineStr">
        <is>
          <t>total</t>
        </is>
      </c>
      <c r="G307" s="38" t="n">
        <v>4749</v>
      </c>
      <c r="I307" s="38" t="inlineStr">
        <is>
          <t>Total de tots els sexes; resposta JSON-stat de l'API d'Idescat</t>
        </is>
      </c>
    </row>
    <row r="308" ht="15" customHeight="1" s="39">
      <c r="A308" s="38" t="n">
        <v>2021</v>
      </c>
      <c r="B308" s="42" t="inlineStr">
        <is>
          <t>430477</t>
        </is>
      </c>
      <c r="C308" s="38" t="inlineStr">
        <is>
          <t>Constantí</t>
        </is>
      </c>
      <c r="D308" s="38" t="inlineStr">
        <is>
          <t>Y000</t>
        </is>
      </c>
      <c r="E308" s="38" t="inlineStr">
        <is>
          <t>0 anys</t>
        </is>
      </c>
      <c r="F308" s="38" t="n">
        <v>0</v>
      </c>
      <c r="G308" s="38" t="n">
        <v>78</v>
      </c>
      <c r="I308" s="38" t="inlineStr">
        <is>
          <t>Total de tots els sexes; resposta JSON-stat de l'API d'Idescat</t>
        </is>
      </c>
    </row>
    <row r="309" ht="15" customHeight="1" s="39">
      <c r="A309" s="38" t="n">
        <v>2021</v>
      </c>
      <c r="B309" s="42" t="inlineStr">
        <is>
          <t>430477</t>
        </is>
      </c>
      <c r="C309" s="38" t="inlineStr">
        <is>
          <t>Constantí</t>
        </is>
      </c>
      <c r="D309" s="38" t="inlineStr">
        <is>
          <t>Y001</t>
        </is>
      </c>
      <c r="E309" s="38" t="inlineStr">
        <is>
          <t>1 any</t>
        </is>
      </c>
      <c r="F309" s="38" t="n">
        <v>1</v>
      </c>
      <c r="G309" s="38" t="n">
        <v>67</v>
      </c>
      <c r="I309" s="38" t="inlineStr">
        <is>
          <t>Total de tots els sexes; resposta JSON-stat de l'API d'Idescat</t>
        </is>
      </c>
    </row>
    <row r="310" ht="15" customHeight="1" s="39">
      <c r="A310" s="38" t="n">
        <v>2021</v>
      </c>
      <c r="B310" s="42" t="inlineStr">
        <is>
          <t>430477</t>
        </is>
      </c>
      <c r="C310" s="38" t="inlineStr">
        <is>
          <t>Constantí</t>
        </is>
      </c>
      <c r="D310" s="38" t="inlineStr">
        <is>
          <t>Y002</t>
        </is>
      </c>
      <c r="E310" s="38" t="inlineStr">
        <is>
          <t>2 anys</t>
        </is>
      </c>
      <c r="F310" s="38" t="n">
        <v>2</v>
      </c>
      <c r="G310" s="38" t="n">
        <v>61</v>
      </c>
      <c r="I310" s="38" t="inlineStr">
        <is>
          <t>Total de tots els sexes; resposta JSON-stat de l'API d'Idescat</t>
        </is>
      </c>
    </row>
    <row r="311" ht="15" customHeight="1" s="39">
      <c r="A311" s="38" t="n">
        <v>2021</v>
      </c>
      <c r="B311" s="42" t="inlineStr">
        <is>
          <t>430477</t>
        </is>
      </c>
      <c r="C311" s="38" t="inlineStr">
        <is>
          <t>Constantí</t>
        </is>
      </c>
      <c r="D311" s="38" t="inlineStr">
        <is>
          <t>Y003</t>
        </is>
      </c>
      <c r="E311" s="38" t="inlineStr">
        <is>
          <t>3 anys</t>
        </is>
      </c>
      <c r="F311" s="38" t="n">
        <v>3</v>
      </c>
      <c r="G311" s="38" t="n">
        <v>74</v>
      </c>
      <c r="I311" s="38" t="inlineStr">
        <is>
          <t>Total de tots els sexes; resposta JSON-stat de l'API d'Idescat</t>
        </is>
      </c>
    </row>
    <row r="312" ht="15" customHeight="1" s="39">
      <c r="A312" s="38" t="n">
        <v>2021</v>
      </c>
      <c r="B312" s="42" t="inlineStr">
        <is>
          <t>430477</t>
        </is>
      </c>
      <c r="C312" s="38" t="inlineStr">
        <is>
          <t>Constantí</t>
        </is>
      </c>
      <c r="D312" s="38" t="inlineStr">
        <is>
          <t>Y004</t>
        </is>
      </c>
      <c r="E312" s="38" t="inlineStr">
        <is>
          <t>4 anys</t>
        </is>
      </c>
      <c r="F312" s="38" t="n">
        <v>4</v>
      </c>
      <c r="G312" s="38" t="n">
        <v>81</v>
      </c>
      <c r="I312" s="38" t="inlineStr">
        <is>
          <t>Total de tots els sexes; resposta JSON-stat de l'API d'Idescat</t>
        </is>
      </c>
    </row>
    <row r="313" ht="15" customHeight="1" s="39">
      <c r="A313" s="38" t="n">
        <v>2021</v>
      </c>
      <c r="B313" s="42" t="inlineStr">
        <is>
          <t>430477</t>
        </is>
      </c>
      <c r="C313" s="38" t="inlineStr">
        <is>
          <t>Constantí</t>
        </is>
      </c>
      <c r="D313" s="38" t="inlineStr">
        <is>
          <t>Y005</t>
        </is>
      </c>
      <c r="E313" s="38" t="inlineStr">
        <is>
          <t>5 anys</t>
        </is>
      </c>
      <c r="F313" s="38" t="n">
        <v>5</v>
      </c>
      <c r="G313" s="38" t="n">
        <v>100</v>
      </c>
      <c r="I313" s="38" t="inlineStr">
        <is>
          <t>Total de tots els sexes; resposta JSON-stat de l'API d'Idescat</t>
        </is>
      </c>
    </row>
    <row r="314" ht="15" customHeight="1" s="39">
      <c r="A314" s="38" t="n">
        <v>2021</v>
      </c>
      <c r="B314" s="42" t="inlineStr">
        <is>
          <t>430477</t>
        </is>
      </c>
      <c r="C314" s="38" t="inlineStr">
        <is>
          <t>Constantí</t>
        </is>
      </c>
      <c r="D314" s="38" t="inlineStr">
        <is>
          <t>Y006</t>
        </is>
      </c>
      <c r="E314" s="38" t="inlineStr">
        <is>
          <t>6 anys</t>
        </is>
      </c>
      <c r="F314" s="38" t="n">
        <v>6</v>
      </c>
      <c r="G314" s="38" t="n">
        <v>72</v>
      </c>
      <c r="I314" s="38" t="inlineStr">
        <is>
          <t>Total de tots els sexes; resposta JSON-stat de l'API d'Idescat</t>
        </is>
      </c>
    </row>
    <row r="315" ht="15" customHeight="1" s="39">
      <c r="A315" s="38" t="n">
        <v>2021</v>
      </c>
      <c r="B315" s="42" t="inlineStr">
        <is>
          <t>430477</t>
        </is>
      </c>
      <c r="C315" s="38" t="inlineStr">
        <is>
          <t>Constantí</t>
        </is>
      </c>
      <c r="D315" s="38" t="inlineStr">
        <is>
          <t>Y007</t>
        </is>
      </c>
      <c r="E315" s="38" t="inlineStr">
        <is>
          <t>7 anys</t>
        </is>
      </c>
      <c r="F315" s="38" t="n">
        <v>7</v>
      </c>
      <c r="G315" s="38" t="n">
        <v>94</v>
      </c>
      <c r="I315" s="38" t="inlineStr">
        <is>
          <t>Total de tots els sexes; resposta JSON-stat de l'API d'Idescat</t>
        </is>
      </c>
    </row>
    <row r="316" ht="15" customHeight="1" s="39">
      <c r="A316" s="38" t="n">
        <v>2021</v>
      </c>
      <c r="B316" s="42" t="inlineStr">
        <is>
          <t>430477</t>
        </is>
      </c>
      <c r="C316" s="38" t="inlineStr">
        <is>
          <t>Constantí</t>
        </is>
      </c>
      <c r="D316" s="38" t="inlineStr">
        <is>
          <t>Y008</t>
        </is>
      </c>
      <c r="E316" s="38" t="inlineStr">
        <is>
          <t>8 anys</t>
        </is>
      </c>
      <c r="F316" s="38" t="n">
        <v>8</v>
      </c>
      <c r="G316" s="38" t="n">
        <v>90</v>
      </c>
      <c r="I316" s="38" t="inlineStr">
        <is>
          <t>Total de tots els sexes; resposta JSON-stat de l'API d'Idescat</t>
        </is>
      </c>
    </row>
    <row r="317" ht="15" customHeight="1" s="39">
      <c r="A317" s="38" t="n">
        <v>2021</v>
      </c>
      <c r="B317" s="42" t="inlineStr">
        <is>
          <t>430477</t>
        </is>
      </c>
      <c r="C317" s="38" t="inlineStr">
        <is>
          <t>Constantí</t>
        </is>
      </c>
      <c r="D317" s="38" t="inlineStr">
        <is>
          <t>Y009</t>
        </is>
      </c>
      <c r="E317" s="38" t="inlineStr">
        <is>
          <t>9 anys</t>
        </is>
      </c>
      <c r="F317" s="38" t="n">
        <v>9</v>
      </c>
      <c r="G317" s="38" t="n">
        <v>78</v>
      </c>
      <c r="I317" s="38" t="inlineStr">
        <is>
          <t>Total de tots els sexes; resposta JSON-stat de l'API d'Idescat</t>
        </is>
      </c>
    </row>
    <row r="318" ht="15" customHeight="1" s="39">
      <c r="A318" s="38" t="n">
        <v>2021</v>
      </c>
      <c r="B318" s="42" t="inlineStr">
        <is>
          <t>430477</t>
        </is>
      </c>
      <c r="C318" s="38" t="inlineStr">
        <is>
          <t>Constantí</t>
        </is>
      </c>
      <c r="D318" s="38" t="inlineStr">
        <is>
          <t>Y010</t>
        </is>
      </c>
      <c r="E318" s="38" t="inlineStr">
        <is>
          <t>10 anys</t>
        </is>
      </c>
      <c r="F318" s="38" t="n">
        <v>10</v>
      </c>
      <c r="G318" s="38" t="n">
        <v>97</v>
      </c>
      <c r="I318" s="38" t="inlineStr">
        <is>
          <t>Total de tots els sexes; resposta JSON-stat de l'API d'Idescat</t>
        </is>
      </c>
    </row>
    <row r="319" ht="15" customHeight="1" s="39">
      <c r="A319" s="38" t="n">
        <v>2021</v>
      </c>
      <c r="B319" s="42" t="inlineStr">
        <is>
          <t>430477</t>
        </is>
      </c>
      <c r="C319" s="38" t="inlineStr">
        <is>
          <t>Constantí</t>
        </is>
      </c>
      <c r="D319" s="38" t="inlineStr">
        <is>
          <t>Y011</t>
        </is>
      </c>
      <c r="E319" s="38" t="inlineStr">
        <is>
          <t>11 anys</t>
        </is>
      </c>
      <c r="F319" s="38" t="n">
        <v>11</v>
      </c>
      <c r="G319" s="38" t="n">
        <v>86</v>
      </c>
      <c r="I319" s="38" t="inlineStr">
        <is>
          <t>Total de tots els sexes; resposta JSON-stat de l'API d'Idescat</t>
        </is>
      </c>
    </row>
    <row r="320" ht="15" customHeight="1" s="39">
      <c r="A320" s="38" t="n">
        <v>2021</v>
      </c>
      <c r="B320" s="42" t="inlineStr">
        <is>
          <t>430477</t>
        </is>
      </c>
      <c r="C320" s="38" t="inlineStr">
        <is>
          <t>Constantí</t>
        </is>
      </c>
      <c r="D320" s="38" t="inlineStr">
        <is>
          <t>Y012</t>
        </is>
      </c>
      <c r="E320" s="38" t="inlineStr">
        <is>
          <t>12 anys</t>
        </is>
      </c>
      <c r="F320" s="38" t="n">
        <v>12</v>
      </c>
      <c r="G320" s="38" t="n">
        <v>97</v>
      </c>
      <c r="I320" s="38" t="inlineStr">
        <is>
          <t>Total de tots els sexes; resposta JSON-stat de l'API d'Idescat</t>
        </is>
      </c>
    </row>
    <row r="321" ht="15" customHeight="1" s="39">
      <c r="A321" s="38" t="n">
        <v>2021</v>
      </c>
      <c r="B321" s="42" t="inlineStr">
        <is>
          <t>430477</t>
        </is>
      </c>
      <c r="C321" s="38" t="inlineStr">
        <is>
          <t>Constantí</t>
        </is>
      </c>
      <c r="D321" s="38" t="inlineStr">
        <is>
          <t>Y013</t>
        </is>
      </c>
      <c r="E321" s="38" t="inlineStr">
        <is>
          <t>13 anys</t>
        </is>
      </c>
      <c r="F321" s="38" t="n">
        <v>13</v>
      </c>
      <c r="G321" s="38" t="n">
        <v>114</v>
      </c>
      <c r="I321" s="38" t="inlineStr">
        <is>
          <t>Total de tots els sexes; resposta JSON-stat de l'API d'Idescat</t>
        </is>
      </c>
    </row>
    <row r="322" ht="15" customHeight="1" s="39">
      <c r="A322" s="38" t="n">
        <v>2021</v>
      </c>
      <c r="B322" s="42" t="inlineStr">
        <is>
          <t>430477</t>
        </is>
      </c>
      <c r="C322" s="38" t="inlineStr">
        <is>
          <t>Constantí</t>
        </is>
      </c>
      <c r="D322" s="38" t="inlineStr">
        <is>
          <t>Y014</t>
        </is>
      </c>
      <c r="E322" s="38" t="inlineStr">
        <is>
          <t>14 anys</t>
        </is>
      </c>
      <c r="F322" s="38" t="n">
        <v>14</v>
      </c>
      <c r="G322" s="38" t="n">
        <v>82</v>
      </c>
      <c r="I322" s="38" t="inlineStr">
        <is>
          <t>Total de tots els sexes; resposta JSON-stat de l'API d'Idescat</t>
        </is>
      </c>
    </row>
    <row r="323" ht="15" customHeight="1" s="39">
      <c r="A323" s="38" t="n">
        <v>2021</v>
      </c>
      <c r="B323" s="42" t="inlineStr">
        <is>
          <t>430477</t>
        </is>
      </c>
      <c r="C323" s="38" t="inlineStr">
        <is>
          <t>Constantí</t>
        </is>
      </c>
      <c r="D323" s="38" t="inlineStr">
        <is>
          <t>Y015</t>
        </is>
      </c>
      <c r="E323" s="38" t="inlineStr">
        <is>
          <t>15 anys</t>
        </is>
      </c>
      <c r="F323" s="38" t="n">
        <v>15</v>
      </c>
      <c r="G323" s="38" t="n">
        <v>88</v>
      </c>
      <c r="I323" s="38" t="inlineStr">
        <is>
          <t>Total de tots els sexes; resposta JSON-stat de l'API d'Idescat</t>
        </is>
      </c>
    </row>
    <row r="324" ht="15" customHeight="1" s="39">
      <c r="A324" s="38" t="n">
        <v>2021</v>
      </c>
      <c r="B324" s="42" t="inlineStr">
        <is>
          <t>430477</t>
        </is>
      </c>
      <c r="C324" s="38" t="inlineStr">
        <is>
          <t>Constantí</t>
        </is>
      </c>
      <c r="D324" s="38" t="inlineStr">
        <is>
          <t>Y016</t>
        </is>
      </c>
      <c r="E324" s="38" t="inlineStr">
        <is>
          <t>16 anys</t>
        </is>
      </c>
      <c r="F324" s="38" t="n">
        <v>16</v>
      </c>
      <c r="G324" s="38" t="n">
        <v>75</v>
      </c>
      <c r="I324" s="38" t="inlineStr">
        <is>
          <t>Total de tots els sexes; resposta JSON-stat de l'API d'Idescat</t>
        </is>
      </c>
    </row>
    <row r="325" ht="15" customHeight="1" s="39">
      <c r="A325" s="38" t="n">
        <v>2021</v>
      </c>
      <c r="B325" s="42" t="inlineStr">
        <is>
          <t>430477</t>
        </is>
      </c>
      <c r="C325" s="38" t="inlineStr">
        <is>
          <t>Constantí</t>
        </is>
      </c>
      <c r="D325" s="38" t="inlineStr">
        <is>
          <t>Y017</t>
        </is>
      </c>
      <c r="E325" s="38" t="inlineStr">
        <is>
          <t>17 anys</t>
        </is>
      </c>
      <c r="F325" s="38" t="n">
        <v>17</v>
      </c>
      <c r="G325" s="38" t="n">
        <v>72</v>
      </c>
      <c r="I325" s="38" t="inlineStr">
        <is>
          <t>Total de tots els sexes; resposta JSON-stat de l'API d'Idescat</t>
        </is>
      </c>
    </row>
    <row r="326" ht="15" customHeight="1" s="39">
      <c r="A326" s="38" t="n">
        <v>2021</v>
      </c>
      <c r="B326" s="42" t="inlineStr">
        <is>
          <t>430477</t>
        </is>
      </c>
      <c r="C326" s="38" t="inlineStr">
        <is>
          <t>Constantí</t>
        </is>
      </c>
      <c r="D326" s="38" t="inlineStr">
        <is>
          <t>Y018</t>
        </is>
      </c>
      <c r="E326" s="38" t="inlineStr">
        <is>
          <t>18 anys</t>
        </is>
      </c>
      <c r="F326" s="38" t="n">
        <v>18</v>
      </c>
      <c r="G326" s="38" t="n">
        <v>77</v>
      </c>
      <c r="I326" s="38" t="inlineStr">
        <is>
          <t>Total de tots els sexes; resposta JSON-stat de l'API d'Idescat</t>
        </is>
      </c>
    </row>
    <row r="327" ht="15" customHeight="1" s="39">
      <c r="A327" s="38" t="n">
        <v>2021</v>
      </c>
      <c r="B327" s="42" t="inlineStr">
        <is>
          <t>430477</t>
        </is>
      </c>
      <c r="C327" s="38" t="inlineStr">
        <is>
          <t>Constantí</t>
        </is>
      </c>
      <c r="D327" s="38" t="inlineStr">
        <is>
          <t>Y019</t>
        </is>
      </c>
      <c r="E327" s="38" t="inlineStr">
        <is>
          <t>19 anys</t>
        </is>
      </c>
      <c r="F327" s="38" t="n">
        <v>19</v>
      </c>
      <c r="G327" s="38" t="n">
        <v>74</v>
      </c>
      <c r="I327" s="38" t="inlineStr">
        <is>
          <t>Total de tots els sexes; resposta JSON-stat de l'API d'Idescat</t>
        </is>
      </c>
    </row>
    <row r="328" ht="15" customHeight="1" s="39">
      <c r="A328" s="38" t="n">
        <v>2021</v>
      </c>
      <c r="B328" s="42" t="inlineStr">
        <is>
          <t>430477</t>
        </is>
      </c>
      <c r="C328" s="38" t="inlineStr">
        <is>
          <t>Constantí</t>
        </is>
      </c>
      <c r="D328" s="38" t="inlineStr">
        <is>
          <t>Y020</t>
        </is>
      </c>
      <c r="E328" s="38" t="inlineStr">
        <is>
          <t>20 anys</t>
        </is>
      </c>
      <c r="F328" s="38" t="n">
        <v>20</v>
      </c>
      <c r="G328" s="38" t="n">
        <v>75</v>
      </c>
      <c r="I328" s="38" t="inlineStr">
        <is>
          <t>Total de tots els sexes; resposta JSON-stat de l'API d'Idescat</t>
        </is>
      </c>
    </row>
    <row r="329" ht="15" customHeight="1" s="39">
      <c r="A329" s="38" t="n">
        <v>2021</v>
      </c>
      <c r="B329" s="42" t="inlineStr">
        <is>
          <t>430477</t>
        </is>
      </c>
      <c r="C329" s="38" t="inlineStr">
        <is>
          <t>Constantí</t>
        </is>
      </c>
      <c r="D329" s="38" t="inlineStr">
        <is>
          <t>Y021</t>
        </is>
      </c>
      <c r="E329" s="38" t="inlineStr">
        <is>
          <t>21 anys</t>
        </is>
      </c>
      <c r="F329" s="38" t="n">
        <v>21</v>
      </c>
      <c r="G329" s="38" t="n">
        <v>70</v>
      </c>
      <c r="I329" s="38" t="inlineStr">
        <is>
          <t>Total de tots els sexes; resposta JSON-stat de l'API d'Idescat</t>
        </is>
      </c>
    </row>
    <row r="330" ht="15" customHeight="1" s="39">
      <c r="A330" s="38" t="n">
        <v>2021</v>
      </c>
      <c r="B330" s="42" t="inlineStr">
        <is>
          <t>430477</t>
        </is>
      </c>
      <c r="C330" s="38" t="inlineStr">
        <is>
          <t>Constantí</t>
        </is>
      </c>
      <c r="D330" s="38" t="inlineStr">
        <is>
          <t>Y022</t>
        </is>
      </c>
      <c r="E330" s="38" t="inlineStr">
        <is>
          <t>22 anys</t>
        </is>
      </c>
      <c r="F330" s="38" t="n">
        <v>22</v>
      </c>
      <c r="G330" s="38" t="n">
        <v>74</v>
      </c>
      <c r="I330" s="38" t="inlineStr">
        <is>
          <t>Total de tots els sexes; resposta JSON-stat de l'API d'Idescat</t>
        </is>
      </c>
    </row>
    <row r="331" ht="15" customHeight="1" s="39">
      <c r="A331" s="38" t="n">
        <v>2021</v>
      </c>
      <c r="B331" s="42" t="inlineStr">
        <is>
          <t>430477</t>
        </is>
      </c>
      <c r="C331" s="38" t="inlineStr">
        <is>
          <t>Constantí</t>
        </is>
      </c>
      <c r="D331" s="38" t="inlineStr">
        <is>
          <t>Y023</t>
        </is>
      </c>
      <c r="E331" s="38" t="inlineStr">
        <is>
          <t>23 anys</t>
        </is>
      </c>
      <c r="F331" s="38" t="n">
        <v>23</v>
      </c>
      <c r="G331" s="38" t="n">
        <v>65</v>
      </c>
      <c r="I331" s="38" t="inlineStr">
        <is>
          <t>Total de tots els sexes; resposta JSON-stat de l'API d'Idescat</t>
        </is>
      </c>
    </row>
    <row r="332" ht="15" customHeight="1" s="39">
      <c r="A332" s="38" t="n">
        <v>2021</v>
      </c>
      <c r="B332" s="42" t="inlineStr">
        <is>
          <t>430477</t>
        </is>
      </c>
      <c r="C332" s="38" t="inlineStr">
        <is>
          <t>Constantí</t>
        </is>
      </c>
      <c r="D332" s="38" t="inlineStr">
        <is>
          <t>Y024</t>
        </is>
      </c>
      <c r="E332" s="38" t="inlineStr">
        <is>
          <t>24 anys</t>
        </is>
      </c>
      <c r="F332" s="38" t="n">
        <v>24</v>
      </c>
      <c r="G332" s="38" t="n">
        <v>78</v>
      </c>
      <c r="I332" s="38" t="inlineStr">
        <is>
          <t>Total de tots els sexes; resposta JSON-stat de l'API d'Idescat</t>
        </is>
      </c>
    </row>
    <row r="333" ht="15" customHeight="1" s="39">
      <c r="A333" s="38" t="n">
        <v>2021</v>
      </c>
      <c r="B333" s="42" t="inlineStr">
        <is>
          <t>430477</t>
        </is>
      </c>
      <c r="C333" s="38" t="inlineStr">
        <is>
          <t>Constantí</t>
        </is>
      </c>
      <c r="D333" s="38" t="inlineStr">
        <is>
          <t>Y025</t>
        </is>
      </c>
      <c r="E333" s="38" t="inlineStr">
        <is>
          <t>25 anys</t>
        </is>
      </c>
      <c r="F333" s="38" t="n">
        <v>25</v>
      </c>
      <c r="G333" s="38" t="n">
        <v>67</v>
      </c>
      <c r="I333" s="38" t="inlineStr">
        <is>
          <t>Total de tots els sexes; resposta JSON-stat de l'API d'Idescat</t>
        </is>
      </c>
    </row>
    <row r="334" ht="15" customHeight="1" s="39">
      <c r="A334" s="38" t="n">
        <v>2021</v>
      </c>
      <c r="B334" s="42" t="inlineStr">
        <is>
          <t>430477</t>
        </is>
      </c>
      <c r="C334" s="38" t="inlineStr">
        <is>
          <t>Constantí</t>
        </is>
      </c>
      <c r="D334" s="38" t="inlineStr">
        <is>
          <t>Y026</t>
        </is>
      </c>
      <c r="E334" s="38" t="inlineStr">
        <is>
          <t>26 anys</t>
        </is>
      </c>
      <c r="F334" s="38" t="n">
        <v>26</v>
      </c>
      <c r="G334" s="38" t="n">
        <v>70</v>
      </c>
      <c r="I334" s="38" t="inlineStr">
        <is>
          <t>Total de tots els sexes; resposta JSON-stat de l'API d'Idescat</t>
        </is>
      </c>
    </row>
    <row r="335" ht="15" customHeight="1" s="39">
      <c r="A335" s="38" t="n">
        <v>2021</v>
      </c>
      <c r="B335" s="42" t="inlineStr">
        <is>
          <t>430477</t>
        </is>
      </c>
      <c r="C335" s="38" t="inlineStr">
        <is>
          <t>Constantí</t>
        </is>
      </c>
      <c r="D335" s="38" t="inlineStr">
        <is>
          <t>Y027</t>
        </is>
      </c>
      <c r="E335" s="38" t="inlineStr">
        <is>
          <t>27 anys</t>
        </is>
      </c>
      <c r="F335" s="38" t="n">
        <v>27</v>
      </c>
      <c r="G335" s="38" t="n">
        <v>73</v>
      </c>
      <c r="I335" s="38" t="inlineStr">
        <is>
          <t>Total de tots els sexes; resposta JSON-stat de l'API d'Idescat</t>
        </is>
      </c>
    </row>
    <row r="336" ht="15" customHeight="1" s="39">
      <c r="A336" s="38" t="n">
        <v>2021</v>
      </c>
      <c r="B336" s="42" t="inlineStr">
        <is>
          <t>430477</t>
        </is>
      </c>
      <c r="C336" s="38" t="inlineStr">
        <is>
          <t>Constantí</t>
        </is>
      </c>
      <c r="D336" s="38" t="inlineStr">
        <is>
          <t>Y028</t>
        </is>
      </c>
      <c r="E336" s="38" t="inlineStr">
        <is>
          <t>28 anys</t>
        </is>
      </c>
      <c r="F336" s="38" t="n">
        <v>28</v>
      </c>
      <c r="G336" s="38" t="n">
        <v>88</v>
      </c>
      <c r="I336" s="38" t="inlineStr">
        <is>
          <t>Total de tots els sexes; resposta JSON-stat de l'API d'Idescat</t>
        </is>
      </c>
    </row>
    <row r="337" ht="15" customHeight="1" s="39">
      <c r="A337" s="38" t="n">
        <v>2021</v>
      </c>
      <c r="B337" s="42" t="inlineStr">
        <is>
          <t>430477</t>
        </is>
      </c>
      <c r="C337" s="38" t="inlineStr">
        <is>
          <t>Constantí</t>
        </is>
      </c>
      <c r="D337" s="38" t="inlineStr">
        <is>
          <t>Y029</t>
        </is>
      </c>
      <c r="E337" s="38" t="inlineStr">
        <is>
          <t>29 anys</t>
        </is>
      </c>
      <c r="F337" s="38" t="n">
        <v>29</v>
      </c>
      <c r="G337" s="38" t="n">
        <v>82</v>
      </c>
      <c r="I337" s="38" t="inlineStr">
        <is>
          <t>Total de tots els sexes; resposta JSON-stat de l'API d'Idescat</t>
        </is>
      </c>
    </row>
    <row r="338" ht="15" customHeight="1" s="39">
      <c r="A338" s="38" t="n">
        <v>2021</v>
      </c>
      <c r="B338" s="42" t="inlineStr">
        <is>
          <t>430477</t>
        </is>
      </c>
      <c r="C338" s="38" t="inlineStr">
        <is>
          <t>Constantí</t>
        </is>
      </c>
      <c r="D338" s="38" t="inlineStr">
        <is>
          <t>Y030</t>
        </is>
      </c>
      <c r="E338" s="38" t="inlineStr">
        <is>
          <t>30 anys</t>
        </is>
      </c>
      <c r="F338" s="38" t="n">
        <v>30</v>
      </c>
      <c r="G338" s="38" t="n">
        <v>81</v>
      </c>
      <c r="I338" s="38" t="inlineStr">
        <is>
          <t>Total de tots els sexes; resposta JSON-stat de l'API d'Idescat</t>
        </is>
      </c>
    </row>
    <row r="339" ht="15" customHeight="1" s="39">
      <c r="A339" s="38" t="n">
        <v>2021</v>
      </c>
      <c r="B339" s="42" t="inlineStr">
        <is>
          <t>430477</t>
        </is>
      </c>
      <c r="C339" s="38" t="inlineStr">
        <is>
          <t>Constantí</t>
        </is>
      </c>
      <c r="D339" s="38" t="inlineStr">
        <is>
          <t>Y031</t>
        </is>
      </c>
      <c r="E339" s="38" t="inlineStr">
        <is>
          <t>31 anys</t>
        </is>
      </c>
      <c r="F339" s="38" t="n">
        <v>31</v>
      </c>
      <c r="G339" s="38" t="n">
        <v>83</v>
      </c>
      <c r="I339" s="38" t="inlineStr">
        <is>
          <t>Total de tots els sexes; resposta JSON-stat de l'API d'Idescat</t>
        </is>
      </c>
    </row>
    <row r="340" ht="15" customHeight="1" s="39">
      <c r="A340" s="38" t="n">
        <v>2021</v>
      </c>
      <c r="B340" s="42" t="inlineStr">
        <is>
          <t>430477</t>
        </is>
      </c>
      <c r="C340" s="38" t="inlineStr">
        <is>
          <t>Constantí</t>
        </is>
      </c>
      <c r="D340" s="38" t="inlineStr">
        <is>
          <t>Y032</t>
        </is>
      </c>
      <c r="E340" s="38" t="inlineStr">
        <is>
          <t>32 anys</t>
        </is>
      </c>
      <c r="F340" s="38" t="n">
        <v>32</v>
      </c>
      <c r="G340" s="38" t="n">
        <v>70</v>
      </c>
      <c r="I340" s="38" t="inlineStr">
        <is>
          <t>Total de tots els sexes; resposta JSON-stat de l'API d'Idescat</t>
        </is>
      </c>
    </row>
    <row r="341" ht="15" customHeight="1" s="39">
      <c r="A341" s="38" t="n">
        <v>2021</v>
      </c>
      <c r="B341" s="42" t="inlineStr">
        <is>
          <t>430477</t>
        </is>
      </c>
      <c r="C341" s="38" t="inlineStr">
        <is>
          <t>Constantí</t>
        </is>
      </c>
      <c r="D341" s="38" t="inlineStr">
        <is>
          <t>Y033</t>
        </is>
      </c>
      <c r="E341" s="38" t="inlineStr">
        <is>
          <t>33 anys</t>
        </is>
      </c>
      <c r="F341" s="38" t="n">
        <v>33</v>
      </c>
      <c r="G341" s="38" t="n">
        <v>82</v>
      </c>
      <c r="I341" s="38" t="inlineStr">
        <is>
          <t>Total de tots els sexes; resposta JSON-stat de l'API d'Idescat</t>
        </is>
      </c>
    </row>
    <row r="342" ht="15" customHeight="1" s="39">
      <c r="A342" s="38" t="n">
        <v>2021</v>
      </c>
      <c r="B342" s="42" t="inlineStr">
        <is>
          <t>430477</t>
        </is>
      </c>
      <c r="C342" s="38" t="inlineStr">
        <is>
          <t>Constantí</t>
        </is>
      </c>
      <c r="D342" s="38" t="inlineStr">
        <is>
          <t>Y034</t>
        </is>
      </c>
      <c r="E342" s="38" t="inlineStr">
        <is>
          <t>34 anys</t>
        </is>
      </c>
      <c r="F342" s="38" t="n">
        <v>34</v>
      </c>
      <c r="G342" s="38" t="n">
        <v>95</v>
      </c>
      <c r="I342" s="38" t="inlineStr">
        <is>
          <t>Total de tots els sexes; resposta JSON-stat de l'API d'Idescat</t>
        </is>
      </c>
    </row>
    <row r="343" ht="15" customHeight="1" s="39">
      <c r="A343" s="38" t="n">
        <v>2021</v>
      </c>
      <c r="B343" s="42" t="inlineStr">
        <is>
          <t>430477</t>
        </is>
      </c>
      <c r="C343" s="38" t="inlineStr">
        <is>
          <t>Constantí</t>
        </is>
      </c>
      <c r="D343" s="38" t="inlineStr">
        <is>
          <t>Y035</t>
        </is>
      </c>
      <c r="E343" s="38" t="inlineStr">
        <is>
          <t>35 anys</t>
        </is>
      </c>
      <c r="F343" s="38" t="n">
        <v>35</v>
      </c>
      <c r="G343" s="38" t="n">
        <v>87</v>
      </c>
      <c r="I343" s="38" t="inlineStr">
        <is>
          <t>Total de tots els sexes; resposta JSON-stat de l'API d'Idescat</t>
        </is>
      </c>
    </row>
    <row r="344" ht="15" customHeight="1" s="39">
      <c r="A344" s="38" t="n">
        <v>2021</v>
      </c>
      <c r="B344" s="42" t="inlineStr">
        <is>
          <t>430477</t>
        </is>
      </c>
      <c r="C344" s="38" t="inlineStr">
        <is>
          <t>Constantí</t>
        </is>
      </c>
      <c r="D344" s="38" t="inlineStr">
        <is>
          <t>Y036</t>
        </is>
      </c>
      <c r="E344" s="38" t="inlineStr">
        <is>
          <t>36 anys</t>
        </is>
      </c>
      <c r="F344" s="38" t="n">
        <v>36</v>
      </c>
      <c r="G344" s="38" t="n">
        <v>115</v>
      </c>
      <c r="I344" s="38" t="inlineStr">
        <is>
          <t>Total de tots els sexes; resposta JSON-stat de l'API d'Idescat</t>
        </is>
      </c>
    </row>
    <row r="345" ht="15" customHeight="1" s="39">
      <c r="A345" s="38" t="n">
        <v>2021</v>
      </c>
      <c r="B345" s="42" t="inlineStr">
        <is>
          <t>430477</t>
        </is>
      </c>
      <c r="C345" s="38" t="inlineStr">
        <is>
          <t>Constantí</t>
        </is>
      </c>
      <c r="D345" s="38" t="inlineStr">
        <is>
          <t>Y037</t>
        </is>
      </c>
      <c r="E345" s="38" t="inlineStr">
        <is>
          <t>37 anys</t>
        </is>
      </c>
      <c r="F345" s="38" t="n">
        <v>37</v>
      </c>
      <c r="G345" s="38" t="n">
        <v>74</v>
      </c>
      <c r="I345" s="38" t="inlineStr">
        <is>
          <t>Total de tots els sexes; resposta JSON-stat de l'API d'Idescat</t>
        </is>
      </c>
    </row>
    <row r="346" ht="15" customHeight="1" s="39">
      <c r="A346" s="38" t="n">
        <v>2021</v>
      </c>
      <c r="B346" s="42" t="inlineStr">
        <is>
          <t>430477</t>
        </is>
      </c>
      <c r="C346" s="38" t="inlineStr">
        <is>
          <t>Constantí</t>
        </is>
      </c>
      <c r="D346" s="38" t="inlineStr">
        <is>
          <t>Y038</t>
        </is>
      </c>
      <c r="E346" s="38" t="inlineStr">
        <is>
          <t>38 anys</t>
        </is>
      </c>
      <c r="F346" s="38" t="n">
        <v>38</v>
      </c>
      <c r="G346" s="38" t="n">
        <v>102</v>
      </c>
      <c r="I346" s="38" t="inlineStr">
        <is>
          <t>Total de tots els sexes; resposta JSON-stat de l'API d'Idescat</t>
        </is>
      </c>
    </row>
    <row r="347" ht="15" customHeight="1" s="39">
      <c r="A347" s="38" t="n">
        <v>2021</v>
      </c>
      <c r="B347" s="42" t="inlineStr">
        <is>
          <t>430477</t>
        </is>
      </c>
      <c r="C347" s="38" t="inlineStr">
        <is>
          <t>Constantí</t>
        </is>
      </c>
      <c r="D347" s="38" t="inlineStr">
        <is>
          <t>Y039</t>
        </is>
      </c>
      <c r="E347" s="38" t="inlineStr">
        <is>
          <t>39 anys</t>
        </is>
      </c>
      <c r="F347" s="38" t="n">
        <v>39</v>
      </c>
      <c r="G347" s="38" t="n">
        <v>103</v>
      </c>
      <c r="I347" s="38" t="inlineStr">
        <is>
          <t>Total de tots els sexes; resposta JSON-stat de l'API d'Idescat</t>
        </is>
      </c>
    </row>
    <row r="348" ht="15" customHeight="1" s="39">
      <c r="A348" s="38" t="n">
        <v>2021</v>
      </c>
      <c r="B348" s="42" t="inlineStr">
        <is>
          <t>430477</t>
        </is>
      </c>
      <c r="C348" s="38" t="inlineStr">
        <is>
          <t>Constantí</t>
        </is>
      </c>
      <c r="D348" s="38" t="inlineStr">
        <is>
          <t>Y040</t>
        </is>
      </c>
      <c r="E348" s="38" t="inlineStr">
        <is>
          <t>40 anys</t>
        </is>
      </c>
      <c r="F348" s="38" t="n">
        <v>40</v>
      </c>
      <c r="G348" s="38" t="n">
        <v>121</v>
      </c>
      <c r="I348" s="38" t="inlineStr">
        <is>
          <t>Total de tots els sexes; resposta JSON-stat de l'API d'Idescat</t>
        </is>
      </c>
    </row>
    <row r="349" ht="15" customHeight="1" s="39">
      <c r="A349" s="38" t="n">
        <v>2021</v>
      </c>
      <c r="B349" s="42" t="inlineStr">
        <is>
          <t>430477</t>
        </is>
      </c>
      <c r="C349" s="38" t="inlineStr">
        <is>
          <t>Constantí</t>
        </is>
      </c>
      <c r="D349" s="38" t="inlineStr">
        <is>
          <t>Y041</t>
        </is>
      </c>
      <c r="E349" s="38" t="inlineStr">
        <is>
          <t>41 anys</t>
        </is>
      </c>
      <c r="F349" s="38" t="n">
        <v>41</v>
      </c>
      <c r="G349" s="38" t="n">
        <v>112</v>
      </c>
      <c r="I349" s="38" t="inlineStr">
        <is>
          <t>Total de tots els sexes; resposta JSON-stat de l'API d'Idescat</t>
        </is>
      </c>
    </row>
    <row r="350" ht="15" customHeight="1" s="39">
      <c r="A350" s="38" t="n">
        <v>2021</v>
      </c>
      <c r="B350" s="42" t="inlineStr">
        <is>
          <t>430477</t>
        </is>
      </c>
      <c r="C350" s="38" t="inlineStr">
        <is>
          <t>Constantí</t>
        </is>
      </c>
      <c r="D350" s="38" t="inlineStr">
        <is>
          <t>Y042</t>
        </is>
      </c>
      <c r="E350" s="38" t="inlineStr">
        <is>
          <t>42 anys</t>
        </is>
      </c>
      <c r="F350" s="38" t="n">
        <v>42</v>
      </c>
      <c r="G350" s="38" t="n">
        <v>125</v>
      </c>
      <c r="I350" s="38" t="inlineStr">
        <is>
          <t>Total de tots els sexes; resposta JSON-stat de l'API d'Idescat</t>
        </is>
      </c>
    </row>
    <row r="351" ht="15" customHeight="1" s="39">
      <c r="A351" s="38" t="n">
        <v>2021</v>
      </c>
      <c r="B351" s="42" t="inlineStr">
        <is>
          <t>430477</t>
        </is>
      </c>
      <c r="C351" s="38" t="inlineStr">
        <is>
          <t>Constantí</t>
        </is>
      </c>
      <c r="D351" s="38" t="inlineStr">
        <is>
          <t>Y043</t>
        </is>
      </c>
      <c r="E351" s="38" t="inlineStr">
        <is>
          <t>43 anys</t>
        </is>
      </c>
      <c r="F351" s="38" t="n">
        <v>43</v>
      </c>
      <c r="G351" s="38" t="n">
        <v>131</v>
      </c>
      <c r="I351" s="38" t="inlineStr">
        <is>
          <t>Total de tots els sexes; resposta JSON-stat de l'API d'Idescat</t>
        </is>
      </c>
    </row>
    <row r="352" ht="15" customHeight="1" s="39">
      <c r="A352" s="38" t="n">
        <v>2021</v>
      </c>
      <c r="B352" s="42" t="inlineStr">
        <is>
          <t>430477</t>
        </is>
      </c>
      <c r="C352" s="38" t="inlineStr">
        <is>
          <t>Constantí</t>
        </is>
      </c>
      <c r="D352" s="38" t="inlineStr">
        <is>
          <t>Y044</t>
        </is>
      </c>
      <c r="E352" s="38" t="inlineStr">
        <is>
          <t>44 anys</t>
        </is>
      </c>
      <c r="F352" s="38" t="n">
        <v>44</v>
      </c>
      <c r="G352" s="38" t="n">
        <v>127</v>
      </c>
      <c r="I352" s="38" t="inlineStr">
        <is>
          <t>Total de tots els sexes; resposta JSON-stat de l'API d'Idescat</t>
        </is>
      </c>
    </row>
    <row r="353" ht="15" customHeight="1" s="39">
      <c r="A353" s="38" t="n">
        <v>2021</v>
      </c>
      <c r="B353" s="42" t="inlineStr">
        <is>
          <t>430477</t>
        </is>
      </c>
      <c r="C353" s="38" t="inlineStr">
        <is>
          <t>Constantí</t>
        </is>
      </c>
      <c r="D353" s="38" t="inlineStr">
        <is>
          <t>Y045</t>
        </is>
      </c>
      <c r="E353" s="38" t="inlineStr">
        <is>
          <t>45 anys</t>
        </is>
      </c>
      <c r="F353" s="38" t="n">
        <v>45</v>
      </c>
      <c r="G353" s="38" t="n">
        <v>113</v>
      </c>
      <c r="I353" s="38" t="inlineStr">
        <is>
          <t>Total de tots els sexes; resposta JSON-stat de l'API d'Idescat</t>
        </is>
      </c>
    </row>
    <row r="354" ht="15" customHeight="1" s="39">
      <c r="A354" s="38" t="n">
        <v>2021</v>
      </c>
      <c r="B354" s="42" t="inlineStr">
        <is>
          <t>430477</t>
        </is>
      </c>
      <c r="C354" s="38" t="inlineStr">
        <is>
          <t>Constantí</t>
        </is>
      </c>
      <c r="D354" s="38" t="inlineStr">
        <is>
          <t>Y046</t>
        </is>
      </c>
      <c r="E354" s="38" t="inlineStr">
        <is>
          <t>46 anys</t>
        </is>
      </c>
      <c r="F354" s="38" t="n">
        <v>46</v>
      </c>
      <c r="G354" s="38" t="n">
        <v>132</v>
      </c>
      <c r="I354" s="38" t="inlineStr">
        <is>
          <t>Total de tots els sexes; resposta JSON-stat de l'API d'Idescat</t>
        </is>
      </c>
    </row>
    <row r="355" ht="15" customHeight="1" s="39">
      <c r="A355" s="38" t="n">
        <v>2021</v>
      </c>
      <c r="B355" s="42" t="inlineStr">
        <is>
          <t>430477</t>
        </is>
      </c>
      <c r="C355" s="38" t="inlineStr">
        <is>
          <t>Constantí</t>
        </is>
      </c>
      <c r="D355" s="38" t="inlineStr">
        <is>
          <t>Y047</t>
        </is>
      </c>
      <c r="E355" s="38" t="inlineStr">
        <is>
          <t>47 anys</t>
        </is>
      </c>
      <c r="F355" s="38" t="n">
        <v>47</v>
      </c>
      <c r="G355" s="38" t="n">
        <v>131</v>
      </c>
      <c r="I355" s="38" t="inlineStr">
        <is>
          <t>Total de tots els sexes; resposta JSON-stat de l'API d'Idescat</t>
        </is>
      </c>
    </row>
    <row r="356" ht="15" customHeight="1" s="39">
      <c r="A356" s="38" t="n">
        <v>2021</v>
      </c>
      <c r="B356" s="42" t="inlineStr">
        <is>
          <t>430477</t>
        </is>
      </c>
      <c r="C356" s="38" t="inlineStr">
        <is>
          <t>Constantí</t>
        </is>
      </c>
      <c r="D356" s="38" t="inlineStr">
        <is>
          <t>Y048</t>
        </is>
      </c>
      <c r="E356" s="38" t="inlineStr">
        <is>
          <t>48 anys</t>
        </is>
      </c>
      <c r="F356" s="38" t="n">
        <v>48</v>
      </c>
      <c r="G356" s="38" t="n">
        <v>108</v>
      </c>
      <c r="I356" s="38" t="inlineStr">
        <is>
          <t>Total de tots els sexes; resposta JSON-stat de l'API d'Idescat</t>
        </is>
      </c>
    </row>
    <row r="357" ht="15" customHeight="1" s="39">
      <c r="A357" s="38" t="n">
        <v>2021</v>
      </c>
      <c r="B357" s="42" t="inlineStr">
        <is>
          <t>430477</t>
        </is>
      </c>
      <c r="C357" s="38" t="inlineStr">
        <is>
          <t>Constantí</t>
        </is>
      </c>
      <c r="D357" s="38" t="inlineStr">
        <is>
          <t>Y049</t>
        </is>
      </c>
      <c r="E357" s="38" t="inlineStr">
        <is>
          <t>49 anys</t>
        </is>
      </c>
      <c r="F357" s="38" t="n">
        <v>49</v>
      </c>
      <c r="G357" s="38" t="n">
        <v>124</v>
      </c>
      <c r="I357" s="38" t="inlineStr">
        <is>
          <t>Total de tots els sexes; resposta JSON-stat de l'API d'Idescat</t>
        </is>
      </c>
    </row>
    <row r="358" ht="15" customHeight="1" s="39">
      <c r="A358" s="38" t="n">
        <v>2021</v>
      </c>
      <c r="B358" s="42" t="inlineStr">
        <is>
          <t>430477</t>
        </is>
      </c>
      <c r="C358" s="38" t="inlineStr">
        <is>
          <t>Constantí</t>
        </is>
      </c>
      <c r="D358" s="38" t="inlineStr">
        <is>
          <t>Y050</t>
        </is>
      </c>
      <c r="E358" s="38" t="inlineStr">
        <is>
          <t>50 anys</t>
        </is>
      </c>
      <c r="F358" s="38" t="n">
        <v>50</v>
      </c>
      <c r="G358" s="38" t="n">
        <v>107</v>
      </c>
      <c r="I358" s="38" t="inlineStr">
        <is>
          <t>Total de tots els sexes; resposta JSON-stat de l'API d'Idescat</t>
        </is>
      </c>
    </row>
    <row r="359" ht="15" customHeight="1" s="39">
      <c r="A359" s="38" t="n">
        <v>2021</v>
      </c>
      <c r="B359" s="42" t="inlineStr">
        <is>
          <t>430477</t>
        </is>
      </c>
      <c r="C359" s="38" t="inlineStr">
        <is>
          <t>Constantí</t>
        </is>
      </c>
      <c r="D359" s="38" t="inlineStr">
        <is>
          <t>Y051</t>
        </is>
      </c>
      <c r="E359" s="38" t="inlineStr">
        <is>
          <t>51 anys</t>
        </is>
      </c>
      <c r="F359" s="38" t="n">
        <v>51</v>
      </c>
      <c r="G359" s="38" t="n">
        <v>109</v>
      </c>
      <c r="I359" s="38" t="inlineStr">
        <is>
          <t>Total de tots els sexes; resposta JSON-stat de l'API d'Idescat</t>
        </is>
      </c>
    </row>
    <row r="360" ht="15" customHeight="1" s="39">
      <c r="A360" s="38" t="n">
        <v>2021</v>
      </c>
      <c r="B360" s="42" t="inlineStr">
        <is>
          <t>430477</t>
        </is>
      </c>
      <c r="C360" s="38" t="inlineStr">
        <is>
          <t>Constantí</t>
        </is>
      </c>
      <c r="D360" s="38" t="inlineStr">
        <is>
          <t>Y052</t>
        </is>
      </c>
      <c r="E360" s="38" t="inlineStr">
        <is>
          <t>52 anys</t>
        </is>
      </c>
      <c r="F360" s="38" t="n">
        <v>52</v>
      </c>
      <c r="G360" s="38" t="n">
        <v>80</v>
      </c>
      <c r="I360" s="38" t="inlineStr">
        <is>
          <t>Total de tots els sexes; resposta JSON-stat de l'API d'Idescat</t>
        </is>
      </c>
    </row>
    <row r="361" ht="15" customHeight="1" s="39">
      <c r="A361" s="38" t="n">
        <v>2021</v>
      </c>
      <c r="B361" s="42" t="inlineStr">
        <is>
          <t>430477</t>
        </is>
      </c>
      <c r="C361" s="38" t="inlineStr">
        <is>
          <t>Constantí</t>
        </is>
      </c>
      <c r="D361" s="38" t="inlineStr">
        <is>
          <t>Y053</t>
        </is>
      </c>
      <c r="E361" s="38" t="inlineStr">
        <is>
          <t>53 anys</t>
        </is>
      </c>
      <c r="F361" s="38" t="n">
        <v>53</v>
      </c>
      <c r="G361" s="38" t="n">
        <v>99</v>
      </c>
      <c r="I361" s="38" t="inlineStr">
        <is>
          <t>Total de tots els sexes; resposta JSON-stat de l'API d'Idescat</t>
        </is>
      </c>
    </row>
    <row r="362" ht="15" customHeight="1" s="39">
      <c r="A362" s="38" t="n">
        <v>2021</v>
      </c>
      <c r="B362" s="42" t="inlineStr">
        <is>
          <t>430477</t>
        </is>
      </c>
      <c r="C362" s="38" t="inlineStr">
        <is>
          <t>Constantí</t>
        </is>
      </c>
      <c r="D362" s="38" t="inlineStr">
        <is>
          <t>Y054</t>
        </is>
      </c>
      <c r="E362" s="38" t="inlineStr">
        <is>
          <t>54 anys</t>
        </is>
      </c>
      <c r="F362" s="38" t="n">
        <v>54</v>
      </c>
      <c r="G362" s="38" t="n">
        <v>95</v>
      </c>
      <c r="I362" s="38" t="inlineStr">
        <is>
          <t>Total de tots els sexes; resposta JSON-stat de l'API d'Idescat</t>
        </is>
      </c>
    </row>
    <row r="363" ht="15" customHeight="1" s="39">
      <c r="A363" s="38" t="n">
        <v>2021</v>
      </c>
      <c r="B363" s="42" t="inlineStr">
        <is>
          <t>430477</t>
        </is>
      </c>
      <c r="C363" s="38" t="inlineStr">
        <is>
          <t>Constantí</t>
        </is>
      </c>
      <c r="D363" s="38" t="inlineStr">
        <is>
          <t>Y055</t>
        </is>
      </c>
      <c r="E363" s="38" t="inlineStr">
        <is>
          <t>55 anys</t>
        </is>
      </c>
      <c r="F363" s="38" t="n">
        <v>55</v>
      </c>
      <c r="G363" s="38" t="n">
        <v>94</v>
      </c>
      <c r="I363" s="38" t="inlineStr">
        <is>
          <t>Total de tots els sexes; resposta JSON-stat de l'API d'Idescat</t>
        </is>
      </c>
    </row>
    <row r="364" ht="15" customHeight="1" s="39">
      <c r="A364" s="38" t="n">
        <v>2021</v>
      </c>
      <c r="B364" s="42" t="inlineStr">
        <is>
          <t>430477</t>
        </is>
      </c>
      <c r="C364" s="38" t="inlineStr">
        <is>
          <t>Constantí</t>
        </is>
      </c>
      <c r="D364" s="38" t="inlineStr">
        <is>
          <t>Y056</t>
        </is>
      </c>
      <c r="E364" s="38" t="inlineStr">
        <is>
          <t>56 anys</t>
        </is>
      </c>
      <c r="F364" s="38" t="n">
        <v>56</v>
      </c>
      <c r="G364" s="38" t="n">
        <v>87</v>
      </c>
      <c r="I364" s="38" t="inlineStr">
        <is>
          <t>Total de tots els sexes; resposta JSON-stat de l'API d'Idescat</t>
        </is>
      </c>
    </row>
    <row r="365" ht="15" customHeight="1" s="39">
      <c r="A365" s="38" t="n">
        <v>2021</v>
      </c>
      <c r="B365" s="42" t="inlineStr">
        <is>
          <t>430477</t>
        </is>
      </c>
      <c r="C365" s="38" t="inlineStr">
        <is>
          <t>Constantí</t>
        </is>
      </c>
      <c r="D365" s="38" t="inlineStr">
        <is>
          <t>Y057</t>
        </is>
      </c>
      <c r="E365" s="38" t="inlineStr">
        <is>
          <t>57 anys</t>
        </is>
      </c>
      <c r="F365" s="38" t="n">
        <v>57</v>
      </c>
      <c r="G365" s="38" t="n">
        <v>78</v>
      </c>
      <c r="I365" s="38" t="inlineStr">
        <is>
          <t>Total de tots els sexes; resposta JSON-stat de l'API d'Idescat</t>
        </is>
      </c>
    </row>
    <row r="366" ht="15" customHeight="1" s="39">
      <c r="A366" s="38" t="n">
        <v>2021</v>
      </c>
      <c r="B366" s="42" t="inlineStr">
        <is>
          <t>430477</t>
        </is>
      </c>
      <c r="C366" s="38" t="inlineStr">
        <is>
          <t>Constantí</t>
        </is>
      </c>
      <c r="D366" s="38" t="inlineStr">
        <is>
          <t>Y058</t>
        </is>
      </c>
      <c r="E366" s="38" t="inlineStr">
        <is>
          <t>58 anys</t>
        </is>
      </c>
      <c r="F366" s="38" t="n">
        <v>58</v>
      </c>
      <c r="G366" s="38" t="n">
        <v>80</v>
      </c>
      <c r="I366" s="38" t="inlineStr">
        <is>
          <t>Total de tots els sexes; resposta JSON-stat de l'API d'Idescat</t>
        </is>
      </c>
    </row>
    <row r="367" ht="15" customHeight="1" s="39">
      <c r="A367" s="38" t="n">
        <v>2021</v>
      </c>
      <c r="B367" s="42" t="inlineStr">
        <is>
          <t>430477</t>
        </is>
      </c>
      <c r="C367" s="38" t="inlineStr">
        <is>
          <t>Constantí</t>
        </is>
      </c>
      <c r="D367" s="38" t="inlineStr">
        <is>
          <t>Y059</t>
        </is>
      </c>
      <c r="E367" s="38" t="inlineStr">
        <is>
          <t>59 anys</t>
        </is>
      </c>
      <c r="F367" s="38" t="n">
        <v>59</v>
      </c>
      <c r="G367" s="38" t="n">
        <v>84</v>
      </c>
      <c r="I367" s="38" t="inlineStr">
        <is>
          <t>Total de tots els sexes; resposta JSON-stat de l'API d'Idescat</t>
        </is>
      </c>
    </row>
    <row r="368" ht="15" customHeight="1" s="39">
      <c r="A368" s="38" t="n">
        <v>2021</v>
      </c>
      <c r="B368" s="42" t="inlineStr">
        <is>
          <t>430477</t>
        </is>
      </c>
      <c r="C368" s="38" t="inlineStr">
        <is>
          <t>Constantí</t>
        </is>
      </c>
      <c r="D368" s="38" t="inlineStr">
        <is>
          <t>Y060</t>
        </is>
      </c>
      <c r="E368" s="38" t="inlineStr">
        <is>
          <t>60 anys</t>
        </is>
      </c>
      <c r="F368" s="38" t="n">
        <v>60</v>
      </c>
      <c r="G368" s="38" t="n">
        <v>67</v>
      </c>
      <c r="I368" s="38" t="inlineStr">
        <is>
          <t>Total de tots els sexes; resposta JSON-stat de l'API d'Idescat</t>
        </is>
      </c>
    </row>
    <row r="369" ht="15" customHeight="1" s="39">
      <c r="A369" s="38" t="n">
        <v>2021</v>
      </c>
      <c r="B369" s="42" t="inlineStr">
        <is>
          <t>430477</t>
        </is>
      </c>
      <c r="C369" s="38" t="inlineStr">
        <is>
          <t>Constantí</t>
        </is>
      </c>
      <c r="D369" s="38" t="inlineStr">
        <is>
          <t>Y061</t>
        </is>
      </c>
      <c r="E369" s="38" t="inlineStr">
        <is>
          <t>61 anys</t>
        </is>
      </c>
      <c r="F369" s="38" t="n">
        <v>61</v>
      </c>
      <c r="G369" s="38" t="n">
        <v>61</v>
      </c>
      <c r="I369" s="38" t="inlineStr">
        <is>
          <t>Total de tots els sexes; resposta JSON-stat de l'API d'Idescat</t>
        </is>
      </c>
    </row>
    <row r="370" ht="15" customHeight="1" s="39">
      <c r="A370" s="38" t="n">
        <v>2021</v>
      </c>
      <c r="B370" s="42" t="inlineStr">
        <is>
          <t>430477</t>
        </is>
      </c>
      <c r="C370" s="38" t="inlineStr">
        <is>
          <t>Constantí</t>
        </is>
      </c>
      <c r="D370" s="38" t="inlineStr">
        <is>
          <t>Y062</t>
        </is>
      </c>
      <c r="E370" s="38" t="inlineStr">
        <is>
          <t>62 anys</t>
        </is>
      </c>
      <c r="F370" s="38" t="n">
        <v>62</v>
      </c>
      <c r="G370" s="38" t="n">
        <v>78</v>
      </c>
      <c r="I370" s="38" t="inlineStr">
        <is>
          <t>Total de tots els sexes; resposta JSON-stat de l'API d'Idescat</t>
        </is>
      </c>
    </row>
    <row r="371" ht="15" customHeight="1" s="39">
      <c r="A371" s="38" t="n">
        <v>2021</v>
      </c>
      <c r="B371" s="42" t="inlineStr">
        <is>
          <t>430477</t>
        </is>
      </c>
      <c r="C371" s="38" t="inlineStr">
        <is>
          <t>Constantí</t>
        </is>
      </c>
      <c r="D371" s="38" t="inlineStr">
        <is>
          <t>Y063</t>
        </is>
      </c>
      <c r="E371" s="38" t="inlineStr">
        <is>
          <t>63 anys</t>
        </is>
      </c>
      <c r="F371" s="38" t="n">
        <v>63</v>
      </c>
      <c r="G371" s="38" t="n">
        <v>65</v>
      </c>
      <c r="I371" s="38" t="inlineStr">
        <is>
          <t>Total de tots els sexes; resposta JSON-stat de l'API d'Idescat</t>
        </is>
      </c>
    </row>
    <row r="372" ht="15" customHeight="1" s="39">
      <c r="A372" s="38" t="n">
        <v>2021</v>
      </c>
      <c r="B372" s="42" t="inlineStr">
        <is>
          <t>430477</t>
        </is>
      </c>
      <c r="C372" s="38" t="inlineStr">
        <is>
          <t>Constantí</t>
        </is>
      </c>
      <c r="D372" s="38" t="inlineStr">
        <is>
          <t>Y064</t>
        </is>
      </c>
      <c r="E372" s="38" t="inlineStr">
        <is>
          <t>64 anys</t>
        </is>
      </c>
      <c r="F372" s="38" t="n">
        <v>64</v>
      </c>
      <c r="G372" s="38" t="n">
        <v>54</v>
      </c>
      <c r="I372" s="38" t="inlineStr">
        <is>
          <t>Total de tots els sexes; resposta JSON-stat de l'API d'Idescat</t>
        </is>
      </c>
    </row>
    <row r="373" ht="15" customHeight="1" s="39">
      <c r="A373" s="38" t="n">
        <v>2021</v>
      </c>
      <c r="B373" s="42" t="inlineStr">
        <is>
          <t>430477</t>
        </is>
      </c>
      <c r="C373" s="38" t="inlineStr">
        <is>
          <t>Constantí</t>
        </is>
      </c>
      <c r="D373" s="38" t="inlineStr">
        <is>
          <t>Y065</t>
        </is>
      </c>
      <c r="E373" s="38" t="inlineStr">
        <is>
          <t>65 anys</t>
        </is>
      </c>
      <c r="F373" s="38" t="n">
        <v>65</v>
      </c>
      <c r="G373" s="38" t="n">
        <v>73</v>
      </c>
      <c r="I373" s="38" t="inlineStr">
        <is>
          <t>Total de tots els sexes; resposta JSON-stat de l'API d'Idescat</t>
        </is>
      </c>
    </row>
    <row r="374" ht="15" customHeight="1" s="39">
      <c r="A374" s="38" t="n">
        <v>2021</v>
      </c>
      <c r="B374" s="42" t="inlineStr">
        <is>
          <t>430477</t>
        </is>
      </c>
      <c r="C374" s="38" t="inlineStr">
        <is>
          <t>Constantí</t>
        </is>
      </c>
      <c r="D374" s="38" t="inlineStr">
        <is>
          <t>Y066</t>
        </is>
      </c>
      <c r="E374" s="38" t="inlineStr">
        <is>
          <t>66 anys</t>
        </is>
      </c>
      <c r="F374" s="38" t="n">
        <v>66</v>
      </c>
      <c r="G374" s="38" t="n">
        <v>64</v>
      </c>
      <c r="I374" s="38" t="inlineStr">
        <is>
          <t>Total de tots els sexes; resposta JSON-stat de l'API d'Idescat</t>
        </is>
      </c>
    </row>
    <row r="375" ht="15" customHeight="1" s="39">
      <c r="A375" s="38" t="n">
        <v>2021</v>
      </c>
      <c r="B375" s="42" t="inlineStr">
        <is>
          <t>430477</t>
        </is>
      </c>
      <c r="C375" s="38" t="inlineStr">
        <is>
          <t>Constantí</t>
        </is>
      </c>
      <c r="D375" s="38" t="inlineStr">
        <is>
          <t>Y067</t>
        </is>
      </c>
      <c r="E375" s="38" t="inlineStr">
        <is>
          <t>67 anys</t>
        </is>
      </c>
      <c r="F375" s="38" t="n">
        <v>67</v>
      </c>
      <c r="G375" s="38" t="n">
        <v>59</v>
      </c>
      <c r="I375" s="38" t="inlineStr">
        <is>
          <t>Total de tots els sexes; resposta JSON-stat de l'API d'Idescat</t>
        </is>
      </c>
    </row>
    <row r="376" ht="15" customHeight="1" s="39">
      <c r="A376" s="38" t="n">
        <v>2021</v>
      </c>
      <c r="B376" s="42" t="inlineStr">
        <is>
          <t>430477</t>
        </is>
      </c>
      <c r="C376" s="38" t="inlineStr">
        <is>
          <t>Constantí</t>
        </is>
      </c>
      <c r="D376" s="38" t="inlineStr">
        <is>
          <t>Y068</t>
        </is>
      </c>
      <c r="E376" s="38" t="inlineStr">
        <is>
          <t>68 anys</t>
        </is>
      </c>
      <c r="F376" s="38" t="n">
        <v>68</v>
      </c>
      <c r="G376" s="38" t="n">
        <v>73</v>
      </c>
      <c r="I376" s="38" t="inlineStr">
        <is>
          <t>Total de tots els sexes; resposta JSON-stat de l'API d'Idescat</t>
        </is>
      </c>
    </row>
    <row r="377" ht="15" customHeight="1" s="39">
      <c r="A377" s="38" t="n">
        <v>2021</v>
      </c>
      <c r="B377" s="42" t="inlineStr">
        <is>
          <t>430477</t>
        </is>
      </c>
      <c r="C377" s="38" t="inlineStr">
        <is>
          <t>Constantí</t>
        </is>
      </c>
      <c r="D377" s="38" t="inlineStr">
        <is>
          <t>Y069</t>
        </is>
      </c>
      <c r="E377" s="38" t="inlineStr">
        <is>
          <t>69 anys</t>
        </is>
      </c>
      <c r="F377" s="38" t="n">
        <v>69</v>
      </c>
      <c r="G377" s="38" t="n">
        <v>59</v>
      </c>
      <c r="I377" s="38" t="inlineStr">
        <is>
          <t>Total de tots els sexes; resposta JSON-stat de l'API d'Idescat</t>
        </is>
      </c>
    </row>
    <row r="378" ht="15" customHeight="1" s="39">
      <c r="A378" s="38" t="n">
        <v>2021</v>
      </c>
      <c r="B378" s="42" t="inlineStr">
        <is>
          <t>430477</t>
        </is>
      </c>
      <c r="C378" s="38" t="inlineStr">
        <is>
          <t>Constantí</t>
        </is>
      </c>
      <c r="D378" s="38" t="inlineStr">
        <is>
          <t>Y070</t>
        </is>
      </c>
      <c r="E378" s="38" t="inlineStr">
        <is>
          <t>70 anys</t>
        </is>
      </c>
      <c r="F378" s="38" t="n">
        <v>70</v>
      </c>
      <c r="G378" s="38" t="n">
        <v>56</v>
      </c>
      <c r="I378" s="38" t="inlineStr">
        <is>
          <t>Total de tots els sexes; resposta JSON-stat de l'API d'Idescat</t>
        </is>
      </c>
    </row>
    <row r="379" ht="15" customHeight="1" s="39">
      <c r="A379" s="38" t="n">
        <v>2021</v>
      </c>
      <c r="B379" s="42" t="inlineStr">
        <is>
          <t>430477</t>
        </is>
      </c>
      <c r="C379" s="38" t="inlineStr">
        <is>
          <t>Constantí</t>
        </is>
      </c>
      <c r="D379" s="38" t="inlineStr">
        <is>
          <t>Y071</t>
        </is>
      </c>
      <c r="E379" s="38" t="inlineStr">
        <is>
          <t>71 anys</t>
        </is>
      </c>
      <c r="F379" s="38" t="n">
        <v>71</v>
      </c>
      <c r="G379" s="38" t="n">
        <v>46</v>
      </c>
      <c r="I379" s="38" t="inlineStr">
        <is>
          <t>Total de tots els sexes; resposta JSON-stat de l'API d'Idescat</t>
        </is>
      </c>
    </row>
    <row r="380" ht="15" customHeight="1" s="39">
      <c r="A380" s="38" t="n">
        <v>2021</v>
      </c>
      <c r="B380" s="42" t="inlineStr">
        <is>
          <t>430477</t>
        </is>
      </c>
      <c r="C380" s="38" t="inlineStr">
        <is>
          <t>Constantí</t>
        </is>
      </c>
      <c r="D380" s="38" t="inlineStr">
        <is>
          <t>Y072</t>
        </is>
      </c>
      <c r="E380" s="38" t="inlineStr">
        <is>
          <t>72 anys</t>
        </is>
      </c>
      <c r="F380" s="38" t="n">
        <v>72</v>
      </c>
      <c r="G380" s="38" t="n">
        <v>54</v>
      </c>
      <c r="I380" s="38" t="inlineStr">
        <is>
          <t>Total de tots els sexes; resposta JSON-stat de l'API d'Idescat</t>
        </is>
      </c>
    </row>
    <row r="381" ht="15" customHeight="1" s="39">
      <c r="A381" s="38" t="n">
        <v>2021</v>
      </c>
      <c r="B381" s="42" t="inlineStr">
        <is>
          <t>430477</t>
        </is>
      </c>
      <c r="C381" s="38" t="inlineStr">
        <is>
          <t>Constantí</t>
        </is>
      </c>
      <c r="D381" s="38" t="inlineStr">
        <is>
          <t>Y073</t>
        </is>
      </c>
      <c r="E381" s="38" t="inlineStr">
        <is>
          <t>73 anys</t>
        </is>
      </c>
      <c r="F381" s="38" t="n">
        <v>73</v>
      </c>
      <c r="G381" s="38" t="n">
        <v>53</v>
      </c>
      <c r="I381" s="38" t="inlineStr">
        <is>
          <t>Total de tots els sexes; resposta JSON-stat de l'API d'Idescat</t>
        </is>
      </c>
    </row>
    <row r="382" ht="15" customHeight="1" s="39">
      <c r="A382" s="38" t="n">
        <v>2021</v>
      </c>
      <c r="B382" s="42" t="inlineStr">
        <is>
          <t>430477</t>
        </is>
      </c>
      <c r="C382" s="38" t="inlineStr">
        <is>
          <t>Constantí</t>
        </is>
      </c>
      <c r="D382" s="38" t="inlineStr">
        <is>
          <t>Y074</t>
        </is>
      </c>
      <c r="E382" s="38" t="inlineStr">
        <is>
          <t>74 anys</t>
        </is>
      </c>
      <c r="F382" s="38" t="n">
        <v>74</v>
      </c>
      <c r="G382" s="38" t="n">
        <v>40</v>
      </c>
      <c r="I382" s="38" t="inlineStr">
        <is>
          <t>Total de tots els sexes; resposta JSON-stat de l'API d'Idescat</t>
        </is>
      </c>
    </row>
    <row r="383" ht="15" customHeight="1" s="39">
      <c r="A383" s="38" t="n">
        <v>2021</v>
      </c>
      <c r="B383" s="42" t="inlineStr">
        <is>
          <t>430477</t>
        </is>
      </c>
      <c r="C383" s="38" t="inlineStr">
        <is>
          <t>Constantí</t>
        </is>
      </c>
      <c r="D383" s="38" t="inlineStr">
        <is>
          <t>Y075</t>
        </is>
      </c>
      <c r="E383" s="38" t="inlineStr">
        <is>
          <t>75 anys</t>
        </is>
      </c>
      <c r="F383" s="38" t="n">
        <v>75</v>
      </c>
      <c r="G383" s="38" t="n">
        <v>37</v>
      </c>
      <c r="I383" s="38" t="inlineStr">
        <is>
          <t>Total de tots els sexes; resposta JSON-stat de l'API d'Idescat</t>
        </is>
      </c>
    </row>
    <row r="384" ht="15" customHeight="1" s="39">
      <c r="A384" s="38" t="n">
        <v>2021</v>
      </c>
      <c r="B384" s="42" t="inlineStr">
        <is>
          <t>430477</t>
        </is>
      </c>
      <c r="C384" s="38" t="inlineStr">
        <is>
          <t>Constantí</t>
        </is>
      </c>
      <c r="D384" s="38" t="inlineStr">
        <is>
          <t>Y076</t>
        </is>
      </c>
      <c r="E384" s="38" t="inlineStr">
        <is>
          <t>76 anys</t>
        </is>
      </c>
      <c r="F384" s="38" t="n">
        <v>76</v>
      </c>
      <c r="G384" s="38" t="n">
        <v>38</v>
      </c>
      <c r="I384" s="38" t="inlineStr">
        <is>
          <t>Total de tots els sexes; resposta JSON-stat de l'API d'Idescat</t>
        </is>
      </c>
    </row>
    <row r="385" ht="15" customHeight="1" s="39">
      <c r="A385" s="38" t="n">
        <v>2021</v>
      </c>
      <c r="B385" s="42" t="inlineStr">
        <is>
          <t>430477</t>
        </is>
      </c>
      <c r="C385" s="38" t="inlineStr">
        <is>
          <t>Constantí</t>
        </is>
      </c>
      <c r="D385" s="38" t="inlineStr">
        <is>
          <t>Y077</t>
        </is>
      </c>
      <c r="E385" s="38" t="inlineStr">
        <is>
          <t>77 anys</t>
        </is>
      </c>
      <c r="F385" s="38" t="n">
        <v>77</v>
      </c>
      <c r="G385" s="38" t="n">
        <v>32</v>
      </c>
      <c r="I385" s="38" t="inlineStr">
        <is>
          <t>Total de tots els sexes; resposta JSON-stat de l'API d'Idescat</t>
        </is>
      </c>
    </row>
    <row r="386" ht="15" customHeight="1" s="39">
      <c r="A386" s="38" t="n">
        <v>2021</v>
      </c>
      <c r="B386" s="42" t="inlineStr">
        <is>
          <t>430477</t>
        </is>
      </c>
      <c r="C386" s="38" t="inlineStr">
        <is>
          <t>Constantí</t>
        </is>
      </c>
      <c r="D386" s="38" t="inlineStr">
        <is>
          <t>Y078</t>
        </is>
      </c>
      <c r="E386" s="38" t="inlineStr">
        <is>
          <t>78 anys</t>
        </is>
      </c>
      <c r="F386" s="38" t="n">
        <v>78</v>
      </c>
      <c r="G386" s="38" t="n">
        <v>33</v>
      </c>
      <c r="I386" s="38" t="inlineStr">
        <is>
          <t>Total de tots els sexes; resposta JSON-stat de l'API d'Idescat</t>
        </is>
      </c>
    </row>
    <row r="387" ht="15" customHeight="1" s="39">
      <c r="A387" s="38" t="n">
        <v>2021</v>
      </c>
      <c r="B387" s="42" t="inlineStr">
        <is>
          <t>430477</t>
        </is>
      </c>
      <c r="C387" s="38" t="inlineStr">
        <is>
          <t>Constantí</t>
        </is>
      </c>
      <c r="D387" s="38" t="inlineStr">
        <is>
          <t>Y079</t>
        </is>
      </c>
      <c r="E387" s="38" t="inlineStr">
        <is>
          <t>79 anys</t>
        </is>
      </c>
      <c r="F387" s="38" t="n">
        <v>79</v>
      </c>
      <c r="G387" s="38" t="n">
        <v>34</v>
      </c>
      <c r="I387" s="38" t="inlineStr">
        <is>
          <t>Total de tots els sexes; resposta JSON-stat de l'API d'Idescat</t>
        </is>
      </c>
    </row>
    <row r="388" ht="15" customHeight="1" s="39">
      <c r="A388" s="38" t="n">
        <v>2021</v>
      </c>
      <c r="B388" s="42" t="inlineStr">
        <is>
          <t>430477</t>
        </is>
      </c>
      <c r="C388" s="38" t="inlineStr">
        <is>
          <t>Constantí</t>
        </is>
      </c>
      <c r="D388" s="38" t="inlineStr">
        <is>
          <t>Y080</t>
        </is>
      </c>
      <c r="E388" s="38" t="inlineStr">
        <is>
          <t>80 anys</t>
        </is>
      </c>
      <c r="F388" s="38" t="n">
        <v>80</v>
      </c>
      <c r="G388" s="38" t="n">
        <v>27</v>
      </c>
      <c r="I388" s="38" t="inlineStr">
        <is>
          <t>Total de tots els sexes; resposta JSON-stat de l'API d'Idescat</t>
        </is>
      </c>
    </row>
    <row r="389" ht="15" customHeight="1" s="39">
      <c r="A389" s="38" t="n">
        <v>2021</v>
      </c>
      <c r="B389" s="42" t="inlineStr">
        <is>
          <t>430477</t>
        </is>
      </c>
      <c r="C389" s="38" t="inlineStr">
        <is>
          <t>Constantí</t>
        </is>
      </c>
      <c r="D389" s="38" t="inlineStr">
        <is>
          <t>Y081</t>
        </is>
      </c>
      <c r="E389" s="38" t="inlineStr">
        <is>
          <t>81 anys</t>
        </is>
      </c>
      <c r="F389" s="38" t="n">
        <v>81</v>
      </c>
      <c r="G389" s="38" t="n">
        <v>29</v>
      </c>
      <c r="I389" s="38" t="inlineStr">
        <is>
          <t>Total de tots els sexes; resposta JSON-stat de l'API d'Idescat</t>
        </is>
      </c>
    </row>
    <row r="390" ht="15" customHeight="1" s="39">
      <c r="A390" s="38" t="n">
        <v>2021</v>
      </c>
      <c r="B390" s="42" t="inlineStr">
        <is>
          <t>430477</t>
        </is>
      </c>
      <c r="C390" s="38" t="inlineStr">
        <is>
          <t>Constantí</t>
        </is>
      </c>
      <c r="D390" s="38" t="inlineStr">
        <is>
          <t>Y082</t>
        </is>
      </c>
      <c r="E390" s="38" t="inlineStr">
        <is>
          <t>82 anys</t>
        </is>
      </c>
      <c r="F390" s="38" t="n">
        <v>82</v>
      </c>
      <c r="G390" s="38" t="n">
        <v>19</v>
      </c>
      <c r="I390" s="38" t="inlineStr">
        <is>
          <t>Total de tots els sexes; resposta JSON-stat de l'API d'Idescat</t>
        </is>
      </c>
    </row>
    <row r="391" ht="15" customHeight="1" s="39">
      <c r="A391" s="38" t="n">
        <v>2021</v>
      </c>
      <c r="B391" s="42" t="inlineStr">
        <is>
          <t>430477</t>
        </is>
      </c>
      <c r="C391" s="38" t="inlineStr">
        <is>
          <t>Constantí</t>
        </is>
      </c>
      <c r="D391" s="38" t="inlineStr">
        <is>
          <t>Y083</t>
        </is>
      </c>
      <c r="E391" s="38" t="inlineStr">
        <is>
          <t>83 anys</t>
        </is>
      </c>
      <c r="F391" s="38" t="n">
        <v>83</v>
      </c>
      <c r="G391" s="38" t="n">
        <v>30</v>
      </c>
      <c r="I391" s="38" t="inlineStr">
        <is>
          <t>Total de tots els sexes; resposta JSON-stat de l'API d'Idescat</t>
        </is>
      </c>
    </row>
    <row r="392" ht="15" customHeight="1" s="39">
      <c r="A392" s="38" t="n">
        <v>2021</v>
      </c>
      <c r="B392" s="42" t="inlineStr">
        <is>
          <t>430477</t>
        </is>
      </c>
      <c r="C392" s="38" t="inlineStr">
        <is>
          <t>Constantí</t>
        </is>
      </c>
      <c r="D392" s="38" t="inlineStr">
        <is>
          <t>Y084</t>
        </is>
      </c>
      <c r="E392" s="38" t="inlineStr">
        <is>
          <t>84 anys</t>
        </is>
      </c>
      <c r="F392" s="38" t="n">
        <v>84</v>
      </c>
      <c r="G392" s="38" t="n">
        <v>29</v>
      </c>
      <c r="I392" s="38" t="inlineStr">
        <is>
          <t>Total de tots els sexes; resposta JSON-stat de l'API d'Idescat</t>
        </is>
      </c>
    </row>
    <row r="393" ht="15" customHeight="1" s="39">
      <c r="A393" s="38" t="n">
        <v>2021</v>
      </c>
      <c r="B393" s="42" t="inlineStr">
        <is>
          <t>430477</t>
        </is>
      </c>
      <c r="C393" s="38" t="inlineStr">
        <is>
          <t>Constantí</t>
        </is>
      </c>
      <c r="D393" s="38" t="inlineStr">
        <is>
          <t>Y085</t>
        </is>
      </c>
      <c r="E393" s="38" t="inlineStr">
        <is>
          <t>85 anys</t>
        </is>
      </c>
      <c r="F393" s="38" t="n">
        <v>85</v>
      </c>
      <c r="G393" s="38" t="n">
        <v>20</v>
      </c>
      <c r="I393" s="38" t="inlineStr">
        <is>
          <t>Total de tots els sexes; resposta JSON-stat de l'API d'Idescat</t>
        </is>
      </c>
    </row>
    <row r="394" ht="15" customHeight="1" s="39">
      <c r="A394" s="38" t="n">
        <v>2021</v>
      </c>
      <c r="B394" s="42" t="inlineStr">
        <is>
          <t>430477</t>
        </is>
      </c>
      <c r="C394" s="38" t="inlineStr">
        <is>
          <t>Constantí</t>
        </is>
      </c>
      <c r="D394" s="38" t="inlineStr">
        <is>
          <t>Y086</t>
        </is>
      </c>
      <c r="E394" s="38" t="inlineStr">
        <is>
          <t>86 anys</t>
        </is>
      </c>
      <c r="F394" s="38" t="n">
        <v>86</v>
      </c>
      <c r="G394" s="38" t="n">
        <v>18</v>
      </c>
      <c r="I394" s="38" t="inlineStr">
        <is>
          <t>Total de tots els sexes; resposta JSON-stat de l'API d'Idescat</t>
        </is>
      </c>
    </row>
    <row r="395" ht="15" customHeight="1" s="39">
      <c r="A395" s="38" t="n">
        <v>2021</v>
      </c>
      <c r="B395" s="42" t="inlineStr">
        <is>
          <t>430477</t>
        </is>
      </c>
      <c r="C395" s="38" t="inlineStr">
        <is>
          <t>Constantí</t>
        </is>
      </c>
      <c r="D395" s="38" t="inlineStr">
        <is>
          <t>Y087</t>
        </is>
      </c>
      <c r="E395" s="38" t="inlineStr">
        <is>
          <t>87 anys</t>
        </is>
      </c>
      <c r="F395" s="38" t="n">
        <v>87</v>
      </c>
      <c r="G395" s="38" t="n">
        <v>17</v>
      </c>
      <c r="I395" s="38" t="inlineStr">
        <is>
          <t>Total de tots els sexes; resposta JSON-stat de l'API d'Idescat</t>
        </is>
      </c>
    </row>
    <row r="396" ht="15" customHeight="1" s="39">
      <c r="A396" s="38" t="n">
        <v>2021</v>
      </c>
      <c r="B396" s="42" t="inlineStr">
        <is>
          <t>430477</t>
        </is>
      </c>
      <c r="C396" s="38" t="inlineStr">
        <is>
          <t>Constantí</t>
        </is>
      </c>
      <c r="D396" s="38" t="inlineStr">
        <is>
          <t>Y088</t>
        </is>
      </c>
      <c r="E396" s="38" t="inlineStr">
        <is>
          <t>88 anys</t>
        </is>
      </c>
      <c r="F396" s="38" t="n">
        <v>88</v>
      </c>
      <c r="G396" s="38" t="n">
        <v>13</v>
      </c>
      <c r="I396" s="38" t="inlineStr">
        <is>
          <t>Total de tots els sexes; resposta JSON-stat de l'API d'Idescat</t>
        </is>
      </c>
    </row>
    <row r="397" ht="15" customHeight="1" s="39">
      <c r="A397" s="38" t="n">
        <v>2021</v>
      </c>
      <c r="B397" s="42" t="inlineStr">
        <is>
          <t>430477</t>
        </is>
      </c>
      <c r="C397" s="38" t="inlineStr">
        <is>
          <t>Constantí</t>
        </is>
      </c>
      <c r="D397" s="38" t="inlineStr">
        <is>
          <t>Y089</t>
        </is>
      </c>
      <c r="E397" s="38" t="inlineStr">
        <is>
          <t>89 anys</t>
        </is>
      </c>
      <c r="F397" s="38" t="n">
        <v>89</v>
      </c>
      <c r="G397" s="38" t="n">
        <v>11</v>
      </c>
      <c r="I397" s="38" t="inlineStr">
        <is>
          <t>Total de tots els sexes; resposta JSON-stat de l'API d'Idescat</t>
        </is>
      </c>
    </row>
    <row r="398" ht="15" customHeight="1" s="39">
      <c r="A398" s="38" t="n">
        <v>2021</v>
      </c>
      <c r="B398" s="42" t="inlineStr">
        <is>
          <t>430477</t>
        </is>
      </c>
      <c r="C398" s="38" t="inlineStr">
        <is>
          <t>Constantí</t>
        </is>
      </c>
      <c r="D398" s="38" t="inlineStr">
        <is>
          <t>Y090</t>
        </is>
      </c>
      <c r="E398" s="38" t="inlineStr">
        <is>
          <t>90 anys</t>
        </is>
      </c>
      <c r="F398" s="38" t="n">
        <v>90</v>
      </c>
      <c r="G398" s="38" t="n">
        <v>13</v>
      </c>
      <c r="I398" s="38" t="inlineStr">
        <is>
          <t>Total de tots els sexes; resposta JSON-stat de l'API d'Idescat</t>
        </is>
      </c>
    </row>
    <row r="399" ht="15" customHeight="1" s="39">
      <c r="A399" s="38" t="n">
        <v>2021</v>
      </c>
      <c r="B399" s="42" t="inlineStr">
        <is>
          <t>430477</t>
        </is>
      </c>
      <c r="C399" s="38" t="inlineStr">
        <is>
          <t>Constantí</t>
        </is>
      </c>
      <c r="D399" s="38" t="inlineStr">
        <is>
          <t>Y091</t>
        </is>
      </c>
      <c r="E399" s="38" t="inlineStr">
        <is>
          <t>91 anys</t>
        </is>
      </c>
      <c r="F399" s="38" t="n">
        <v>91</v>
      </c>
      <c r="G399" s="38" t="n">
        <v>8</v>
      </c>
      <c r="I399" s="38" t="inlineStr">
        <is>
          <t>Total de tots els sexes; resposta JSON-stat de l'API d'Idescat</t>
        </is>
      </c>
    </row>
    <row r="400" ht="15" customHeight="1" s="39">
      <c r="A400" s="38" t="n">
        <v>2021</v>
      </c>
      <c r="B400" s="42" t="inlineStr">
        <is>
          <t>430477</t>
        </is>
      </c>
      <c r="C400" s="38" t="inlineStr">
        <is>
          <t>Constantí</t>
        </is>
      </c>
      <c r="D400" s="38" t="inlineStr">
        <is>
          <t>Y092</t>
        </is>
      </c>
      <c r="E400" s="38" t="inlineStr">
        <is>
          <t>92 anys</t>
        </is>
      </c>
      <c r="F400" s="38" t="n">
        <v>92</v>
      </c>
      <c r="G400" s="38" t="n">
        <v>6</v>
      </c>
      <c r="I400" s="38" t="inlineStr">
        <is>
          <t>Total de tots els sexes; resposta JSON-stat de l'API d'Idescat</t>
        </is>
      </c>
    </row>
    <row r="401" ht="15" customHeight="1" s="39">
      <c r="A401" s="38" t="n">
        <v>2021</v>
      </c>
      <c r="B401" s="42" t="inlineStr">
        <is>
          <t>430477</t>
        </is>
      </c>
      <c r="C401" s="38" t="inlineStr">
        <is>
          <t>Constantí</t>
        </is>
      </c>
      <c r="D401" s="38" t="inlineStr">
        <is>
          <t>Y093</t>
        </is>
      </c>
      <c r="E401" s="38" t="inlineStr">
        <is>
          <t>93 anys</t>
        </is>
      </c>
      <c r="F401" s="38" t="n">
        <v>93</v>
      </c>
      <c r="G401" s="38" t="n">
        <v>8</v>
      </c>
      <c r="I401" s="38" t="inlineStr">
        <is>
          <t>Total de tots els sexes; resposta JSON-stat de l'API d'Idescat</t>
        </is>
      </c>
    </row>
    <row r="402" ht="15" customHeight="1" s="39">
      <c r="A402" s="38" t="n">
        <v>2021</v>
      </c>
      <c r="B402" s="42" t="inlineStr">
        <is>
          <t>430477</t>
        </is>
      </c>
      <c r="C402" s="38" t="inlineStr">
        <is>
          <t>Constantí</t>
        </is>
      </c>
      <c r="D402" s="38" t="inlineStr">
        <is>
          <t>Y094</t>
        </is>
      </c>
      <c r="E402" s="38" t="inlineStr">
        <is>
          <t>94 anys</t>
        </is>
      </c>
      <c r="F402" s="38" t="n">
        <v>94</v>
      </c>
      <c r="G402" s="38" t="n">
        <v>3</v>
      </c>
      <c r="I402" s="38" t="inlineStr">
        <is>
          <t>Total de tots els sexes; resposta JSON-stat de l'API d'Idescat</t>
        </is>
      </c>
    </row>
    <row r="403" ht="15" customHeight="1" s="39">
      <c r="A403" s="38" t="n">
        <v>2021</v>
      </c>
      <c r="B403" s="42" t="inlineStr">
        <is>
          <t>430477</t>
        </is>
      </c>
      <c r="C403" s="38" t="inlineStr">
        <is>
          <t>Constantí</t>
        </is>
      </c>
      <c r="D403" s="38" t="inlineStr">
        <is>
          <t>Y095</t>
        </is>
      </c>
      <c r="E403" s="38" t="inlineStr">
        <is>
          <t>95 anys</t>
        </is>
      </c>
      <c r="F403" s="38" t="n">
        <v>95</v>
      </c>
      <c r="G403" s="38" t="n">
        <v>0</v>
      </c>
      <c r="I403" s="38" t="inlineStr">
        <is>
          <t>Total de tots els sexes; resposta JSON-stat de l'API d'Idescat</t>
        </is>
      </c>
    </row>
    <row r="404" ht="15" customHeight="1" s="39">
      <c r="A404" s="38" t="n">
        <v>2021</v>
      </c>
      <c r="B404" s="42" t="inlineStr">
        <is>
          <t>430477</t>
        </is>
      </c>
      <c r="C404" s="38" t="inlineStr">
        <is>
          <t>Constantí</t>
        </is>
      </c>
      <c r="D404" s="38" t="inlineStr">
        <is>
          <t>Y096</t>
        </is>
      </c>
      <c r="E404" s="38" t="inlineStr">
        <is>
          <t>96 anys</t>
        </is>
      </c>
      <c r="F404" s="38" t="n">
        <v>96</v>
      </c>
      <c r="G404" s="38" t="n">
        <v>3</v>
      </c>
      <c r="I404" s="38" t="inlineStr">
        <is>
          <t>Total de tots els sexes; resposta JSON-stat de l'API d'Idescat</t>
        </is>
      </c>
    </row>
    <row r="405" ht="15" customHeight="1" s="39">
      <c r="A405" s="38" t="n">
        <v>2021</v>
      </c>
      <c r="B405" s="42" t="inlineStr">
        <is>
          <t>430477</t>
        </is>
      </c>
      <c r="C405" s="38" t="inlineStr">
        <is>
          <t>Constantí</t>
        </is>
      </c>
      <c r="D405" s="38" t="inlineStr">
        <is>
          <t>Y097</t>
        </is>
      </c>
      <c r="E405" s="38" t="inlineStr">
        <is>
          <t>97 anys</t>
        </is>
      </c>
      <c r="F405" s="38" t="n">
        <v>97</v>
      </c>
      <c r="G405" s="38" t="n">
        <v>0</v>
      </c>
      <c r="I405" s="38" t="inlineStr">
        <is>
          <t>Total de tots els sexes; resposta JSON-stat de l'API d'Idescat</t>
        </is>
      </c>
    </row>
    <row r="406" ht="15" customHeight="1" s="39">
      <c r="A406" s="38" t="n">
        <v>2021</v>
      </c>
      <c r="B406" s="42" t="inlineStr">
        <is>
          <t>430477</t>
        </is>
      </c>
      <c r="C406" s="38" t="inlineStr">
        <is>
          <t>Constantí</t>
        </is>
      </c>
      <c r="D406" s="38" t="inlineStr">
        <is>
          <t>Y098</t>
        </is>
      </c>
      <c r="E406" s="38" t="inlineStr">
        <is>
          <t>98 anys</t>
        </is>
      </c>
      <c r="F406" s="38" t="n">
        <v>98</v>
      </c>
      <c r="G406" s="38" t="n">
        <v>1</v>
      </c>
      <c r="I406" s="38" t="inlineStr">
        <is>
          <t>Total de tots els sexes; resposta JSON-stat de l'API d'Idescat</t>
        </is>
      </c>
    </row>
    <row r="407" ht="15" customHeight="1" s="39">
      <c r="A407" s="38" t="n">
        <v>2021</v>
      </c>
      <c r="B407" s="42" t="inlineStr">
        <is>
          <t>430477</t>
        </is>
      </c>
      <c r="C407" s="38" t="inlineStr">
        <is>
          <t>Constantí</t>
        </is>
      </c>
      <c r="D407" s="38" t="inlineStr">
        <is>
          <t>Y099</t>
        </is>
      </c>
      <c r="E407" s="38" t="inlineStr">
        <is>
          <t>99 anys</t>
        </is>
      </c>
      <c r="F407" s="38" t="n">
        <v>99</v>
      </c>
      <c r="G407" s="38" t="n">
        <v>2</v>
      </c>
      <c r="I407" s="38" t="inlineStr">
        <is>
          <t>Total de tots els sexes; resposta JSON-stat de l'API d'Idescat</t>
        </is>
      </c>
    </row>
    <row r="408" ht="15" customHeight="1" s="39">
      <c r="A408" s="38" t="n">
        <v>2021</v>
      </c>
      <c r="B408" s="42" t="inlineStr">
        <is>
          <t>430477</t>
        </is>
      </c>
      <c r="C408" s="38" t="inlineStr">
        <is>
          <t>Constantí</t>
        </is>
      </c>
      <c r="D408" s="38" t="inlineStr">
        <is>
          <t>Y_GE100</t>
        </is>
      </c>
      <c r="E408" s="38" t="inlineStr">
        <is>
          <t>100 anys o més</t>
        </is>
      </c>
      <c r="F408" s="38" t="n">
        <v>100</v>
      </c>
      <c r="G408" s="38" t="n">
        <v>0</v>
      </c>
      <c r="I408" s="38" t="inlineStr">
        <is>
          <t>Total de tots els sexes; resposta JSON-stat de l'API d'Idescat</t>
        </is>
      </c>
    </row>
    <row r="409" ht="15" customHeight="1" s="39">
      <c r="A409" s="38" t="n">
        <v>2021</v>
      </c>
      <c r="B409" s="42" t="inlineStr">
        <is>
          <t>430477</t>
        </is>
      </c>
      <c r="C409" s="38" t="inlineStr">
        <is>
          <t>Constantí</t>
        </is>
      </c>
      <c r="D409" s="38" t="inlineStr">
        <is>
          <t>TOTAL</t>
        </is>
      </c>
      <c r="E409" s="38" t="inlineStr">
        <is>
          <t>total</t>
        </is>
      </c>
      <c r="G409" s="38" t="n">
        <v>6761</v>
      </c>
      <c r="I409" s="38" t="inlineStr">
        <is>
          <t>Total de tots els sexes; resposta JSON-stat de l'API d'Idescat</t>
        </is>
      </c>
    </row>
    <row r="410" ht="15" customHeight="1" s="39">
      <c r="A410" s="38" t="n">
        <v>2021</v>
      </c>
      <c r="B410" s="42" t="inlineStr">
        <is>
          <t>430509</t>
        </is>
      </c>
      <c r="C410" s="38" t="inlineStr">
        <is>
          <t>Creixell</t>
        </is>
      </c>
      <c r="D410" s="38" t="inlineStr">
        <is>
          <t>Y000</t>
        </is>
      </c>
      <c r="E410" s="38" t="inlineStr">
        <is>
          <t>0 anys</t>
        </is>
      </c>
      <c r="F410" s="38" t="n">
        <v>0</v>
      </c>
      <c r="G410" s="38" t="n">
        <v>32</v>
      </c>
      <c r="I410" s="38" t="inlineStr">
        <is>
          <t>Total de tots els sexes; resposta JSON-stat de l'API d'Idescat</t>
        </is>
      </c>
    </row>
    <row r="411" ht="15" customHeight="1" s="39">
      <c r="A411" s="38" t="n">
        <v>2021</v>
      </c>
      <c r="B411" s="42" t="inlineStr">
        <is>
          <t>430509</t>
        </is>
      </c>
      <c r="C411" s="38" t="inlineStr">
        <is>
          <t>Creixell</t>
        </is>
      </c>
      <c r="D411" s="38" t="inlineStr">
        <is>
          <t>Y001</t>
        </is>
      </c>
      <c r="E411" s="38" t="inlineStr">
        <is>
          <t>1 any</t>
        </is>
      </c>
      <c r="F411" s="38" t="n">
        <v>1</v>
      </c>
      <c r="G411" s="38" t="n">
        <v>31</v>
      </c>
      <c r="I411" s="38" t="inlineStr">
        <is>
          <t>Total de tots els sexes; resposta JSON-stat de l'API d'Idescat</t>
        </is>
      </c>
    </row>
    <row r="412" ht="15" customHeight="1" s="39">
      <c r="A412" s="38" t="n">
        <v>2021</v>
      </c>
      <c r="B412" s="42" t="inlineStr">
        <is>
          <t>430509</t>
        </is>
      </c>
      <c r="C412" s="38" t="inlineStr">
        <is>
          <t>Creixell</t>
        </is>
      </c>
      <c r="D412" s="38" t="inlineStr">
        <is>
          <t>Y002</t>
        </is>
      </c>
      <c r="E412" s="38" t="inlineStr">
        <is>
          <t>2 anys</t>
        </is>
      </c>
      <c r="F412" s="38" t="n">
        <v>2</v>
      </c>
      <c r="G412" s="38" t="n">
        <v>41</v>
      </c>
      <c r="I412" s="38" t="inlineStr">
        <is>
          <t>Total de tots els sexes; resposta JSON-stat de l'API d'Idescat</t>
        </is>
      </c>
    </row>
    <row r="413" ht="15" customHeight="1" s="39">
      <c r="A413" s="38" t="n">
        <v>2021</v>
      </c>
      <c r="B413" s="42" t="inlineStr">
        <is>
          <t>430509</t>
        </is>
      </c>
      <c r="C413" s="38" t="inlineStr">
        <is>
          <t>Creixell</t>
        </is>
      </c>
      <c r="D413" s="38" t="inlineStr">
        <is>
          <t>Y003</t>
        </is>
      </c>
      <c r="E413" s="38" t="inlineStr">
        <is>
          <t>3 anys</t>
        </is>
      </c>
      <c r="F413" s="38" t="n">
        <v>3</v>
      </c>
      <c r="G413" s="38" t="n">
        <v>39</v>
      </c>
      <c r="I413" s="38" t="inlineStr">
        <is>
          <t>Total de tots els sexes; resposta JSON-stat de l'API d'Idescat</t>
        </is>
      </c>
    </row>
    <row r="414" ht="15" customHeight="1" s="39">
      <c r="A414" s="38" t="n">
        <v>2021</v>
      </c>
      <c r="B414" s="42" t="inlineStr">
        <is>
          <t>430509</t>
        </is>
      </c>
      <c r="C414" s="38" t="inlineStr">
        <is>
          <t>Creixell</t>
        </is>
      </c>
      <c r="D414" s="38" t="inlineStr">
        <is>
          <t>Y004</t>
        </is>
      </c>
      <c r="E414" s="38" t="inlineStr">
        <is>
          <t>4 anys</t>
        </is>
      </c>
      <c r="F414" s="38" t="n">
        <v>4</v>
      </c>
      <c r="G414" s="38" t="n">
        <v>40</v>
      </c>
      <c r="I414" s="38" t="inlineStr">
        <is>
          <t>Total de tots els sexes; resposta JSON-stat de l'API d'Idescat</t>
        </is>
      </c>
    </row>
    <row r="415" ht="15" customHeight="1" s="39">
      <c r="A415" s="38" t="n">
        <v>2021</v>
      </c>
      <c r="B415" s="42" t="inlineStr">
        <is>
          <t>430509</t>
        </is>
      </c>
      <c r="C415" s="38" t="inlineStr">
        <is>
          <t>Creixell</t>
        </is>
      </c>
      <c r="D415" s="38" t="inlineStr">
        <is>
          <t>Y005</t>
        </is>
      </c>
      <c r="E415" s="38" t="inlineStr">
        <is>
          <t>5 anys</t>
        </is>
      </c>
      <c r="F415" s="38" t="n">
        <v>5</v>
      </c>
      <c r="G415" s="38" t="n">
        <v>39</v>
      </c>
      <c r="I415" s="38" t="inlineStr">
        <is>
          <t>Total de tots els sexes; resposta JSON-stat de l'API d'Idescat</t>
        </is>
      </c>
    </row>
    <row r="416" ht="15" customHeight="1" s="39">
      <c r="A416" s="38" t="n">
        <v>2021</v>
      </c>
      <c r="B416" s="42" t="inlineStr">
        <is>
          <t>430509</t>
        </is>
      </c>
      <c r="C416" s="38" t="inlineStr">
        <is>
          <t>Creixell</t>
        </is>
      </c>
      <c r="D416" s="38" t="inlineStr">
        <is>
          <t>Y006</t>
        </is>
      </c>
      <c r="E416" s="38" t="inlineStr">
        <is>
          <t>6 anys</t>
        </is>
      </c>
      <c r="F416" s="38" t="n">
        <v>6</v>
      </c>
      <c r="G416" s="38" t="n">
        <v>32</v>
      </c>
      <c r="I416" s="38" t="inlineStr">
        <is>
          <t>Total de tots els sexes; resposta JSON-stat de l'API d'Idescat</t>
        </is>
      </c>
    </row>
    <row r="417" ht="15" customHeight="1" s="39">
      <c r="A417" s="38" t="n">
        <v>2021</v>
      </c>
      <c r="B417" s="42" t="inlineStr">
        <is>
          <t>430509</t>
        </is>
      </c>
      <c r="C417" s="38" t="inlineStr">
        <is>
          <t>Creixell</t>
        </is>
      </c>
      <c r="D417" s="38" t="inlineStr">
        <is>
          <t>Y007</t>
        </is>
      </c>
      <c r="E417" s="38" t="inlineStr">
        <is>
          <t>7 anys</t>
        </is>
      </c>
      <c r="F417" s="38" t="n">
        <v>7</v>
      </c>
      <c r="G417" s="38" t="n">
        <v>39</v>
      </c>
      <c r="I417" s="38" t="inlineStr">
        <is>
          <t>Total de tots els sexes; resposta JSON-stat de l'API d'Idescat</t>
        </is>
      </c>
    </row>
    <row r="418" ht="15" customHeight="1" s="39">
      <c r="A418" s="38" t="n">
        <v>2021</v>
      </c>
      <c r="B418" s="42" t="inlineStr">
        <is>
          <t>430509</t>
        </is>
      </c>
      <c r="C418" s="38" t="inlineStr">
        <is>
          <t>Creixell</t>
        </is>
      </c>
      <c r="D418" s="38" t="inlineStr">
        <is>
          <t>Y008</t>
        </is>
      </c>
      <c r="E418" s="38" t="inlineStr">
        <is>
          <t>8 anys</t>
        </is>
      </c>
      <c r="F418" s="38" t="n">
        <v>8</v>
      </c>
      <c r="G418" s="38" t="n">
        <v>42</v>
      </c>
      <c r="I418" s="38" t="inlineStr">
        <is>
          <t>Total de tots els sexes; resposta JSON-stat de l'API d'Idescat</t>
        </is>
      </c>
    </row>
    <row r="419" ht="15" customHeight="1" s="39">
      <c r="A419" s="38" t="n">
        <v>2021</v>
      </c>
      <c r="B419" s="42" t="inlineStr">
        <is>
          <t>430509</t>
        </is>
      </c>
      <c r="C419" s="38" t="inlineStr">
        <is>
          <t>Creixell</t>
        </is>
      </c>
      <c r="D419" s="38" t="inlineStr">
        <is>
          <t>Y009</t>
        </is>
      </c>
      <c r="E419" s="38" t="inlineStr">
        <is>
          <t>9 anys</t>
        </is>
      </c>
      <c r="F419" s="38" t="n">
        <v>9</v>
      </c>
      <c r="G419" s="38" t="n">
        <v>32</v>
      </c>
      <c r="I419" s="38" t="inlineStr">
        <is>
          <t>Total de tots els sexes; resposta JSON-stat de l'API d'Idescat</t>
        </is>
      </c>
    </row>
    <row r="420" ht="15" customHeight="1" s="39">
      <c r="A420" s="38" t="n">
        <v>2021</v>
      </c>
      <c r="B420" s="42" t="inlineStr">
        <is>
          <t>430509</t>
        </is>
      </c>
      <c r="C420" s="38" t="inlineStr">
        <is>
          <t>Creixell</t>
        </is>
      </c>
      <c r="D420" s="38" t="inlineStr">
        <is>
          <t>Y010</t>
        </is>
      </c>
      <c r="E420" s="38" t="inlineStr">
        <is>
          <t>10 anys</t>
        </is>
      </c>
      <c r="F420" s="38" t="n">
        <v>10</v>
      </c>
      <c r="G420" s="38" t="n">
        <v>36</v>
      </c>
      <c r="I420" s="38" t="inlineStr">
        <is>
          <t>Total de tots els sexes; resposta JSON-stat de l'API d'Idescat</t>
        </is>
      </c>
    </row>
    <row r="421" ht="15" customHeight="1" s="39">
      <c r="A421" s="38" t="n">
        <v>2021</v>
      </c>
      <c r="B421" s="42" t="inlineStr">
        <is>
          <t>430509</t>
        </is>
      </c>
      <c r="C421" s="38" t="inlineStr">
        <is>
          <t>Creixell</t>
        </is>
      </c>
      <c r="D421" s="38" t="inlineStr">
        <is>
          <t>Y011</t>
        </is>
      </c>
      <c r="E421" s="38" t="inlineStr">
        <is>
          <t>11 anys</t>
        </is>
      </c>
      <c r="F421" s="38" t="n">
        <v>11</v>
      </c>
      <c r="G421" s="38" t="n">
        <v>46</v>
      </c>
      <c r="I421" s="38" t="inlineStr">
        <is>
          <t>Total de tots els sexes; resposta JSON-stat de l'API d'Idescat</t>
        </is>
      </c>
    </row>
    <row r="422" ht="15" customHeight="1" s="39">
      <c r="A422" s="38" t="n">
        <v>2021</v>
      </c>
      <c r="B422" s="42" t="inlineStr">
        <is>
          <t>430509</t>
        </is>
      </c>
      <c r="C422" s="38" t="inlineStr">
        <is>
          <t>Creixell</t>
        </is>
      </c>
      <c r="D422" s="38" t="inlineStr">
        <is>
          <t>Y012</t>
        </is>
      </c>
      <c r="E422" s="38" t="inlineStr">
        <is>
          <t>12 anys</t>
        </is>
      </c>
      <c r="F422" s="38" t="n">
        <v>12</v>
      </c>
      <c r="G422" s="38" t="n">
        <v>48</v>
      </c>
      <c r="I422" s="38" t="inlineStr">
        <is>
          <t>Total de tots els sexes; resposta JSON-stat de l'API d'Idescat</t>
        </is>
      </c>
    </row>
    <row r="423" ht="15" customHeight="1" s="39">
      <c r="A423" s="38" t="n">
        <v>2021</v>
      </c>
      <c r="B423" s="42" t="inlineStr">
        <is>
          <t>430509</t>
        </is>
      </c>
      <c r="C423" s="38" t="inlineStr">
        <is>
          <t>Creixell</t>
        </is>
      </c>
      <c r="D423" s="38" t="inlineStr">
        <is>
          <t>Y013</t>
        </is>
      </c>
      <c r="E423" s="38" t="inlineStr">
        <is>
          <t>13 anys</t>
        </is>
      </c>
      <c r="F423" s="38" t="n">
        <v>13</v>
      </c>
      <c r="G423" s="38" t="n">
        <v>24</v>
      </c>
      <c r="I423" s="38" t="inlineStr">
        <is>
          <t>Total de tots els sexes; resposta JSON-stat de l'API d'Idescat</t>
        </is>
      </c>
    </row>
    <row r="424" ht="15" customHeight="1" s="39">
      <c r="A424" s="38" t="n">
        <v>2021</v>
      </c>
      <c r="B424" s="42" t="inlineStr">
        <is>
          <t>430509</t>
        </is>
      </c>
      <c r="C424" s="38" t="inlineStr">
        <is>
          <t>Creixell</t>
        </is>
      </c>
      <c r="D424" s="38" t="inlineStr">
        <is>
          <t>Y014</t>
        </is>
      </c>
      <c r="E424" s="38" t="inlineStr">
        <is>
          <t>14 anys</t>
        </is>
      </c>
      <c r="F424" s="38" t="n">
        <v>14</v>
      </c>
      <c r="G424" s="38" t="n">
        <v>43</v>
      </c>
      <c r="I424" s="38" t="inlineStr">
        <is>
          <t>Total de tots els sexes; resposta JSON-stat de l'API d'Idescat</t>
        </is>
      </c>
    </row>
    <row r="425" ht="15" customHeight="1" s="39">
      <c r="A425" s="38" t="n">
        <v>2021</v>
      </c>
      <c r="B425" s="42" t="inlineStr">
        <is>
          <t>430509</t>
        </is>
      </c>
      <c r="C425" s="38" t="inlineStr">
        <is>
          <t>Creixell</t>
        </is>
      </c>
      <c r="D425" s="38" t="inlineStr">
        <is>
          <t>Y015</t>
        </is>
      </c>
      <c r="E425" s="38" t="inlineStr">
        <is>
          <t>15 anys</t>
        </is>
      </c>
      <c r="F425" s="38" t="n">
        <v>15</v>
      </c>
      <c r="G425" s="38" t="n">
        <v>32</v>
      </c>
      <c r="I425" s="38" t="inlineStr">
        <is>
          <t>Total de tots els sexes; resposta JSON-stat de l'API d'Idescat</t>
        </is>
      </c>
    </row>
    <row r="426" ht="15" customHeight="1" s="39">
      <c r="A426" s="38" t="n">
        <v>2021</v>
      </c>
      <c r="B426" s="42" t="inlineStr">
        <is>
          <t>430509</t>
        </is>
      </c>
      <c r="C426" s="38" t="inlineStr">
        <is>
          <t>Creixell</t>
        </is>
      </c>
      <c r="D426" s="38" t="inlineStr">
        <is>
          <t>Y016</t>
        </is>
      </c>
      <c r="E426" s="38" t="inlineStr">
        <is>
          <t>16 anys</t>
        </is>
      </c>
      <c r="F426" s="38" t="n">
        <v>16</v>
      </c>
      <c r="G426" s="38" t="n">
        <v>31</v>
      </c>
      <c r="I426" s="38" t="inlineStr">
        <is>
          <t>Total de tots els sexes; resposta JSON-stat de l'API d'Idescat</t>
        </is>
      </c>
    </row>
    <row r="427" ht="15" customHeight="1" s="39">
      <c r="A427" s="38" t="n">
        <v>2021</v>
      </c>
      <c r="B427" s="42" t="inlineStr">
        <is>
          <t>430509</t>
        </is>
      </c>
      <c r="C427" s="38" t="inlineStr">
        <is>
          <t>Creixell</t>
        </is>
      </c>
      <c r="D427" s="38" t="inlineStr">
        <is>
          <t>Y017</t>
        </is>
      </c>
      <c r="E427" s="38" t="inlineStr">
        <is>
          <t>17 anys</t>
        </is>
      </c>
      <c r="F427" s="38" t="n">
        <v>17</v>
      </c>
      <c r="G427" s="38" t="n">
        <v>39</v>
      </c>
      <c r="I427" s="38" t="inlineStr">
        <is>
          <t>Total de tots els sexes; resposta JSON-stat de l'API d'Idescat</t>
        </is>
      </c>
    </row>
    <row r="428" ht="15" customHeight="1" s="39">
      <c r="A428" s="38" t="n">
        <v>2021</v>
      </c>
      <c r="B428" s="42" t="inlineStr">
        <is>
          <t>430509</t>
        </is>
      </c>
      <c r="C428" s="38" t="inlineStr">
        <is>
          <t>Creixell</t>
        </is>
      </c>
      <c r="D428" s="38" t="inlineStr">
        <is>
          <t>Y018</t>
        </is>
      </c>
      <c r="E428" s="38" t="inlineStr">
        <is>
          <t>18 anys</t>
        </is>
      </c>
      <c r="F428" s="38" t="n">
        <v>18</v>
      </c>
      <c r="G428" s="38" t="n">
        <v>28</v>
      </c>
      <c r="I428" s="38" t="inlineStr">
        <is>
          <t>Total de tots els sexes; resposta JSON-stat de l'API d'Idescat</t>
        </is>
      </c>
    </row>
    <row r="429" ht="15" customHeight="1" s="39">
      <c r="A429" s="38" t="n">
        <v>2021</v>
      </c>
      <c r="B429" s="42" t="inlineStr">
        <is>
          <t>430509</t>
        </is>
      </c>
      <c r="C429" s="38" t="inlineStr">
        <is>
          <t>Creixell</t>
        </is>
      </c>
      <c r="D429" s="38" t="inlineStr">
        <is>
          <t>Y019</t>
        </is>
      </c>
      <c r="E429" s="38" t="inlineStr">
        <is>
          <t>19 anys</t>
        </is>
      </c>
      <c r="F429" s="38" t="n">
        <v>19</v>
      </c>
      <c r="G429" s="38" t="n">
        <v>32</v>
      </c>
      <c r="I429" s="38" t="inlineStr">
        <is>
          <t>Total de tots els sexes; resposta JSON-stat de l'API d'Idescat</t>
        </is>
      </c>
    </row>
    <row r="430" ht="15" customHeight="1" s="39">
      <c r="A430" s="38" t="n">
        <v>2021</v>
      </c>
      <c r="B430" s="42" t="inlineStr">
        <is>
          <t>430509</t>
        </is>
      </c>
      <c r="C430" s="38" t="inlineStr">
        <is>
          <t>Creixell</t>
        </is>
      </c>
      <c r="D430" s="38" t="inlineStr">
        <is>
          <t>Y020</t>
        </is>
      </c>
      <c r="E430" s="38" t="inlineStr">
        <is>
          <t>20 anys</t>
        </is>
      </c>
      <c r="F430" s="38" t="n">
        <v>20</v>
      </c>
      <c r="G430" s="38" t="n">
        <v>41</v>
      </c>
      <c r="I430" s="38" t="inlineStr">
        <is>
          <t>Total de tots els sexes; resposta JSON-stat de l'API d'Idescat</t>
        </is>
      </c>
    </row>
    <row r="431" ht="15" customHeight="1" s="39">
      <c r="A431" s="38" t="n">
        <v>2021</v>
      </c>
      <c r="B431" s="42" t="inlineStr">
        <is>
          <t>430509</t>
        </is>
      </c>
      <c r="C431" s="38" t="inlineStr">
        <is>
          <t>Creixell</t>
        </is>
      </c>
      <c r="D431" s="38" t="inlineStr">
        <is>
          <t>Y021</t>
        </is>
      </c>
      <c r="E431" s="38" t="inlineStr">
        <is>
          <t>21 anys</t>
        </is>
      </c>
      <c r="F431" s="38" t="n">
        <v>21</v>
      </c>
      <c r="G431" s="38" t="n">
        <v>29</v>
      </c>
      <c r="I431" s="38" t="inlineStr">
        <is>
          <t>Total de tots els sexes; resposta JSON-stat de l'API d'Idescat</t>
        </is>
      </c>
    </row>
    <row r="432" ht="15" customHeight="1" s="39">
      <c r="A432" s="38" t="n">
        <v>2021</v>
      </c>
      <c r="B432" s="42" t="inlineStr">
        <is>
          <t>430509</t>
        </is>
      </c>
      <c r="C432" s="38" t="inlineStr">
        <is>
          <t>Creixell</t>
        </is>
      </c>
      <c r="D432" s="38" t="inlineStr">
        <is>
          <t>Y022</t>
        </is>
      </c>
      <c r="E432" s="38" t="inlineStr">
        <is>
          <t>22 anys</t>
        </is>
      </c>
      <c r="F432" s="38" t="n">
        <v>22</v>
      </c>
      <c r="G432" s="38" t="n">
        <v>41</v>
      </c>
      <c r="I432" s="38" t="inlineStr">
        <is>
          <t>Total de tots els sexes; resposta JSON-stat de l'API d'Idescat</t>
        </is>
      </c>
    </row>
    <row r="433" ht="15" customHeight="1" s="39">
      <c r="A433" s="38" t="n">
        <v>2021</v>
      </c>
      <c r="B433" s="42" t="inlineStr">
        <is>
          <t>430509</t>
        </is>
      </c>
      <c r="C433" s="38" t="inlineStr">
        <is>
          <t>Creixell</t>
        </is>
      </c>
      <c r="D433" s="38" t="inlineStr">
        <is>
          <t>Y023</t>
        </is>
      </c>
      <c r="E433" s="38" t="inlineStr">
        <is>
          <t>23 anys</t>
        </is>
      </c>
      <c r="F433" s="38" t="n">
        <v>23</v>
      </c>
      <c r="G433" s="38" t="n">
        <v>37</v>
      </c>
      <c r="I433" s="38" t="inlineStr">
        <is>
          <t>Total de tots els sexes; resposta JSON-stat de l'API d'Idescat</t>
        </is>
      </c>
    </row>
    <row r="434" ht="15" customHeight="1" s="39">
      <c r="A434" s="38" t="n">
        <v>2021</v>
      </c>
      <c r="B434" s="42" t="inlineStr">
        <is>
          <t>430509</t>
        </is>
      </c>
      <c r="C434" s="38" t="inlineStr">
        <is>
          <t>Creixell</t>
        </is>
      </c>
      <c r="D434" s="38" t="inlineStr">
        <is>
          <t>Y024</t>
        </is>
      </c>
      <c r="E434" s="38" t="inlineStr">
        <is>
          <t>24 anys</t>
        </is>
      </c>
      <c r="F434" s="38" t="n">
        <v>24</v>
      </c>
      <c r="G434" s="38" t="n">
        <v>28</v>
      </c>
      <c r="I434" s="38" t="inlineStr">
        <is>
          <t>Total de tots els sexes; resposta JSON-stat de l'API d'Idescat</t>
        </is>
      </c>
    </row>
    <row r="435" ht="15" customHeight="1" s="39">
      <c r="A435" s="38" t="n">
        <v>2021</v>
      </c>
      <c r="B435" s="42" t="inlineStr">
        <is>
          <t>430509</t>
        </is>
      </c>
      <c r="C435" s="38" t="inlineStr">
        <is>
          <t>Creixell</t>
        </is>
      </c>
      <c r="D435" s="38" t="inlineStr">
        <is>
          <t>Y025</t>
        </is>
      </c>
      <c r="E435" s="38" t="inlineStr">
        <is>
          <t>25 anys</t>
        </is>
      </c>
      <c r="F435" s="38" t="n">
        <v>25</v>
      </c>
      <c r="G435" s="38" t="n">
        <v>34</v>
      </c>
      <c r="I435" s="38" t="inlineStr">
        <is>
          <t>Total de tots els sexes; resposta JSON-stat de l'API d'Idescat</t>
        </is>
      </c>
    </row>
    <row r="436" ht="15" customHeight="1" s="39">
      <c r="A436" s="38" t="n">
        <v>2021</v>
      </c>
      <c r="B436" s="42" t="inlineStr">
        <is>
          <t>430509</t>
        </is>
      </c>
      <c r="C436" s="38" t="inlineStr">
        <is>
          <t>Creixell</t>
        </is>
      </c>
      <c r="D436" s="38" t="inlineStr">
        <is>
          <t>Y026</t>
        </is>
      </c>
      <c r="E436" s="38" t="inlineStr">
        <is>
          <t>26 anys</t>
        </is>
      </c>
      <c r="F436" s="38" t="n">
        <v>26</v>
      </c>
      <c r="G436" s="38" t="n">
        <v>34</v>
      </c>
      <c r="I436" s="38" t="inlineStr">
        <is>
          <t>Total de tots els sexes; resposta JSON-stat de l'API d'Idescat</t>
        </is>
      </c>
    </row>
    <row r="437" ht="15" customHeight="1" s="39">
      <c r="A437" s="38" t="n">
        <v>2021</v>
      </c>
      <c r="B437" s="42" t="inlineStr">
        <is>
          <t>430509</t>
        </is>
      </c>
      <c r="C437" s="38" t="inlineStr">
        <is>
          <t>Creixell</t>
        </is>
      </c>
      <c r="D437" s="38" t="inlineStr">
        <is>
          <t>Y027</t>
        </is>
      </c>
      <c r="E437" s="38" t="inlineStr">
        <is>
          <t>27 anys</t>
        </is>
      </c>
      <c r="F437" s="38" t="n">
        <v>27</v>
      </c>
      <c r="G437" s="38" t="n">
        <v>31</v>
      </c>
      <c r="I437" s="38" t="inlineStr">
        <is>
          <t>Total de tots els sexes; resposta JSON-stat de l'API d'Idescat</t>
        </is>
      </c>
    </row>
    <row r="438" ht="15" customHeight="1" s="39">
      <c r="A438" s="38" t="n">
        <v>2021</v>
      </c>
      <c r="B438" s="42" t="inlineStr">
        <is>
          <t>430509</t>
        </is>
      </c>
      <c r="C438" s="38" t="inlineStr">
        <is>
          <t>Creixell</t>
        </is>
      </c>
      <c r="D438" s="38" t="inlineStr">
        <is>
          <t>Y028</t>
        </is>
      </c>
      <c r="E438" s="38" t="inlineStr">
        <is>
          <t>28 anys</t>
        </is>
      </c>
      <c r="F438" s="38" t="n">
        <v>28</v>
      </c>
      <c r="G438" s="38" t="n">
        <v>37</v>
      </c>
      <c r="I438" s="38" t="inlineStr">
        <is>
          <t>Total de tots els sexes; resposta JSON-stat de l'API d'Idescat</t>
        </is>
      </c>
    </row>
    <row r="439" ht="15" customHeight="1" s="39">
      <c r="A439" s="38" t="n">
        <v>2021</v>
      </c>
      <c r="B439" s="42" t="inlineStr">
        <is>
          <t>430509</t>
        </is>
      </c>
      <c r="C439" s="38" t="inlineStr">
        <is>
          <t>Creixell</t>
        </is>
      </c>
      <c r="D439" s="38" t="inlineStr">
        <is>
          <t>Y029</t>
        </is>
      </c>
      <c r="E439" s="38" t="inlineStr">
        <is>
          <t>29 anys</t>
        </is>
      </c>
      <c r="F439" s="38" t="n">
        <v>29</v>
      </c>
      <c r="G439" s="38" t="n">
        <v>42</v>
      </c>
      <c r="I439" s="38" t="inlineStr">
        <is>
          <t>Total de tots els sexes; resposta JSON-stat de l'API d'Idescat</t>
        </is>
      </c>
    </row>
    <row r="440" ht="15" customHeight="1" s="39">
      <c r="A440" s="38" t="n">
        <v>2021</v>
      </c>
      <c r="B440" s="42" t="inlineStr">
        <is>
          <t>430509</t>
        </is>
      </c>
      <c r="C440" s="38" t="inlineStr">
        <is>
          <t>Creixell</t>
        </is>
      </c>
      <c r="D440" s="38" t="inlineStr">
        <is>
          <t>Y030</t>
        </is>
      </c>
      <c r="E440" s="38" t="inlineStr">
        <is>
          <t>30 anys</t>
        </is>
      </c>
      <c r="F440" s="38" t="n">
        <v>30</v>
      </c>
      <c r="G440" s="38" t="n">
        <v>40</v>
      </c>
      <c r="I440" s="38" t="inlineStr">
        <is>
          <t>Total de tots els sexes; resposta JSON-stat de l'API d'Idescat</t>
        </is>
      </c>
    </row>
    <row r="441" ht="15" customHeight="1" s="39">
      <c r="A441" s="38" t="n">
        <v>2021</v>
      </c>
      <c r="B441" s="42" t="inlineStr">
        <is>
          <t>430509</t>
        </is>
      </c>
      <c r="C441" s="38" t="inlineStr">
        <is>
          <t>Creixell</t>
        </is>
      </c>
      <c r="D441" s="38" t="inlineStr">
        <is>
          <t>Y031</t>
        </is>
      </c>
      <c r="E441" s="38" t="inlineStr">
        <is>
          <t>31 anys</t>
        </is>
      </c>
      <c r="F441" s="38" t="n">
        <v>31</v>
      </c>
      <c r="G441" s="38" t="n">
        <v>43</v>
      </c>
      <c r="I441" s="38" t="inlineStr">
        <is>
          <t>Total de tots els sexes; resposta JSON-stat de l'API d'Idescat</t>
        </is>
      </c>
    </row>
    <row r="442" ht="15" customHeight="1" s="39">
      <c r="A442" s="38" t="n">
        <v>2021</v>
      </c>
      <c r="B442" s="42" t="inlineStr">
        <is>
          <t>430509</t>
        </is>
      </c>
      <c r="C442" s="38" t="inlineStr">
        <is>
          <t>Creixell</t>
        </is>
      </c>
      <c r="D442" s="38" t="inlineStr">
        <is>
          <t>Y032</t>
        </is>
      </c>
      <c r="E442" s="38" t="inlineStr">
        <is>
          <t>32 anys</t>
        </is>
      </c>
      <c r="F442" s="38" t="n">
        <v>32</v>
      </c>
      <c r="G442" s="38" t="n">
        <v>34</v>
      </c>
      <c r="I442" s="38" t="inlineStr">
        <is>
          <t>Total de tots els sexes; resposta JSON-stat de l'API d'Idescat</t>
        </is>
      </c>
    </row>
    <row r="443" ht="15" customHeight="1" s="39">
      <c r="A443" s="38" t="n">
        <v>2021</v>
      </c>
      <c r="B443" s="42" t="inlineStr">
        <is>
          <t>430509</t>
        </is>
      </c>
      <c r="C443" s="38" t="inlineStr">
        <is>
          <t>Creixell</t>
        </is>
      </c>
      <c r="D443" s="38" t="inlineStr">
        <is>
          <t>Y033</t>
        </is>
      </c>
      <c r="E443" s="38" t="inlineStr">
        <is>
          <t>33 anys</t>
        </is>
      </c>
      <c r="F443" s="38" t="n">
        <v>33</v>
      </c>
      <c r="G443" s="38" t="n">
        <v>53</v>
      </c>
      <c r="I443" s="38" t="inlineStr">
        <is>
          <t>Total de tots els sexes; resposta JSON-stat de l'API d'Idescat</t>
        </is>
      </c>
    </row>
    <row r="444" ht="15" customHeight="1" s="39">
      <c r="A444" s="38" t="n">
        <v>2021</v>
      </c>
      <c r="B444" s="42" t="inlineStr">
        <is>
          <t>430509</t>
        </is>
      </c>
      <c r="C444" s="38" t="inlineStr">
        <is>
          <t>Creixell</t>
        </is>
      </c>
      <c r="D444" s="38" t="inlineStr">
        <is>
          <t>Y034</t>
        </is>
      </c>
      <c r="E444" s="38" t="inlineStr">
        <is>
          <t>34 anys</t>
        </is>
      </c>
      <c r="F444" s="38" t="n">
        <v>34</v>
      </c>
      <c r="G444" s="38" t="n">
        <v>44</v>
      </c>
      <c r="I444" s="38" t="inlineStr">
        <is>
          <t>Total de tots els sexes; resposta JSON-stat de l'API d'Idescat</t>
        </is>
      </c>
    </row>
    <row r="445" ht="15" customHeight="1" s="39">
      <c r="A445" s="38" t="n">
        <v>2021</v>
      </c>
      <c r="B445" s="42" t="inlineStr">
        <is>
          <t>430509</t>
        </is>
      </c>
      <c r="C445" s="38" t="inlineStr">
        <is>
          <t>Creixell</t>
        </is>
      </c>
      <c r="D445" s="38" t="inlineStr">
        <is>
          <t>Y035</t>
        </is>
      </c>
      <c r="E445" s="38" t="inlineStr">
        <is>
          <t>35 anys</t>
        </is>
      </c>
      <c r="F445" s="38" t="n">
        <v>35</v>
      </c>
      <c r="G445" s="38" t="n">
        <v>45</v>
      </c>
      <c r="I445" s="38" t="inlineStr">
        <is>
          <t>Total de tots els sexes; resposta JSON-stat de l'API d'Idescat</t>
        </is>
      </c>
    </row>
    <row r="446" ht="15" customHeight="1" s="39">
      <c r="A446" s="38" t="n">
        <v>2021</v>
      </c>
      <c r="B446" s="42" t="inlineStr">
        <is>
          <t>430509</t>
        </is>
      </c>
      <c r="C446" s="38" t="inlineStr">
        <is>
          <t>Creixell</t>
        </is>
      </c>
      <c r="D446" s="38" t="inlineStr">
        <is>
          <t>Y036</t>
        </is>
      </c>
      <c r="E446" s="38" t="inlineStr">
        <is>
          <t>36 anys</t>
        </is>
      </c>
      <c r="F446" s="38" t="n">
        <v>36</v>
      </c>
      <c r="G446" s="38" t="n">
        <v>41</v>
      </c>
      <c r="I446" s="38" t="inlineStr">
        <is>
          <t>Total de tots els sexes; resposta JSON-stat de l'API d'Idescat</t>
        </is>
      </c>
    </row>
    <row r="447" ht="15" customHeight="1" s="39">
      <c r="A447" s="38" t="n">
        <v>2021</v>
      </c>
      <c r="B447" s="42" t="inlineStr">
        <is>
          <t>430509</t>
        </is>
      </c>
      <c r="C447" s="38" t="inlineStr">
        <is>
          <t>Creixell</t>
        </is>
      </c>
      <c r="D447" s="38" t="inlineStr">
        <is>
          <t>Y037</t>
        </is>
      </c>
      <c r="E447" s="38" t="inlineStr">
        <is>
          <t>37 anys</t>
        </is>
      </c>
      <c r="F447" s="38" t="n">
        <v>37</v>
      </c>
      <c r="G447" s="38" t="n">
        <v>41</v>
      </c>
      <c r="I447" s="38" t="inlineStr">
        <is>
          <t>Total de tots els sexes; resposta JSON-stat de l'API d'Idescat</t>
        </is>
      </c>
    </row>
    <row r="448" ht="15" customHeight="1" s="39">
      <c r="A448" s="38" t="n">
        <v>2021</v>
      </c>
      <c r="B448" s="42" t="inlineStr">
        <is>
          <t>430509</t>
        </is>
      </c>
      <c r="C448" s="38" t="inlineStr">
        <is>
          <t>Creixell</t>
        </is>
      </c>
      <c r="D448" s="38" t="inlineStr">
        <is>
          <t>Y038</t>
        </is>
      </c>
      <c r="E448" s="38" t="inlineStr">
        <is>
          <t>38 anys</t>
        </is>
      </c>
      <c r="F448" s="38" t="n">
        <v>38</v>
      </c>
      <c r="G448" s="38" t="n">
        <v>60</v>
      </c>
      <c r="I448" s="38" t="inlineStr">
        <is>
          <t>Total de tots els sexes; resposta JSON-stat de l'API d'Idescat</t>
        </is>
      </c>
    </row>
    <row r="449" ht="15" customHeight="1" s="39">
      <c r="A449" s="38" t="n">
        <v>2021</v>
      </c>
      <c r="B449" s="42" t="inlineStr">
        <is>
          <t>430509</t>
        </is>
      </c>
      <c r="C449" s="38" t="inlineStr">
        <is>
          <t>Creixell</t>
        </is>
      </c>
      <c r="D449" s="38" t="inlineStr">
        <is>
          <t>Y039</t>
        </is>
      </c>
      <c r="E449" s="38" t="inlineStr">
        <is>
          <t>39 anys</t>
        </is>
      </c>
      <c r="F449" s="38" t="n">
        <v>39</v>
      </c>
      <c r="G449" s="38" t="n">
        <v>65</v>
      </c>
      <c r="I449" s="38" t="inlineStr">
        <is>
          <t>Total de tots els sexes; resposta JSON-stat de l'API d'Idescat</t>
        </is>
      </c>
    </row>
    <row r="450" ht="15" customHeight="1" s="39">
      <c r="A450" s="38" t="n">
        <v>2021</v>
      </c>
      <c r="B450" s="42" t="inlineStr">
        <is>
          <t>430509</t>
        </is>
      </c>
      <c r="C450" s="38" t="inlineStr">
        <is>
          <t>Creixell</t>
        </is>
      </c>
      <c r="D450" s="38" t="inlineStr">
        <is>
          <t>Y040</t>
        </is>
      </c>
      <c r="E450" s="38" t="inlineStr">
        <is>
          <t>40 anys</t>
        </is>
      </c>
      <c r="F450" s="38" t="n">
        <v>40</v>
      </c>
      <c r="G450" s="38" t="n">
        <v>64</v>
      </c>
      <c r="I450" s="38" t="inlineStr">
        <is>
          <t>Total de tots els sexes; resposta JSON-stat de l'API d'Idescat</t>
        </is>
      </c>
    </row>
    <row r="451" ht="15" customHeight="1" s="39">
      <c r="A451" s="38" t="n">
        <v>2021</v>
      </c>
      <c r="B451" s="42" t="inlineStr">
        <is>
          <t>430509</t>
        </is>
      </c>
      <c r="C451" s="38" t="inlineStr">
        <is>
          <t>Creixell</t>
        </is>
      </c>
      <c r="D451" s="38" t="inlineStr">
        <is>
          <t>Y041</t>
        </is>
      </c>
      <c r="E451" s="38" t="inlineStr">
        <is>
          <t>41 anys</t>
        </is>
      </c>
      <c r="F451" s="38" t="n">
        <v>41</v>
      </c>
      <c r="G451" s="38" t="n">
        <v>61</v>
      </c>
      <c r="I451" s="38" t="inlineStr">
        <is>
          <t>Total de tots els sexes; resposta JSON-stat de l'API d'Idescat</t>
        </is>
      </c>
    </row>
    <row r="452" ht="15" customHeight="1" s="39">
      <c r="A452" s="38" t="n">
        <v>2021</v>
      </c>
      <c r="B452" s="42" t="inlineStr">
        <is>
          <t>430509</t>
        </is>
      </c>
      <c r="C452" s="38" t="inlineStr">
        <is>
          <t>Creixell</t>
        </is>
      </c>
      <c r="D452" s="38" t="inlineStr">
        <is>
          <t>Y042</t>
        </is>
      </c>
      <c r="E452" s="38" t="inlineStr">
        <is>
          <t>42 anys</t>
        </is>
      </c>
      <c r="F452" s="38" t="n">
        <v>42</v>
      </c>
      <c r="G452" s="38" t="n">
        <v>58</v>
      </c>
      <c r="I452" s="38" t="inlineStr">
        <is>
          <t>Total de tots els sexes; resposta JSON-stat de l'API d'Idescat</t>
        </is>
      </c>
    </row>
    <row r="453" ht="15" customHeight="1" s="39">
      <c r="A453" s="38" t="n">
        <v>2021</v>
      </c>
      <c r="B453" s="42" t="inlineStr">
        <is>
          <t>430509</t>
        </is>
      </c>
      <c r="C453" s="38" t="inlineStr">
        <is>
          <t>Creixell</t>
        </is>
      </c>
      <c r="D453" s="38" t="inlineStr">
        <is>
          <t>Y043</t>
        </is>
      </c>
      <c r="E453" s="38" t="inlineStr">
        <is>
          <t>43 anys</t>
        </is>
      </c>
      <c r="F453" s="38" t="n">
        <v>43</v>
      </c>
      <c r="G453" s="38" t="n">
        <v>64</v>
      </c>
      <c r="I453" s="38" t="inlineStr">
        <is>
          <t>Total de tots els sexes; resposta JSON-stat de l'API d'Idescat</t>
        </is>
      </c>
    </row>
    <row r="454" ht="15" customHeight="1" s="39">
      <c r="A454" s="38" t="n">
        <v>2021</v>
      </c>
      <c r="B454" s="42" t="inlineStr">
        <is>
          <t>430509</t>
        </is>
      </c>
      <c r="C454" s="38" t="inlineStr">
        <is>
          <t>Creixell</t>
        </is>
      </c>
      <c r="D454" s="38" t="inlineStr">
        <is>
          <t>Y044</t>
        </is>
      </c>
      <c r="E454" s="38" t="inlineStr">
        <is>
          <t>44 anys</t>
        </is>
      </c>
      <c r="F454" s="38" t="n">
        <v>44</v>
      </c>
      <c r="G454" s="38" t="n">
        <v>79</v>
      </c>
      <c r="I454" s="38" t="inlineStr">
        <is>
          <t>Total de tots els sexes; resposta JSON-stat de l'API d'Idescat</t>
        </is>
      </c>
    </row>
    <row r="455" ht="15" customHeight="1" s="39">
      <c r="A455" s="38" t="n">
        <v>2021</v>
      </c>
      <c r="B455" s="42" t="inlineStr">
        <is>
          <t>430509</t>
        </is>
      </c>
      <c r="C455" s="38" t="inlineStr">
        <is>
          <t>Creixell</t>
        </is>
      </c>
      <c r="D455" s="38" t="inlineStr">
        <is>
          <t>Y045</t>
        </is>
      </c>
      <c r="E455" s="38" t="inlineStr">
        <is>
          <t>45 anys</t>
        </is>
      </c>
      <c r="F455" s="38" t="n">
        <v>45</v>
      </c>
      <c r="G455" s="38" t="n">
        <v>58</v>
      </c>
      <c r="I455" s="38" t="inlineStr">
        <is>
          <t>Total de tots els sexes; resposta JSON-stat de l'API d'Idescat</t>
        </is>
      </c>
    </row>
    <row r="456" ht="15" customHeight="1" s="39">
      <c r="A456" s="38" t="n">
        <v>2021</v>
      </c>
      <c r="B456" s="42" t="inlineStr">
        <is>
          <t>430509</t>
        </is>
      </c>
      <c r="C456" s="38" t="inlineStr">
        <is>
          <t>Creixell</t>
        </is>
      </c>
      <c r="D456" s="38" t="inlineStr">
        <is>
          <t>Y046</t>
        </is>
      </c>
      <c r="E456" s="38" t="inlineStr">
        <is>
          <t>46 anys</t>
        </is>
      </c>
      <c r="F456" s="38" t="n">
        <v>46</v>
      </c>
      <c r="G456" s="38" t="n">
        <v>60</v>
      </c>
      <c r="I456" s="38" t="inlineStr">
        <is>
          <t>Total de tots els sexes; resposta JSON-stat de l'API d'Idescat</t>
        </is>
      </c>
    </row>
    <row r="457" ht="15" customHeight="1" s="39">
      <c r="A457" s="38" t="n">
        <v>2021</v>
      </c>
      <c r="B457" s="42" t="inlineStr">
        <is>
          <t>430509</t>
        </is>
      </c>
      <c r="C457" s="38" t="inlineStr">
        <is>
          <t>Creixell</t>
        </is>
      </c>
      <c r="D457" s="38" t="inlineStr">
        <is>
          <t>Y047</t>
        </is>
      </c>
      <c r="E457" s="38" t="inlineStr">
        <is>
          <t>47 anys</t>
        </is>
      </c>
      <c r="F457" s="38" t="n">
        <v>47</v>
      </c>
      <c r="G457" s="38" t="n">
        <v>62</v>
      </c>
      <c r="I457" s="38" t="inlineStr">
        <is>
          <t>Total de tots els sexes; resposta JSON-stat de l'API d'Idescat</t>
        </is>
      </c>
    </row>
    <row r="458" ht="15" customHeight="1" s="39">
      <c r="A458" s="38" t="n">
        <v>2021</v>
      </c>
      <c r="B458" s="42" t="inlineStr">
        <is>
          <t>430509</t>
        </is>
      </c>
      <c r="C458" s="38" t="inlineStr">
        <is>
          <t>Creixell</t>
        </is>
      </c>
      <c r="D458" s="38" t="inlineStr">
        <is>
          <t>Y048</t>
        </is>
      </c>
      <c r="E458" s="38" t="inlineStr">
        <is>
          <t>48 anys</t>
        </is>
      </c>
      <c r="F458" s="38" t="n">
        <v>48</v>
      </c>
      <c r="G458" s="38" t="n">
        <v>51</v>
      </c>
      <c r="I458" s="38" t="inlineStr">
        <is>
          <t>Total de tots els sexes; resposta JSON-stat de l'API d'Idescat</t>
        </is>
      </c>
    </row>
    <row r="459" ht="15" customHeight="1" s="39">
      <c r="A459" s="38" t="n">
        <v>2021</v>
      </c>
      <c r="B459" s="42" t="inlineStr">
        <is>
          <t>430509</t>
        </is>
      </c>
      <c r="C459" s="38" t="inlineStr">
        <is>
          <t>Creixell</t>
        </is>
      </c>
      <c r="D459" s="38" t="inlineStr">
        <is>
          <t>Y049</t>
        </is>
      </c>
      <c r="E459" s="38" t="inlineStr">
        <is>
          <t>49 anys</t>
        </is>
      </c>
      <c r="F459" s="38" t="n">
        <v>49</v>
      </c>
      <c r="G459" s="38" t="n">
        <v>66</v>
      </c>
      <c r="I459" s="38" t="inlineStr">
        <is>
          <t>Total de tots els sexes; resposta JSON-stat de l'API d'Idescat</t>
        </is>
      </c>
    </row>
    <row r="460" ht="15" customHeight="1" s="39">
      <c r="A460" s="38" t="n">
        <v>2021</v>
      </c>
      <c r="B460" s="42" t="inlineStr">
        <is>
          <t>430509</t>
        </is>
      </c>
      <c r="C460" s="38" t="inlineStr">
        <is>
          <t>Creixell</t>
        </is>
      </c>
      <c r="D460" s="38" t="inlineStr">
        <is>
          <t>Y050</t>
        </is>
      </c>
      <c r="E460" s="38" t="inlineStr">
        <is>
          <t>50 anys</t>
        </is>
      </c>
      <c r="F460" s="38" t="n">
        <v>50</v>
      </c>
      <c r="G460" s="38" t="n">
        <v>58</v>
      </c>
      <c r="I460" s="38" t="inlineStr">
        <is>
          <t>Total de tots els sexes; resposta JSON-stat de l'API d'Idescat</t>
        </is>
      </c>
    </row>
    <row r="461" ht="15" customHeight="1" s="39">
      <c r="A461" s="38" t="n">
        <v>2021</v>
      </c>
      <c r="B461" s="42" t="inlineStr">
        <is>
          <t>430509</t>
        </is>
      </c>
      <c r="C461" s="38" t="inlineStr">
        <is>
          <t>Creixell</t>
        </is>
      </c>
      <c r="D461" s="38" t="inlineStr">
        <is>
          <t>Y051</t>
        </is>
      </c>
      <c r="E461" s="38" t="inlineStr">
        <is>
          <t>51 anys</t>
        </is>
      </c>
      <c r="F461" s="38" t="n">
        <v>51</v>
      </c>
      <c r="G461" s="38" t="n">
        <v>55</v>
      </c>
      <c r="I461" s="38" t="inlineStr">
        <is>
          <t>Total de tots els sexes; resposta JSON-stat de l'API d'Idescat</t>
        </is>
      </c>
    </row>
    <row r="462" ht="15" customHeight="1" s="39">
      <c r="A462" s="38" t="n">
        <v>2021</v>
      </c>
      <c r="B462" s="42" t="inlineStr">
        <is>
          <t>430509</t>
        </is>
      </c>
      <c r="C462" s="38" t="inlineStr">
        <is>
          <t>Creixell</t>
        </is>
      </c>
      <c r="D462" s="38" t="inlineStr">
        <is>
          <t>Y052</t>
        </is>
      </c>
      <c r="E462" s="38" t="inlineStr">
        <is>
          <t>52 anys</t>
        </is>
      </c>
      <c r="F462" s="38" t="n">
        <v>52</v>
      </c>
      <c r="G462" s="38" t="n">
        <v>61</v>
      </c>
      <c r="I462" s="38" t="inlineStr">
        <is>
          <t>Total de tots els sexes; resposta JSON-stat de l'API d'Idescat</t>
        </is>
      </c>
    </row>
    <row r="463" ht="15" customHeight="1" s="39">
      <c r="A463" s="38" t="n">
        <v>2021</v>
      </c>
      <c r="B463" s="42" t="inlineStr">
        <is>
          <t>430509</t>
        </is>
      </c>
      <c r="C463" s="38" t="inlineStr">
        <is>
          <t>Creixell</t>
        </is>
      </c>
      <c r="D463" s="38" t="inlineStr">
        <is>
          <t>Y053</t>
        </is>
      </c>
      <c r="E463" s="38" t="inlineStr">
        <is>
          <t>53 anys</t>
        </is>
      </c>
      <c r="F463" s="38" t="n">
        <v>53</v>
      </c>
      <c r="G463" s="38" t="n">
        <v>52</v>
      </c>
      <c r="I463" s="38" t="inlineStr">
        <is>
          <t>Total de tots els sexes; resposta JSON-stat de l'API d'Idescat</t>
        </is>
      </c>
    </row>
    <row r="464" ht="15" customHeight="1" s="39">
      <c r="A464" s="38" t="n">
        <v>2021</v>
      </c>
      <c r="B464" s="42" t="inlineStr">
        <is>
          <t>430509</t>
        </is>
      </c>
      <c r="C464" s="38" t="inlineStr">
        <is>
          <t>Creixell</t>
        </is>
      </c>
      <c r="D464" s="38" t="inlineStr">
        <is>
          <t>Y054</t>
        </is>
      </c>
      <c r="E464" s="38" t="inlineStr">
        <is>
          <t>54 anys</t>
        </is>
      </c>
      <c r="F464" s="38" t="n">
        <v>54</v>
      </c>
      <c r="G464" s="38" t="n">
        <v>49</v>
      </c>
      <c r="I464" s="38" t="inlineStr">
        <is>
          <t>Total de tots els sexes; resposta JSON-stat de l'API d'Idescat</t>
        </is>
      </c>
    </row>
    <row r="465" ht="15" customHeight="1" s="39">
      <c r="A465" s="38" t="n">
        <v>2021</v>
      </c>
      <c r="B465" s="42" t="inlineStr">
        <is>
          <t>430509</t>
        </is>
      </c>
      <c r="C465" s="38" t="inlineStr">
        <is>
          <t>Creixell</t>
        </is>
      </c>
      <c r="D465" s="38" t="inlineStr">
        <is>
          <t>Y055</t>
        </is>
      </c>
      <c r="E465" s="38" t="inlineStr">
        <is>
          <t>55 anys</t>
        </is>
      </c>
      <c r="F465" s="38" t="n">
        <v>55</v>
      </c>
      <c r="G465" s="38" t="n">
        <v>56</v>
      </c>
      <c r="I465" s="38" t="inlineStr">
        <is>
          <t>Total de tots els sexes; resposta JSON-stat de l'API d'Idescat</t>
        </is>
      </c>
    </row>
    <row r="466" ht="15" customHeight="1" s="39">
      <c r="A466" s="38" t="n">
        <v>2021</v>
      </c>
      <c r="B466" s="42" t="inlineStr">
        <is>
          <t>430509</t>
        </is>
      </c>
      <c r="C466" s="38" t="inlineStr">
        <is>
          <t>Creixell</t>
        </is>
      </c>
      <c r="D466" s="38" t="inlineStr">
        <is>
          <t>Y056</t>
        </is>
      </c>
      <c r="E466" s="38" t="inlineStr">
        <is>
          <t>56 anys</t>
        </is>
      </c>
      <c r="F466" s="38" t="n">
        <v>56</v>
      </c>
      <c r="G466" s="38" t="n">
        <v>52</v>
      </c>
      <c r="I466" s="38" t="inlineStr">
        <is>
          <t>Total de tots els sexes; resposta JSON-stat de l'API d'Idescat</t>
        </is>
      </c>
    </row>
    <row r="467" ht="15" customHeight="1" s="39">
      <c r="A467" s="38" t="n">
        <v>2021</v>
      </c>
      <c r="B467" s="42" t="inlineStr">
        <is>
          <t>430509</t>
        </is>
      </c>
      <c r="C467" s="38" t="inlineStr">
        <is>
          <t>Creixell</t>
        </is>
      </c>
      <c r="D467" s="38" t="inlineStr">
        <is>
          <t>Y057</t>
        </is>
      </c>
      <c r="E467" s="38" t="inlineStr">
        <is>
          <t>57 anys</t>
        </is>
      </c>
      <c r="F467" s="38" t="n">
        <v>57</v>
      </c>
      <c r="G467" s="38" t="n">
        <v>49</v>
      </c>
      <c r="I467" s="38" t="inlineStr">
        <is>
          <t>Total de tots els sexes; resposta JSON-stat de l'API d'Idescat</t>
        </is>
      </c>
    </row>
    <row r="468" ht="15" customHeight="1" s="39">
      <c r="A468" s="38" t="n">
        <v>2021</v>
      </c>
      <c r="B468" s="42" t="inlineStr">
        <is>
          <t>430509</t>
        </is>
      </c>
      <c r="C468" s="38" t="inlineStr">
        <is>
          <t>Creixell</t>
        </is>
      </c>
      <c r="D468" s="38" t="inlineStr">
        <is>
          <t>Y058</t>
        </is>
      </c>
      <c r="E468" s="38" t="inlineStr">
        <is>
          <t>58 anys</t>
        </is>
      </c>
      <c r="F468" s="38" t="n">
        <v>58</v>
      </c>
      <c r="G468" s="38" t="n">
        <v>45</v>
      </c>
      <c r="I468" s="38" t="inlineStr">
        <is>
          <t>Total de tots els sexes; resposta JSON-stat de l'API d'Idescat</t>
        </is>
      </c>
    </row>
    <row r="469" ht="15" customHeight="1" s="39">
      <c r="A469" s="38" t="n">
        <v>2021</v>
      </c>
      <c r="B469" s="42" t="inlineStr">
        <is>
          <t>430509</t>
        </is>
      </c>
      <c r="C469" s="38" t="inlineStr">
        <is>
          <t>Creixell</t>
        </is>
      </c>
      <c r="D469" s="38" t="inlineStr">
        <is>
          <t>Y059</t>
        </is>
      </c>
      <c r="E469" s="38" t="inlineStr">
        <is>
          <t>59 anys</t>
        </is>
      </c>
      <c r="F469" s="38" t="n">
        <v>59</v>
      </c>
      <c r="G469" s="38" t="n">
        <v>58</v>
      </c>
      <c r="I469" s="38" t="inlineStr">
        <is>
          <t>Total de tots els sexes; resposta JSON-stat de l'API d'Idescat</t>
        </is>
      </c>
    </row>
    <row r="470" ht="15" customHeight="1" s="39">
      <c r="A470" s="38" t="n">
        <v>2021</v>
      </c>
      <c r="B470" s="42" t="inlineStr">
        <is>
          <t>430509</t>
        </is>
      </c>
      <c r="C470" s="38" t="inlineStr">
        <is>
          <t>Creixell</t>
        </is>
      </c>
      <c r="D470" s="38" t="inlineStr">
        <is>
          <t>Y060</t>
        </is>
      </c>
      <c r="E470" s="38" t="inlineStr">
        <is>
          <t>60 anys</t>
        </is>
      </c>
      <c r="F470" s="38" t="n">
        <v>60</v>
      </c>
      <c r="G470" s="38" t="n">
        <v>60</v>
      </c>
      <c r="I470" s="38" t="inlineStr">
        <is>
          <t>Total de tots els sexes; resposta JSON-stat de l'API d'Idescat</t>
        </is>
      </c>
    </row>
    <row r="471" ht="15" customHeight="1" s="39">
      <c r="A471" s="38" t="n">
        <v>2021</v>
      </c>
      <c r="B471" s="42" t="inlineStr">
        <is>
          <t>430509</t>
        </is>
      </c>
      <c r="C471" s="38" t="inlineStr">
        <is>
          <t>Creixell</t>
        </is>
      </c>
      <c r="D471" s="38" t="inlineStr">
        <is>
          <t>Y061</t>
        </is>
      </c>
      <c r="E471" s="38" t="inlineStr">
        <is>
          <t>61 anys</t>
        </is>
      </c>
      <c r="F471" s="38" t="n">
        <v>61</v>
      </c>
      <c r="G471" s="38" t="n">
        <v>47</v>
      </c>
      <c r="I471" s="38" t="inlineStr">
        <is>
          <t>Total de tots els sexes; resposta JSON-stat de l'API d'Idescat</t>
        </is>
      </c>
    </row>
    <row r="472" ht="15" customHeight="1" s="39">
      <c r="A472" s="38" t="n">
        <v>2021</v>
      </c>
      <c r="B472" s="42" t="inlineStr">
        <is>
          <t>430509</t>
        </is>
      </c>
      <c r="C472" s="38" t="inlineStr">
        <is>
          <t>Creixell</t>
        </is>
      </c>
      <c r="D472" s="38" t="inlineStr">
        <is>
          <t>Y062</t>
        </is>
      </c>
      <c r="E472" s="38" t="inlineStr">
        <is>
          <t>62 anys</t>
        </is>
      </c>
      <c r="F472" s="38" t="n">
        <v>62</v>
      </c>
      <c r="G472" s="38" t="n">
        <v>63</v>
      </c>
      <c r="I472" s="38" t="inlineStr">
        <is>
          <t>Total de tots els sexes; resposta JSON-stat de l'API d'Idescat</t>
        </is>
      </c>
    </row>
    <row r="473" ht="15" customHeight="1" s="39">
      <c r="A473" s="38" t="n">
        <v>2021</v>
      </c>
      <c r="B473" s="42" t="inlineStr">
        <is>
          <t>430509</t>
        </is>
      </c>
      <c r="C473" s="38" t="inlineStr">
        <is>
          <t>Creixell</t>
        </is>
      </c>
      <c r="D473" s="38" t="inlineStr">
        <is>
          <t>Y063</t>
        </is>
      </c>
      <c r="E473" s="38" t="inlineStr">
        <is>
          <t>63 anys</t>
        </is>
      </c>
      <c r="F473" s="38" t="n">
        <v>63</v>
      </c>
      <c r="G473" s="38" t="n">
        <v>63</v>
      </c>
      <c r="I473" s="38" t="inlineStr">
        <is>
          <t>Total de tots els sexes; resposta JSON-stat de l'API d'Idescat</t>
        </is>
      </c>
    </row>
    <row r="474" ht="15" customHeight="1" s="39">
      <c r="A474" s="38" t="n">
        <v>2021</v>
      </c>
      <c r="B474" s="42" t="inlineStr">
        <is>
          <t>430509</t>
        </is>
      </c>
      <c r="C474" s="38" t="inlineStr">
        <is>
          <t>Creixell</t>
        </is>
      </c>
      <c r="D474" s="38" t="inlineStr">
        <is>
          <t>Y064</t>
        </is>
      </c>
      <c r="E474" s="38" t="inlineStr">
        <is>
          <t>64 anys</t>
        </is>
      </c>
      <c r="F474" s="38" t="n">
        <v>64</v>
      </c>
      <c r="G474" s="38" t="n">
        <v>57</v>
      </c>
      <c r="I474" s="38" t="inlineStr">
        <is>
          <t>Total de tots els sexes; resposta JSON-stat de l'API d'Idescat</t>
        </is>
      </c>
    </row>
    <row r="475" ht="15" customHeight="1" s="39">
      <c r="A475" s="38" t="n">
        <v>2021</v>
      </c>
      <c r="B475" s="42" t="inlineStr">
        <is>
          <t>430509</t>
        </is>
      </c>
      <c r="C475" s="38" t="inlineStr">
        <is>
          <t>Creixell</t>
        </is>
      </c>
      <c r="D475" s="38" t="inlineStr">
        <is>
          <t>Y065</t>
        </is>
      </c>
      <c r="E475" s="38" t="inlineStr">
        <is>
          <t>65 anys</t>
        </is>
      </c>
      <c r="F475" s="38" t="n">
        <v>65</v>
      </c>
      <c r="G475" s="38" t="n">
        <v>55</v>
      </c>
      <c r="I475" s="38" t="inlineStr">
        <is>
          <t>Total de tots els sexes; resposta JSON-stat de l'API d'Idescat</t>
        </is>
      </c>
    </row>
    <row r="476" ht="15" customHeight="1" s="39">
      <c r="A476" s="38" t="n">
        <v>2021</v>
      </c>
      <c r="B476" s="42" t="inlineStr">
        <is>
          <t>430509</t>
        </is>
      </c>
      <c r="C476" s="38" t="inlineStr">
        <is>
          <t>Creixell</t>
        </is>
      </c>
      <c r="D476" s="38" t="inlineStr">
        <is>
          <t>Y066</t>
        </is>
      </c>
      <c r="E476" s="38" t="inlineStr">
        <is>
          <t>66 anys</t>
        </is>
      </c>
      <c r="F476" s="38" t="n">
        <v>66</v>
      </c>
      <c r="G476" s="38" t="n">
        <v>36</v>
      </c>
      <c r="I476" s="38" t="inlineStr">
        <is>
          <t>Total de tots els sexes; resposta JSON-stat de l'API d'Idescat</t>
        </is>
      </c>
    </row>
    <row r="477" ht="15" customHeight="1" s="39">
      <c r="A477" s="38" t="n">
        <v>2021</v>
      </c>
      <c r="B477" s="42" t="inlineStr">
        <is>
          <t>430509</t>
        </is>
      </c>
      <c r="C477" s="38" t="inlineStr">
        <is>
          <t>Creixell</t>
        </is>
      </c>
      <c r="D477" s="38" t="inlineStr">
        <is>
          <t>Y067</t>
        </is>
      </c>
      <c r="E477" s="38" t="inlineStr">
        <is>
          <t>67 anys</t>
        </is>
      </c>
      <c r="F477" s="38" t="n">
        <v>67</v>
      </c>
      <c r="G477" s="38" t="n">
        <v>61</v>
      </c>
      <c r="I477" s="38" t="inlineStr">
        <is>
          <t>Total de tots els sexes; resposta JSON-stat de l'API d'Idescat</t>
        </is>
      </c>
    </row>
    <row r="478" ht="15" customHeight="1" s="39">
      <c r="A478" s="38" t="n">
        <v>2021</v>
      </c>
      <c r="B478" s="42" t="inlineStr">
        <is>
          <t>430509</t>
        </is>
      </c>
      <c r="C478" s="38" t="inlineStr">
        <is>
          <t>Creixell</t>
        </is>
      </c>
      <c r="D478" s="38" t="inlineStr">
        <is>
          <t>Y068</t>
        </is>
      </c>
      <c r="E478" s="38" t="inlineStr">
        <is>
          <t>68 anys</t>
        </is>
      </c>
      <c r="F478" s="38" t="n">
        <v>68</v>
      </c>
      <c r="G478" s="38" t="n">
        <v>45</v>
      </c>
      <c r="I478" s="38" t="inlineStr">
        <is>
          <t>Total de tots els sexes; resposta JSON-stat de l'API d'Idescat</t>
        </is>
      </c>
    </row>
    <row r="479" ht="15" customHeight="1" s="39">
      <c r="A479" s="38" t="n">
        <v>2021</v>
      </c>
      <c r="B479" s="42" t="inlineStr">
        <is>
          <t>430509</t>
        </is>
      </c>
      <c r="C479" s="38" t="inlineStr">
        <is>
          <t>Creixell</t>
        </is>
      </c>
      <c r="D479" s="38" t="inlineStr">
        <is>
          <t>Y069</t>
        </is>
      </c>
      <c r="E479" s="38" t="inlineStr">
        <is>
          <t>69 anys</t>
        </is>
      </c>
      <c r="F479" s="38" t="n">
        <v>69</v>
      </c>
      <c r="G479" s="38" t="n">
        <v>50</v>
      </c>
      <c r="I479" s="38" t="inlineStr">
        <is>
          <t>Total de tots els sexes; resposta JSON-stat de l'API d'Idescat</t>
        </is>
      </c>
    </row>
    <row r="480" ht="15" customHeight="1" s="39">
      <c r="A480" s="38" t="n">
        <v>2021</v>
      </c>
      <c r="B480" s="42" t="inlineStr">
        <is>
          <t>430509</t>
        </is>
      </c>
      <c r="C480" s="38" t="inlineStr">
        <is>
          <t>Creixell</t>
        </is>
      </c>
      <c r="D480" s="38" t="inlineStr">
        <is>
          <t>Y070</t>
        </is>
      </c>
      <c r="E480" s="38" t="inlineStr">
        <is>
          <t>70 anys</t>
        </is>
      </c>
      <c r="F480" s="38" t="n">
        <v>70</v>
      </c>
      <c r="G480" s="38" t="n">
        <v>48</v>
      </c>
      <c r="I480" s="38" t="inlineStr">
        <is>
          <t>Total de tots els sexes; resposta JSON-stat de l'API d'Idescat</t>
        </is>
      </c>
    </row>
    <row r="481" ht="15" customHeight="1" s="39">
      <c r="A481" s="38" t="n">
        <v>2021</v>
      </c>
      <c r="B481" s="42" t="inlineStr">
        <is>
          <t>430509</t>
        </is>
      </c>
      <c r="C481" s="38" t="inlineStr">
        <is>
          <t>Creixell</t>
        </is>
      </c>
      <c r="D481" s="38" t="inlineStr">
        <is>
          <t>Y071</t>
        </is>
      </c>
      <c r="E481" s="38" t="inlineStr">
        <is>
          <t>71 anys</t>
        </is>
      </c>
      <c r="F481" s="38" t="n">
        <v>71</v>
      </c>
      <c r="G481" s="38" t="n">
        <v>51</v>
      </c>
      <c r="I481" s="38" t="inlineStr">
        <is>
          <t>Total de tots els sexes; resposta JSON-stat de l'API d'Idescat</t>
        </is>
      </c>
    </row>
    <row r="482" ht="15" customHeight="1" s="39">
      <c r="A482" s="38" t="n">
        <v>2021</v>
      </c>
      <c r="B482" s="42" t="inlineStr">
        <is>
          <t>430509</t>
        </is>
      </c>
      <c r="C482" s="38" t="inlineStr">
        <is>
          <t>Creixell</t>
        </is>
      </c>
      <c r="D482" s="38" t="inlineStr">
        <is>
          <t>Y072</t>
        </is>
      </c>
      <c r="E482" s="38" t="inlineStr">
        <is>
          <t>72 anys</t>
        </is>
      </c>
      <c r="F482" s="38" t="n">
        <v>72</v>
      </c>
      <c r="G482" s="38" t="n">
        <v>69</v>
      </c>
      <c r="I482" s="38" t="inlineStr">
        <is>
          <t>Total de tots els sexes; resposta JSON-stat de l'API d'Idescat</t>
        </is>
      </c>
    </row>
    <row r="483" ht="15" customHeight="1" s="39">
      <c r="A483" s="38" t="n">
        <v>2021</v>
      </c>
      <c r="B483" s="42" t="inlineStr">
        <is>
          <t>430509</t>
        </is>
      </c>
      <c r="C483" s="38" t="inlineStr">
        <is>
          <t>Creixell</t>
        </is>
      </c>
      <c r="D483" s="38" t="inlineStr">
        <is>
          <t>Y073</t>
        </is>
      </c>
      <c r="E483" s="38" t="inlineStr">
        <is>
          <t>73 anys</t>
        </is>
      </c>
      <c r="F483" s="38" t="n">
        <v>73</v>
      </c>
      <c r="G483" s="38" t="n">
        <v>38</v>
      </c>
      <c r="I483" s="38" t="inlineStr">
        <is>
          <t>Total de tots els sexes; resposta JSON-stat de l'API d'Idescat</t>
        </is>
      </c>
    </row>
    <row r="484" ht="15" customHeight="1" s="39">
      <c r="A484" s="38" t="n">
        <v>2021</v>
      </c>
      <c r="B484" s="42" t="inlineStr">
        <is>
          <t>430509</t>
        </is>
      </c>
      <c r="C484" s="38" t="inlineStr">
        <is>
          <t>Creixell</t>
        </is>
      </c>
      <c r="D484" s="38" t="inlineStr">
        <is>
          <t>Y074</t>
        </is>
      </c>
      <c r="E484" s="38" t="inlineStr">
        <is>
          <t>74 anys</t>
        </is>
      </c>
      <c r="F484" s="38" t="n">
        <v>74</v>
      </c>
      <c r="G484" s="38" t="n">
        <v>42</v>
      </c>
      <c r="I484" s="38" t="inlineStr">
        <is>
          <t>Total de tots els sexes; resposta JSON-stat de l'API d'Idescat</t>
        </is>
      </c>
    </row>
    <row r="485" ht="15" customHeight="1" s="39">
      <c r="A485" s="38" t="n">
        <v>2021</v>
      </c>
      <c r="B485" s="42" t="inlineStr">
        <is>
          <t>430509</t>
        </is>
      </c>
      <c r="C485" s="38" t="inlineStr">
        <is>
          <t>Creixell</t>
        </is>
      </c>
      <c r="D485" s="38" t="inlineStr">
        <is>
          <t>Y075</t>
        </is>
      </c>
      <c r="E485" s="38" t="inlineStr">
        <is>
          <t>75 anys</t>
        </is>
      </c>
      <c r="F485" s="38" t="n">
        <v>75</v>
      </c>
      <c r="G485" s="38" t="n">
        <v>50</v>
      </c>
      <c r="I485" s="38" t="inlineStr">
        <is>
          <t>Total de tots els sexes; resposta JSON-stat de l'API d'Idescat</t>
        </is>
      </c>
    </row>
    <row r="486" ht="15" customHeight="1" s="39">
      <c r="A486" s="38" t="n">
        <v>2021</v>
      </c>
      <c r="B486" s="42" t="inlineStr">
        <is>
          <t>430509</t>
        </is>
      </c>
      <c r="C486" s="38" t="inlineStr">
        <is>
          <t>Creixell</t>
        </is>
      </c>
      <c r="D486" s="38" t="inlineStr">
        <is>
          <t>Y076</t>
        </is>
      </c>
      <c r="E486" s="38" t="inlineStr">
        <is>
          <t>76 anys</t>
        </is>
      </c>
      <c r="F486" s="38" t="n">
        <v>76</v>
      </c>
      <c r="G486" s="38" t="n">
        <v>36</v>
      </c>
      <c r="I486" s="38" t="inlineStr">
        <is>
          <t>Total de tots els sexes; resposta JSON-stat de l'API d'Idescat</t>
        </is>
      </c>
    </row>
    <row r="487" ht="15" customHeight="1" s="39">
      <c r="A487" s="38" t="n">
        <v>2021</v>
      </c>
      <c r="B487" s="42" t="inlineStr">
        <is>
          <t>430509</t>
        </is>
      </c>
      <c r="C487" s="38" t="inlineStr">
        <is>
          <t>Creixell</t>
        </is>
      </c>
      <c r="D487" s="38" t="inlineStr">
        <is>
          <t>Y077</t>
        </is>
      </c>
      <c r="E487" s="38" t="inlineStr">
        <is>
          <t>77 anys</t>
        </is>
      </c>
      <c r="F487" s="38" t="n">
        <v>77</v>
      </c>
      <c r="G487" s="38" t="n">
        <v>31</v>
      </c>
      <c r="I487" s="38" t="inlineStr">
        <is>
          <t>Total de tots els sexes; resposta JSON-stat de l'API d'Idescat</t>
        </is>
      </c>
    </row>
    <row r="488" ht="15" customHeight="1" s="39">
      <c r="A488" s="38" t="n">
        <v>2021</v>
      </c>
      <c r="B488" s="42" t="inlineStr">
        <is>
          <t>430509</t>
        </is>
      </c>
      <c r="C488" s="38" t="inlineStr">
        <is>
          <t>Creixell</t>
        </is>
      </c>
      <c r="D488" s="38" t="inlineStr">
        <is>
          <t>Y078</t>
        </is>
      </c>
      <c r="E488" s="38" t="inlineStr">
        <is>
          <t>78 anys</t>
        </is>
      </c>
      <c r="F488" s="38" t="n">
        <v>78</v>
      </c>
      <c r="G488" s="38" t="n">
        <v>25</v>
      </c>
      <c r="I488" s="38" t="inlineStr">
        <is>
          <t>Total de tots els sexes; resposta JSON-stat de l'API d'Idescat</t>
        </is>
      </c>
    </row>
    <row r="489" ht="15" customHeight="1" s="39">
      <c r="A489" s="38" t="n">
        <v>2021</v>
      </c>
      <c r="B489" s="42" t="inlineStr">
        <is>
          <t>430509</t>
        </is>
      </c>
      <c r="C489" s="38" t="inlineStr">
        <is>
          <t>Creixell</t>
        </is>
      </c>
      <c r="D489" s="38" t="inlineStr">
        <is>
          <t>Y079</t>
        </is>
      </c>
      <c r="E489" s="38" t="inlineStr">
        <is>
          <t>79 anys</t>
        </is>
      </c>
      <c r="F489" s="38" t="n">
        <v>79</v>
      </c>
      <c r="G489" s="38" t="n">
        <v>25</v>
      </c>
      <c r="I489" s="38" t="inlineStr">
        <is>
          <t>Total de tots els sexes; resposta JSON-stat de l'API d'Idescat</t>
        </is>
      </c>
    </row>
    <row r="490" ht="15" customHeight="1" s="39">
      <c r="A490" s="38" t="n">
        <v>2021</v>
      </c>
      <c r="B490" s="42" t="inlineStr">
        <is>
          <t>430509</t>
        </is>
      </c>
      <c r="C490" s="38" t="inlineStr">
        <is>
          <t>Creixell</t>
        </is>
      </c>
      <c r="D490" s="38" t="inlineStr">
        <is>
          <t>Y080</t>
        </is>
      </c>
      <c r="E490" s="38" t="inlineStr">
        <is>
          <t>80 anys</t>
        </is>
      </c>
      <c r="F490" s="38" t="n">
        <v>80</v>
      </c>
      <c r="G490" s="38" t="n">
        <v>33</v>
      </c>
      <c r="I490" s="38" t="inlineStr">
        <is>
          <t>Total de tots els sexes; resposta JSON-stat de l'API d'Idescat</t>
        </is>
      </c>
    </row>
    <row r="491" ht="15" customHeight="1" s="39">
      <c r="A491" s="38" t="n">
        <v>2021</v>
      </c>
      <c r="B491" s="42" t="inlineStr">
        <is>
          <t>430509</t>
        </is>
      </c>
      <c r="C491" s="38" t="inlineStr">
        <is>
          <t>Creixell</t>
        </is>
      </c>
      <c r="D491" s="38" t="inlineStr">
        <is>
          <t>Y081</t>
        </is>
      </c>
      <c r="E491" s="38" t="inlineStr">
        <is>
          <t>81 anys</t>
        </is>
      </c>
      <c r="F491" s="38" t="n">
        <v>81</v>
      </c>
      <c r="G491" s="38" t="n">
        <v>20</v>
      </c>
      <c r="I491" s="38" t="inlineStr">
        <is>
          <t>Total de tots els sexes; resposta JSON-stat de l'API d'Idescat</t>
        </is>
      </c>
    </row>
    <row r="492" ht="15" customHeight="1" s="39">
      <c r="A492" s="38" t="n">
        <v>2021</v>
      </c>
      <c r="B492" s="42" t="inlineStr">
        <is>
          <t>430509</t>
        </is>
      </c>
      <c r="C492" s="38" t="inlineStr">
        <is>
          <t>Creixell</t>
        </is>
      </c>
      <c r="D492" s="38" t="inlineStr">
        <is>
          <t>Y082</t>
        </is>
      </c>
      <c r="E492" s="38" t="inlineStr">
        <is>
          <t>82 anys</t>
        </is>
      </c>
      <c r="F492" s="38" t="n">
        <v>82</v>
      </c>
      <c r="G492" s="38" t="n">
        <v>18</v>
      </c>
      <c r="I492" s="38" t="inlineStr">
        <is>
          <t>Total de tots els sexes; resposta JSON-stat de l'API d'Idescat</t>
        </is>
      </c>
    </row>
    <row r="493" ht="15" customHeight="1" s="39">
      <c r="A493" s="38" t="n">
        <v>2021</v>
      </c>
      <c r="B493" s="42" t="inlineStr">
        <is>
          <t>430509</t>
        </is>
      </c>
      <c r="C493" s="38" t="inlineStr">
        <is>
          <t>Creixell</t>
        </is>
      </c>
      <c r="D493" s="38" t="inlineStr">
        <is>
          <t>Y083</t>
        </is>
      </c>
      <c r="E493" s="38" t="inlineStr">
        <is>
          <t>83 anys</t>
        </is>
      </c>
      <c r="F493" s="38" t="n">
        <v>83</v>
      </c>
      <c r="G493" s="38" t="n">
        <v>29</v>
      </c>
      <c r="I493" s="38" t="inlineStr">
        <is>
          <t>Total de tots els sexes; resposta JSON-stat de l'API d'Idescat</t>
        </is>
      </c>
    </row>
    <row r="494" ht="15" customHeight="1" s="39">
      <c r="A494" s="38" t="n">
        <v>2021</v>
      </c>
      <c r="B494" s="42" t="inlineStr">
        <is>
          <t>430509</t>
        </is>
      </c>
      <c r="C494" s="38" t="inlineStr">
        <is>
          <t>Creixell</t>
        </is>
      </c>
      <c r="D494" s="38" t="inlineStr">
        <is>
          <t>Y084</t>
        </is>
      </c>
      <c r="E494" s="38" t="inlineStr">
        <is>
          <t>84 anys</t>
        </is>
      </c>
      <c r="F494" s="38" t="n">
        <v>84</v>
      </c>
      <c r="G494" s="38" t="n">
        <v>24</v>
      </c>
      <c r="I494" s="38" t="inlineStr">
        <is>
          <t>Total de tots els sexes; resposta JSON-stat de l'API d'Idescat</t>
        </is>
      </c>
    </row>
    <row r="495" ht="15" customHeight="1" s="39">
      <c r="A495" s="38" t="n">
        <v>2021</v>
      </c>
      <c r="B495" s="42" t="inlineStr">
        <is>
          <t>430509</t>
        </is>
      </c>
      <c r="C495" s="38" t="inlineStr">
        <is>
          <t>Creixell</t>
        </is>
      </c>
      <c r="D495" s="38" t="inlineStr">
        <is>
          <t>Y085</t>
        </is>
      </c>
      <c r="E495" s="38" t="inlineStr">
        <is>
          <t>85 anys</t>
        </is>
      </c>
      <c r="F495" s="38" t="n">
        <v>85</v>
      </c>
      <c r="G495" s="38" t="n">
        <v>14</v>
      </c>
      <c r="I495" s="38" t="inlineStr">
        <is>
          <t>Total de tots els sexes; resposta JSON-stat de l'API d'Idescat</t>
        </is>
      </c>
    </row>
    <row r="496" ht="15" customHeight="1" s="39">
      <c r="A496" s="38" t="n">
        <v>2021</v>
      </c>
      <c r="B496" s="42" t="inlineStr">
        <is>
          <t>430509</t>
        </is>
      </c>
      <c r="C496" s="38" t="inlineStr">
        <is>
          <t>Creixell</t>
        </is>
      </c>
      <c r="D496" s="38" t="inlineStr">
        <is>
          <t>Y086</t>
        </is>
      </c>
      <c r="E496" s="38" t="inlineStr">
        <is>
          <t>86 anys</t>
        </is>
      </c>
      <c r="F496" s="38" t="n">
        <v>86</v>
      </c>
      <c r="G496" s="38" t="n">
        <v>16</v>
      </c>
      <c r="I496" s="38" t="inlineStr">
        <is>
          <t>Total de tots els sexes; resposta JSON-stat de l'API d'Idescat</t>
        </is>
      </c>
    </row>
    <row r="497" ht="15" customHeight="1" s="39">
      <c r="A497" s="38" t="n">
        <v>2021</v>
      </c>
      <c r="B497" s="42" t="inlineStr">
        <is>
          <t>430509</t>
        </is>
      </c>
      <c r="C497" s="38" t="inlineStr">
        <is>
          <t>Creixell</t>
        </is>
      </c>
      <c r="D497" s="38" t="inlineStr">
        <is>
          <t>Y087</t>
        </is>
      </c>
      <c r="E497" s="38" t="inlineStr">
        <is>
          <t>87 anys</t>
        </is>
      </c>
      <c r="F497" s="38" t="n">
        <v>87</v>
      </c>
      <c r="G497" s="38" t="n">
        <v>18</v>
      </c>
      <c r="I497" s="38" t="inlineStr">
        <is>
          <t>Total de tots els sexes; resposta JSON-stat de l'API d'Idescat</t>
        </is>
      </c>
    </row>
    <row r="498" ht="15" customHeight="1" s="39">
      <c r="A498" s="38" t="n">
        <v>2021</v>
      </c>
      <c r="B498" s="42" t="inlineStr">
        <is>
          <t>430509</t>
        </is>
      </c>
      <c r="C498" s="38" t="inlineStr">
        <is>
          <t>Creixell</t>
        </is>
      </c>
      <c r="D498" s="38" t="inlineStr">
        <is>
          <t>Y088</t>
        </is>
      </c>
      <c r="E498" s="38" t="inlineStr">
        <is>
          <t>88 anys</t>
        </is>
      </c>
      <c r="F498" s="38" t="n">
        <v>88</v>
      </c>
      <c r="G498" s="38" t="n">
        <v>16</v>
      </c>
      <c r="I498" s="38" t="inlineStr">
        <is>
          <t>Total de tots els sexes; resposta JSON-stat de l'API d'Idescat</t>
        </is>
      </c>
    </row>
    <row r="499" ht="15" customHeight="1" s="39">
      <c r="A499" s="38" t="n">
        <v>2021</v>
      </c>
      <c r="B499" s="42" t="inlineStr">
        <is>
          <t>430509</t>
        </is>
      </c>
      <c r="C499" s="38" t="inlineStr">
        <is>
          <t>Creixell</t>
        </is>
      </c>
      <c r="D499" s="38" t="inlineStr">
        <is>
          <t>Y089</t>
        </is>
      </c>
      <c r="E499" s="38" t="inlineStr">
        <is>
          <t>89 anys</t>
        </is>
      </c>
      <c r="F499" s="38" t="n">
        <v>89</v>
      </c>
      <c r="G499" s="38" t="n">
        <v>16</v>
      </c>
      <c r="I499" s="38" t="inlineStr">
        <is>
          <t>Total de tots els sexes; resposta JSON-stat de l'API d'Idescat</t>
        </is>
      </c>
    </row>
    <row r="500" ht="15" customHeight="1" s="39">
      <c r="A500" s="38" t="n">
        <v>2021</v>
      </c>
      <c r="B500" s="42" t="inlineStr">
        <is>
          <t>430509</t>
        </is>
      </c>
      <c r="C500" s="38" t="inlineStr">
        <is>
          <t>Creixell</t>
        </is>
      </c>
      <c r="D500" s="38" t="inlineStr">
        <is>
          <t>Y090</t>
        </is>
      </c>
      <c r="E500" s="38" t="inlineStr">
        <is>
          <t>90 anys</t>
        </is>
      </c>
      <c r="F500" s="38" t="n">
        <v>90</v>
      </c>
      <c r="G500" s="38" t="n">
        <v>9</v>
      </c>
      <c r="I500" s="38" t="inlineStr">
        <is>
          <t>Total de tots els sexes; resposta JSON-stat de l'API d'Idescat</t>
        </is>
      </c>
    </row>
    <row r="501" ht="15" customHeight="1" s="39">
      <c r="A501" s="38" t="n">
        <v>2021</v>
      </c>
      <c r="B501" s="42" t="inlineStr">
        <is>
          <t>430509</t>
        </is>
      </c>
      <c r="C501" s="38" t="inlineStr">
        <is>
          <t>Creixell</t>
        </is>
      </c>
      <c r="D501" s="38" t="inlineStr">
        <is>
          <t>Y091</t>
        </is>
      </c>
      <c r="E501" s="38" t="inlineStr">
        <is>
          <t>91 anys</t>
        </is>
      </c>
      <c r="F501" s="38" t="n">
        <v>91</v>
      </c>
      <c r="G501" s="38" t="n">
        <v>14</v>
      </c>
      <c r="I501" s="38" t="inlineStr">
        <is>
          <t>Total de tots els sexes; resposta JSON-stat de l'API d'Idescat</t>
        </is>
      </c>
    </row>
    <row r="502" ht="15" customHeight="1" s="39">
      <c r="A502" s="38" t="n">
        <v>2021</v>
      </c>
      <c r="B502" s="42" t="inlineStr">
        <is>
          <t>430509</t>
        </is>
      </c>
      <c r="C502" s="38" t="inlineStr">
        <is>
          <t>Creixell</t>
        </is>
      </c>
      <c r="D502" s="38" t="inlineStr">
        <is>
          <t>Y092</t>
        </is>
      </c>
      <c r="E502" s="38" t="inlineStr">
        <is>
          <t>92 anys</t>
        </is>
      </c>
      <c r="F502" s="38" t="n">
        <v>92</v>
      </c>
      <c r="G502" s="38" t="n">
        <v>7</v>
      </c>
      <c r="I502" s="38" t="inlineStr">
        <is>
          <t>Total de tots els sexes; resposta JSON-stat de l'API d'Idescat</t>
        </is>
      </c>
    </row>
    <row r="503" ht="15" customHeight="1" s="39">
      <c r="A503" s="38" t="n">
        <v>2021</v>
      </c>
      <c r="B503" s="42" t="inlineStr">
        <is>
          <t>430509</t>
        </is>
      </c>
      <c r="C503" s="38" t="inlineStr">
        <is>
          <t>Creixell</t>
        </is>
      </c>
      <c r="D503" s="38" t="inlineStr">
        <is>
          <t>Y093</t>
        </is>
      </c>
      <c r="E503" s="38" t="inlineStr">
        <is>
          <t>93 anys</t>
        </is>
      </c>
      <c r="F503" s="38" t="n">
        <v>93</v>
      </c>
      <c r="G503" s="38" t="n">
        <v>2</v>
      </c>
      <c r="I503" s="38" t="inlineStr">
        <is>
          <t>Total de tots els sexes; resposta JSON-stat de l'API d'Idescat</t>
        </is>
      </c>
    </row>
    <row r="504" ht="15" customHeight="1" s="39">
      <c r="A504" s="38" t="n">
        <v>2021</v>
      </c>
      <c r="B504" s="42" t="inlineStr">
        <is>
          <t>430509</t>
        </is>
      </c>
      <c r="C504" s="38" t="inlineStr">
        <is>
          <t>Creixell</t>
        </is>
      </c>
      <c r="D504" s="38" t="inlineStr">
        <is>
          <t>Y094</t>
        </is>
      </c>
      <c r="E504" s="38" t="inlineStr">
        <is>
          <t>94 anys</t>
        </is>
      </c>
      <c r="F504" s="38" t="n">
        <v>94</v>
      </c>
      <c r="G504" s="38" t="n">
        <v>1</v>
      </c>
      <c r="I504" s="38" t="inlineStr">
        <is>
          <t>Total de tots els sexes; resposta JSON-stat de l'API d'Idescat</t>
        </is>
      </c>
    </row>
    <row r="505" ht="15" customHeight="1" s="39">
      <c r="A505" s="38" t="n">
        <v>2021</v>
      </c>
      <c r="B505" s="42" t="inlineStr">
        <is>
          <t>430509</t>
        </is>
      </c>
      <c r="C505" s="38" t="inlineStr">
        <is>
          <t>Creixell</t>
        </is>
      </c>
      <c r="D505" s="38" t="inlineStr">
        <is>
          <t>Y095</t>
        </is>
      </c>
      <c r="E505" s="38" t="inlineStr">
        <is>
          <t>95 anys</t>
        </is>
      </c>
      <c r="F505" s="38" t="n">
        <v>95</v>
      </c>
      <c r="G505" s="38" t="n">
        <v>2</v>
      </c>
      <c r="I505" s="38" t="inlineStr">
        <is>
          <t>Total de tots els sexes; resposta JSON-stat de l'API d'Idescat</t>
        </is>
      </c>
    </row>
    <row r="506" ht="15" customHeight="1" s="39">
      <c r="A506" s="38" t="n">
        <v>2021</v>
      </c>
      <c r="B506" s="42" t="inlineStr">
        <is>
          <t>430509</t>
        </is>
      </c>
      <c r="C506" s="38" t="inlineStr">
        <is>
          <t>Creixell</t>
        </is>
      </c>
      <c r="D506" s="38" t="inlineStr">
        <is>
          <t>Y096</t>
        </is>
      </c>
      <c r="E506" s="38" t="inlineStr">
        <is>
          <t>96 anys</t>
        </is>
      </c>
      <c r="F506" s="38" t="n">
        <v>96</v>
      </c>
      <c r="G506" s="38" t="n">
        <v>3</v>
      </c>
      <c r="I506" s="38" t="inlineStr">
        <is>
          <t>Total de tots els sexes; resposta JSON-stat de l'API d'Idescat</t>
        </is>
      </c>
    </row>
    <row r="507" ht="15" customHeight="1" s="39">
      <c r="A507" s="38" t="n">
        <v>2021</v>
      </c>
      <c r="B507" s="42" t="inlineStr">
        <is>
          <t>430509</t>
        </is>
      </c>
      <c r="C507" s="38" t="inlineStr">
        <is>
          <t>Creixell</t>
        </is>
      </c>
      <c r="D507" s="38" t="inlineStr">
        <is>
          <t>Y097</t>
        </is>
      </c>
      <c r="E507" s="38" t="inlineStr">
        <is>
          <t>97 anys</t>
        </is>
      </c>
      <c r="F507" s="38" t="n">
        <v>97</v>
      </c>
      <c r="G507" s="38" t="n">
        <v>0</v>
      </c>
      <c r="I507" s="38" t="inlineStr">
        <is>
          <t>Total de tots els sexes; resposta JSON-stat de l'API d'Idescat</t>
        </is>
      </c>
    </row>
    <row r="508" ht="15" customHeight="1" s="39">
      <c r="A508" s="38" t="n">
        <v>2021</v>
      </c>
      <c r="B508" s="42" t="inlineStr">
        <is>
          <t>430509</t>
        </is>
      </c>
      <c r="C508" s="38" t="inlineStr">
        <is>
          <t>Creixell</t>
        </is>
      </c>
      <c r="D508" s="38" t="inlineStr">
        <is>
          <t>Y098</t>
        </is>
      </c>
      <c r="E508" s="38" t="inlineStr">
        <is>
          <t>98 anys</t>
        </is>
      </c>
      <c r="F508" s="38" t="n">
        <v>98</v>
      </c>
      <c r="G508" s="38" t="n">
        <v>1</v>
      </c>
      <c r="I508" s="38" t="inlineStr">
        <is>
          <t>Total de tots els sexes; resposta JSON-stat de l'API d'Idescat</t>
        </is>
      </c>
    </row>
    <row r="509" ht="15" customHeight="1" s="39">
      <c r="A509" s="38" t="n">
        <v>2021</v>
      </c>
      <c r="B509" s="42" t="inlineStr">
        <is>
          <t>430509</t>
        </is>
      </c>
      <c r="C509" s="38" t="inlineStr">
        <is>
          <t>Creixell</t>
        </is>
      </c>
      <c r="D509" s="38" t="inlineStr">
        <is>
          <t>Y099</t>
        </is>
      </c>
      <c r="E509" s="38" t="inlineStr">
        <is>
          <t>99 anys</t>
        </is>
      </c>
      <c r="F509" s="38" t="n">
        <v>99</v>
      </c>
      <c r="G509" s="38" t="n">
        <v>1</v>
      </c>
      <c r="I509" s="38" t="inlineStr">
        <is>
          <t>Total de tots els sexes; resposta JSON-stat de l'API d'Idescat</t>
        </is>
      </c>
    </row>
    <row r="510" ht="15" customHeight="1" s="39">
      <c r="A510" s="38" t="n">
        <v>2021</v>
      </c>
      <c r="B510" s="42" t="inlineStr">
        <is>
          <t>430509</t>
        </is>
      </c>
      <c r="C510" s="38" t="inlineStr">
        <is>
          <t>Creixell</t>
        </is>
      </c>
      <c r="D510" s="38" t="inlineStr">
        <is>
          <t>Y_GE100</t>
        </is>
      </c>
      <c r="E510" s="38" t="inlineStr">
        <is>
          <t>100 anys o més</t>
        </is>
      </c>
      <c r="F510" s="38" t="n">
        <v>100</v>
      </c>
      <c r="G510" s="38" t="n">
        <v>1</v>
      </c>
      <c r="I510" s="38" t="inlineStr">
        <is>
          <t>Total de tots els sexes; resposta JSON-stat de l'API d'Idescat</t>
        </is>
      </c>
    </row>
    <row r="511" ht="15" customHeight="1" s="39">
      <c r="A511" s="38" t="n">
        <v>2021</v>
      </c>
      <c r="B511" s="42" t="inlineStr">
        <is>
          <t>430509</t>
        </is>
      </c>
      <c r="C511" s="38" t="inlineStr">
        <is>
          <t>Creixell</t>
        </is>
      </c>
      <c r="D511" s="38" t="inlineStr">
        <is>
          <t>TOTAL</t>
        </is>
      </c>
      <c r="E511" s="38" t="inlineStr">
        <is>
          <t>total</t>
        </is>
      </c>
      <c r="G511" s="38" t="n">
        <v>3901</v>
      </c>
      <c r="I511" s="38" t="inlineStr">
        <is>
          <t>Total de tots els sexes; resposta JSON-stat de l'API d'Idescat</t>
        </is>
      </c>
    </row>
    <row r="512" ht="15" customHeight="1" s="39">
      <c r="A512" s="38" t="n">
        <v>2021</v>
      </c>
      <c r="B512" s="42" t="inlineStr">
        <is>
          <t>430957</t>
        </is>
      </c>
      <c r="C512" s="38" t="inlineStr">
        <is>
          <t>Morell, el</t>
        </is>
      </c>
      <c r="D512" s="38" t="inlineStr">
        <is>
          <t>Y000</t>
        </is>
      </c>
      <c r="E512" s="38" t="inlineStr">
        <is>
          <t>0 anys</t>
        </is>
      </c>
      <c r="F512" s="38" t="n">
        <v>0</v>
      </c>
      <c r="G512" s="38" t="n">
        <v>25</v>
      </c>
      <c r="I512" s="38" t="inlineStr">
        <is>
          <t>Total de tots els sexes; resposta JSON-stat de l'API d'Idescat</t>
        </is>
      </c>
    </row>
    <row r="513" ht="15" customHeight="1" s="39">
      <c r="A513" s="38" t="n">
        <v>2021</v>
      </c>
      <c r="B513" s="42" t="inlineStr">
        <is>
          <t>430957</t>
        </is>
      </c>
      <c r="C513" s="38" t="inlineStr">
        <is>
          <t>Morell, el</t>
        </is>
      </c>
      <c r="D513" s="38" t="inlineStr">
        <is>
          <t>Y001</t>
        </is>
      </c>
      <c r="E513" s="38" t="inlineStr">
        <is>
          <t>1 any</t>
        </is>
      </c>
      <c r="F513" s="38" t="n">
        <v>1</v>
      </c>
      <c r="G513" s="38" t="n">
        <v>38</v>
      </c>
      <c r="I513" s="38" t="inlineStr">
        <is>
          <t>Total de tots els sexes; resposta JSON-stat de l'API d'Idescat</t>
        </is>
      </c>
    </row>
    <row r="514" ht="15" customHeight="1" s="39">
      <c r="A514" s="38" t="n">
        <v>2021</v>
      </c>
      <c r="B514" s="42" t="inlineStr">
        <is>
          <t>430957</t>
        </is>
      </c>
      <c r="C514" s="38" t="inlineStr">
        <is>
          <t>Morell, el</t>
        </is>
      </c>
      <c r="D514" s="38" t="inlineStr">
        <is>
          <t>Y002</t>
        </is>
      </c>
      <c r="E514" s="38" t="inlineStr">
        <is>
          <t>2 anys</t>
        </is>
      </c>
      <c r="F514" s="38" t="n">
        <v>2</v>
      </c>
      <c r="G514" s="38" t="n">
        <v>37</v>
      </c>
      <c r="I514" s="38" t="inlineStr">
        <is>
          <t>Total de tots els sexes; resposta JSON-stat de l'API d'Idescat</t>
        </is>
      </c>
    </row>
    <row r="515" ht="15" customHeight="1" s="39">
      <c r="A515" s="38" t="n">
        <v>2021</v>
      </c>
      <c r="B515" s="42" t="inlineStr">
        <is>
          <t>430957</t>
        </is>
      </c>
      <c r="C515" s="38" t="inlineStr">
        <is>
          <t>Morell, el</t>
        </is>
      </c>
      <c r="D515" s="38" t="inlineStr">
        <is>
          <t>Y003</t>
        </is>
      </c>
      <c r="E515" s="38" t="inlineStr">
        <is>
          <t>3 anys</t>
        </is>
      </c>
      <c r="F515" s="38" t="n">
        <v>3</v>
      </c>
      <c r="G515" s="38" t="n">
        <v>27</v>
      </c>
      <c r="I515" s="38" t="inlineStr">
        <is>
          <t>Total de tots els sexes; resposta JSON-stat de l'API d'Idescat</t>
        </is>
      </c>
    </row>
    <row r="516" ht="15" customHeight="1" s="39">
      <c r="A516" s="38" t="n">
        <v>2021</v>
      </c>
      <c r="B516" s="42" t="inlineStr">
        <is>
          <t>430957</t>
        </is>
      </c>
      <c r="C516" s="38" t="inlineStr">
        <is>
          <t>Morell, el</t>
        </is>
      </c>
      <c r="D516" s="38" t="inlineStr">
        <is>
          <t>Y004</t>
        </is>
      </c>
      <c r="E516" s="38" t="inlineStr">
        <is>
          <t>4 anys</t>
        </is>
      </c>
      <c r="F516" s="38" t="n">
        <v>4</v>
      </c>
      <c r="G516" s="38" t="n">
        <v>39</v>
      </c>
      <c r="I516" s="38" t="inlineStr">
        <is>
          <t>Total de tots els sexes; resposta JSON-stat de l'API d'Idescat</t>
        </is>
      </c>
    </row>
    <row r="517" ht="15" customHeight="1" s="39">
      <c r="A517" s="38" t="n">
        <v>2021</v>
      </c>
      <c r="B517" s="42" t="inlineStr">
        <is>
          <t>430957</t>
        </is>
      </c>
      <c r="C517" s="38" t="inlineStr">
        <is>
          <t>Morell, el</t>
        </is>
      </c>
      <c r="D517" s="38" t="inlineStr">
        <is>
          <t>Y005</t>
        </is>
      </c>
      <c r="E517" s="38" t="inlineStr">
        <is>
          <t>5 anys</t>
        </is>
      </c>
      <c r="F517" s="38" t="n">
        <v>5</v>
      </c>
      <c r="G517" s="38" t="n">
        <v>53</v>
      </c>
      <c r="I517" s="38" t="inlineStr">
        <is>
          <t>Total de tots els sexes; resposta JSON-stat de l'API d'Idescat</t>
        </is>
      </c>
    </row>
    <row r="518" ht="15" customHeight="1" s="39">
      <c r="A518" s="38" t="n">
        <v>2021</v>
      </c>
      <c r="B518" s="42" t="inlineStr">
        <is>
          <t>430957</t>
        </is>
      </c>
      <c r="C518" s="38" t="inlineStr">
        <is>
          <t>Morell, el</t>
        </is>
      </c>
      <c r="D518" s="38" t="inlineStr">
        <is>
          <t>Y006</t>
        </is>
      </c>
      <c r="E518" s="38" t="inlineStr">
        <is>
          <t>6 anys</t>
        </is>
      </c>
      <c r="F518" s="38" t="n">
        <v>6</v>
      </c>
      <c r="G518" s="38" t="n">
        <v>51</v>
      </c>
      <c r="I518" s="38" t="inlineStr">
        <is>
          <t>Total de tots els sexes; resposta JSON-stat de l'API d'Idescat</t>
        </is>
      </c>
    </row>
    <row r="519" ht="15" customHeight="1" s="39">
      <c r="A519" s="38" t="n">
        <v>2021</v>
      </c>
      <c r="B519" s="42" t="inlineStr">
        <is>
          <t>430957</t>
        </is>
      </c>
      <c r="C519" s="38" t="inlineStr">
        <is>
          <t>Morell, el</t>
        </is>
      </c>
      <c r="D519" s="38" t="inlineStr">
        <is>
          <t>Y007</t>
        </is>
      </c>
      <c r="E519" s="38" t="inlineStr">
        <is>
          <t>7 anys</t>
        </is>
      </c>
      <c r="F519" s="38" t="n">
        <v>7</v>
      </c>
      <c r="G519" s="38" t="n">
        <v>41</v>
      </c>
      <c r="I519" s="38" t="inlineStr">
        <is>
          <t>Total de tots els sexes; resposta JSON-stat de l'API d'Idescat</t>
        </is>
      </c>
    </row>
    <row r="520" ht="15" customHeight="1" s="39">
      <c r="A520" s="38" t="n">
        <v>2021</v>
      </c>
      <c r="B520" s="42" t="inlineStr">
        <is>
          <t>430957</t>
        </is>
      </c>
      <c r="C520" s="38" t="inlineStr">
        <is>
          <t>Morell, el</t>
        </is>
      </c>
      <c r="D520" s="38" t="inlineStr">
        <is>
          <t>Y008</t>
        </is>
      </c>
      <c r="E520" s="38" t="inlineStr">
        <is>
          <t>8 anys</t>
        </is>
      </c>
      <c r="F520" s="38" t="n">
        <v>8</v>
      </c>
      <c r="G520" s="38" t="n">
        <v>55</v>
      </c>
      <c r="I520" s="38" t="inlineStr">
        <is>
          <t>Total de tots els sexes; resposta JSON-stat de l'API d'Idescat</t>
        </is>
      </c>
    </row>
    <row r="521" ht="15" customHeight="1" s="39">
      <c r="A521" s="38" t="n">
        <v>2021</v>
      </c>
      <c r="B521" s="42" t="inlineStr">
        <is>
          <t>430957</t>
        </is>
      </c>
      <c r="C521" s="38" t="inlineStr">
        <is>
          <t>Morell, el</t>
        </is>
      </c>
      <c r="D521" s="38" t="inlineStr">
        <is>
          <t>Y009</t>
        </is>
      </c>
      <c r="E521" s="38" t="inlineStr">
        <is>
          <t>9 anys</t>
        </is>
      </c>
      <c r="F521" s="38" t="n">
        <v>9</v>
      </c>
      <c r="G521" s="38" t="n">
        <v>44</v>
      </c>
      <c r="I521" s="38" t="inlineStr">
        <is>
          <t>Total de tots els sexes; resposta JSON-stat de l'API d'Idescat</t>
        </is>
      </c>
    </row>
    <row r="522" ht="15" customHeight="1" s="39">
      <c r="A522" s="38" t="n">
        <v>2021</v>
      </c>
      <c r="B522" s="42" t="inlineStr">
        <is>
          <t>430957</t>
        </is>
      </c>
      <c r="C522" s="38" t="inlineStr">
        <is>
          <t>Morell, el</t>
        </is>
      </c>
      <c r="D522" s="38" t="inlineStr">
        <is>
          <t>Y010</t>
        </is>
      </c>
      <c r="E522" s="38" t="inlineStr">
        <is>
          <t>10 anys</t>
        </is>
      </c>
      <c r="F522" s="38" t="n">
        <v>10</v>
      </c>
      <c r="G522" s="38" t="n">
        <v>46</v>
      </c>
      <c r="I522" s="38" t="inlineStr">
        <is>
          <t>Total de tots els sexes; resposta JSON-stat de l'API d'Idescat</t>
        </is>
      </c>
    </row>
    <row r="523" ht="15" customHeight="1" s="39">
      <c r="A523" s="38" t="n">
        <v>2021</v>
      </c>
      <c r="B523" s="42" t="inlineStr">
        <is>
          <t>430957</t>
        </is>
      </c>
      <c r="C523" s="38" t="inlineStr">
        <is>
          <t>Morell, el</t>
        </is>
      </c>
      <c r="D523" s="38" t="inlineStr">
        <is>
          <t>Y011</t>
        </is>
      </c>
      <c r="E523" s="38" t="inlineStr">
        <is>
          <t>11 anys</t>
        </is>
      </c>
      <c r="F523" s="38" t="n">
        <v>11</v>
      </c>
      <c r="G523" s="38" t="n">
        <v>41</v>
      </c>
      <c r="I523" s="38" t="inlineStr">
        <is>
          <t>Total de tots els sexes; resposta JSON-stat de l'API d'Idescat</t>
        </is>
      </c>
    </row>
    <row r="524" ht="15" customHeight="1" s="39">
      <c r="A524" s="38" t="n">
        <v>2021</v>
      </c>
      <c r="B524" s="42" t="inlineStr">
        <is>
          <t>430957</t>
        </is>
      </c>
      <c r="C524" s="38" t="inlineStr">
        <is>
          <t>Morell, el</t>
        </is>
      </c>
      <c r="D524" s="38" t="inlineStr">
        <is>
          <t>Y012</t>
        </is>
      </c>
      <c r="E524" s="38" t="inlineStr">
        <is>
          <t>12 anys</t>
        </is>
      </c>
      <c r="F524" s="38" t="n">
        <v>12</v>
      </c>
      <c r="G524" s="38" t="n">
        <v>55</v>
      </c>
      <c r="I524" s="38" t="inlineStr">
        <is>
          <t>Total de tots els sexes; resposta JSON-stat de l'API d'Idescat</t>
        </is>
      </c>
    </row>
    <row r="525" ht="15" customHeight="1" s="39">
      <c r="A525" s="38" t="n">
        <v>2021</v>
      </c>
      <c r="B525" s="42" t="inlineStr">
        <is>
          <t>430957</t>
        </is>
      </c>
      <c r="C525" s="38" t="inlineStr">
        <is>
          <t>Morell, el</t>
        </is>
      </c>
      <c r="D525" s="38" t="inlineStr">
        <is>
          <t>Y013</t>
        </is>
      </c>
      <c r="E525" s="38" t="inlineStr">
        <is>
          <t>13 anys</t>
        </is>
      </c>
      <c r="F525" s="38" t="n">
        <v>13</v>
      </c>
      <c r="G525" s="38" t="n">
        <v>45</v>
      </c>
      <c r="I525" s="38" t="inlineStr">
        <is>
          <t>Total de tots els sexes; resposta JSON-stat de l'API d'Idescat</t>
        </is>
      </c>
    </row>
    <row r="526" ht="15" customHeight="1" s="39">
      <c r="A526" s="38" t="n">
        <v>2021</v>
      </c>
      <c r="B526" s="42" t="inlineStr">
        <is>
          <t>430957</t>
        </is>
      </c>
      <c r="C526" s="38" t="inlineStr">
        <is>
          <t>Morell, el</t>
        </is>
      </c>
      <c r="D526" s="38" t="inlineStr">
        <is>
          <t>Y014</t>
        </is>
      </c>
      <c r="E526" s="38" t="inlineStr">
        <is>
          <t>14 anys</t>
        </is>
      </c>
      <c r="F526" s="38" t="n">
        <v>14</v>
      </c>
      <c r="G526" s="38" t="n">
        <v>44</v>
      </c>
      <c r="I526" s="38" t="inlineStr">
        <is>
          <t>Total de tots els sexes; resposta JSON-stat de l'API d'Idescat</t>
        </is>
      </c>
    </row>
    <row r="527" ht="15" customHeight="1" s="39">
      <c r="A527" s="38" t="n">
        <v>2021</v>
      </c>
      <c r="B527" s="42" t="inlineStr">
        <is>
          <t>430957</t>
        </is>
      </c>
      <c r="C527" s="38" t="inlineStr">
        <is>
          <t>Morell, el</t>
        </is>
      </c>
      <c r="D527" s="38" t="inlineStr">
        <is>
          <t>Y015</t>
        </is>
      </c>
      <c r="E527" s="38" t="inlineStr">
        <is>
          <t>15 anys</t>
        </is>
      </c>
      <c r="F527" s="38" t="n">
        <v>15</v>
      </c>
      <c r="G527" s="38" t="n">
        <v>40</v>
      </c>
      <c r="I527" s="38" t="inlineStr">
        <is>
          <t>Total de tots els sexes; resposta JSON-stat de l'API d'Idescat</t>
        </is>
      </c>
    </row>
    <row r="528" ht="15" customHeight="1" s="39">
      <c r="A528" s="38" t="n">
        <v>2021</v>
      </c>
      <c r="B528" s="42" t="inlineStr">
        <is>
          <t>430957</t>
        </is>
      </c>
      <c r="C528" s="38" t="inlineStr">
        <is>
          <t>Morell, el</t>
        </is>
      </c>
      <c r="D528" s="38" t="inlineStr">
        <is>
          <t>Y016</t>
        </is>
      </c>
      <c r="E528" s="38" t="inlineStr">
        <is>
          <t>16 anys</t>
        </is>
      </c>
      <c r="F528" s="38" t="n">
        <v>16</v>
      </c>
      <c r="G528" s="38" t="n">
        <v>35</v>
      </c>
      <c r="I528" s="38" t="inlineStr">
        <is>
          <t>Total de tots els sexes; resposta JSON-stat de l'API d'Idescat</t>
        </is>
      </c>
    </row>
    <row r="529" ht="15" customHeight="1" s="39">
      <c r="A529" s="38" t="n">
        <v>2021</v>
      </c>
      <c r="B529" s="42" t="inlineStr">
        <is>
          <t>430957</t>
        </is>
      </c>
      <c r="C529" s="38" t="inlineStr">
        <is>
          <t>Morell, el</t>
        </is>
      </c>
      <c r="D529" s="38" t="inlineStr">
        <is>
          <t>Y017</t>
        </is>
      </c>
      <c r="E529" s="38" t="inlineStr">
        <is>
          <t>17 anys</t>
        </is>
      </c>
      <c r="F529" s="38" t="n">
        <v>17</v>
      </c>
      <c r="G529" s="38" t="n">
        <v>49</v>
      </c>
      <c r="I529" s="38" t="inlineStr">
        <is>
          <t>Total de tots els sexes; resposta JSON-stat de l'API d'Idescat</t>
        </is>
      </c>
    </row>
    <row r="530" ht="15" customHeight="1" s="39">
      <c r="A530" s="38" t="n">
        <v>2021</v>
      </c>
      <c r="B530" s="42" t="inlineStr">
        <is>
          <t>430957</t>
        </is>
      </c>
      <c r="C530" s="38" t="inlineStr">
        <is>
          <t>Morell, el</t>
        </is>
      </c>
      <c r="D530" s="38" t="inlineStr">
        <is>
          <t>Y018</t>
        </is>
      </c>
      <c r="E530" s="38" t="inlineStr">
        <is>
          <t>18 anys</t>
        </is>
      </c>
      <c r="F530" s="38" t="n">
        <v>18</v>
      </c>
      <c r="G530" s="38" t="n">
        <v>36</v>
      </c>
      <c r="I530" s="38" t="inlineStr">
        <is>
          <t>Total de tots els sexes; resposta JSON-stat de l'API d'Idescat</t>
        </is>
      </c>
    </row>
    <row r="531" ht="15" customHeight="1" s="39">
      <c r="A531" s="38" t="n">
        <v>2021</v>
      </c>
      <c r="B531" s="42" t="inlineStr">
        <is>
          <t>430957</t>
        </is>
      </c>
      <c r="C531" s="38" t="inlineStr">
        <is>
          <t>Morell, el</t>
        </is>
      </c>
      <c r="D531" s="38" t="inlineStr">
        <is>
          <t>Y019</t>
        </is>
      </c>
      <c r="E531" s="38" t="inlineStr">
        <is>
          <t>19 anys</t>
        </is>
      </c>
      <c r="F531" s="38" t="n">
        <v>19</v>
      </c>
      <c r="G531" s="38" t="n">
        <v>39</v>
      </c>
      <c r="I531" s="38" t="inlineStr">
        <is>
          <t>Total de tots els sexes; resposta JSON-stat de l'API d'Idescat</t>
        </is>
      </c>
    </row>
    <row r="532" ht="15" customHeight="1" s="39">
      <c r="A532" s="38" t="n">
        <v>2021</v>
      </c>
      <c r="B532" s="42" t="inlineStr">
        <is>
          <t>430957</t>
        </is>
      </c>
      <c r="C532" s="38" t="inlineStr">
        <is>
          <t>Morell, el</t>
        </is>
      </c>
      <c r="D532" s="38" t="inlineStr">
        <is>
          <t>Y020</t>
        </is>
      </c>
      <c r="E532" s="38" t="inlineStr">
        <is>
          <t>20 anys</t>
        </is>
      </c>
      <c r="F532" s="38" t="n">
        <v>20</v>
      </c>
      <c r="G532" s="38" t="n">
        <v>36</v>
      </c>
      <c r="I532" s="38" t="inlineStr">
        <is>
          <t>Total de tots els sexes; resposta JSON-stat de l'API d'Idescat</t>
        </is>
      </c>
    </row>
    <row r="533" ht="15" customHeight="1" s="39">
      <c r="A533" s="38" t="n">
        <v>2021</v>
      </c>
      <c r="B533" s="42" t="inlineStr">
        <is>
          <t>430957</t>
        </is>
      </c>
      <c r="C533" s="38" t="inlineStr">
        <is>
          <t>Morell, el</t>
        </is>
      </c>
      <c r="D533" s="38" t="inlineStr">
        <is>
          <t>Y021</t>
        </is>
      </c>
      <c r="E533" s="38" t="inlineStr">
        <is>
          <t>21 anys</t>
        </is>
      </c>
      <c r="F533" s="38" t="n">
        <v>21</v>
      </c>
      <c r="G533" s="38" t="n">
        <v>36</v>
      </c>
      <c r="I533" s="38" t="inlineStr">
        <is>
          <t>Total de tots els sexes; resposta JSON-stat de l'API d'Idescat</t>
        </is>
      </c>
    </row>
    <row r="534" ht="15" customHeight="1" s="39">
      <c r="A534" s="38" t="n">
        <v>2021</v>
      </c>
      <c r="B534" s="42" t="inlineStr">
        <is>
          <t>430957</t>
        </is>
      </c>
      <c r="C534" s="38" t="inlineStr">
        <is>
          <t>Morell, el</t>
        </is>
      </c>
      <c r="D534" s="38" t="inlineStr">
        <is>
          <t>Y022</t>
        </is>
      </c>
      <c r="E534" s="38" t="inlineStr">
        <is>
          <t>22 anys</t>
        </is>
      </c>
      <c r="F534" s="38" t="n">
        <v>22</v>
      </c>
      <c r="G534" s="38" t="n">
        <v>43</v>
      </c>
      <c r="I534" s="38" t="inlineStr">
        <is>
          <t>Total de tots els sexes; resposta JSON-stat de l'API d'Idescat</t>
        </is>
      </c>
    </row>
    <row r="535" ht="15" customHeight="1" s="39">
      <c r="A535" s="38" t="n">
        <v>2021</v>
      </c>
      <c r="B535" s="42" t="inlineStr">
        <is>
          <t>430957</t>
        </is>
      </c>
      <c r="C535" s="38" t="inlineStr">
        <is>
          <t>Morell, el</t>
        </is>
      </c>
      <c r="D535" s="38" t="inlineStr">
        <is>
          <t>Y023</t>
        </is>
      </c>
      <c r="E535" s="38" t="inlineStr">
        <is>
          <t>23 anys</t>
        </is>
      </c>
      <c r="F535" s="38" t="n">
        <v>23</v>
      </c>
      <c r="G535" s="38" t="n">
        <v>31</v>
      </c>
      <c r="I535" s="38" t="inlineStr">
        <is>
          <t>Total de tots els sexes; resposta JSON-stat de l'API d'Idescat</t>
        </is>
      </c>
    </row>
    <row r="536" ht="15" customHeight="1" s="39">
      <c r="A536" s="38" t="n">
        <v>2021</v>
      </c>
      <c r="B536" s="42" t="inlineStr">
        <is>
          <t>430957</t>
        </is>
      </c>
      <c r="C536" s="38" t="inlineStr">
        <is>
          <t>Morell, el</t>
        </is>
      </c>
      <c r="D536" s="38" t="inlineStr">
        <is>
          <t>Y024</t>
        </is>
      </c>
      <c r="E536" s="38" t="inlineStr">
        <is>
          <t>24 anys</t>
        </is>
      </c>
      <c r="F536" s="38" t="n">
        <v>24</v>
      </c>
      <c r="G536" s="38" t="n">
        <v>27</v>
      </c>
      <c r="I536" s="38" t="inlineStr">
        <is>
          <t>Total de tots els sexes; resposta JSON-stat de l'API d'Idescat</t>
        </is>
      </c>
    </row>
    <row r="537" ht="15" customHeight="1" s="39">
      <c r="A537" s="38" t="n">
        <v>2021</v>
      </c>
      <c r="B537" s="42" t="inlineStr">
        <is>
          <t>430957</t>
        </is>
      </c>
      <c r="C537" s="38" t="inlineStr">
        <is>
          <t>Morell, el</t>
        </is>
      </c>
      <c r="D537" s="38" t="inlineStr">
        <is>
          <t>Y025</t>
        </is>
      </c>
      <c r="E537" s="38" t="inlineStr">
        <is>
          <t>25 anys</t>
        </is>
      </c>
      <c r="F537" s="38" t="n">
        <v>25</v>
      </c>
      <c r="G537" s="38" t="n">
        <v>35</v>
      </c>
      <c r="I537" s="38" t="inlineStr">
        <is>
          <t>Total de tots els sexes; resposta JSON-stat de l'API d'Idescat</t>
        </is>
      </c>
    </row>
    <row r="538" ht="15" customHeight="1" s="39">
      <c r="A538" s="38" t="n">
        <v>2021</v>
      </c>
      <c r="B538" s="42" t="inlineStr">
        <is>
          <t>430957</t>
        </is>
      </c>
      <c r="C538" s="38" t="inlineStr">
        <is>
          <t>Morell, el</t>
        </is>
      </c>
      <c r="D538" s="38" t="inlineStr">
        <is>
          <t>Y026</t>
        </is>
      </c>
      <c r="E538" s="38" t="inlineStr">
        <is>
          <t>26 anys</t>
        </is>
      </c>
      <c r="F538" s="38" t="n">
        <v>26</v>
      </c>
      <c r="G538" s="38" t="n">
        <v>37</v>
      </c>
      <c r="I538" s="38" t="inlineStr">
        <is>
          <t>Total de tots els sexes; resposta JSON-stat de l'API d'Idescat</t>
        </is>
      </c>
    </row>
    <row r="539" ht="15" customHeight="1" s="39">
      <c r="A539" s="38" t="n">
        <v>2021</v>
      </c>
      <c r="B539" s="42" t="inlineStr">
        <is>
          <t>430957</t>
        </is>
      </c>
      <c r="C539" s="38" t="inlineStr">
        <is>
          <t>Morell, el</t>
        </is>
      </c>
      <c r="D539" s="38" t="inlineStr">
        <is>
          <t>Y027</t>
        </is>
      </c>
      <c r="E539" s="38" t="inlineStr">
        <is>
          <t>27 anys</t>
        </is>
      </c>
      <c r="F539" s="38" t="n">
        <v>27</v>
      </c>
      <c r="G539" s="38" t="n">
        <v>47</v>
      </c>
      <c r="I539" s="38" t="inlineStr">
        <is>
          <t>Total de tots els sexes; resposta JSON-stat de l'API d'Idescat</t>
        </is>
      </c>
    </row>
    <row r="540" ht="15" customHeight="1" s="39">
      <c r="A540" s="38" t="n">
        <v>2021</v>
      </c>
      <c r="B540" s="42" t="inlineStr">
        <is>
          <t>430957</t>
        </is>
      </c>
      <c r="C540" s="38" t="inlineStr">
        <is>
          <t>Morell, el</t>
        </is>
      </c>
      <c r="D540" s="38" t="inlineStr">
        <is>
          <t>Y028</t>
        </is>
      </c>
      <c r="E540" s="38" t="inlineStr">
        <is>
          <t>28 anys</t>
        </is>
      </c>
      <c r="F540" s="38" t="n">
        <v>28</v>
      </c>
      <c r="G540" s="38" t="n">
        <v>47</v>
      </c>
      <c r="I540" s="38" t="inlineStr">
        <is>
          <t>Total de tots els sexes; resposta JSON-stat de l'API d'Idescat</t>
        </is>
      </c>
    </row>
    <row r="541" ht="15" customHeight="1" s="39">
      <c r="A541" s="38" t="n">
        <v>2021</v>
      </c>
      <c r="B541" s="42" t="inlineStr">
        <is>
          <t>430957</t>
        </is>
      </c>
      <c r="C541" s="38" t="inlineStr">
        <is>
          <t>Morell, el</t>
        </is>
      </c>
      <c r="D541" s="38" t="inlineStr">
        <is>
          <t>Y029</t>
        </is>
      </c>
      <c r="E541" s="38" t="inlineStr">
        <is>
          <t>29 anys</t>
        </is>
      </c>
      <c r="F541" s="38" t="n">
        <v>29</v>
      </c>
      <c r="G541" s="38" t="n">
        <v>37</v>
      </c>
      <c r="I541" s="38" t="inlineStr">
        <is>
          <t>Total de tots els sexes; resposta JSON-stat de l'API d'Idescat</t>
        </is>
      </c>
    </row>
    <row r="542" ht="15" customHeight="1" s="39">
      <c r="A542" s="38" t="n">
        <v>2021</v>
      </c>
      <c r="B542" s="42" t="inlineStr">
        <is>
          <t>430957</t>
        </is>
      </c>
      <c r="C542" s="38" t="inlineStr">
        <is>
          <t>Morell, el</t>
        </is>
      </c>
      <c r="D542" s="38" t="inlineStr">
        <is>
          <t>Y030</t>
        </is>
      </c>
      <c r="E542" s="38" t="inlineStr">
        <is>
          <t>30 anys</t>
        </is>
      </c>
      <c r="F542" s="38" t="n">
        <v>30</v>
      </c>
      <c r="G542" s="38" t="n">
        <v>49</v>
      </c>
      <c r="I542" s="38" t="inlineStr">
        <is>
          <t>Total de tots els sexes; resposta JSON-stat de l'API d'Idescat</t>
        </is>
      </c>
    </row>
    <row r="543" ht="15" customHeight="1" s="39">
      <c r="A543" s="38" t="n">
        <v>2021</v>
      </c>
      <c r="B543" s="42" t="inlineStr">
        <is>
          <t>430957</t>
        </is>
      </c>
      <c r="C543" s="38" t="inlineStr">
        <is>
          <t>Morell, el</t>
        </is>
      </c>
      <c r="D543" s="38" t="inlineStr">
        <is>
          <t>Y031</t>
        </is>
      </c>
      <c r="E543" s="38" t="inlineStr">
        <is>
          <t>31 anys</t>
        </is>
      </c>
      <c r="F543" s="38" t="n">
        <v>31</v>
      </c>
      <c r="G543" s="38" t="n">
        <v>46</v>
      </c>
      <c r="I543" s="38" t="inlineStr">
        <is>
          <t>Total de tots els sexes; resposta JSON-stat de l'API d'Idescat</t>
        </is>
      </c>
    </row>
    <row r="544" ht="15" customHeight="1" s="39">
      <c r="A544" s="38" t="n">
        <v>2021</v>
      </c>
      <c r="B544" s="42" t="inlineStr">
        <is>
          <t>430957</t>
        </is>
      </c>
      <c r="C544" s="38" t="inlineStr">
        <is>
          <t>Morell, el</t>
        </is>
      </c>
      <c r="D544" s="38" t="inlineStr">
        <is>
          <t>Y032</t>
        </is>
      </c>
      <c r="E544" s="38" t="inlineStr">
        <is>
          <t>32 anys</t>
        </is>
      </c>
      <c r="F544" s="38" t="n">
        <v>32</v>
      </c>
      <c r="G544" s="38" t="n">
        <v>61</v>
      </c>
      <c r="I544" s="38" t="inlineStr">
        <is>
          <t>Total de tots els sexes; resposta JSON-stat de l'API d'Idescat</t>
        </is>
      </c>
    </row>
    <row r="545" ht="15" customHeight="1" s="39">
      <c r="A545" s="38" t="n">
        <v>2021</v>
      </c>
      <c r="B545" s="42" t="inlineStr">
        <is>
          <t>430957</t>
        </is>
      </c>
      <c r="C545" s="38" t="inlineStr">
        <is>
          <t>Morell, el</t>
        </is>
      </c>
      <c r="D545" s="38" t="inlineStr">
        <is>
          <t>Y033</t>
        </is>
      </c>
      <c r="E545" s="38" t="inlineStr">
        <is>
          <t>33 anys</t>
        </is>
      </c>
      <c r="F545" s="38" t="n">
        <v>33</v>
      </c>
      <c r="G545" s="38" t="n">
        <v>41</v>
      </c>
      <c r="I545" s="38" t="inlineStr">
        <is>
          <t>Total de tots els sexes; resposta JSON-stat de l'API d'Idescat</t>
        </is>
      </c>
    </row>
    <row r="546" ht="15" customHeight="1" s="39">
      <c r="A546" s="38" t="n">
        <v>2021</v>
      </c>
      <c r="B546" s="42" t="inlineStr">
        <is>
          <t>430957</t>
        </is>
      </c>
      <c r="C546" s="38" t="inlineStr">
        <is>
          <t>Morell, el</t>
        </is>
      </c>
      <c r="D546" s="38" t="inlineStr">
        <is>
          <t>Y034</t>
        </is>
      </c>
      <c r="E546" s="38" t="inlineStr">
        <is>
          <t>34 anys</t>
        </is>
      </c>
      <c r="F546" s="38" t="n">
        <v>34</v>
      </c>
      <c r="G546" s="38" t="n">
        <v>62</v>
      </c>
      <c r="I546" s="38" t="inlineStr">
        <is>
          <t>Total de tots els sexes; resposta JSON-stat de l'API d'Idescat</t>
        </is>
      </c>
    </row>
    <row r="547" ht="15" customHeight="1" s="39">
      <c r="A547" s="38" t="n">
        <v>2021</v>
      </c>
      <c r="B547" s="42" t="inlineStr">
        <is>
          <t>430957</t>
        </is>
      </c>
      <c r="C547" s="38" t="inlineStr">
        <is>
          <t>Morell, el</t>
        </is>
      </c>
      <c r="D547" s="38" t="inlineStr">
        <is>
          <t>Y035</t>
        </is>
      </c>
      <c r="E547" s="38" t="inlineStr">
        <is>
          <t>35 anys</t>
        </is>
      </c>
      <c r="F547" s="38" t="n">
        <v>35</v>
      </c>
      <c r="G547" s="38" t="n">
        <v>54</v>
      </c>
      <c r="I547" s="38" t="inlineStr">
        <is>
          <t>Total de tots els sexes; resposta JSON-stat de l'API d'Idescat</t>
        </is>
      </c>
    </row>
    <row r="548" ht="15" customHeight="1" s="39">
      <c r="A548" s="38" t="n">
        <v>2021</v>
      </c>
      <c r="B548" s="42" t="inlineStr">
        <is>
          <t>430957</t>
        </is>
      </c>
      <c r="C548" s="38" t="inlineStr">
        <is>
          <t>Morell, el</t>
        </is>
      </c>
      <c r="D548" s="38" t="inlineStr">
        <is>
          <t>Y036</t>
        </is>
      </c>
      <c r="E548" s="38" t="inlineStr">
        <is>
          <t>36 anys</t>
        </is>
      </c>
      <c r="F548" s="38" t="n">
        <v>36</v>
      </c>
      <c r="G548" s="38" t="n">
        <v>70</v>
      </c>
      <c r="I548" s="38" t="inlineStr">
        <is>
          <t>Total de tots els sexes; resposta JSON-stat de l'API d'Idescat</t>
        </is>
      </c>
    </row>
    <row r="549" ht="15" customHeight="1" s="39">
      <c r="A549" s="38" t="n">
        <v>2021</v>
      </c>
      <c r="B549" s="42" t="inlineStr">
        <is>
          <t>430957</t>
        </is>
      </c>
      <c r="C549" s="38" t="inlineStr">
        <is>
          <t>Morell, el</t>
        </is>
      </c>
      <c r="D549" s="38" t="inlineStr">
        <is>
          <t>Y037</t>
        </is>
      </c>
      <c r="E549" s="38" t="inlineStr">
        <is>
          <t>37 anys</t>
        </is>
      </c>
      <c r="F549" s="38" t="n">
        <v>37</v>
      </c>
      <c r="G549" s="38" t="n">
        <v>69</v>
      </c>
      <c r="I549" s="38" t="inlineStr">
        <is>
          <t>Total de tots els sexes; resposta JSON-stat de l'API d'Idescat</t>
        </is>
      </c>
    </row>
    <row r="550" ht="15" customHeight="1" s="39">
      <c r="A550" s="38" t="n">
        <v>2021</v>
      </c>
      <c r="B550" s="42" t="inlineStr">
        <is>
          <t>430957</t>
        </is>
      </c>
      <c r="C550" s="38" t="inlineStr">
        <is>
          <t>Morell, el</t>
        </is>
      </c>
      <c r="D550" s="38" t="inlineStr">
        <is>
          <t>Y038</t>
        </is>
      </c>
      <c r="E550" s="38" t="inlineStr">
        <is>
          <t>38 anys</t>
        </is>
      </c>
      <c r="F550" s="38" t="n">
        <v>38</v>
      </c>
      <c r="G550" s="38" t="n">
        <v>73</v>
      </c>
      <c r="I550" s="38" t="inlineStr">
        <is>
          <t>Total de tots els sexes; resposta JSON-stat de l'API d'Idescat</t>
        </is>
      </c>
    </row>
    <row r="551" ht="15" customHeight="1" s="39">
      <c r="A551" s="38" t="n">
        <v>2021</v>
      </c>
      <c r="B551" s="42" t="inlineStr">
        <is>
          <t>430957</t>
        </is>
      </c>
      <c r="C551" s="38" t="inlineStr">
        <is>
          <t>Morell, el</t>
        </is>
      </c>
      <c r="D551" s="38" t="inlineStr">
        <is>
          <t>Y039</t>
        </is>
      </c>
      <c r="E551" s="38" t="inlineStr">
        <is>
          <t>39 anys</t>
        </is>
      </c>
      <c r="F551" s="38" t="n">
        <v>39</v>
      </c>
      <c r="G551" s="38" t="n">
        <v>57</v>
      </c>
      <c r="I551" s="38" t="inlineStr">
        <is>
          <t>Total de tots els sexes; resposta JSON-stat de l'API d'Idescat</t>
        </is>
      </c>
    </row>
    <row r="552" ht="15" customHeight="1" s="39">
      <c r="A552" s="38" t="n">
        <v>2021</v>
      </c>
      <c r="B552" s="42" t="inlineStr">
        <is>
          <t>430957</t>
        </is>
      </c>
      <c r="C552" s="38" t="inlineStr">
        <is>
          <t>Morell, el</t>
        </is>
      </c>
      <c r="D552" s="38" t="inlineStr">
        <is>
          <t>Y040</t>
        </is>
      </c>
      <c r="E552" s="38" t="inlineStr">
        <is>
          <t>40 anys</t>
        </is>
      </c>
      <c r="F552" s="38" t="n">
        <v>40</v>
      </c>
      <c r="G552" s="38" t="n">
        <v>75</v>
      </c>
      <c r="I552" s="38" t="inlineStr">
        <is>
          <t>Total de tots els sexes; resposta JSON-stat de l'API d'Idescat</t>
        </is>
      </c>
    </row>
    <row r="553" ht="15" customHeight="1" s="39">
      <c r="A553" s="38" t="n">
        <v>2021</v>
      </c>
      <c r="B553" s="42" t="inlineStr">
        <is>
          <t>430957</t>
        </is>
      </c>
      <c r="C553" s="38" t="inlineStr">
        <is>
          <t>Morell, el</t>
        </is>
      </c>
      <c r="D553" s="38" t="inlineStr">
        <is>
          <t>Y041</t>
        </is>
      </c>
      <c r="E553" s="38" t="inlineStr">
        <is>
          <t>41 anys</t>
        </is>
      </c>
      <c r="F553" s="38" t="n">
        <v>41</v>
      </c>
      <c r="G553" s="38" t="n">
        <v>86</v>
      </c>
      <c r="I553" s="38" t="inlineStr">
        <is>
          <t>Total de tots els sexes; resposta JSON-stat de l'API d'Idescat</t>
        </is>
      </c>
    </row>
    <row r="554" ht="15" customHeight="1" s="39">
      <c r="A554" s="38" t="n">
        <v>2021</v>
      </c>
      <c r="B554" s="42" t="inlineStr">
        <is>
          <t>430957</t>
        </is>
      </c>
      <c r="C554" s="38" t="inlineStr">
        <is>
          <t>Morell, el</t>
        </is>
      </c>
      <c r="D554" s="38" t="inlineStr">
        <is>
          <t>Y042</t>
        </is>
      </c>
      <c r="E554" s="38" t="inlineStr">
        <is>
          <t>42 anys</t>
        </is>
      </c>
      <c r="F554" s="38" t="n">
        <v>42</v>
      </c>
      <c r="G554" s="38" t="n">
        <v>93</v>
      </c>
      <c r="I554" s="38" t="inlineStr">
        <is>
          <t>Total de tots els sexes; resposta JSON-stat de l'API d'Idescat</t>
        </is>
      </c>
    </row>
    <row r="555" ht="15" customHeight="1" s="39">
      <c r="A555" s="38" t="n">
        <v>2021</v>
      </c>
      <c r="B555" s="42" t="inlineStr">
        <is>
          <t>430957</t>
        </is>
      </c>
      <c r="C555" s="38" t="inlineStr">
        <is>
          <t>Morell, el</t>
        </is>
      </c>
      <c r="D555" s="38" t="inlineStr">
        <is>
          <t>Y043</t>
        </is>
      </c>
      <c r="E555" s="38" t="inlineStr">
        <is>
          <t>43 anys</t>
        </is>
      </c>
      <c r="F555" s="38" t="n">
        <v>43</v>
      </c>
      <c r="G555" s="38" t="n">
        <v>74</v>
      </c>
      <c r="I555" s="38" t="inlineStr">
        <is>
          <t>Total de tots els sexes; resposta JSON-stat de l'API d'Idescat</t>
        </is>
      </c>
    </row>
    <row r="556" ht="15" customHeight="1" s="39">
      <c r="A556" s="38" t="n">
        <v>2021</v>
      </c>
      <c r="B556" s="42" t="inlineStr">
        <is>
          <t>430957</t>
        </is>
      </c>
      <c r="C556" s="38" t="inlineStr">
        <is>
          <t>Morell, el</t>
        </is>
      </c>
      <c r="D556" s="38" t="inlineStr">
        <is>
          <t>Y044</t>
        </is>
      </c>
      <c r="E556" s="38" t="inlineStr">
        <is>
          <t>44 anys</t>
        </is>
      </c>
      <c r="F556" s="38" t="n">
        <v>44</v>
      </c>
      <c r="G556" s="38" t="n">
        <v>70</v>
      </c>
      <c r="I556" s="38" t="inlineStr">
        <is>
          <t>Total de tots els sexes; resposta JSON-stat de l'API d'Idescat</t>
        </is>
      </c>
    </row>
    <row r="557" ht="15" customHeight="1" s="39">
      <c r="A557" s="38" t="n">
        <v>2021</v>
      </c>
      <c r="B557" s="42" t="inlineStr">
        <is>
          <t>430957</t>
        </is>
      </c>
      <c r="C557" s="38" t="inlineStr">
        <is>
          <t>Morell, el</t>
        </is>
      </c>
      <c r="D557" s="38" t="inlineStr">
        <is>
          <t>Y045</t>
        </is>
      </c>
      <c r="E557" s="38" t="inlineStr">
        <is>
          <t>45 anys</t>
        </is>
      </c>
      <c r="F557" s="38" t="n">
        <v>45</v>
      </c>
      <c r="G557" s="38" t="n">
        <v>74</v>
      </c>
      <c r="I557" s="38" t="inlineStr">
        <is>
          <t>Total de tots els sexes; resposta JSON-stat de l'API d'Idescat</t>
        </is>
      </c>
    </row>
    <row r="558" ht="15" customHeight="1" s="39">
      <c r="A558" s="38" t="n">
        <v>2021</v>
      </c>
      <c r="B558" s="42" t="inlineStr">
        <is>
          <t>430957</t>
        </is>
      </c>
      <c r="C558" s="38" t="inlineStr">
        <is>
          <t>Morell, el</t>
        </is>
      </c>
      <c r="D558" s="38" t="inlineStr">
        <is>
          <t>Y046</t>
        </is>
      </c>
      <c r="E558" s="38" t="inlineStr">
        <is>
          <t>46 anys</t>
        </is>
      </c>
      <c r="F558" s="38" t="n">
        <v>46</v>
      </c>
      <c r="G558" s="38" t="n">
        <v>66</v>
      </c>
      <c r="I558" s="38" t="inlineStr">
        <is>
          <t>Total de tots els sexes; resposta JSON-stat de l'API d'Idescat</t>
        </is>
      </c>
    </row>
    <row r="559" ht="15" customHeight="1" s="39">
      <c r="A559" s="38" t="n">
        <v>2021</v>
      </c>
      <c r="B559" s="42" t="inlineStr">
        <is>
          <t>430957</t>
        </is>
      </c>
      <c r="C559" s="38" t="inlineStr">
        <is>
          <t>Morell, el</t>
        </is>
      </c>
      <c r="D559" s="38" t="inlineStr">
        <is>
          <t>Y047</t>
        </is>
      </c>
      <c r="E559" s="38" t="inlineStr">
        <is>
          <t>47 anys</t>
        </is>
      </c>
      <c r="F559" s="38" t="n">
        <v>47</v>
      </c>
      <c r="G559" s="38" t="n">
        <v>65</v>
      </c>
      <c r="I559" s="38" t="inlineStr">
        <is>
          <t>Total de tots els sexes; resposta JSON-stat de l'API d'Idescat</t>
        </is>
      </c>
    </row>
    <row r="560" ht="15" customHeight="1" s="39">
      <c r="A560" s="38" t="n">
        <v>2021</v>
      </c>
      <c r="B560" s="42" t="inlineStr">
        <is>
          <t>430957</t>
        </is>
      </c>
      <c r="C560" s="38" t="inlineStr">
        <is>
          <t>Morell, el</t>
        </is>
      </c>
      <c r="D560" s="38" t="inlineStr">
        <is>
          <t>Y048</t>
        </is>
      </c>
      <c r="E560" s="38" t="inlineStr">
        <is>
          <t>48 anys</t>
        </is>
      </c>
      <c r="F560" s="38" t="n">
        <v>48</v>
      </c>
      <c r="G560" s="38" t="n">
        <v>74</v>
      </c>
      <c r="I560" s="38" t="inlineStr">
        <is>
          <t>Total de tots els sexes; resposta JSON-stat de l'API d'Idescat</t>
        </is>
      </c>
    </row>
    <row r="561" ht="15" customHeight="1" s="39">
      <c r="A561" s="38" t="n">
        <v>2021</v>
      </c>
      <c r="B561" s="42" t="inlineStr">
        <is>
          <t>430957</t>
        </is>
      </c>
      <c r="C561" s="38" t="inlineStr">
        <is>
          <t>Morell, el</t>
        </is>
      </c>
      <c r="D561" s="38" t="inlineStr">
        <is>
          <t>Y049</t>
        </is>
      </c>
      <c r="E561" s="38" t="inlineStr">
        <is>
          <t>49 anys</t>
        </is>
      </c>
      <c r="F561" s="38" t="n">
        <v>49</v>
      </c>
      <c r="G561" s="38" t="n">
        <v>54</v>
      </c>
      <c r="I561" s="38" t="inlineStr">
        <is>
          <t>Total de tots els sexes; resposta JSON-stat de l'API d'Idescat</t>
        </is>
      </c>
    </row>
    <row r="562" ht="15" customHeight="1" s="39">
      <c r="A562" s="38" t="n">
        <v>2021</v>
      </c>
      <c r="B562" s="42" t="inlineStr">
        <is>
          <t>430957</t>
        </is>
      </c>
      <c r="C562" s="38" t="inlineStr">
        <is>
          <t>Morell, el</t>
        </is>
      </c>
      <c r="D562" s="38" t="inlineStr">
        <is>
          <t>Y050</t>
        </is>
      </c>
      <c r="E562" s="38" t="inlineStr">
        <is>
          <t>50 anys</t>
        </is>
      </c>
      <c r="F562" s="38" t="n">
        <v>50</v>
      </c>
      <c r="G562" s="38" t="n">
        <v>54</v>
      </c>
      <c r="I562" s="38" t="inlineStr">
        <is>
          <t>Total de tots els sexes; resposta JSON-stat de l'API d'Idescat</t>
        </is>
      </c>
    </row>
    <row r="563" ht="15" customHeight="1" s="39">
      <c r="A563" s="38" t="n">
        <v>2021</v>
      </c>
      <c r="B563" s="42" t="inlineStr">
        <is>
          <t>430957</t>
        </is>
      </c>
      <c r="C563" s="38" t="inlineStr">
        <is>
          <t>Morell, el</t>
        </is>
      </c>
      <c r="D563" s="38" t="inlineStr">
        <is>
          <t>Y051</t>
        </is>
      </c>
      <c r="E563" s="38" t="inlineStr">
        <is>
          <t>51 anys</t>
        </is>
      </c>
      <c r="F563" s="38" t="n">
        <v>51</v>
      </c>
      <c r="G563" s="38" t="n">
        <v>57</v>
      </c>
      <c r="I563" s="38" t="inlineStr">
        <is>
          <t>Total de tots els sexes; resposta JSON-stat de l'API d'Idescat</t>
        </is>
      </c>
    </row>
    <row r="564" ht="15" customHeight="1" s="39">
      <c r="A564" s="38" t="n">
        <v>2021</v>
      </c>
      <c r="B564" s="42" t="inlineStr">
        <is>
          <t>430957</t>
        </is>
      </c>
      <c r="C564" s="38" t="inlineStr">
        <is>
          <t>Morell, el</t>
        </is>
      </c>
      <c r="D564" s="38" t="inlineStr">
        <is>
          <t>Y052</t>
        </is>
      </c>
      <c r="E564" s="38" t="inlineStr">
        <is>
          <t>52 anys</t>
        </is>
      </c>
      <c r="F564" s="38" t="n">
        <v>52</v>
      </c>
      <c r="G564" s="38" t="n">
        <v>56</v>
      </c>
      <c r="I564" s="38" t="inlineStr">
        <is>
          <t>Total de tots els sexes; resposta JSON-stat de l'API d'Idescat</t>
        </is>
      </c>
    </row>
    <row r="565" ht="15" customHeight="1" s="39">
      <c r="A565" s="38" t="n">
        <v>2021</v>
      </c>
      <c r="B565" s="42" t="inlineStr">
        <is>
          <t>430957</t>
        </is>
      </c>
      <c r="C565" s="38" t="inlineStr">
        <is>
          <t>Morell, el</t>
        </is>
      </c>
      <c r="D565" s="38" t="inlineStr">
        <is>
          <t>Y053</t>
        </is>
      </c>
      <c r="E565" s="38" t="inlineStr">
        <is>
          <t>53 anys</t>
        </is>
      </c>
      <c r="F565" s="38" t="n">
        <v>53</v>
      </c>
      <c r="G565" s="38" t="n">
        <v>43</v>
      </c>
      <c r="I565" s="38" t="inlineStr">
        <is>
          <t>Total de tots els sexes; resposta JSON-stat de l'API d'Idescat</t>
        </is>
      </c>
    </row>
    <row r="566" ht="15" customHeight="1" s="39">
      <c r="A566" s="38" t="n">
        <v>2021</v>
      </c>
      <c r="B566" s="42" t="inlineStr">
        <is>
          <t>430957</t>
        </is>
      </c>
      <c r="C566" s="38" t="inlineStr">
        <is>
          <t>Morell, el</t>
        </is>
      </c>
      <c r="D566" s="38" t="inlineStr">
        <is>
          <t>Y054</t>
        </is>
      </c>
      <c r="E566" s="38" t="inlineStr">
        <is>
          <t>54 anys</t>
        </is>
      </c>
      <c r="F566" s="38" t="n">
        <v>54</v>
      </c>
      <c r="G566" s="38" t="n">
        <v>52</v>
      </c>
      <c r="I566" s="38" t="inlineStr">
        <is>
          <t>Total de tots els sexes; resposta JSON-stat de l'API d'Idescat</t>
        </is>
      </c>
    </row>
    <row r="567" ht="15" customHeight="1" s="39">
      <c r="A567" s="38" t="n">
        <v>2021</v>
      </c>
      <c r="B567" s="42" t="inlineStr">
        <is>
          <t>430957</t>
        </is>
      </c>
      <c r="C567" s="38" t="inlineStr">
        <is>
          <t>Morell, el</t>
        </is>
      </c>
      <c r="D567" s="38" t="inlineStr">
        <is>
          <t>Y055</t>
        </is>
      </c>
      <c r="E567" s="38" t="inlineStr">
        <is>
          <t>55 anys</t>
        </is>
      </c>
      <c r="F567" s="38" t="n">
        <v>55</v>
      </c>
      <c r="G567" s="38" t="n">
        <v>51</v>
      </c>
      <c r="I567" s="38" t="inlineStr">
        <is>
          <t>Total de tots els sexes; resposta JSON-stat de l'API d'Idescat</t>
        </is>
      </c>
    </row>
    <row r="568" ht="15" customHeight="1" s="39">
      <c r="A568" s="38" t="n">
        <v>2021</v>
      </c>
      <c r="B568" s="42" t="inlineStr">
        <is>
          <t>430957</t>
        </is>
      </c>
      <c r="C568" s="38" t="inlineStr">
        <is>
          <t>Morell, el</t>
        </is>
      </c>
      <c r="D568" s="38" t="inlineStr">
        <is>
          <t>Y056</t>
        </is>
      </c>
      <c r="E568" s="38" t="inlineStr">
        <is>
          <t>56 anys</t>
        </is>
      </c>
      <c r="F568" s="38" t="n">
        <v>56</v>
      </c>
      <c r="G568" s="38" t="n">
        <v>55</v>
      </c>
      <c r="I568" s="38" t="inlineStr">
        <is>
          <t>Total de tots els sexes; resposta JSON-stat de l'API d'Idescat</t>
        </is>
      </c>
    </row>
    <row r="569" ht="15" customHeight="1" s="39">
      <c r="A569" s="38" t="n">
        <v>2021</v>
      </c>
      <c r="B569" s="42" t="inlineStr">
        <is>
          <t>430957</t>
        </is>
      </c>
      <c r="C569" s="38" t="inlineStr">
        <is>
          <t>Morell, el</t>
        </is>
      </c>
      <c r="D569" s="38" t="inlineStr">
        <is>
          <t>Y057</t>
        </is>
      </c>
      <c r="E569" s="38" t="inlineStr">
        <is>
          <t>57 anys</t>
        </is>
      </c>
      <c r="F569" s="38" t="n">
        <v>57</v>
      </c>
      <c r="G569" s="38" t="n">
        <v>43</v>
      </c>
      <c r="I569" s="38" t="inlineStr">
        <is>
          <t>Total de tots els sexes; resposta JSON-stat de l'API d'Idescat</t>
        </is>
      </c>
    </row>
    <row r="570" ht="15" customHeight="1" s="39">
      <c r="A570" s="38" t="n">
        <v>2021</v>
      </c>
      <c r="B570" s="42" t="inlineStr">
        <is>
          <t>430957</t>
        </is>
      </c>
      <c r="C570" s="38" t="inlineStr">
        <is>
          <t>Morell, el</t>
        </is>
      </c>
      <c r="D570" s="38" t="inlineStr">
        <is>
          <t>Y058</t>
        </is>
      </c>
      <c r="E570" s="38" t="inlineStr">
        <is>
          <t>58 anys</t>
        </is>
      </c>
      <c r="F570" s="38" t="n">
        <v>58</v>
      </c>
      <c r="G570" s="38" t="n">
        <v>50</v>
      </c>
      <c r="I570" s="38" t="inlineStr">
        <is>
          <t>Total de tots els sexes; resposta JSON-stat de l'API d'Idescat</t>
        </is>
      </c>
    </row>
    <row r="571" ht="15" customHeight="1" s="39">
      <c r="A571" s="38" t="n">
        <v>2021</v>
      </c>
      <c r="B571" s="42" t="inlineStr">
        <is>
          <t>430957</t>
        </is>
      </c>
      <c r="C571" s="38" t="inlineStr">
        <is>
          <t>Morell, el</t>
        </is>
      </c>
      <c r="D571" s="38" t="inlineStr">
        <is>
          <t>Y059</t>
        </is>
      </c>
      <c r="E571" s="38" t="inlineStr">
        <is>
          <t>59 anys</t>
        </is>
      </c>
      <c r="F571" s="38" t="n">
        <v>59</v>
      </c>
      <c r="G571" s="38" t="n">
        <v>41</v>
      </c>
      <c r="I571" s="38" t="inlineStr">
        <is>
          <t>Total de tots els sexes; resposta JSON-stat de l'API d'Idescat</t>
        </is>
      </c>
    </row>
    <row r="572" ht="15" customHeight="1" s="39">
      <c r="A572" s="38" t="n">
        <v>2021</v>
      </c>
      <c r="B572" s="42" t="inlineStr">
        <is>
          <t>430957</t>
        </is>
      </c>
      <c r="C572" s="38" t="inlineStr">
        <is>
          <t>Morell, el</t>
        </is>
      </c>
      <c r="D572" s="38" t="inlineStr">
        <is>
          <t>Y060</t>
        </is>
      </c>
      <c r="E572" s="38" t="inlineStr">
        <is>
          <t>60 anys</t>
        </is>
      </c>
      <c r="F572" s="38" t="n">
        <v>60</v>
      </c>
      <c r="G572" s="38" t="n">
        <v>57</v>
      </c>
      <c r="I572" s="38" t="inlineStr">
        <is>
          <t>Total de tots els sexes; resposta JSON-stat de l'API d'Idescat</t>
        </is>
      </c>
    </row>
    <row r="573" ht="15" customHeight="1" s="39">
      <c r="A573" s="38" t="n">
        <v>2021</v>
      </c>
      <c r="B573" s="42" t="inlineStr">
        <is>
          <t>430957</t>
        </is>
      </c>
      <c r="C573" s="38" t="inlineStr">
        <is>
          <t>Morell, el</t>
        </is>
      </c>
      <c r="D573" s="38" t="inlineStr">
        <is>
          <t>Y061</t>
        </is>
      </c>
      <c r="E573" s="38" t="inlineStr">
        <is>
          <t>61 anys</t>
        </is>
      </c>
      <c r="F573" s="38" t="n">
        <v>61</v>
      </c>
      <c r="G573" s="38" t="n">
        <v>38</v>
      </c>
      <c r="I573" s="38" t="inlineStr">
        <is>
          <t>Total de tots els sexes; resposta JSON-stat de l'API d'Idescat</t>
        </is>
      </c>
    </row>
    <row r="574" ht="15" customHeight="1" s="39">
      <c r="A574" s="38" t="n">
        <v>2021</v>
      </c>
      <c r="B574" s="42" t="inlineStr">
        <is>
          <t>430957</t>
        </is>
      </c>
      <c r="C574" s="38" t="inlineStr">
        <is>
          <t>Morell, el</t>
        </is>
      </c>
      <c r="D574" s="38" t="inlineStr">
        <is>
          <t>Y062</t>
        </is>
      </c>
      <c r="E574" s="38" t="inlineStr">
        <is>
          <t>62 anys</t>
        </is>
      </c>
      <c r="F574" s="38" t="n">
        <v>62</v>
      </c>
      <c r="G574" s="38" t="n">
        <v>36</v>
      </c>
      <c r="I574" s="38" t="inlineStr">
        <is>
          <t>Total de tots els sexes; resposta JSON-stat de l'API d'Idescat</t>
        </is>
      </c>
    </row>
    <row r="575" ht="15" customHeight="1" s="39">
      <c r="A575" s="38" t="n">
        <v>2021</v>
      </c>
      <c r="B575" s="42" t="inlineStr">
        <is>
          <t>430957</t>
        </is>
      </c>
      <c r="C575" s="38" t="inlineStr">
        <is>
          <t>Morell, el</t>
        </is>
      </c>
      <c r="D575" s="38" t="inlineStr">
        <is>
          <t>Y063</t>
        </is>
      </c>
      <c r="E575" s="38" t="inlineStr">
        <is>
          <t>63 anys</t>
        </is>
      </c>
      <c r="F575" s="38" t="n">
        <v>63</v>
      </c>
      <c r="G575" s="38" t="n">
        <v>36</v>
      </c>
      <c r="I575" s="38" t="inlineStr">
        <is>
          <t>Total de tots els sexes; resposta JSON-stat de l'API d'Idescat</t>
        </is>
      </c>
    </row>
    <row r="576" ht="15" customHeight="1" s="39">
      <c r="A576" s="38" t="n">
        <v>2021</v>
      </c>
      <c r="B576" s="42" t="inlineStr">
        <is>
          <t>430957</t>
        </is>
      </c>
      <c r="C576" s="38" t="inlineStr">
        <is>
          <t>Morell, el</t>
        </is>
      </c>
      <c r="D576" s="38" t="inlineStr">
        <is>
          <t>Y064</t>
        </is>
      </c>
      <c r="E576" s="38" t="inlineStr">
        <is>
          <t>64 anys</t>
        </is>
      </c>
      <c r="F576" s="38" t="n">
        <v>64</v>
      </c>
      <c r="G576" s="38" t="n">
        <v>36</v>
      </c>
      <c r="I576" s="38" t="inlineStr">
        <is>
          <t>Total de tots els sexes; resposta JSON-stat de l'API d'Idescat</t>
        </is>
      </c>
    </row>
    <row r="577" ht="15" customHeight="1" s="39">
      <c r="A577" s="38" t="n">
        <v>2021</v>
      </c>
      <c r="B577" s="42" t="inlineStr">
        <is>
          <t>430957</t>
        </is>
      </c>
      <c r="C577" s="38" t="inlineStr">
        <is>
          <t>Morell, el</t>
        </is>
      </c>
      <c r="D577" s="38" t="inlineStr">
        <is>
          <t>Y065</t>
        </is>
      </c>
      <c r="E577" s="38" t="inlineStr">
        <is>
          <t>65 anys</t>
        </is>
      </c>
      <c r="F577" s="38" t="n">
        <v>65</v>
      </c>
      <c r="G577" s="38" t="n">
        <v>37</v>
      </c>
      <c r="I577" s="38" t="inlineStr">
        <is>
          <t>Total de tots els sexes; resposta JSON-stat de l'API d'Idescat</t>
        </is>
      </c>
    </row>
    <row r="578" ht="15" customHeight="1" s="39">
      <c r="A578" s="38" t="n">
        <v>2021</v>
      </c>
      <c r="B578" s="42" t="inlineStr">
        <is>
          <t>430957</t>
        </is>
      </c>
      <c r="C578" s="38" t="inlineStr">
        <is>
          <t>Morell, el</t>
        </is>
      </c>
      <c r="D578" s="38" t="inlineStr">
        <is>
          <t>Y066</t>
        </is>
      </c>
      <c r="E578" s="38" t="inlineStr">
        <is>
          <t>66 anys</t>
        </is>
      </c>
      <c r="F578" s="38" t="n">
        <v>66</v>
      </c>
      <c r="G578" s="38" t="n">
        <v>22</v>
      </c>
      <c r="I578" s="38" t="inlineStr">
        <is>
          <t>Total de tots els sexes; resposta JSON-stat de l'API d'Idescat</t>
        </is>
      </c>
    </row>
    <row r="579" ht="15" customHeight="1" s="39">
      <c r="A579" s="38" t="n">
        <v>2021</v>
      </c>
      <c r="B579" s="42" t="inlineStr">
        <is>
          <t>430957</t>
        </is>
      </c>
      <c r="C579" s="38" t="inlineStr">
        <is>
          <t>Morell, el</t>
        </is>
      </c>
      <c r="D579" s="38" t="inlineStr">
        <is>
          <t>Y067</t>
        </is>
      </c>
      <c r="E579" s="38" t="inlineStr">
        <is>
          <t>67 anys</t>
        </is>
      </c>
      <c r="F579" s="38" t="n">
        <v>67</v>
      </c>
      <c r="G579" s="38" t="n">
        <v>21</v>
      </c>
      <c r="I579" s="38" t="inlineStr">
        <is>
          <t>Total de tots els sexes; resposta JSON-stat de l'API d'Idescat</t>
        </is>
      </c>
    </row>
    <row r="580" ht="15" customHeight="1" s="39">
      <c r="A580" s="38" t="n">
        <v>2021</v>
      </c>
      <c r="B580" s="42" t="inlineStr">
        <is>
          <t>430957</t>
        </is>
      </c>
      <c r="C580" s="38" t="inlineStr">
        <is>
          <t>Morell, el</t>
        </is>
      </c>
      <c r="D580" s="38" t="inlineStr">
        <is>
          <t>Y068</t>
        </is>
      </c>
      <c r="E580" s="38" t="inlineStr">
        <is>
          <t>68 anys</t>
        </is>
      </c>
      <c r="F580" s="38" t="n">
        <v>68</v>
      </c>
      <c r="G580" s="38" t="n">
        <v>38</v>
      </c>
      <c r="I580" s="38" t="inlineStr">
        <is>
          <t>Total de tots els sexes; resposta JSON-stat de l'API d'Idescat</t>
        </is>
      </c>
    </row>
    <row r="581" ht="15" customHeight="1" s="39">
      <c r="A581" s="38" t="n">
        <v>2021</v>
      </c>
      <c r="B581" s="42" t="inlineStr">
        <is>
          <t>430957</t>
        </is>
      </c>
      <c r="C581" s="38" t="inlineStr">
        <is>
          <t>Morell, el</t>
        </is>
      </c>
      <c r="D581" s="38" t="inlineStr">
        <is>
          <t>Y069</t>
        </is>
      </c>
      <c r="E581" s="38" t="inlineStr">
        <is>
          <t>69 anys</t>
        </is>
      </c>
      <c r="F581" s="38" t="n">
        <v>69</v>
      </c>
      <c r="G581" s="38" t="n">
        <v>19</v>
      </c>
      <c r="I581" s="38" t="inlineStr">
        <is>
          <t>Total de tots els sexes; resposta JSON-stat de l'API d'Idescat</t>
        </is>
      </c>
    </row>
    <row r="582" ht="15" customHeight="1" s="39">
      <c r="A582" s="38" t="n">
        <v>2021</v>
      </c>
      <c r="B582" s="42" t="inlineStr">
        <is>
          <t>430957</t>
        </is>
      </c>
      <c r="C582" s="38" t="inlineStr">
        <is>
          <t>Morell, el</t>
        </is>
      </c>
      <c r="D582" s="38" t="inlineStr">
        <is>
          <t>Y070</t>
        </is>
      </c>
      <c r="E582" s="38" t="inlineStr">
        <is>
          <t>70 anys</t>
        </is>
      </c>
      <c r="F582" s="38" t="n">
        <v>70</v>
      </c>
      <c r="G582" s="38" t="n">
        <v>30</v>
      </c>
      <c r="I582" s="38" t="inlineStr">
        <is>
          <t>Total de tots els sexes; resposta JSON-stat de l'API d'Idescat</t>
        </is>
      </c>
    </row>
    <row r="583" ht="15" customHeight="1" s="39">
      <c r="A583" s="38" t="n">
        <v>2021</v>
      </c>
      <c r="B583" s="42" t="inlineStr">
        <is>
          <t>430957</t>
        </is>
      </c>
      <c r="C583" s="38" t="inlineStr">
        <is>
          <t>Morell, el</t>
        </is>
      </c>
      <c r="D583" s="38" t="inlineStr">
        <is>
          <t>Y071</t>
        </is>
      </c>
      <c r="E583" s="38" t="inlineStr">
        <is>
          <t>71 anys</t>
        </is>
      </c>
      <c r="F583" s="38" t="n">
        <v>71</v>
      </c>
      <c r="G583" s="38" t="n">
        <v>16</v>
      </c>
      <c r="I583" s="38" t="inlineStr">
        <is>
          <t>Total de tots els sexes; resposta JSON-stat de l'API d'Idescat</t>
        </is>
      </c>
    </row>
    <row r="584" ht="15" customHeight="1" s="39">
      <c r="A584" s="38" t="n">
        <v>2021</v>
      </c>
      <c r="B584" s="42" t="inlineStr">
        <is>
          <t>430957</t>
        </is>
      </c>
      <c r="C584" s="38" t="inlineStr">
        <is>
          <t>Morell, el</t>
        </is>
      </c>
      <c r="D584" s="38" t="inlineStr">
        <is>
          <t>Y072</t>
        </is>
      </c>
      <c r="E584" s="38" t="inlineStr">
        <is>
          <t>72 anys</t>
        </is>
      </c>
      <c r="F584" s="38" t="n">
        <v>72</v>
      </c>
      <c r="G584" s="38" t="n">
        <v>19</v>
      </c>
      <c r="I584" s="38" t="inlineStr">
        <is>
          <t>Total de tots els sexes; resposta JSON-stat de l'API d'Idescat</t>
        </is>
      </c>
    </row>
    <row r="585" ht="15" customHeight="1" s="39">
      <c r="A585" s="38" t="n">
        <v>2021</v>
      </c>
      <c r="B585" s="42" t="inlineStr">
        <is>
          <t>430957</t>
        </is>
      </c>
      <c r="C585" s="38" t="inlineStr">
        <is>
          <t>Morell, el</t>
        </is>
      </c>
      <c r="D585" s="38" t="inlineStr">
        <is>
          <t>Y073</t>
        </is>
      </c>
      <c r="E585" s="38" t="inlineStr">
        <is>
          <t>73 anys</t>
        </is>
      </c>
      <c r="F585" s="38" t="n">
        <v>73</v>
      </c>
      <c r="G585" s="38" t="n">
        <v>37</v>
      </c>
      <c r="I585" s="38" t="inlineStr">
        <is>
          <t>Total de tots els sexes; resposta JSON-stat de l'API d'Idescat</t>
        </is>
      </c>
    </row>
    <row r="586" ht="15" customHeight="1" s="39">
      <c r="A586" s="38" t="n">
        <v>2021</v>
      </c>
      <c r="B586" s="42" t="inlineStr">
        <is>
          <t>430957</t>
        </is>
      </c>
      <c r="C586" s="38" t="inlineStr">
        <is>
          <t>Morell, el</t>
        </is>
      </c>
      <c r="D586" s="38" t="inlineStr">
        <is>
          <t>Y074</t>
        </is>
      </c>
      <c r="E586" s="38" t="inlineStr">
        <is>
          <t>74 anys</t>
        </is>
      </c>
      <c r="F586" s="38" t="n">
        <v>74</v>
      </c>
      <c r="G586" s="38" t="n">
        <v>22</v>
      </c>
      <c r="I586" s="38" t="inlineStr">
        <is>
          <t>Total de tots els sexes; resposta JSON-stat de l'API d'Idescat</t>
        </is>
      </c>
    </row>
    <row r="587" ht="15" customHeight="1" s="39">
      <c r="A587" s="38" t="n">
        <v>2021</v>
      </c>
      <c r="B587" s="42" t="inlineStr">
        <is>
          <t>430957</t>
        </is>
      </c>
      <c r="C587" s="38" t="inlineStr">
        <is>
          <t>Morell, el</t>
        </is>
      </c>
      <c r="D587" s="38" t="inlineStr">
        <is>
          <t>Y075</t>
        </is>
      </c>
      <c r="E587" s="38" t="inlineStr">
        <is>
          <t>75 anys</t>
        </is>
      </c>
      <c r="F587" s="38" t="n">
        <v>75</v>
      </c>
      <c r="G587" s="38" t="n">
        <v>28</v>
      </c>
      <c r="I587" s="38" t="inlineStr">
        <is>
          <t>Total de tots els sexes; resposta JSON-stat de l'API d'Idescat</t>
        </is>
      </c>
    </row>
    <row r="588" ht="15" customHeight="1" s="39">
      <c r="A588" s="38" t="n">
        <v>2021</v>
      </c>
      <c r="B588" s="42" t="inlineStr">
        <is>
          <t>430957</t>
        </is>
      </c>
      <c r="C588" s="38" t="inlineStr">
        <is>
          <t>Morell, el</t>
        </is>
      </c>
      <c r="D588" s="38" t="inlineStr">
        <is>
          <t>Y076</t>
        </is>
      </c>
      <c r="E588" s="38" t="inlineStr">
        <is>
          <t>76 anys</t>
        </is>
      </c>
      <c r="F588" s="38" t="n">
        <v>76</v>
      </c>
      <c r="G588" s="38" t="n">
        <v>18</v>
      </c>
      <c r="I588" s="38" t="inlineStr">
        <is>
          <t>Total de tots els sexes; resposta JSON-stat de l'API d'Idescat</t>
        </is>
      </c>
    </row>
    <row r="589" ht="15" customHeight="1" s="39">
      <c r="A589" s="38" t="n">
        <v>2021</v>
      </c>
      <c r="B589" s="42" t="inlineStr">
        <is>
          <t>430957</t>
        </is>
      </c>
      <c r="C589" s="38" t="inlineStr">
        <is>
          <t>Morell, el</t>
        </is>
      </c>
      <c r="D589" s="38" t="inlineStr">
        <is>
          <t>Y077</t>
        </is>
      </c>
      <c r="E589" s="38" t="inlineStr">
        <is>
          <t>77 anys</t>
        </is>
      </c>
      <c r="F589" s="38" t="n">
        <v>77</v>
      </c>
      <c r="G589" s="38" t="n">
        <v>25</v>
      </c>
      <c r="I589" s="38" t="inlineStr">
        <is>
          <t>Total de tots els sexes; resposta JSON-stat de l'API d'Idescat</t>
        </is>
      </c>
    </row>
    <row r="590" ht="15" customHeight="1" s="39">
      <c r="A590" s="38" t="n">
        <v>2021</v>
      </c>
      <c r="B590" s="42" t="inlineStr">
        <is>
          <t>430957</t>
        </is>
      </c>
      <c r="C590" s="38" t="inlineStr">
        <is>
          <t>Morell, el</t>
        </is>
      </c>
      <c r="D590" s="38" t="inlineStr">
        <is>
          <t>Y078</t>
        </is>
      </c>
      <c r="E590" s="38" t="inlineStr">
        <is>
          <t>78 anys</t>
        </is>
      </c>
      <c r="F590" s="38" t="n">
        <v>78</v>
      </c>
      <c r="G590" s="38" t="n">
        <v>12</v>
      </c>
      <c r="I590" s="38" t="inlineStr">
        <is>
          <t>Total de tots els sexes; resposta JSON-stat de l'API d'Idescat</t>
        </is>
      </c>
    </row>
    <row r="591" ht="15" customHeight="1" s="39">
      <c r="A591" s="38" t="n">
        <v>2021</v>
      </c>
      <c r="B591" s="42" t="inlineStr">
        <is>
          <t>430957</t>
        </is>
      </c>
      <c r="C591" s="38" t="inlineStr">
        <is>
          <t>Morell, el</t>
        </is>
      </c>
      <c r="D591" s="38" t="inlineStr">
        <is>
          <t>Y079</t>
        </is>
      </c>
      <c r="E591" s="38" t="inlineStr">
        <is>
          <t>79 anys</t>
        </is>
      </c>
      <c r="F591" s="38" t="n">
        <v>79</v>
      </c>
      <c r="G591" s="38" t="n">
        <v>13</v>
      </c>
      <c r="I591" s="38" t="inlineStr">
        <is>
          <t>Total de tots els sexes; resposta JSON-stat de l'API d'Idescat</t>
        </is>
      </c>
    </row>
    <row r="592" ht="15" customHeight="1" s="39">
      <c r="A592" s="38" t="n">
        <v>2021</v>
      </c>
      <c r="B592" s="42" t="inlineStr">
        <is>
          <t>430957</t>
        </is>
      </c>
      <c r="C592" s="38" t="inlineStr">
        <is>
          <t>Morell, el</t>
        </is>
      </c>
      <c r="D592" s="38" t="inlineStr">
        <is>
          <t>Y080</t>
        </is>
      </c>
      <c r="E592" s="38" t="inlineStr">
        <is>
          <t>80 anys</t>
        </is>
      </c>
      <c r="F592" s="38" t="n">
        <v>80</v>
      </c>
      <c r="G592" s="38" t="n">
        <v>25</v>
      </c>
      <c r="I592" s="38" t="inlineStr">
        <is>
          <t>Total de tots els sexes; resposta JSON-stat de l'API d'Idescat</t>
        </is>
      </c>
    </row>
    <row r="593" ht="15" customHeight="1" s="39">
      <c r="A593" s="38" t="n">
        <v>2021</v>
      </c>
      <c r="B593" s="42" t="inlineStr">
        <is>
          <t>430957</t>
        </is>
      </c>
      <c r="C593" s="38" t="inlineStr">
        <is>
          <t>Morell, el</t>
        </is>
      </c>
      <c r="D593" s="38" t="inlineStr">
        <is>
          <t>Y081</t>
        </is>
      </c>
      <c r="E593" s="38" t="inlineStr">
        <is>
          <t>81 anys</t>
        </is>
      </c>
      <c r="F593" s="38" t="n">
        <v>81</v>
      </c>
      <c r="G593" s="38" t="n">
        <v>7</v>
      </c>
      <c r="I593" s="38" t="inlineStr">
        <is>
          <t>Total de tots els sexes; resposta JSON-stat de l'API d'Idescat</t>
        </is>
      </c>
    </row>
    <row r="594" ht="15" customHeight="1" s="39">
      <c r="A594" s="38" t="n">
        <v>2021</v>
      </c>
      <c r="B594" s="42" t="inlineStr">
        <is>
          <t>430957</t>
        </is>
      </c>
      <c r="C594" s="38" t="inlineStr">
        <is>
          <t>Morell, el</t>
        </is>
      </c>
      <c r="D594" s="38" t="inlineStr">
        <is>
          <t>Y082</t>
        </is>
      </c>
      <c r="E594" s="38" t="inlineStr">
        <is>
          <t>82 anys</t>
        </is>
      </c>
      <c r="F594" s="38" t="n">
        <v>82</v>
      </c>
      <c r="G594" s="38" t="n">
        <v>8</v>
      </c>
      <c r="I594" s="38" t="inlineStr">
        <is>
          <t>Total de tots els sexes; resposta JSON-stat de l'API d'Idescat</t>
        </is>
      </c>
    </row>
    <row r="595" ht="15" customHeight="1" s="39">
      <c r="A595" s="38" t="n">
        <v>2021</v>
      </c>
      <c r="B595" s="42" t="inlineStr">
        <is>
          <t>430957</t>
        </is>
      </c>
      <c r="C595" s="38" t="inlineStr">
        <is>
          <t>Morell, el</t>
        </is>
      </c>
      <c r="D595" s="38" t="inlineStr">
        <is>
          <t>Y083</t>
        </is>
      </c>
      <c r="E595" s="38" t="inlineStr">
        <is>
          <t>83 anys</t>
        </is>
      </c>
      <c r="F595" s="38" t="n">
        <v>83</v>
      </c>
      <c r="G595" s="38" t="n">
        <v>10</v>
      </c>
      <c r="I595" s="38" t="inlineStr">
        <is>
          <t>Total de tots els sexes; resposta JSON-stat de l'API d'Idescat</t>
        </is>
      </c>
    </row>
    <row r="596" ht="15" customHeight="1" s="39">
      <c r="A596" s="38" t="n">
        <v>2021</v>
      </c>
      <c r="B596" s="42" t="inlineStr">
        <is>
          <t>430957</t>
        </is>
      </c>
      <c r="C596" s="38" t="inlineStr">
        <is>
          <t>Morell, el</t>
        </is>
      </c>
      <c r="D596" s="38" t="inlineStr">
        <is>
          <t>Y084</t>
        </is>
      </c>
      <c r="E596" s="38" t="inlineStr">
        <is>
          <t>84 anys</t>
        </is>
      </c>
      <c r="F596" s="38" t="n">
        <v>84</v>
      </c>
      <c r="G596" s="38" t="n">
        <v>15</v>
      </c>
      <c r="I596" s="38" t="inlineStr">
        <is>
          <t>Total de tots els sexes; resposta JSON-stat de l'API d'Idescat</t>
        </is>
      </c>
    </row>
    <row r="597" ht="15" customHeight="1" s="39">
      <c r="A597" s="38" t="n">
        <v>2021</v>
      </c>
      <c r="B597" s="42" t="inlineStr">
        <is>
          <t>430957</t>
        </is>
      </c>
      <c r="C597" s="38" t="inlineStr">
        <is>
          <t>Morell, el</t>
        </is>
      </c>
      <c r="D597" s="38" t="inlineStr">
        <is>
          <t>Y085</t>
        </is>
      </c>
      <c r="E597" s="38" t="inlineStr">
        <is>
          <t>85 anys</t>
        </is>
      </c>
      <c r="F597" s="38" t="n">
        <v>85</v>
      </c>
      <c r="G597" s="38" t="n">
        <v>15</v>
      </c>
      <c r="I597" s="38" t="inlineStr">
        <is>
          <t>Total de tots els sexes; resposta JSON-stat de l'API d'Idescat</t>
        </is>
      </c>
    </row>
    <row r="598" ht="15" customHeight="1" s="39">
      <c r="A598" s="38" t="n">
        <v>2021</v>
      </c>
      <c r="B598" s="42" t="inlineStr">
        <is>
          <t>430957</t>
        </is>
      </c>
      <c r="C598" s="38" t="inlineStr">
        <is>
          <t>Morell, el</t>
        </is>
      </c>
      <c r="D598" s="38" t="inlineStr">
        <is>
          <t>Y086</t>
        </is>
      </c>
      <c r="E598" s="38" t="inlineStr">
        <is>
          <t>86 anys</t>
        </is>
      </c>
      <c r="F598" s="38" t="n">
        <v>86</v>
      </c>
      <c r="G598" s="38" t="n">
        <v>6</v>
      </c>
      <c r="I598" s="38" t="inlineStr">
        <is>
          <t>Total de tots els sexes; resposta JSON-stat de l'API d'Idescat</t>
        </is>
      </c>
    </row>
    <row r="599" ht="15" customHeight="1" s="39">
      <c r="A599" s="38" t="n">
        <v>2021</v>
      </c>
      <c r="B599" s="42" t="inlineStr">
        <is>
          <t>430957</t>
        </is>
      </c>
      <c r="C599" s="38" t="inlineStr">
        <is>
          <t>Morell, el</t>
        </is>
      </c>
      <c r="D599" s="38" t="inlineStr">
        <is>
          <t>Y087</t>
        </is>
      </c>
      <c r="E599" s="38" t="inlineStr">
        <is>
          <t>87 anys</t>
        </is>
      </c>
      <c r="F599" s="38" t="n">
        <v>87</v>
      </c>
      <c r="G599" s="38" t="n">
        <v>10</v>
      </c>
      <c r="I599" s="38" t="inlineStr">
        <is>
          <t>Total de tots els sexes; resposta JSON-stat de l'API d'Idescat</t>
        </is>
      </c>
    </row>
    <row r="600" ht="15" customHeight="1" s="39">
      <c r="A600" s="38" t="n">
        <v>2021</v>
      </c>
      <c r="B600" s="42" t="inlineStr">
        <is>
          <t>430957</t>
        </is>
      </c>
      <c r="C600" s="38" t="inlineStr">
        <is>
          <t>Morell, el</t>
        </is>
      </c>
      <c r="D600" s="38" t="inlineStr">
        <is>
          <t>Y088</t>
        </is>
      </c>
      <c r="E600" s="38" t="inlineStr">
        <is>
          <t>88 anys</t>
        </is>
      </c>
      <c r="F600" s="38" t="n">
        <v>88</v>
      </c>
      <c r="G600" s="38" t="n">
        <v>12</v>
      </c>
      <c r="I600" s="38" t="inlineStr">
        <is>
          <t>Total de tots els sexes; resposta JSON-stat de l'API d'Idescat</t>
        </is>
      </c>
    </row>
    <row r="601" ht="15" customHeight="1" s="39">
      <c r="A601" s="38" t="n">
        <v>2021</v>
      </c>
      <c r="B601" s="42" t="inlineStr">
        <is>
          <t>430957</t>
        </is>
      </c>
      <c r="C601" s="38" t="inlineStr">
        <is>
          <t>Morell, el</t>
        </is>
      </c>
      <c r="D601" s="38" t="inlineStr">
        <is>
          <t>Y089</t>
        </is>
      </c>
      <c r="E601" s="38" t="inlineStr">
        <is>
          <t>89 anys</t>
        </is>
      </c>
      <c r="F601" s="38" t="n">
        <v>89</v>
      </c>
      <c r="G601" s="38" t="n">
        <v>4</v>
      </c>
      <c r="I601" s="38" t="inlineStr">
        <is>
          <t>Total de tots els sexes; resposta JSON-stat de l'API d'Idescat</t>
        </is>
      </c>
    </row>
    <row r="602" ht="15" customHeight="1" s="39">
      <c r="A602" s="38" t="n">
        <v>2021</v>
      </c>
      <c r="B602" s="42" t="inlineStr">
        <is>
          <t>430957</t>
        </is>
      </c>
      <c r="C602" s="38" t="inlineStr">
        <is>
          <t>Morell, el</t>
        </is>
      </c>
      <c r="D602" s="38" t="inlineStr">
        <is>
          <t>Y090</t>
        </is>
      </c>
      <c r="E602" s="38" t="inlineStr">
        <is>
          <t>90 anys</t>
        </is>
      </c>
      <c r="F602" s="38" t="n">
        <v>90</v>
      </c>
      <c r="G602" s="38" t="n">
        <v>6</v>
      </c>
      <c r="I602" s="38" t="inlineStr">
        <is>
          <t>Total de tots els sexes; resposta JSON-stat de l'API d'Idescat</t>
        </is>
      </c>
    </row>
    <row r="603" ht="15" customHeight="1" s="39">
      <c r="A603" s="38" t="n">
        <v>2021</v>
      </c>
      <c r="B603" s="42" t="inlineStr">
        <is>
          <t>430957</t>
        </is>
      </c>
      <c r="C603" s="38" t="inlineStr">
        <is>
          <t>Morell, el</t>
        </is>
      </c>
      <c r="D603" s="38" t="inlineStr">
        <is>
          <t>Y091</t>
        </is>
      </c>
      <c r="E603" s="38" t="inlineStr">
        <is>
          <t>91 anys</t>
        </is>
      </c>
      <c r="F603" s="38" t="n">
        <v>91</v>
      </c>
      <c r="G603" s="38" t="n">
        <v>8</v>
      </c>
      <c r="I603" s="38" t="inlineStr">
        <is>
          <t>Total de tots els sexes; resposta JSON-stat de l'API d'Idescat</t>
        </is>
      </c>
    </row>
    <row r="604" ht="15" customHeight="1" s="39">
      <c r="A604" s="38" t="n">
        <v>2021</v>
      </c>
      <c r="B604" s="42" t="inlineStr">
        <is>
          <t>430957</t>
        </is>
      </c>
      <c r="C604" s="38" t="inlineStr">
        <is>
          <t>Morell, el</t>
        </is>
      </c>
      <c r="D604" s="38" t="inlineStr">
        <is>
          <t>Y092</t>
        </is>
      </c>
      <c r="E604" s="38" t="inlineStr">
        <is>
          <t>92 anys</t>
        </is>
      </c>
      <c r="F604" s="38" t="n">
        <v>92</v>
      </c>
      <c r="G604" s="38" t="n">
        <v>3</v>
      </c>
      <c r="I604" s="38" t="inlineStr">
        <is>
          <t>Total de tots els sexes; resposta JSON-stat de l'API d'Idescat</t>
        </is>
      </c>
    </row>
    <row r="605" ht="15" customHeight="1" s="39">
      <c r="A605" s="38" t="n">
        <v>2021</v>
      </c>
      <c r="B605" s="42" t="inlineStr">
        <is>
          <t>430957</t>
        </is>
      </c>
      <c r="C605" s="38" t="inlineStr">
        <is>
          <t>Morell, el</t>
        </is>
      </c>
      <c r="D605" s="38" t="inlineStr">
        <is>
          <t>Y093</t>
        </is>
      </c>
      <c r="E605" s="38" t="inlineStr">
        <is>
          <t>93 anys</t>
        </is>
      </c>
      <c r="F605" s="38" t="n">
        <v>93</v>
      </c>
      <c r="G605" s="38" t="n">
        <v>0</v>
      </c>
      <c r="I605" s="38" t="inlineStr">
        <is>
          <t>Total de tots els sexes; resposta JSON-stat de l'API d'Idescat</t>
        </is>
      </c>
    </row>
    <row r="606" ht="15" customHeight="1" s="39">
      <c r="A606" s="38" t="n">
        <v>2021</v>
      </c>
      <c r="B606" s="42" t="inlineStr">
        <is>
          <t>430957</t>
        </is>
      </c>
      <c r="C606" s="38" t="inlineStr">
        <is>
          <t>Morell, el</t>
        </is>
      </c>
      <c r="D606" s="38" t="inlineStr">
        <is>
          <t>Y094</t>
        </is>
      </c>
      <c r="E606" s="38" t="inlineStr">
        <is>
          <t>94 anys</t>
        </is>
      </c>
      <c r="F606" s="38" t="n">
        <v>94</v>
      </c>
      <c r="G606" s="38" t="n">
        <v>2</v>
      </c>
      <c r="I606" s="38" t="inlineStr">
        <is>
          <t>Total de tots els sexes; resposta JSON-stat de l'API d'Idescat</t>
        </is>
      </c>
    </row>
    <row r="607" ht="15" customHeight="1" s="39">
      <c r="A607" s="38" t="n">
        <v>2021</v>
      </c>
      <c r="B607" s="42" t="inlineStr">
        <is>
          <t>430957</t>
        </is>
      </c>
      <c r="C607" s="38" t="inlineStr">
        <is>
          <t>Morell, el</t>
        </is>
      </c>
      <c r="D607" s="38" t="inlineStr">
        <is>
          <t>Y095</t>
        </is>
      </c>
      <c r="E607" s="38" t="inlineStr">
        <is>
          <t>95 anys</t>
        </is>
      </c>
      <c r="F607" s="38" t="n">
        <v>95</v>
      </c>
      <c r="G607" s="38" t="n">
        <v>1</v>
      </c>
      <c r="I607" s="38" t="inlineStr">
        <is>
          <t>Total de tots els sexes; resposta JSON-stat de l'API d'Idescat</t>
        </is>
      </c>
    </row>
    <row r="608" ht="15" customHeight="1" s="39">
      <c r="A608" s="38" t="n">
        <v>2021</v>
      </c>
      <c r="B608" s="42" t="inlineStr">
        <is>
          <t>430957</t>
        </is>
      </c>
      <c r="C608" s="38" t="inlineStr">
        <is>
          <t>Morell, el</t>
        </is>
      </c>
      <c r="D608" s="38" t="inlineStr">
        <is>
          <t>Y096</t>
        </is>
      </c>
      <c r="E608" s="38" t="inlineStr">
        <is>
          <t>96 anys</t>
        </is>
      </c>
      <c r="F608" s="38" t="n">
        <v>96</v>
      </c>
      <c r="G608" s="38" t="n">
        <v>1</v>
      </c>
      <c r="I608" s="38" t="inlineStr">
        <is>
          <t>Total de tots els sexes; resposta JSON-stat de l'API d'Idescat</t>
        </is>
      </c>
    </row>
    <row r="609" ht="15" customHeight="1" s="39">
      <c r="A609" s="38" t="n">
        <v>2021</v>
      </c>
      <c r="B609" s="42" t="inlineStr">
        <is>
          <t>430957</t>
        </is>
      </c>
      <c r="C609" s="38" t="inlineStr">
        <is>
          <t>Morell, el</t>
        </is>
      </c>
      <c r="D609" s="38" t="inlineStr">
        <is>
          <t>Y097</t>
        </is>
      </c>
      <c r="E609" s="38" t="inlineStr">
        <is>
          <t>97 anys</t>
        </is>
      </c>
      <c r="F609" s="38" t="n">
        <v>97</v>
      </c>
      <c r="G609" s="38" t="n">
        <v>0</v>
      </c>
      <c r="I609" s="38" t="inlineStr">
        <is>
          <t>Total de tots els sexes; resposta JSON-stat de l'API d'Idescat</t>
        </is>
      </c>
    </row>
    <row r="610" ht="15" customHeight="1" s="39">
      <c r="A610" s="38" t="n">
        <v>2021</v>
      </c>
      <c r="B610" s="42" t="inlineStr">
        <is>
          <t>430957</t>
        </is>
      </c>
      <c r="C610" s="38" t="inlineStr">
        <is>
          <t>Morell, el</t>
        </is>
      </c>
      <c r="D610" s="38" t="inlineStr">
        <is>
          <t>Y098</t>
        </is>
      </c>
      <c r="E610" s="38" t="inlineStr">
        <is>
          <t>98 anys</t>
        </is>
      </c>
      <c r="F610" s="38" t="n">
        <v>98</v>
      </c>
      <c r="G610" s="38" t="n">
        <v>2</v>
      </c>
      <c r="I610" s="38" t="inlineStr">
        <is>
          <t>Total de tots els sexes; resposta JSON-stat de l'API d'Idescat</t>
        </is>
      </c>
    </row>
    <row r="611" ht="15" customHeight="1" s="39">
      <c r="A611" s="38" t="n">
        <v>2021</v>
      </c>
      <c r="B611" s="42" t="inlineStr">
        <is>
          <t>430957</t>
        </is>
      </c>
      <c r="C611" s="38" t="inlineStr">
        <is>
          <t>Morell, el</t>
        </is>
      </c>
      <c r="D611" s="38" t="inlineStr">
        <is>
          <t>Y099</t>
        </is>
      </c>
      <c r="E611" s="38" t="inlineStr">
        <is>
          <t>99 anys</t>
        </is>
      </c>
      <c r="F611" s="38" t="n">
        <v>99</v>
      </c>
      <c r="G611" s="38" t="n">
        <v>1</v>
      </c>
      <c r="I611" s="38" t="inlineStr">
        <is>
          <t>Total de tots els sexes; resposta JSON-stat de l'API d'Idescat</t>
        </is>
      </c>
    </row>
    <row r="612" ht="15" customHeight="1" s="39">
      <c r="A612" s="38" t="n">
        <v>2021</v>
      </c>
      <c r="B612" s="42" t="inlineStr">
        <is>
          <t>430957</t>
        </is>
      </c>
      <c r="C612" s="38" t="inlineStr">
        <is>
          <t>Morell, el</t>
        </is>
      </c>
      <c r="D612" s="38" t="inlineStr">
        <is>
          <t>Y_GE100</t>
        </is>
      </c>
      <c r="E612" s="38" t="inlineStr">
        <is>
          <t>100 anys o més</t>
        </is>
      </c>
      <c r="F612" s="38" t="n">
        <v>100</v>
      </c>
      <c r="G612" s="38" t="n">
        <v>0</v>
      </c>
      <c r="I612" s="38" t="inlineStr">
        <is>
          <t>Total de tots els sexes; resposta JSON-stat de l'API d'Idescat</t>
        </is>
      </c>
    </row>
    <row r="613" ht="15" customHeight="1" s="39">
      <c r="A613" s="38" t="n">
        <v>2021</v>
      </c>
      <c r="B613" s="42" t="inlineStr">
        <is>
          <t>430957</t>
        </is>
      </c>
      <c r="C613" s="38" t="inlineStr">
        <is>
          <t>Morell, el</t>
        </is>
      </c>
      <c r="D613" s="38" t="inlineStr">
        <is>
          <t>TOTAL</t>
        </is>
      </c>
      <c r="E613" s="38" t="inlineStr">
        <is>
          <t>total</t>
        </is>
      </c>
      <c r="G613" s="38" t="n">
        <v>3727</v>
      </c>
      <c r="I613" s="38" t="inlineStr">
        <is>
          <t>Total de tots els sexes; resposta JSON-stat de l'API d'Idescat</t>
        </is>
      </c>
    </row>
    <row r="614" ht="15" customHeight="1" s="39">
      <c r="A614" s="38" t="n">
        <v>2021</v>
      </c>
      <c r="B614" s="42" t="inlineStr">
        <is>
          <t>430976</t>
        </is>
      </c>
      <c r="C614" s="38" t="inlineStr">
        <is>
          <t>Nou de Gaià, la</t>
        </is>
      </c>
      <c r="D614" s="38" t="inlineStr">
        <is>
          <t>Y000</t>
        </is>
      </c>
      <c r="E614" s="38" t="inlineStr">
        <is>
          <t>0 anys</t>
        </is>
      </c>
      <c r="F614" s="38" t="n">
        <v>0</v>
      </c>
      <c r="G614" s="38" t="n">
        <v>2</v>
      </c>
      <c r="I614" s="38" t="inlineStr">
        <is>
          <t>Total de tots els sexes; resposta JSON-stat de l'API d'Idescat</t>
        </is>
      </c>
    </row>
    <row r="615" ht="15" customHeight="1" s="39">
      <c r="A615" s="38" t="n">
        <v>2021</v>
      </c>
      <c r="B615" s="42" t="inlineStr">
        <is>
          <t>430976</t>
        </is>
      </c>
      <c r="C615" s="38" t="inlineStr">
        <is>
          <t>Nou de Gaià, la</t>
        </is>
      </c>
      <c r="D615" s="38" t="inlineStr">
        <is>
          <t>Y001</t>
        </is>
      </c>
      <c r="E615" s="38" t="inlineStr">
        <is>
          <t>1 any</t>
        </is>
      </c>
      <c r="F615" s="38" t="n">
        <v>1</v>
      </c>
      <c r="G615" s="38" t="n">
        <v>3</v>
      </c>
      <c r="I615" s="38" t="inlineStr">
        <is>
          <t>Total de tots els sexes; resposta JSON-stat de l'API d'Idescat</t>
        </is>
      </c>
    </row>
    <row r="616" ht="15" customHeight="1" s="39">
      <c r="A616" s="38" t="n">
        <v>2021</v>
      </c>
      <c r="B616" s="42" t="inlineStr">
        <is>
          <t>430976</t>
        </is>
      </c>
      <c r="C616" s="38" t="inlineStr">
        <is>
          <t>Nou de Gaià, la</t>
        </is>
      </c>
      <c r="D616" s="38" t="inlineStr">
        <is>
          <t>Y002</t>
        </is>
      </c>
      <c r="E616" s="38" t="inlineStr">
        <is>
          <t>2 anys</t>
        </is>
      </c>
      <c r="F616" s="38" t="n">
        <v>2</v>
      </c>
      <c r="G616" s="38" t="n">
        <v>9</v>
      </c>
      <c r="I616" s="38" t="inlineStr">
        <is>
          <t>Total de tots els sexes; resposta JSON-stat de l'API d'Idescat</t>
        </is>
      </c>
    </row>
    <row r="617" ht="15" customHeight="1" s="39">
      <c r="A617" s="38" t="n">
        <v>2021</v>
      </c>
      <c r="B617" s="42" t="inlineStr">
        <is>
          <t>430976</t>
        </is>
      </c>
      <c r="C617" s="38" t="inlineStr">
        <is>
          <t>Nou de Gaià, la</t>
        </is>
      </c>
      <c r="D617" s="38" t="inlineStr">
        <is>
          <t>Y003</t>
        </is>
      </c>
      <c r="E617" s="38" t="inlineStr">
        <is>
          <t>3 anys</t>
        </is>
      </c>
      <c r="F617" s="38" t="n">
        <v>3</v>
      </c>
      <c r="G617" s="38" t="n">
        <v>6</v>
      </c>
      <c r="I617" s="38" t="inlineStr">
        <is>
          <t>Total de tots els sexes; resposta JSON-stat de l'API d'Idescat</t>
        </is>
      </c>
    </row>
    <row r="618" ht="15" customHeight="1" s="39">
      <c r="A618" s="38" t="n">
        <v>2021</v>
      </c>
      <c r="B618" s="42" t="inlineStr">
        <is>
          <t>430976</t>
        </is>
      </c>
      <c r="C618" s="38" t="inlineStr">
        <is>
          <t>Nou de Gaià, la</t>
        </is>
      </c>
      <c r="D618" s="38" t="inlineStr">
        <is>
          <t>Y004</t>
        </is>
      </c>
      <c r="E618" s="38" t="inlineStr">
        <is>
          <t>4 anys</t>
        </is>
      </c>
      <c r="F618" s="38" t="n">
        <v>4</v>
      </c>
      <c r="G618" s="38" t="n">
        <v>9</v>
      </c>
      <c r="I618" s="38" t="inlineStr">
        <is>
          <t>Total de tots els sexes; resposta JSON-stat de l'API d'Idescat</t>
        </is>
      </c>
    </row>
    <row r="619" ht="15" customHeight="1" s="39">
      <c r="A619" s="38" t="n">
        <v>2021</v>
      </c>
      <c r="B619" s="42" t="inlineStr">
        <is>
          <t>430976</t>
        </is>
      </c>
      <c r="C619" s="38" t="inlineStr">
        <is>
          <t>Nou de Gaià, la</t>
        </is>
      </c>
      <c r="D619" s="38" t="inlineStr">
        <is>
          <t>Y005</t>
        </is>
      </c>
      <c r="E619" s="38" t="inlineStr">
        <is>
          <t>5 anys</t>
        </is>
      </c>
      <c r="F619" s="38" t="n">
        <v>5</v>
      </c>
      <c r="G619" s="38" t="n">
        <v>10</v>
      </c>
      <c r="I619" s="38" t="inlineStr">
        <is>
          <t>Total de tots els sexes; resposta JSON-stat de l'API d'Idescat</t>
        </is>
      </c>
    </row>
    <row r="620" ht="15" customHeight="1" s="39">
      <c r="A620" s="38" t="n">
        <v>2021</v>
      </c>
      <c r="B620" s="42" t="inlineStr">
        <is>
          <t>430976</t>
        </is>
      </c>
      <c r="C620" s="38" t="inlineStr">
        <is>
          <t>Nou de Gaià, la</t>
        </is>
      </c>
      <c r="D620" s="38" t="inlineStr">
        <is>
          <t>Y006</t>
        </is>
      </c>
      <c r="E620" s="38" t="inlineStr">
        <is>
          <t>6 anys</t>
        </is>
      </c>
      <c r="F620" s="38" t="n">
        <v>6</v>
      </c>
      <c r="G620" s="38" t="n">
        <v>11</v>
      </c>
      <c r="I620" s="38" t="inlineStr">
        <is>
          <t>Total de tots els sexes; resposta JSON-stat de l'API d'Idescat</t>
        </is>
      </c>
    </row>
    <row r="621" ht="15" customHeight="1" s="39">
      <c r="A621" s="38" t="n">
        <v>2021</v>
      </c>
      <c r="B621" s="42" t="inlineStr">
        <is>
          <t>430976</t>
        </is>
      </c>
      <c r="C621" s="38" t="inlineStr">
        <is>
          <t>Nou de Gaià, la</t>
        </is>
      </c>
      <c r="D621" s="38" t="inlineStr">
        <is>
          <t>Y007</t>
        </is>
      </c>
      <c r="E621" s="38" t="inlineStr">
        <is>
          <t>7 anys</t>
        </is>
      </c>
      <c r="F621" s="38" t="n">
        <v>7</v>
      </c>
      <c r="G621" s="38" t="n">
        <v>7</v>
      </c>
      <c r="I621" s="38" t="inlineStr">
        <is>
          <t>Total de tots els sexes; resposta JSON-stat de l'API d'Idescat</t>
        </is>
      </c>
    </row>
    <row r="622" ht="15" customHeight="1" s="39">
      <c r="A622" s="38" t="n">
        <v>2021</v>
      </c>
      <c r="B622" s="42" t="inlineStr">
        <is>
          <t>430976</t>
        </is>
      </c>
      <c r="C622" s="38" t="inlineStr">
        <is>
          <t>Nou de Gaià, la</t>
        </is>
      </c>
      <c r="D622" s="38" t="inlineStr">
        <is>
          <t>Y008</t>
        </is>
      </c>
      <c r="E622" s="38" t="inlineStr">
        <is>
          <t>8 anys</t>
        </is>
      </c>
      <c r="F622" s="38" t="n">
        <v>8</v>
      </c>
      <c r="G622" s="38" t="n">
        <v>8</v>
      </c>
      <c r="I622" s="38" t="inlineStr">
        <is>
          <t>Total de tots els sexes; resposta JSON-stat de l'API d'Idescat</t>
        </is>
      </c>
    </row>
    <row r="623" ht="15" customHeight="1" s="39">
      <c r="A623" s="38" t="n">
        <v>2021</v>
      </c>
      <c r="B623" s="42" t="inlineStr">
        <is>
          <t>430976</t>
        </is>
      </c>
      <c r="C623" s="38" t="inlineStr">
        <is>
          <t>Nou de Gaià, la</t>
        </is>
      </c>
      <c r="D623" s="38" t="inlineStr">
        <is>
          <t>Y009</t>
        </is>
      </c>
      <c r="E623" s="38" t="inlineStr">
        <is>
          <t>9 anys</t>
        </is>
      </c>
      <c r="F623" s="38" t="n">
        <v>9</v>
      </c>
      <c r="G623" s="38" t="n">
        <v>14</v>
      </c>
      <c r="I623" s="38" t="inlineStr">
        <is>
          <t>Total de tots els sexes; resposta JSON-stat de l'API d'Idescat</t>
        </is>
      </c>
    </row>
    <row r="624" ht="15" customHeight="1" s="39">
      <c r="A624" s="38" t="n">
        <v>2021</v>
      </c>
      <c r="B624" s="42" t="inlineStr">
        <is>
          <t>430976</t>
        </is>
      </c>
      <c r="C624" s="38" t="inlineStr">
        <is>
          <t>Nou de Gaià, la</t>
        </is>
      </c>
      <c r="D624" s="38" t="inlineStr">
        <is>
          <t>Y010</t>
        </is>
      </c>
      <c r="E624" s="38" t="inlineStr">
        <is>
          <t>10 anys</t>
        </is>
      </c>
      <c r="F624" s="38" t="n">
        <v>10</v>
      </c>
      <c r="G624" s="38" t="n">
        <v>8</v>
      </c>
      <c r="I624" s="38" t="inlineStr">
        <is>
          <t>Total de tots els sexes; resposta JSON-stat de l'API d'Idescat</t>
        </is>
      </c>
    </row>
    <row r="625" ht="15" customHeight="1" s="39">
      <c r="A625" s="38" t="n">
        <v>2021</v>
      </c>
      <c r="B625" s="42" t="inlineStr">
        <is>
          <t>430976</t>
        </is>
      </c>
      <c r="C625" s="38" t="inlineStr">
        <is>
          <t>Nou de Gaià, la</t>
        </is>
      </c>
      <c r="D625" s="38" t="inlineStr">
        <is>
          <t>Y011</t>
        </is>
      </c>
      <c r="E625" s="38" t="inlineStr">
        <is>
          <t>11 anys</t>
        </is>
      </c>
      <c r="F625" s="38" t="n">
        <v>11</v>
      </c>
      <c r="G625" s="38" t="n">
        <v>9</v>
      </c>
      <c r="I625" s="38" t="inlineStr">
        <is>
          <t>Total de tots els sexes; resposta JSON-stat de l'API d'Idescat</t>
        </is>
      </c>
    </row>
    <row r="626" ht="15" customHeight="1" s="39">
      <c r="A626" s="38" t="n">
        <v>2021</v>
      </c>
      <c r="B626" s="42" t="inlineStr">
        <is>
          <t>430976</t>
        </is>
      </c>
      <c r="C626" s="38" t="inlineStr">
        <is>
          <t>Nou de Gaià, la</t>
        </is>
      </c>
      <c r="D626" s="38" t="inlineStr">
        <is>
          <t>Y012</t>
        </is>
      </c>
      <c r="E626" s="38" t="inlineStr">
        <is>
          <t>12 anys</t>
        </is>
      </c>
      <c r="F626" s="38" t="n">
        <v>12</v>
      </c>
      <c r="G626" s="38" t="n">
        <v>8</v>
      </c>
      <c r="I626" s="38" t="inlineStr">
        <is>
          <t>Total de tots els sexes; resposta JSON-stat de l'API d'Idescat</t>
        </is>
      </c>
    </row>
    <row r="627" ht="15" customHeight="1" s="39">
      <c r="A627" s="38" t="n">
        <v>2021</v>
      </c>
      <c r="B627" s="42" t="inlineStr">
        <is>
          <t>430976</t>
        </is>
      </c>
      <c r="C627" s="38" t="inlineStr">
        <is>
          <t>Nou de Gaià, la</t>
        </is>
      </c>
      <c r="D627" s="38" t="inlineStr">
        <is>
          <t>Y013</t>
        </is>
      </c>
      <c r="E627" s="38" t="inlineStr">
        <is>
          <t>13 anys</t>
        </is>
      </c>
      <c r="F627" s="38" t="n">
        <v>13</v>
      </c>
      <c r="G627" s="38" t="n">
        <v>14</v>
      </c>
      <c r="I627" s="38" t="inlineStr">
        <is>
          <t>Total de tots els sexes; resposta JSON-stat de l'API d'Idescat</t>
        </is>
      </c>
    </row>
    <row r="628" ht="15" customHeight="1" s="39">
      <c r="A628" s="38" t="n">
        <v>2021</v>
      </c>
      <c r="B628" s="42" t="inlineStr">
        <is>
          <t>430976</t>
        </is>
      </c>
      <c r="C628" s="38" t="inlineStr">
        <is>
          <t>Nou de Gaià, la</t>
        </is>
      </c>
      <c r="D628" s="38" t="inlineStr">
        <is>
          <t>Y014</t>
        </is>
      </c>
      <c r="E628" s="38" t="inlineStr">
        <is>
          <t>14 anys</t>
        </is>
      </c>
      <c r="F628" s="38" t="n">
        <v>14</v>
      </c>
      <c r="G628" s="38" t="n">
        <v>8</v>
      </c>
      <c r="I628" s="38" t="inlineStr">
        <is>
          <t>Total de tots els sexes; resposta JSON-stat de l'API d'Idescat</t>
        </is>
      </c>
    </row>
    <row r="629" ht="15" customHeight="1" s="39">
      <c r="A629" s="38" t="n">
        <v>2021</v>
      </c>
      <c r="B629" s="42" t="inlineStr">
        <is>
          <t>430976</t>
        </is>
      </c>
      <c r="C629" s="38" t="inlineStr">
        <is>
          <t>Nou de Gaià, la</t>
        </is>
      </c>
      <c r="D629" s="38" t="inlineStr">
        <is>
          <t>Y015</t>
        </is>
      </c>
      <c r="E629" s="38" t="inlineStr">
        <is>
          <t>15 anys</t>
        </is>
      </c>
      <c r="F629" s="38" t="n">
        <v>15</v>
      </c>
      <c r="G629" s="38" t="n">
        <v>11</v>
      </c>
      <c r="I629" s="38" t="inlineStr">
        <is>
          <t>Total de tots els sexes; resposta JSON-stat de l'API d'Idescat</t>
        </is>
      </c>
    </row>
    <row r="630" ht="15" customHeight="1" s="39">
      <c r="A630" s="38" t="n">
        <v>2021</v>
      </c>
      <c r="B630" s="42" t="inlineStr">
        <is>
          <t>430976</t>
        </is>
      </c>
      <c r="C630" s="38" t="inlineStr">
        <is>
          <t>Nou de Gaià, la</t>
        </is>
      </c>
      <c r="D630" s="38" t="inlineStr">
        <is>
          <t>Y016</t>
        </is>
      </c>
      <c r="E630" s="38" t="inlineStr">
        <is>
          <t>16 anys</t>
        </is>
      </c>
      <c r="F630" s="38" t="n">
        <v>16</v>
      </c>
      <c r="G630" s="38" t="n">
        <v>11</v>
      </c>
      <c r="I630" s="38" t="inlineStr">
        <is>
          <t>Total de tots els sexes; resposta JSON-stat de l'API d'Idescat</t>
        </is>
      </c>
    </row>
    <row r="631" ht="15" customHeight="1" s="39">
      <c r="A631" s="38" t="n">
        <v>2021</v>
      </c>
      <c r="B631" s="42" t="inlineStr">
        <is>
          <t>430976</t>
        </is>
      </c>
      <c r="C631" s="38" t="inlineStr">
        <is>
          <t>Nou de Gaià, la</t>
        </is>
      </c>
      <c r="D631" s="38" t="inlineStr">
        <is>
          <t>Y017</t>
        </is>
      </c>
      <c r="E631" s="38" t="inlineStr">
        <is>
          <t>17 anys</t>
        </is>
      </c>
      <c r="F631" s="38" t="n">
        <v>17</v>
      </c>
      <c r="G631" s="38" t="n">
        <v>7</v>
      </c>
      <c r="I631" s="38" t="inlineStr">
        <is>
          <t>Total de tots els sexes; resposta JSON-stat de l'API d'Idescat</t>
        </is>
      </c>
    </row>
    <row r="632" ht="15" customHeight="1" s="39">
      <c r="A632" s="38" t="n">
        <v>2021</v>
      </c>
      <c r="B632" s="42" t="inlineStr">
        <is>
          <t>430976</t>
        </is>
      </c>
      <c r="C632" s="38" t="inlineStr">
        <is>
          <t>Nou de Gaià, la</t>
        </is>
      </c>
      <c r="D632" s="38" t="inlineStr">
        <is>
          <t>Y018</t>
        </is>
      </c>
      <c r="E632" s="38" t="inlineStr">
        <is>
          <t>18 anys</t>
        </is>
      </c>
      <c r="F632" s="38" t="n">
        <v>18</v>
      </c>
      <c r="G632" s="38" t="n">
        <v>8</v>
      </c>
      <c r="I632" s="38" t="inlineStr">
        <is>
          <t>Total de tots els sexes; resposta JSON-stat de l'API d'Idescat</t>
        </is>
      </c>
    </row>
    <row r="633" ht="15" customHeight="1" s="39">
      <c r="A633" s="38" t="n">
        <v>2021</v>
      </c>
      <c r="B633" s="42" t="inlineStr">
        <is>
          <t>430976</t>
        </is>
      </c>
      <c r="C633" s="38" t="inlineStr">
        <is>
          <t>Nou de Gaià, la</t>
        </is>
      </c>
      <c r="D633" s="38" t="inlineStr">
        <is>
          <t>Y019</t>
        </is>
      </c>
      <c r="E633" s="38" t="inlineStr">
        <is>
          <t>19 anys</t>
        </is>
      </c>
      <c r="F633" s="38" t="n">
        <v>19</v>
      </c>
      <c r="G633" s="38" t="n">
        <v>13</v>
      </c>
      <c r="I633" s="38" t="inlineStr">
        <is>
          <t>Total de tots els sexes; resposta JSON-stat de l'API d'Idescat</t>
        </is>
      </c>
    </row>
    <row r="634" ht="15" customHeight="1" s="39">
      <c r="A634" s="38" t="n">
        <v>2021</v>
      </c>
      <c r="B634" s="42" t="inlineStr">
        <is>
          <t>430976</t>
        </is>
      </c>
      <c r="C634" s="38" t="inlineStr">
        <is>
          <t>Nou de Gaià, la</t>
        </is>
      </c>
      <c r="D634" s="38" t="inlineStr">
        <is>
          <t>Y020</t>
        </is>
      </c>
      <c r="E634" s="38" t="inlineStr">
        <is>
          <t>20 anys</t>
        </is>
      </c>
      <c r="F634" s="38" t="n">
        <v>20</v>
      </c>
      <c r="G634" s="38" t="n">
        <v>9</v>
      </c>
      <c r="I634" s="38" t="inlineStr">
        <is>
          <t>Total de tots els sexes; resposta JSON-stat de l'API d'Idescat</t>
        </is>
      </c>
    </row>
    <row r="635" ht="15" customHeight="1" s="39">
      <c r="A635" s="38" t="n">
        <v>2021</v>
      </c>
      <c r="B635" s="42" t="inlineStr">
        <is>
          <t>430976</t>
        </is>
      </c>
      <c r="C635" s="38" t="inlineStr">
        <is>
          <t>Nou de Gaià, la</t>
        </is>
      </c>
      <c r="D635" s="38" t="inlineStr">
        <is>
          <t>Y021</t>
        </is>
      </c>
      <c r="E635" s="38" t="inlineStr">
        <is>
          <t>21 anys</t>
        </is>
      </c>
      <c r="F635" s="38" t="n">
        <v>21</v>
      </c>
      <c r="G635" s="38" t="n">
        <v>4</v>
      </c>
      <c r="I635" s="38" t="inlineStr">
        <is>
          <t>Total de tots els sexes; resposta JSON-stat de l'API d'Idescat</t>
        </is>
      </c>
    </row>
    <row r="636" ht="15" customHeight="1" s="39">
      <c r="A636" s="38" t="n">
        <v>2021</v>
      </c>
      <c r="B636" s="42" t="inlineStr">
        <is>
          <t>430976</t>
        </is>
      </c>
      <c r="C636" s="38" t="inlineStr">
        <is>
          <t>Nou de Gaià, la</t>
        </is>
      </c>
      <c r="D636" s="38" t="inlineStr">
        <is>
          <t>Y022</t>
        </is>
      </c>
      <c r="E636" s="38" t="inlineStr">
        <is>
          <t>22 anys</t>
        </is>
      </c>
      <c r="F636" s="38" t="n">
        <v>22</v>
      </c>
      <c r="G636" s="38" t="n">
        <v>5</v>
      </c>
      <c r="I636" s="38" t="inlineStr">
        <is>
          <t>Total de tots els sexes; resposta JSON-stat de l'API d'Idescat</t>
        </is>
      </c>
    </row>
    <row r="637" ht="15" customHeight="1" s="39">
      <c r="A637" s="38" t="n">
        <v>2021</v>
      </c>
      <c r="B637" s="42" t="inlineStr">
        <is>
          <t>430976</t>
        </is>
      </c>
      <c r="C637" s="38" t="inlineStr">
        <is>
          <t>Nou de Gaià, la</t>
        </is>
      </c>
      <c r="D637" s="38" t="inlineStr">
        <is>
          <t>Y023</t>
        </is>
      </c>
      <c r="E637" s="38" t="inlineStr">
        <is>
          <t>23 anys</t>
        </is>
      </c>
      <c r="F637" s="38" t="n">
        <v>23</v>
      </c>
      <c r="G637" s="38" t="n">
        <v>6</v>
      </c>
      <c r="I637" s="38" t="inlineStr">
        <is>
          <t>Total de tots els sexes; resposta JSON-stat de l'API d'Idescat</t>
        </is>
      </c>
    </row>
    <row r="638" ht="15" customHeight="1" s="39">
      <c r="A638" s="38" t="n">
        <v>2021</v>
      </c>
      <c r="B638" s="42" t="inlineStr">
        <is>
          <t>430976</t>
        </is>
      </c>
      <c r="C638" s="38" t="inlineStr">
        <is>
          <t>Nou de Gaià, la</t>
        </is>
      </c>
      <c r="D638" s="38" t="inlineStr">
        <is>
          <t>Y024</t>
        </is>
      </c>
      <c r="E638" s="38" t="inlineStr">
        <is>
          <t>24 anys</t>
        </is>
      </c>
      <c r="F638" s="38" t="n">
        <v>24</v>
      </c>
      <c r="G638" s="38" t="n">
        <v>0</v>
      </c>
      <c r="I638" s="38" t="inlineStr">
        <is>
          <t>Total de tots els sexes; resposta JSON-stat de l'API d'Idescat</t>
        </is>
      </c>
    </row>
    <row r="639" ht="15" customHeight="1" s="39">
      <c r="A639" s="38" t="n">
        <v>2021</v>
      </c>
      <c r="B639" s="42" t="inlineStr">
        <is>
          <t>430976</t>
        </is>
      </c>
      <c r="C639" s="38" t="inlineStr">
        <is>
          <t>Nou de Gaià, la</t>
        </is>
      </c>
      <c r="D639" s="38" t="inlineStr">
        <is>
          <t>Y025</t>
        </is>
      </c>
      <c r="E639" s="38" t="inlineStr">
        <is>
          <t>25 anys</t>
        </is>
      </c>
      <c r="F639" s="38" t="n">
        <v>25</v>
      </c>
      <c r="G639" s="38" t="n">
        <v>4</v>
      </c>
      <c r="I639" s="38" t="inlineStr">
        <is>
          <t>Total de tots els sexes; resposta JSON-stat de l'API d'Idescat</t>
        </is>
      </c>
    </row>
    <row r="640" ht="15" customHeight="1" s="39">
      <c r="A640" s="38" t="n">
        <v>2021</v>
      </c>
      <c r="B640" s="42" t="inlineStr">
        <is>
          <t>430976</t>
        </is>
      </c>
      <c r="C640" s="38" t="inlineStr">
        <is>
          <t>Nou de Gaià, la</t>
        </is>
      </c>
      <c r="D640" s="38" t="inlineStr">
        <is>
          <t>Y026</t>
        </is>
      </c>
      <c r="E640" s="38" t="inlineStr">
        <is>
          <t>26 anys</t>
        </is>
      </c>
      <c r="F640" s="38" t="n">
        <v>26</v>
      </c>
      <c r="G640" s="38" t="n">
        <v>5</v>
      </c>
      <c r="I640" s="38" t="inlineStr">
        <is>
          <t>Total de tots els sexes; resposta JSON-stat de l'API d'Idescat</t>
        </is>
      </c>
    </row>
    <row r="641" ht="15" customHeight="1" s="39">
      <c r="A641" s="38" t="n">
        <v>2021</v>
      </c>
      <c r="B641" s="42" t="inlineStr">
        <is>
          <t>430976</t>
        </is>
      </c>
      <c r="C641" s="38" t="inlineStr">
        <is>
          <t>Nou de Gaià, la</t>
        </is>
      </c>
      <c r="D641" s="38" t="inlineStr">
        <is>
          <t>Y027</t>
        </is>
      </c>
      <c r="E641" s="38" t="inlineStr">
        <is>
          <t>27 anys</t>
        </is>
      </c>
      <c r="F641" s="38" t="n">
        <v>27</v>
      </c>
      <c r="G641" s="38" t="n">
        <v>5</v>
      </c>
      <c r="I641" s="38" t="inlineStr">
        <is>
          <t>Total de tots els sexes; resposta JSON-stat de l'API d'Idescat</t>
        </is>
      </c>
    </row>
    <row r="642" ht="15" customHeight="1" s="39">
      <c r="A642" s="38" t="n">
        <v>2021</v>
      </c>
      <c r="B642" s="42" t="inlineStr">
        <is>
          <t>430976</t>
        </is>
      </c>
      <c r="C642" s="38" t="inlineStr">
        <is>
          <t>Nou de Gaià, la</t>
        </is>
      </c>
      <c r="D642" s="38" t="inlineStr">
        <is>
          <t>Y028</t>
        </is>
      </c>
      <c r="E642" s="38" t="inlineStr">
        <is>
          <t>28 anys</t>
        </is>
      </c>
      <c r="F642" s="38" t="n">
        <v>28</v>
      </c>
      <c r="G642" s="38" t="n">
        <v>6</v>
      </c>
      <c r="I642" s="38" t="inlineStr">
        <is>
          <t>Total de tots els sexes; resposta JSON-stat de l'API d'Idescat</t>
        </is>
      </c>
    </row>
    <row r="643" ht="15" customHeight="1" s="39">
      <c r="A643" s="38" t="n">
        <v>2021</v>
      </c>
      <c r="B643" s="42" t="inlineStr">
        <is>
          <t>430976</t>
        </is>
      </c>
      <c r="C643" s="38" t="inlineStr">
        <is>
          <t>Nou de Gaià, la</t>
        </is>
      </c>
      <c r="D643" s="38" t="inlineStr">
        <is>
          <t>Y029</t>
        </is>
      </c>
      <c r="E643" s="38" t="inlineStr">
        <is>
          <t>29 anys</t>
        </is>
      </c>
      <c r="F643" s="38" t="n">
        <v>29</v>
      </c>
      <c r="G643" s="38" t="n">
        <v>3</v>
      </c>
      <c r="I643" s="38" t="inlineStr">
        <is>
          <t>Total de tots els sexes; resposta JSON-stat de l'API d'Idescat</t>
        </is>
      </c>
    </row>
    <row r="644" ht="15" customHeight="1" s="39">
      <c r="A644" s="38" t="n">
        <v>2021</v>
      </c>
      <c r="B644" s="42" t="inlineStr">
        <is>
          <t>430976</t>
        </is>
      </c>
      <c r="C644" s="38" t="inlineStr">
        <is>
          <t>Nou de Gaià, la</t>
        </is>
      </c>
      <c r="D644" s="38" t="inlineStr">
        <is>
          <t>Y030</t>
        </is>
      </c>
      <c r="E644" s="38" t="inlineStr">
        <is>
          <t>30 anys</t>
        </is>
      </c>
      <c r="F644" s="38" t="n">
        <v>30</v>
      </c>
      <c r="G644" s="38" t="n">
        <v>7</v>
      </c>
      <c r="I644" s="38" t="inlineStr">
        <is>
          <t>Total de tots els sexes; resposta JSON-stat de l'API d'Idescat</t>
        </is>
      </c>
    </row>
    <row r="645" ht="15" customHeight="1" s="39">
      <c r="A645" s="38" t="n">
        <v>2021</v>
      </c>
      <c r="B645" s="42" t="inlineStr">
        <is>
          <t>430976</t>
        </is>
      </c>
      <c r="C645" s="38" t="inlineStr">
        <is>
          <t>Nou de Gaià, la</t>
        </is>
      </c>
      <c r="D645" s="38" t="inlineStr">
        <is>
          <t>Y031</t>
        </is>
      </c>
      <c r="E645" s="38" t="inlineStr">
        <is>
          <t>31 anys</t>
        </is>
      </c>
      <c r="F645" s="38" t="n">
        <v>31</v>
      </c>
      <c r="G645" s="38" t="n">
        <v>3</v>
      </c>
      <c r="I645" s="38" t="inlineStr">
        <is>
          <t>Total de tots els sexes; resposta JSON-stat de l'API d'Idescat</t>
        </is>
      </c>
    </row>
    <row r="646" ht="15" customHeight="1" s="39">
      <c r="A646" s="38" t="n">
        <v>2021</v>
      </c>
      <c r="B646" s="42" t="inlineStr">
        <is>
          <t>430976</t>
        </is>
      </c>
      <c r="C646" s="38" t="inlineStr">
        <is>
          <t>Nou de Gaià, la</t>
        </is>
      </c>
      <c r="D646" s="38" t="inlineStr">
        <is>
          <t>Y032</t>
        </is>
      </c>
      <c r="E646" s="38" t="inlineStr">
        <is>
          <t>32 anys</t>
        </is>
      </c>
      <c r="F646" s="38" t="n">
        <v>32</v>
      </c>
      <c r="G646" s="38" t="n">
        <v>7</v>
      </c>
      <c r="I646" s="38" t="inlineStr">
        <is>
          <t>Total de tots els sexes; resposta JSON-stat de l'API d'Idescat</t>
        </is>
      </c>
    </row>
    <row r="647" ht="15" customHeight="1" s="39">
      <c r="A647" s="38" t="n">
        <v>2021</v>
      </c>
      <c r="B647" s="42" t="inlineStr">
        <is>
          <t>430976</t>
        </is>
      </c>
      <c r="C647" s="38" t="inlineStr">
        <is>
          <t>Nou de Gaià, la</t>
        </is>
      </c>
      <c r="D647" s="38" t="inlineStr">
        <is>
          <t>Y033</t>
        </is>
      </c>
      <c r="E647" s="38" t="inlineStr">
        <is>
          <t>33 anys</t>
        </is>
      </c>
      <c r="F647" s="38" t="n">
        <v>33</v>
      </c>
      <c r="G647" s="38" t="n">
        <v>4</v>
      </c>
      <c r="I647" s="38" t="inlineStr">
        <is>
          <t>Total de tots els sexes; resposta JSON-stat de l'API d'Idescat</t>
        </is>
      </c>
    </row>
    <row r="648" ht="15" customHeight="1" s="39">
      <c r="A648" s="38" t="n">
        <v>2021</v>
      </c>
      <c r="B648" s="42" t="inlineStr">
        <is>
          <t>430976</t>
        </is>
      </c>
      <c r="C648" s="38" t="inlineStr">
        <is>
          <t>Nou de Gaià, la</t>
        </is>
      </c>
      <c r="D648" s="38" t="inlineStr">
        <is>
          <t>Y034</t>
        </is>
      </c>
      <c r="E648" s="38" t="inlineStr">
        <is>
          <t>34 anys</t>
        </is>
      </c>
      <c r="F648" s="38" t="n">
        <v>34</v>
      </c>
      <c r="G648" s="38" t="n">
        <v>6</v>
      </c>
      <c r="I648" s="38" t="inlineStr">
        <is>
          <t>Total de tots els sexes; resposta JSON-stat de l'API d'Idescat</t>
        </is>
      </c>
    </row>
    <row r="649" ht="15" customHeight="1" s="39">
      <c r="A649" s="38" t="n">
        <v>2021</v>
      </c>
      <c r="B649" s="42" t="inlineStr">
        <is>
          <t>430976</t>
        </is>
      </c>
      <c r="C649" s="38" t="inlineStr">
        <is>
          <t>Nou de Gaià, la</t>
        </is>
      </c>
      <c r="D649" s="38" t="inlineStr">
        <is>
          <t>Y035</t>
        </is>
      </c>
      <c r="E649" s="38" t="inlineStr">
        <is>
          <t>35 anys</t>
        </is>
      </c>
      <c r="F649" s="38" t="n">
        <v>35</v>
      </c>
      <c r="G649" s="38" t="n">
        <v>7</v>
      </c>
      <c r="I649" s="38" t="inlineStr">
        <is>
          <t>Total de tots els sexes; resposta JSON-stat de l'API d'Idescat</t>
        </is>
      </c>
    </row>
    <row r="650" ht="15" customHeight="1" s="39">
      <c r="A650" s="38" t="n">
        <v>2021</v>
      </c>
      <c r="B650" s="42" t="inlineStr">
        <is>
          <t>430976</t>
        </is>
      </c>
      <c r="C650" s="38" t="inlineStr">
        <is>
          <t>Nou de Gaià, la</t>
        </is>
      </c>
      <c r="D650" s="38" t="inlineStr">
        <is>
          <t>Y036</t>
        </is>
      </c>
      <c r="E650" s="38" t="inlineStr">
        <is>
          <t>36 anys</t>
        </is>
      </c>
      <c r="F650" s="38" t="n">
        <v>36</v>
      </c>
      <c r="G650" s="38" t="n">
        <v>4</v>
      </c>
      <c r="I650" s="38" t="inlineStr">
        <is>
          <t>Total de tots els sexes; resposta JSON-stat de l'API d'Idescat</t>
        </is>
      </c>
    </row>
    <row r="651" ht="15" customHeight="1" s="39">
      <c r="A651" s="38" t="n">
        <v>2021</v>
      </c>
      <c r="B651" s="42" t="inlineStr">
        <is>
          <t>430976</t>
        </is>
      </c>
      <c r="C651" s="38" t="inlineStr">
        <is>
          <t>Nou de Gaià, la</t>
        </is>
      </c>
      <c r="D651" s="38" t="inlineStr">
        <is>
          <t>Y037</t>
        </is>
      </c>
      <c r="E651" s="38" t="inlineStr">
        <is>
          <t>37 anys</t>
        </is>
      </c>
      <c r="F651" s="38" t="n">
        <v>37</v>
      </c>
      <c r="G651" s="38" t="n">
        <v>14</v>
      </c>
      <c r="I651" s="38" t="inlineStr">
        <is>
          <t>Total de tots els sexes; resposta JSON-stat de l'API d'Idescat</t>
        </is>
      </c>
    </row>
    <row r="652" ht="15" customHeight="1" s="39">
      <c r="A652" s="38" t="n">
        <v>2021</v>
      </c>
      <c r="B652" s="42" t="inlineStr">
        <is>
          <t>430976</t>
        </is>
      </c>
      <c r="C652" s="38" t="inlineStr">
        <is>
          <t>Nou de Gaià, la</t>
        </is>
      </c>
      <c r="D652" s="38" t="inlineStr">
        <is>
          <t>Y038</t>
        </is>
      </c>
      <c r="E652" s="38" t="inlineStr">
        <is>
          <t>38 anys</t>
        </is>
      </c>
      <c r="F652" s="38" t="n">
        <v>38</v>
      </c>
      <c r="G652" s="38" t="n">
        <v>9</v>
      </c>
      <c r="I652" s="38" t="inlineStr">
        <is>
          <t>Total de tots els sexes; resposta JSON-stat de l'API d'Idescat</t>
        </is>
      </c>
    </row>
    <row r="653" ht="15" customHeight="1" s="39">
      <c r="A653" s="38" t="n">
        <v>2021</v>
      </c>
      <c r="B653" s="42" t="inlineStr">
        <is>
          <t>430976</t>
        </is>
      </c>
      <c r="C653" s="38" t="inlineStr">
        <is>
          <t>Nou de Gaià, la</t>
        </is>
      </c>
      <c r="D653" s="38" t="inlineStr">
        <is>
          <t>Y039</t>
        </is>
      </c>
      <c r="E653" s="38" t="inlineStr">
        <is>
          <t>39 anys</t>
        </is>
      </c>
      <c r="F653" s="38" t="n">
        <v>39</v>
      </c>
      <c r="G653" s="38" t="n">
        <v>7</v>
      </c>
      <c r="I653" s="38" t="inlineStr">
        <is>
          <t>Total de tots els sexes; resposta JSON-stat de l'API d'Idescat</t>
        </is>
      </c>
    </row>
    <row r="654" ht="15" customHeight="1" s="39">
      <c r="A654" s="38" t="n">
        <v>2021</v>
      </c>
      <c r="B654" s="42" t="inlineStr">
        <is>
          <t>430976</t>
        </is>
      </c>
      <c r="C654" s="38" t="inlineStr">
        <is>
          <t>Nou de Gaià, la</t>
        </is>
      </c>
      <c r="D654" s="38" t="inlineStr">
        <is>
          <t>Y040</t>
        </is>
      </c>
      <c r="E654" s="38" t="inlineStr">
        <is>
          <t>40 anys</t>
        </is>
      </c>
      <c r="F654" s="38" t="n">
        <v>40</v>
      </c>
      <c r="G654" s="38" t="n">
        <v>11</v>
      </c>
      <c r="I654" s="38" t="inlineStr">
        <is>
          <t>Total de tots els sexes; resposta JSON-stat de l'API d'Idescat</t>
        </is>
      </c>
    </row>
    <row r="655" ht="15" customHeight="1" s="39">
      <c r="A655" s="38" t="n">
        <v>2021</v>
      </c>
      <c r="B655" s="42" t="inlineStr">
        <is>
          <t>430976</t>
        </is>
      </c>
      <c r="C655" s="38" t="inlineStr">
        <is>
          <t>Nou de Gaià, la</t>
        </is>
      </c>
      <c r="D655" s="38" t="inlineStr">
        <is>
          <t>Y041</t>
        </is>
      </c>
      <c r="E655" s="38" t="inlineStr">
        <is>
          <t>41 anys</t>
        </is>
      </c>
      <c r="F655" s="38" t="n">
        <v>41</v>
      </c>
      <c r="G655" s="38" t="n">
        <v>4</v>
      </c>
      <c r="I655" s="38" t="inlineStr">
        <is>
          <t>Total de tots els sexes; resposta JSON-stat de l'API d'Idescat</t>
        </is>
      </c>
    </row>
    <row r="656" ht="15" customHeight="1" s="39">
      <c r="A656" s="38" t="n">
        <v>2021</v>
      </c>
      <c r="B656" s="42" t="inlineStr">
        <is>
          <t>430976</t>
        </is>
      </c>
      <c r="C656" s="38" t="inlineStr">
        <is>
          <t>Nou de Gaià, la</t>
        </is>
      </c>
      <c r="D656" s="38" t="inlineStr">
        <is>
          <t>Y042</t>
        </is>
      </c>
      <c r="E656" s="38" t="inlineStr">
        <is>
          <t>42 anys</t>
        </is>
      </c>
      <c r="F656" s="38" t="n">
        <v>42</v>
      </c>
      <c r="G656" s="38" t="n">
        <v>10</v>
      </c>
      <c r="I656" s="38" t="inlineStr">
        <is>
          <t>Total de tots els sexes; resposta JSON-stat de l'API d'Idescat</t>
        </is>
      </c>
    </row>
    <row r="657" ht="15" customHeight="1" s="39">
      <c r="A657" s="38" t="n">
        <v>2021</v>
      </c>
      <c r="B657" s="42" t="inlineStr">
        <is>
          <t>430976</t>
        </is>
      </c>
      <c r="C657" s="38" t="inlineStr">
        <is>
          <t>Nou de Gaià, la</t>
        </is>
      </c>
      <c r="D657" s="38" t="inlineStr">
        <is>
          <t>Y043</t>
        </is>
      </c>
      <c r="E657" s="38" t="inlineStr">
        <is>
          <t>43 anys</t>
        </is>
      </c>
      <c r="F657" s="38" t="n">
        <v>43</v>
      </c>
      <c r="G657" s="38" t="n">
        <v>15</v>
      </c>
      <c r="I657" s="38" t="inlineStr">
        <is>
          <t>Total de tots els sexes; resposta JSON-stat de l'API d'Idescat</t>
        </is>
      </c>
    </row>
    <row r="658" ht="15" customHeight="1" s="39">
      <c r="A658" s="38" t="n">
        <v>2021</v>
      </c>
      <c r="B658" s="42" t="inlineStr">
        <is>
          <t>430976</t>
        </is>
      </c>
      <c r="C658" s="38" t="inlineStr">
        <is>
          <t>Nou de Gaià, la</t>
        </is>
      </c>
      <c r="D658" s="38" t="inlineStr">
        <is>
          <t>Y044</t>
        </is>
      </c>
      <c r="E658" s="38" t="inlineStr">
        <is>
          <t>44 anys</t>
        </is>
      </c>
      <c r="F658" s="38" t="n">
        <v>44</v>
      </c>
      <c r="G658" s="38" t="n">
        <v>11</v>
      </c>
      <c r="I658" s="38" t="inlineStr">
        <is>
          <t>Total de tots els sexes; resposta JSON-stat de l'API d'Idescat</t>
        </is>
      </c>
    </row>
    <row r="659" ht="15" customHeight="1" s="39">
      <c r="A659" s="38" t="n">
        <v>2021</v>
      </c>
      <c r="B659" s="42" t="inlineStr">
        <is>
          <t>430976</t>
        </is>
      </c>
      <c r="C659" s="38" t="inlineStr">
        <is>
          <t>Nou de Gaià, la</t>
        </is>
      </c>
      <c r="D659" s="38" t="inlineStr">
        <is>
          <t>Y045</t>
        </is>
      </c>
      <c r="E659" s="38" t="inlineStr">
        <is>
          <t>45 anys</t>
        </is>
      </c>
      <c r="F659" s="38" t="n">
        <v>45</v>
      </c>
      <c r="G659" s="38" t="n">
        <v>9</v>
      </c>
      <c r="I659" s="38" t="inlineStr">
        <is>
          <t>Total de tots els sexes; resposta JSON-stat de l'API d'Idescat</t>
        </is>
      </c>
    </row>
    <row r="660" ht="15" customHeight="1" s="39">
      <c r="A660" s="38" t="n">
        <v>2021</v>
      </c>
      <c r="B660" s="42" t="inlineStr">
        <is>
          <t>430976</t>
        </is>
      </c>
      <c r="C660" s="38" t="inlineStr">
        <is>
          <t>Nou de Gaià, la</t>
        </is>
      </c>
      <c r="D660" s="38" t="inlineStr">
        <is>
          <t>Y046</t>
        </is>
      </c>
      <c r="E660" s="38" t="inlineStr">
        <is>
          <t>46 anys</t>
        </is>
      </c>
      <c r="F660" s="38" t="n">
        <v>46</v>
      </c>
      <c r="G660" s="38" t="n">
        <v>10</v>
      </c>
      <c r="I660" s="38" t="inlineStr">
        <is>
          <t>Total de tots els sexes; resposta JSON-stat de l'API d'Idescat</t>
        </is>
      </c>
    </row>
    <row r="661" ht="15" customHeight="1" s="39">
      <c r="A661" s="38" t="n">
        <v>2021</v>
      </c>
      <c r="B661" s="42" t="inlineStr">
        <is>
          <t>430976</t>
        </is>
      </c>
      <c r="C661" s="38" t="inlineStr">
        <is>
          <t>Nou de Gaià, la</t>
        </is>
      </c>
      <c r="D661" s="38" t="inlineStr">
        <is>
          <t>Y047</t>
        </is>
      </c>
      <c r="E661" s="38" t="inlineStr">
        <is>
          <t>47 anys</t>
        </is>
      </c>
      <c r="F661" s="38" t="n">
        <v>47</v>
      </c>
      <c r="G661" s="38" t="n">
        <v>9</v>
      </c>
      <c r="I661" s="38" t="inlineStr">
        <is>
          <t>Total de tots els sexes; resposta JSON-stat de l'API d'Idescat</t>
        </is>
      </c>
    </row>
    <row r="662" ht="15" customHeight="1" s="39">
      <c r="A662" s="38" t="n">
        <v>2021</v>
      </c>
      <c r="B662" s="42" t="inlineStr">
        <is>
          <t>430976</t>
        </is>
      </c>
      <c r="C662" s="38" t="inlineStr">
        <is>
          <t>Nou de Gaià, la</t>
        </is>
      </c>
      <c r="D662" s="38" t="inlineStr">
        <is>
          <t>Y048</t>
        </is>
      </c>
      <c r="E662" s="38" t="inlineStr">
        <is>
          <t>48 anys</t>
        </is>
      </c>
      <c r="F662" s="38" t="n">
        <v>48</v>
      </c>
      <c r="G662" s="38" t="n">
        <v>21</v>
      </c>
      <c r="I662" s="38" t="inlineStr">
        <is>
          <t>Total de tots els sexes; resposta JSON-stat de l'API d'Idescat</t>
        </is>
      </c>
    </row>
    <row r="663" ht="15" customHeight="1" s="39">
      <c r="A663" s="38" t="n">
        <v>2021</v>
      </c>
      <c r="B663" s="42" t="inlineStr">
        <is>
          <t>430976</t>
        </is>
      </c>
      <c r="C663" s="38" t="inlineStr">
        <is>
          <t>Nou de Gaià, la</t>
        </is>
      </c>
      <c r="D663" s="38" t="inlineStr">
        <is>
          <t>Y049</t>
        </is>
      </c>
      <c r="E663" s="38" t="inlineStr">
        <is>
          <t>49 anys</t>
        </is>
      </c>
      <c r="F663" s="38" t="n">
        <v>49</v>
      </c>
      <c r="G663" s="38" t="n">
        <v>14</v>
      </c>
      <c r="I663" s="38" t="inlineStr">
        <is>
          <t>Total de tots els sexes; resposta JSON-stat de l'API d'Idescat</t>
        </is>
      </c>
    </row>
    <row r="664" ht="15" customHeight="1" s="39">
      <c r="A664" s="38" t="n">
        <v>2021</v>
      </c>
      <c r="B664" s="42" t="inlineStr">
        <is>
          <t>430976</t>
        </is>
      </c>
      <c r="C664" s="38" t="inlineStr">
        <is>
          <t>Nou de Gaià, la</t>
        </is>
      </c>
      <c r="D664" s="38" t="inlineStr">
        <is>
          <t>Y050</t>
        </is>
      </c>
      <c r="E664" s="38" t="inlineStr">
        <is>
          <t>50 anys</t>
        </is>
      </c>
      <c r="F664" s="38" t="n">
        <v>50</v>
      </c>
      <c r="G664" s="38" t="n">
        <v>10</v>
      </c>
      <c r="I664" s="38" t="inlineStr">
        <is>
          <t>Total de tots els sexes; resposta JSON-stat de l'API d'Idescat</t>
        </is>
      </c>
    </row>
    <row r="665" ht="15" customHeight="1" s="39">
      <c r="A665" s="38" t="n">
        <v>2021</v>
      </c>
      <c r="B665" s="42" t="inlineStr">
        <is>
          <t>430976</t>
        </is>
      </c>
      <c r="C665" s="38" t="inlineStr">
        <is>
          <t>Nou de Gaià, la</t>
        </is>
      </c>
      <c r="D665" s="38" t="inlineStr">
        <is>
          <t>Y051</t>
        </is>
      </c>
      <c r="E665" s="38" t="inlineStr">
        <is>
          <t>51 anys</t>
        </is>
      </c>
      <c r="F665" s="38" t="n">
        <v>51</v>
      </c>
      <c r="G665" s="38" t="n">
        <v>12</v>
      </c>
      <c r="I665" s="38" t="inlineStr">
        <is>
          <t>Total de tots els sexes; resposta JSON-stat de l'API d'Idescat</t>
        </is>
      </c>
    </row>
    <row r="666" ht="15" customHeight="1" s="39">
      <c r="A666" s="38" t="n">
        <v>2021</v>
      </c>
      <c r="B666" s="42" t="inlineStr">
        <is>
          <t>430976</t>
        </is>
      </c>
      <c r="C666" s="38" t="inlineStr">
        <is>
          <t>Nou de Gaià, la</t>
        </is>
      </c>
      <c r="D666" s="38" t="inlineStr">
        <is>
          <t>Y052</t>
        </is>
      </c>
      <c r="E666" s="38" t="inlineStr">
        <is>
          <t>52 anys</t>
        </is>
      </c>
      <c r="F666" s="38" t="n">
        <v>52</v>
      </c>
      <c r="G666" s="38" t="n">
        <v>9</v>
      </c>
      <c r="I666" s="38" t="inlineStr">
        <is>
          <t>Total de tots els sexes; resposta JSON-stat de l'API d'Idescat</t>
        </is>
      </c>
    </row>
    <row r="667" ht="15" customHeight="1" s="39">
      <c r="A667" s="38" t="n">
        <v>2021</v>
      </c>
      <c r="B667" s="42" t="inlineStr">
        <is>
          <t>430976</t>
        </is>
      </c>
      <c r="C667" s="38" t="inlineStr">
        <is>
          <t>Nou de Gaià, la</t>
        </is>
      </c>
      <c r="D667" s="38" t="inlineStr">
        <is>
          <t>Y053</t>
        </is>
      </c>
      <c r="E667" s="38" t="inlineStr">
        <is>
          <t>53 anys</t>
        </is>
      </c>
      <c r="F667" s="38" t="n">
        <v>53</v>
      </c>
      <c r="G667" s="38" t="n">
        <v>7</v>
      </c>
      <c r="I667" s="38" t="inlineStr">
        <is>
          <t>Total de tots els sexes; resposta JSON-stat de l'API d'Idescat</t>
        </is>
      </c>
    </row>
    <row r="668" ht="15" customHeight="1" s="39">
      <c r="A668" s="38" t="n">
        <v>2021</v>
      </c>
      <c r="B668" s="42" t="inlineStr">
        <is>
          <t>430976</t>
        </is>
      </c>
      <c r="C668" s="38" t="inlineStr">
        <is>
          <t>Nou de Gaià, la</t>
        </is>
      </c>
      <c r="D668" s="38" t="inlineStr">
        <is>
          <t>Y054</t>
        </is>
      </c>
      <c r="E668" s="38" t="inlineStr">
        <is>
          <t>54 anys</t>
        </is>
      </c>
      <c r="F668" s="38" t="n">
        <v>54</v>
      </c>
      <c r="G668" s="38" t="n">
        <v>11</v>
      </c>
      <c r="I668" s="38" t="inlineStr">
        <is>
          <t>Total de tots els sexes; resposta JSON-stat de l'API d'Idescat</t>
        </is>
      </c>
    </row>
    <row r="669" ht="15" customHeight="1" s="39">
      <c r="A669" s="38" t="n">
        <v>2021</v>
      </c>
      <c r="B669" s="42" t="inlineStr">
        <is>
          <t>430976</t>
        </is>
      </c>
      <c r="C669" s="38" t="inlineStr">
        <is>
          <t>Nou de Gaià, la</t>
        </is>
      </c>
      <c r="D669" s="38" t="inlineStr">
        <is>
          <t>Y055</t>
        </is>
      </c>
      <c r="E669" s="38" t="inlineStr">
        <is>
          <t>55 anys</t>
        </is>
      </c>
      <c r="F669" s="38" t="n">
        <v>55</v>
      </c>
      <c r="G669" s="38" t="n">
        <v>4</v>
      </c>
      <c r="I669" s="38" t="inlineStr">
        <is>
          <t>Total de tots els sexes; resposta JSON-stat de l'API d'Idescat</t>
        </is>
      </c>
    </row>
    <row r="670" ht="15" customHeight="1" s="39">
      <c r="A670" s="38" t="n">
        <v>2021</v>
      </c>
      <c r="B670" s="42" t="inlineStr">
        <is>
          <t>430976</t>
        </is>
      </c>
      <c r="C670" s="38" t="inlineStr">
        <is>
          <t>Nou de Gaià, la</t>
        </is>
      </c>
      <c r="D670" s="38" t="inlineStr">
        <is>
          <t>Y056</t>
        </is>
      </c>
      <c r="E670" s="38" t="inlineStr">
        <is>
          <t>56 anys</t>
        </is>
      </c>
      <c r="F670" s="38" t="n">
        <v>56</v>
      </c>
      <c r="G670" s="38" t="n">
        <v>5</v>
      </c>
      <c r="I670" s="38" t="inlineStr">
        <is>
          <t>Total de tots els sexes; resposta JSON-stat de l'API d'Idescat</t>
        </is>
      </c>
    </row>
    <row r="671" ht="15" customHeight="1" s="39">
      <c r="A671" s="38" t="n">
        <v>2021</v>
      </c>
      <c r="B671" s="42" t="inlineStr">
        <is>
          <t>430976</t>
        </is>
      </c>
      <c r="C671" s="38" t="inlineStr">
        <is>
          <t>Nou de Gaià, la</t>
        </is>
      </c>
      <c r="D671" s="38" t="inlineStr">
        <is>
          <t>Y057</t>
        </is>
      </c>
      <c r="E671" s="38" t="inlineStr">
        <is>
          <t>57 anys</t>
        </is>
      </c>
      <c r="F671" s="38" t="n">
        <v>57</v>
      </c>
      <c r="G671" s="38" t="n">
        <v>8</v>
      </c>
      <c r="I671" s="38" t="inlineStr">
        <is>
          <t>Total de tots els sexes; resposta JSON-stat de l'API d'Idescat</t>
        </is>
      </c>
    </row>
    <row r="672" ht="15" customHeight="1" s="39">
      <c r="A672" s="38" t="n">
        <v>2021</v>
      </c>
      <c r="B672" s="42" t="inlineStr">
        <is>
          <t>430976</t>
        </is>
      </c>
      <c r="C672" s="38" t="inlineStr">
        <is>
          <t>Nou de Gaià, la</t>
        </is>
      </c>
      <c r="D672" s="38" t="inlineStr">
        <is>
          <t>Y058</t>
        </is>
      </c>
      <c r="E672" s="38" t="inlineStr">
        <is>
          <t>58 anys</t>
        </is>
      </c>
      <c r="F672" s="38" t="n">
        <v>58</v>
      </c>
      <c r="G672" s="38" t="n">
        <v>9</v>
      </c>
      <c r="I672" s="38" t="inlineStr">
        <is>
          <t>Total de tots els sexes; resposta JSON-stat de l'API d'Idescat</t>
        </is>
      </c>
    </row>
    <row r="673" ht="15" customHeight="1" s="39">
      <c r="A673" s="38" t="n">
        <v>2021</v>
      </c>
      <c r="B673" s="42" t="inlineStr">
        <is>
          <t>430976</t>
        </is>
      </c>
      <c r="C673" s="38" t="inlineStr">
        <is>
          <t>Nou de Gaià, la</t>
        </is>
      </c>
      <c r="D673" s="38" t="inlineStr">
        <is>
          <t>Y059</t>
        </is>
      </c>
      <c r="E673" s="38" t="inlineStr">
        <is>
          <t>59 anys</t>
        </is>
      </c>
      <c r="F673" s="38" t="n">
        <v>59</v>
      </c>
      <c r="G673" s="38" t="n">
        <v>6</v>
      </c>
      <c r="I673" s="38" t="inlineStr">
        <is>
          <t>Total de tots els sexes; resposta JSON-stat de l'API d'Idescat</t>
        </is>
      </c>
    </row>
    <row r="674" ht="15" customHeight="1" s="39">
      <c r="A674" s="38" t="n">
        <v>2021</v>
      </c>
      <c r="B674" s="42" t="inlineStr">
        <is>
          <t>430976</t>
        </is>
      </c>
      <c r="C674" s="38" t="inlineStr">
        <is>
          <t>Nou de Gaià, la</t>
        </is>
      </c>
      <c r="D674" s="38" t="inlineStr">
        <is>
          <t>Y060</t>
        </is>
      </c>
      <c r="E674" s="38" t="inlineStr">
        <is>
          <t>60 anys</t>
        </is>
      </c>
      <c r="F674" s="38" t="n">
        <v>60</v>
      </c>
      <c r="G674" s="38" t="n">
        <v>10</v>
      </c>
      <c r="I674" s="38" t="inlineStr">
        <is>
          <t>Total de tots els sexes; resposta JSON-stat de l'API d'Idescat</t>
        </is>
      </c>
    </row>
    <row r="675" ht="15" customHeight="1" s="39">
      <c r="A675" s="38" t="n">
        <v>2021</v>
      </c>
      <c r="B675" s="42" t="inlineStr">
        <is>
          <t>430976</t>
        </is>
      </c>
      <c r="C675" s="38" t="inlineStr">
        <is>
          <t>Nou de Gaià, la</t>
        </is>
      </c>
      <c r="D675" s="38" t="inlineStr">
        <is>
          <t>Y061</t>
        </is>
      </c>
      <c r="E675" s="38" t="inlineStr">
        <is>
          <t>61 anys</t>
        </is>
      </c>
      <c r="F675" s="38" t="n">
        <v>61</v>
      </c>
      <c r="G675" s="38" t="n">
        <v>5</v>
      </c>
      <c r="I675" s="38" t="inlineStr">
        <is>
          <t>Total de tots els sexes; resposta JSON-stat de l'API d'Idescat</t>
        </is>
      </c>
    </row>
    <row r="676" ht="15" customHeight="1" s="39">
      <c r="A676" s="38" t="n">
        <v>2021</v>
      </c>
      <c r="B676" s="42" t="inlineStr">
        <is>
          <t>430976</t>
        </is>
      </c>
      <c r="C676" s="38" t="inlineStr">
        <is>
          <t>Nou de Gaià, la</t>
        </is>
      </c>
      <c r="D676" s="38" t="inlineStr">
        <is>
          <t>Y062</t>
        </is>
      </c>
      <c r="E676" s="38" t="inlineStr">
        <is>
          <t>62 anys</t>
        </is>
      </c>
      <c r="F676" s="38" t="n">
        <v>62</v>
      </c>
      <c r="G676" s="38" t="n">
        <v>3</v>
      </c>
      <c r="I676" s="38" t="inlineStr">
        <is>
          <t>Total de tots els sexes; resposta JSON-stat de l'API d'Idescat</t>
        </is>
      </c>
    </row>
    <row r="677" ht="15" customHeight="1" s="39">
      <c r="A677" s="38" t="n">
        <v>2021</v>
      </c>
      <c r="B677" s="42" t="inlineStr">
        <is>
          <t>430976</t>
        </is>
      </c>
      <c r="C677" s="38" t="inlineStr">
        <is>
          <t>Nou de Gaià, la</t>
        </is>
      </c>
      <c r="D677" s="38" t="inlineStr">
        <is>
          <t>Y063</t>
        </is>
      </c>
      <c r="E677" s="38" t="inlineStr">
        <is>
          <t>63 anys</t>
        </is>
      </c>
      <c r="F677" s="38" t="n">
        <v>63</v>
      </c>
      <c r="G677" s="38" t="n">
        <v>6</v>
      </c>
      <c r="I677" s="38" t="inlineStr">
        <is>
          <t>Total de tots els sexes; resposta JSON-stat de l'API d'Idescat</t>
        </is>
      </c>
    </row>
    <row r="678" ht="15" customHeight="1" s="39">
      <c r="A678" s="38" t="n">
        <v>2021</v>
      </c>
      <c r="B678" s="42" t="inlineStr">
        <is>
          <t>430976</t>
        </is>
      </c>
      <c r="C678" s="38" t="inlineStr">
        <is>
          <t>Nou de Gaià, la</t>
        </is>
      </c>
      <c r="D678" s="38" t="inlineStr">
        <is>
          <t>Y064</t>
        </is>
      </c>
      <c r="E678" s="38" t="inlineStr">
        <is>
          <t>64 anys</t>
        </is>
      </c>
      <c r="F678" s="38" t="n">
        <v>64</v>
      </c>
      <c r="G678" s="38" t="n">
        <v>4</v>
      </c>
      <c r="I678" s="38" t="inlineStr">
        <is>
          <t>Total de tots els sexes; resposta JSON-stat de l'API d'Idescat</t>
        </is>
      </c>
    </row>
    <row r="679" ht="15" customHeight="1" s="39">
      <c r="A679" s="38" t="n">
        <v>2021</v>
      </c>
      <c r="B679" s="42" t="inlineStr">
        <is>
          <t>430976</t>
        </is>
      </c>
      <c r="C679" s="38" t="inlineStr">
        <is>
          <t>Nou de Gaià, la</t>
        </is>
      </c>
      <c r="D679" s="38" t="inlineStr">
        <is>
          <t>Y065</t>
        </is>
      </c>
      <c r="E679" s="38" t="inlineStr">
        <is>
          <t>65 anys</t>
        </is>
      </c>
      <c r="F679" s="38" t="n">
        <v>65</v>
      </c>
      <c r="G679" s="38" t="n">
        <v>3</v>
      </c>
      <c r="I679" s="38" t="inlineStr">
        <is>
          <t>Total de tots els sexes; resposta JSON-stat de l'API d'Idescat</t>
        </is>
      </c>
    </row>
    <row r="680" ht="15" customHeight="1" s="39">
      <c r="A680" s="38" t="n">
        <v>2021</v>
      </c>
      <c r="B680" s="42" t="inlineStr">
        <is>
          <t>430976</t>
        </is>
      </c>
      <c r="C680" s="38" t="inlineStr">
        <is>
          <t>Nou de Gaià, la</t>
        </is>
      </c>
      <c r="D680" s="38" t="inlineStr">
        <is>
          <t>Y066</t>
        </is>
      </c>
      <c r="E680" s="38" t="inlineStr">
        <is>
          <t>66 anys</t>
        </is>
      </c>
      <c r="F680" s="38" t="n">
        <v>66</v>
      </c>
      <c r="G680" s="38" t="n">
        <v>2</v>
      </c>
      <c r="I680" s="38" t="inlineStr">
        <is>
          <t>Total de tots els sexes; resposta JSON-stat de l'API d'Idescat</t>
        </is>
      </c>
    </row>
    <row r="681" ht="15" customHeight="1" s="39">
      <c r="A681" s="38" t="n">
        <v>2021</v>
      </c>
      <c r="B681" s="42" t="inlineStr">
        <is>
          <t>430976</t>
        </is>
      </c>
      <c r="C681" s="38" t="inlineStr">
        <is>
          <t>Nou de Gaià, la</t>
        </is>
      </c>
      <c r="D681" s="38" t="inlineStr">
        <is>
          <t>Y067</t>
        </is>
      </c>
      <c r="E681" s="38" t="inlineStr">
        <is>
          <t>67 anys</t>
        </is>
      </c>
      <c r="F681" s="38" t="n">
        <v>67</v>
      </c>
      <c r="G681" s="38" t="n">
        <v>4</v>
      </c>
      <c r="I681" s="38" t="inlineStr">
        <is>
          <t>Total de tots els sexes; resposta JSON-stat de l'API d'Idescat</t>
        </is>
      </c>
    </row>
    <row r="682" ht="15" customHeight="1" s="39">
      <c r="A682" s="38" t="n">
        <v>2021</v>
      </c>
      <c r="B682" s="42" t="inlineStr">
        <is>
          <t>430976</t>
        </is>
      </c>
      <c r="C682" s="38" t="inlineStr">
        <is>
          <t>Nou de Gaià, la</t>
        </is>
      </c>
      <c r="D682" s="38" t="inlineStr">
        <is>
          <t>Y068</t>
        </is>
      </c>
      <c r="E682" s="38" t="inlineStr">
        <is>
          <t>68 anys</t>
        </is>
      </c>
      <c r="F682" s="38" t="n">
        <v>68</v>
      </c>
      <c r="G682" s="38" t="n">
        <v>4</v>
      </c>
      <c r="I682" s="38" t="inlineStr">
        <is>
          <t>Total de tots els sexes; resposta JSON-stat de l'API d'Idescat</t>
        </is>
      </c>
    </row>
    <row r="683" ht="15" customHeight="1" s="39">
      <c r="A683" s="38" t="n">
        <v>2021</v>
      </c>
      <c r="B683" s="42" t="inlineStr">
        <is>
          <t>430976</t>
        </is>
      </c>
      <c r="C683" s="38" t="inlineStr">
        <is>
          <t>Nou de Gaià, la</t>
        </is>
      </c>
      <c r="D683" s="38" t="inlineStr">
        <is>
          <t>Y069</t>
        </is>
      </c>
      <c r="E683" s="38" t="inlineStr">
        <is>
          <t>69 anys</t>
        </is>
      </c>
      <c r="F683" s="38" t="n">
        <v>69</v>
      </c>
      <c r="G683" s="38" t="n">
        <v>4</v>
      </c>
      <c r="I683" s="38" t="inlineStr">
        <is>
          <t>Total de tots els sexes; resposta JSON-stat de l'API d'Idescat</t>
        </is>
      </c>
    </row>
    <row r="684" ht="15" customHeight="1" s="39">
      <c r="A684" s="38" t="n">
        <v>2021</v>
      </c>
      <c r="B684" s="42" t="inlineStr">
        <is>
          <t>430976</t>
        </is>
      </c>
      <c r="C684" s="38" t="inlineStr">
        <is>
          <t>Nou de Gaià, la</t>
        </is>
      </c>
      <c r="D684" s="38" t="inlineStr">
        <is>
          <t>Y070</t>
        </is>
      </c>
      <c r="E684" s="38" t="inlineStr">
        <is>
          <t>70 anys</t>
        </is>
      </c>
      <c r="F684" s="38" t="n">
        <v>70</v>
      </c>
      <c r="G684" s="38" t="n">
        <v>7</v>
      </c>
      <c r="I684" s="38" t="inlineStr">
        <is>
          <t>Total de tots els sexes; resposta JSON-stat de l'API d'Idescat</t>
        </is>
      </c>
    </row>
    <row r="685" ht="15" customHeight="1" s="39">
      <c r="A685" s="38" t="n">
        <v>2021</v>
      </c>
      <c r="B685" s="42" t="inlineStr">
        <is>
          <t>430976</t>
        </is>
      </c>
      <c r="C685" s="38" t="inlineStr">
        <is>
          <t>Nou de Gaià, la</t>
        </is>
      </c>
      <c r="D685" s="38" t="inlineStr">
        <is>
          <t>Y071</t>
        </is>
      </c>
      <c r="E685" s="38" t="inlineStr">
        <is>
          <t>71 anys</t>
        </is>
      </c>
      <c r="F685" s="38" t="n">
        <v>71</v>
      </c>
      <c r="G685" s="38" t="n">
        <v>6</v>
      </c>
      <c r="I685" s="38" t="inlineStr">
        <is>
          <t>Total de tots els sexes; resposta JSON-stat de l'API d'Idescat</t>
        </is>
      </c>
    </row>
    <row r="686" ht="15" customHeight="1" s="39">
      <c r="A686" s="38" t="n">
        <v>2021</v>
      </c>
      <c r="B686" s="42" t="inlineStr">
        <is>
          <t>430976</t>
        </is>
      </c>
      <c r="C686" s="38" t="inlineStr">
        <is>
          <t>Nou de Gaià, la</t>
        </is>
      </c>
      <c r="D686" s="38" t="inlineStr">
        <is>
          <t>Y072</t>
        </is>
      </c>
      <c r="E686" s="38" t="inlineStr">
        <is>
          <t>72 anys</t>
        </is>
      </c>
      <c r="F686" s="38" t="n">
        <v>72</v>
      </c>
      <c r="G686" s="38" t="n">
        <v>2</v>
      </c>
      <c r="I686" s="38" t="inlineStr">
        <is>
          <t>Total de tots els sexes; resposta JSON-stat de l'API d'Idescat</t>
        </is>
      </c>
    </row>
    <row r="687" ht="15" customHeight="1" s="39">
      <c r="A687" s="38" t="n">
        <v>2021</v>
      </c>
      <c r="B687" s="42" t="inlineStr">
        <is>
          <t>430976</t>
        </is>
      </c>
      <c r="C687" s="38" t="inlineStr">
        <is>
          <t>Nou de Gaià, la</t>
        </is>
      </c>
      <c r="D687" s="38" t="inlineStr">
        <is>
          <t>Y073</t>
        </is>
      </c>
      <c r="E687" s="38" t="inlineStr">
        <is>
          <t>73 anys</t>
        </is>
      </c>
      <c r="F687" s="38" t="n">
        <v>73</v>
      </c>
      <c r="G687" s="38" t="n">
        <v>6</v>
      </c>
      <c r="I687" s="38" t="inlineStr">
        <is>
          <t>Total de tots els sexes; resposta JSON-stat de l'API d'Idescat</t>
        </is>
      </c>
    </row>
    <row r="688" ht="15" customHeight="1" s="39">
      <c r="A688" s="38" t="n">
        <v>2021</v>
      </c>
      <c r="B688" s="42" t="inlineStr">
        <is>
          <t>430976</t>
        </is>
      </c>
      <c r="C688" s="38" t="inlineStr">
        <is>
          <t>Nou de Gaià, la</t>
        </is>
      </c>
      <c r="D688" s="38" t="inlineStr">
        <is>
          <t>Y074</t>
        </is>
      </c>
      <c r="E688" s="38" t="inlineStr">
        <is>
          <t>74 anys</t>
        </is>
      </c>
      <c r="F688" s="38" t="n">
        <v>74</v>
      </c>
      <c r="G688" s="38" t="n">
        <v>5</v>
      </c>
      <c r="I688" s="38" t="inlineStr">
        <is>
          <t>Total de tots els sexes; resposta JSON-stat de l'API d'Idescat</t>
        </is>
      </c>
    </row>
    <row r="689" ht="15" customHeight="1" s="39">
      <c r="A689" s="38" t="n">
        <v>2021</v>
      </c>
      <c r="B689" s="42" t="inlineStr">
        <is>
          <t>430976</t>
        </is>
      </c>
      <c r="C689" s="38" t="inlineStr">
        <is>
          <t>Nou de Gaià, la</t>
        </is>
      </c>
      <c r="D689" s="38" t="inlineStr">
        <is>
          <t>Y075</t>
        </is>
      </c>
      <c r="E689" s="38" t="inlineStr">
        <is>
          <t>75 anys</t>
        </is>
      </c>
      <c r="F689" s="38" t="n">
        <v>75</v>
      </c>
      <c r="G689" s="38" t="n">
        <v>8</v>
      </c>
      <c r="I689" s="38" t="inlineStr">
        <is>
          <t>Total de tots els sexes; resposta JSON-stat de l'API d'Idescat</t>
        </is>
      </c>
    </row>
    <row r="690" ht="15" customHeight="1" s="39">
      <c r="A690" s="38" t="n">
        <v>2021</v>
      </c>
      <c r="B690" s="42" t="inlineStr">
        <is>
          <t>430976</t>
        </is>
      </c>
      <c r="C690" s="38" t="inlineStr">
        <is>
          <t>Nou de Gaià, la</t>
        </is>
      </c>
      <c r="D690" s="38" t="inlineStr">
        <is>
          <t>Y076</t>
        </is>
      </c>
      <c r="E690" s="38" t="inlineStr">
        <is>
          <t>76 anys</t>
        </is>
      </c>
      <c r="F690" s="38" t="n">
        <v>76</v>
      </c>
      <c r="G690" s="38" t="n">
        <v>8</v>
      </c>
      <c r="I690" s="38" t="inlineStr">
        <is>
          <t>Total de tots els sexes; resposta JSON-stat de l'API d'Idescat</t>
        </is>
      </c>
    </row>
    <row r="691" ht="15" customHeight="1" s="39">
      <c r="A691" s="38" t="n">
        <v>2021</v>
      </c>
      <c r="B691" s="42" t="inlineStr">
        <is>
          <t>430976</t>
        </is>
      </c>
      <c r="C691" s="38" t="inlineStr">
        <is>
          <t>Nou de Gaià, la</t>
        </is>
      </c>
      <c r="D691" s="38" t="inlineStr">
        <is>
          <t>Y077</t>
        </is>
      </c>
      <c r="E691" s="38" t="inlineStr">
        <is>
          <t>77 anys</t>
        </is>
      </c>
      <c r="F691" s="38" t="n">
        <v>77</v>
      </c>
      <c r="G691" s="38" t="n">
        <v>4</v>
      </c>
      <c r="I691" s="38" t="inlineStr">
        <is>
          <t>Total de tots els sexes; resposta JSON-stat de l'API d'Idescat</t>
        </is>
      </c>
    </row>
    <row r="692" ht="15" customHeight="1" s="39">
      <c r="A692" s="38" t="n">
        <v>2021</v>
      </c>
      <c r="B692" s="42" t="inlineStr">
        <is>
          <t>430976</t>
        </is>
      </c>
      <c r="C692" s="38" t="inlineStr">
        <is>
          <t>Nou de Gaià, la</t>
        </is>
      </c>
      <c r="D692" s="38" t="inlineStr">
        <is>
          <t>Y078</t>
        </is>
      </c>
      <c r="E692" s="38" t="inlineStr">
        <is>
          <t>78 anys</t>
        </is>
      </c>
      <c r="F692" s="38" t="n">
        <v>78</v>
      </c>
      <c r="G692" s="38" t="n">
        <v>3</v>
      </c>
      <c r="I692" s="38" t="inlineStr">
        <is>
          <t>Total de tots els sexes; resposta JSON-stat de l'API d'Idescat</t>
        </is>
      </c>
    </row>
    <row r="693" ht="15" customHeight="1" s="39">
      <c r="A693" s="38" t="n">
        <v>2021</v>
      </c>
      <c r="B693" s="42" t="inlineStr">
        <is>
          <t>430976</t>
        </is>
      </c>
      <c r="C693" s="38" t="inlineStr">
        <is>
          <t>Nou de Gaià, la</t>
        </is>
      </c>
      <c r="D693" s="38" t="inlineStr">
        <is>
          <t>Y079</t>
        </is>
      </c>
      <c r="E693" s="38" t="inlineStr">
        <is>
          <t>79 anys</t>
        </is>
      </c>
      <c r="F693" s="38" t="n">
        <v>79</v>
      </c>
      <c r="G693" s="38" t="n">
        <v>2</v>
      </c>
      <c r="I693" s="38" t="inlineStr">
        <is>
          <t>Total de tots els sexes; resposta JSON-stat de l'API d'Idescat</t>
        </is>
      </c>
    </row>
    <row r="694" ht="15" customHeight="1" s="39">
      <c r="A694" s="38" t="n">
        <v>2021</v>
      </c>
      <c r="B694" s="42" t="inlineStr">
        <is>
          <t>430976</t>
        </is>
      </c>
      <c r="C694" s="38" t="inlineStr">
        <is>
          <t>Nou de Gaià, la</t>
        </is>
      </c>
      <c r="D694" s="38" t="inlineStr">
        <is>
          <t>Y080</t>
        </is>
      </c>
      <c r="E694" s="38" t="inlineStr">
        <is>
          <t>80 anys</t>
        </is>
      </c>
      <c r="F694" s="38" t="n">
        <v>80</v>
      </c>
      <c r="G694" s="38" t="n">
        <v>4</v>
      </c>
      <c r="I694" s="38" t="inlineStr">
        <is>
          <t>Total de tots els sexes; resposta JSON-stat de l'API d'Idescat</t>
        </is>
      </c>
    </row>
    <row r="695" ht="15" customHeight="1" s="39">
      <c r="A695" s="38" t="n">
        <v>2021</v>
      </c>
      <c r="B695" s="42" t="inlineStr">
        <is>
          <t>430976</t>
        </is>
      </c>
      <c r="C695" s="38" t="inlineStr">
        <is>
          <t>Nou de Gaià, la</t>
        </is>
      </c>
      <c r="D695" s="38" t="inlineStr">
        <is>
          <t>Y081</t>
        </is>
      </c>
      <c r="E695" s="38" t="inlineStr">
        <is>
          <t>81 anys</t>
        </is>
      </c>
      <c r="F695" s="38" t="n">
        <v>81</v>
      </c>
      <c r="G695" s="38" t="n">
        <v>3</v>
      </c>
      <c r="I695" s="38" t="inlineStr">
        <is>
          <t>Total de tots els sexes; resposta JSON-stat de l'API d'Idescat</t>
        </is>
      </c>
    </row>
    <row r="696" ht="15" customHeight="1" s="39">
      <c r="A696" s="38" t="n">
        <v>2021</v>
      </c>
      <c r="B696" s="42" t="inlineStr">
        <is>
          <t>430976</t>
        </is>
      </c>
      <c r="C696" s="38" t="inlineStr">
        <is>
          <t>Nou de Gaià, la</t>
        </is>
      </c>
      <c r="D696" s="38" t="inlineStr">
        <is>
          <t>Y082</t>
        </is>
      </c>
      <c r="E696" s="38" t="inlineStr">
        <is>
          <t>82 anys</t>
        </is>
      </c>
      <c r="F696" s="38" t="n">
        <v>82</v>
      </c>
      <c r="G696" s="38" t="n">
        <v>5</v>
      </c>
      <c r="I696" s="38" t="inlineStr">
        <is>
          <t>Total de tots els sexes; resposta JSON-stat de l'API d'Idescat</t>
        </is>
      </c>
    </row>
    <row r="697" ht="15" customHeight="1" s="39">
      <c r="A697" s="38" t="n">
        <v>2021</v>
      </c>
      <c r="B697" s="42" t="inlineStr">
        <is>
          <t>430976</t>
        </is>
      </c>
      <c r="C697" s="38" t="inlineStr">
        <is>
          <t>Nou de Gaià, la</t>
        </is>
      </c>
      <c r="D697" s="38" t="inlineStr">
        <is>
          <t>Y083</t>
        </is>
      </c>
      <c r="E697" s="38" t="inlineStr">
        <is>
          <t>83 anys</t>
        </is>
      </c>
      <c r="F697" s="38" t="n">
        <v>83</v>
      </c>
      <c r="G697" s="38" t="n">
        <v>2</v>
      </c>
      <c r="I697" s="38" t="inlineStr">
        <is>
          <t>Total de tots els sexes; resposta JSON-stat de l'API d'Idescat</t>
        </is>
      </c>
    </row>
    <row r="698" ht="15" customHeight="1" s="39">
      <c r="A698" s="38" t="n">
        <v>2021</v>
      </c>
      <c r="B698" s="42" t="inlineStr">
        <is>
          <t>430976</t>
        </is>
      </c>
      <c r="C698" s="38" t="inlineStr">
        <is>
          <t>Nou de Gaià, la</t>
        </is>
      </c>
      <c r="D698" s="38" t="inlineStr">
        <is>
          <t>Y084</t>
        </is>
      </c>
      <c r="E698" s="38" t="inlineStr">
        <is>
          <t>84 anys</t>
        </is>
      </c>
      <c r="F698" s="38" t="n">
        <v>84</v>
      </c>
      <c r="G698" s="38" t="n">
        <v>2</v>
      </c>
      <c r="I698" s="38" t="inlineStr">
        <is>
          <t>Total de tots els sexes; resposta JSON-stat de l'API d'Idescat</t>
        </is>
      </c>
    </row>
    <row r="699" ht="15" customHeight="1" s="39">
      <c r="A699" s="38" t="n">
        <v>2021</v>
      </c>
      <c r="B699" s="42" t="inlineStr">
        <is>
          <t>430976</t>
        </is>
      </c>
      <c r="C699" s="38" t="inlineStr">
        <is>
          <t>Nou de Gaià, la</t>
        </is>
      </c>
      <c r="D699" s="38" t="inlineStr">
        <is>
          <t>Y085</t>
        </is>
      </c>
      <c r="E699" s="38" t="inlineStr">
        <is>
          <t>85 anys</t>
        </is>
      </c>
      <c r="F699" s="38" t="n">
        <v>85</v>
      </c>
      <c r="G699" s="38" t="n">
        <v>1</v>
      </c>
      <c r="I699" s="38" t="inlineStr">
        <is>
          <t>Total de tots els sexes; resposta JSON-stat de l'API d'Idescat</t>
        </is>
      </c>
    </row>
    <row r="700" ht="15" customHeight="1" s="39">
      <c r="A700" s="38" t="n">
        <v>2021</v>
      </c>
      <c r="B700" s="42" t="inlineStr">
        <is>
          <t>430976</t>
        </is>
      </c>
      <c r="C700" s="38" t="inlineStr">
        <is>
          <t>Nou de Gaià, la</t>
        </is>
      </c>
      <c r="D700" s="38" t="inlineStr">
        <is>
          <t>Y086</t>
        </is>
      </c>
      <c r="E700" s="38" t="inlineStr">
        <is>
          <t>86 anys</t>
        </is>
      </c>
      <c r="F700" s="38" t="n">
        <v>86</v>
      </c>
      <c r="G700" s="38" t="n">
        <v>0</v>
      </c>
      <c r="I700" s="38" t="inlineStr">
        <is>
          <t>Total de tots els sexes; resposta JSON-stat de l'API d'Idescat</t>
        </is>
      </c>
    </row>
    <row r="701" ht="15" customHeight="1" s="39">
      <c r="A701" s="38" t="n">
        <v>2021</v>
      </c>
      <c r="B701" s="42" t="inlineStr">
        <is>
          <t>430976</t>
        </is>
      </c>
      <c r="C701" s="38" t="inlineStr">
        <is>
          <t>Nou de Gaià, la</t>
        </is>
      </c>
      <c r="D701" s="38" t="inlineStr">
        <is>
          <t>Y087</t>
        </is>
      </c>
      <c r="E701" s="38" t="inlineStr">
        <is>
          <t>87 anys</t>
        </is>
      </c>
      <c r="F701" s="38" t="n">
        <v>87</v>
      </c>
      <c r="G701" s="38" t="n">
        <v>3</v>
      </c>
      <c r="I701" s="38" t="inlineStr">
        <is>
          <t>Total de tots els sexes; resposta JSON-stat de l'API d'Idescat</t>
        </is>
      </c>
    </row>
    <row r="702" ht="15" customHeight="1" s="39">
      <c r="A702" s="38" t="n">
        <v>2021</v>
      </c>
      <c r="B702" s="42" t="inlineStr">
        <is>
          <t>430976</t>
        </is>
      </c>
      <c r="C702" s="38" t="inlineStr">
        <is>
          <t>Nou de Gaià, la</t>
        </is>
      </c>
      <c r="D702" s="38" t="inlineStr">
        <is>
          <t>Y088</t>
        </is>
      </c>
      <c r="E702" s="38" t="inlineStr">
        <is>
          <t>88 anys</t>
        </is>
      </c>
      <c r="F702" s="38" t="n">
        <v>88</v>
      </c>
      <c r="G702" s="38" t="n">
        <v>1</v>
      </c>
      <c r="I702" s="38" t="inlineStr">
        <is>
          <t>Total de tots els sexes; resposta JSON-stat de l'API d'Idescat</t>
        </is>
      </c>
    </row>
    <row r="703" ht="15" customHeight="1" s="39">
      <c r="A703" s="38" t="n">
        <v>2021</v>
      </c>
      <c r="B703" s="42" t="inlineStr">
        <is>
          <t>430976</t>
        </is>
      </c>
      <c r="C703" s="38" t="inlineStr">
        <is>
          <t>Nou de Gaià, la</t>
        </is>
      </c>
      <c r="D703" s="38" t="inlineStr">
        <is>
          <t>Y089</t>
        </is>
      </c>
      <c r="E703" s="38" t="inlineStr">
        <is>
          <t>89 anys</t>
        </is>
      </c>
      <c r="F703" s="38" t="n">
        <v>89</v>
      </c>
      <c r="G703" s="38" t="n">
        <v>8</v>
      </c>
      <c r="I703" s="38" t="inlineStr">
        <is>
          <t>Total de tots els sexes; resposta JSON-stat de l'API d'Idescat</t>
        </is>
      </c>
    </row>
    <row r="704" ht="15" customHeight="1" s="39">
      <c r="A704" s="38" t="n">
        <v>2021</v>
      </c>
      <c r="B704" s="42" t="inlineStr">
        <is>
          <t>430976</t>
        </is>
      </c>
      <c r="C704" s="38" t="inlineStr">
        <is>
          <t>Nou de Gaià, la</t>
        </is>
      </c>
      <c r="D704" s="38" t="inlineStr">
        <is>
          <t>Y090</t>
        </is>
      </c>
      <c r="E704" s="38" t="inlineStr">
        <is>
          <t>90 anys</t>
        </is>
      </c>
      <c r="F704" s="38" t="n">
        <v>90</v>
      </c>
      <c r="G704" s="38" t="n">
        <v>1</v>
      </c>
      <c r="I704" s="38" t="inlineStr">
        <is>
          <t>Total de tots els sexes; resposta JSON-stat de l'API d'Idescat</t>
        </is>
      </c>
    </row>
    <row r="705" ht="15" customHeight="1" s="39">
      <c r="A705" s="38" t="n">
        <v>2021</v>
      </c>
      <c r="B705" s="42" t="inlineStr">
        <is>
          <t>430976</t>
        </is>
      </c>
      <c r="C705" s="38" t="inlineStr">
        <is>
          <t>Nou de Gaià, la</t>
        </is>
      </c>
      <c r="D705" s="38" t="inlineStr">
        <is>
          <t>Y091</t>
        </is>
      </c>
      <c r="E705" s="38" t="inlineStr">
        <is>
          <t>91 anys</t>
        </is>
      </c>
      <c r="F705" s="38" t="n">
        <v>91</v>
      </c>
      <c r="G705" s="38" t="n">
        <v>0</v>
      </c>
      <c r="I705" s="38" t="inlineStr">
        <is>
          <t>Total de tots els sexes; resposta JSON-stat de l'API d'Idescat</t>
        </is>
      </c>
    </row>
    <row r="706" ht="15" customHeight="1" s="39">
      <c r="A706" s="38" t="n">
        <v>2021</v>
      </c>
      <c r="B706" s="42" t="inlineStr">
        <is>
          <t>430976</t>
        </is>
      </c>
      <c r="C706" s="38" t="inlineStr">
        <is>
          <t>Nou de Gaià, la</t>
        </is>
      </c>
      <c r="D706" s="38" t="inlineStr">
        <is>
          <t>Y092</t>
        </is>
      </c>
      <c r="E706" s="38" t="inlineStr">
        <is>
          <t>92 anys</t>
        </is>
      </c>
      <c r="F706" s="38" t="n">
        <v>92</v>
      </c>
      <c r="G706" s="38" t="n">
        <v>1</v>
      </c>
      <c r="I706" s="38" t="inlineStr">
        <is>
          <t>Total de tots els sexes; resposta JSON-stat de l'API d'Idescat</t>
        </is>
      </c>
    </row>
    <row r="707" ht="15" customHeight="1" s="39">
      <c r="A707" s="38" t="n">
        <v>2021</v>
      </c>
      <c r="B707" s="42" t="inlineStr">
        <is>
          <t>430976</t>
        </is>
      </c>
      <c r="C707" s="38" t="inlineStr">
        <is>
          <t>Nou de Gaià, la</t>
        </is>
      </c>
      <c r="D707" s="38" t="inlineStr">
        <is>
          <t>Y093</t>
        </is>
      </c>
      <c r="E707" s="38" t="inlineStr">
        <is>
          <t>93 anys</t>
        </is>
      </c>
      <c r="F707" s="38" t="n">
        <v>93</v>
      </c>
      <c r="G707" s="38" t="n">
        <v>0</v>
      </c>
      <c r="I707" s="38" t="inlineStr">
        <is>
          <t>Total de tots els sexes; resposta JSON-stat de l'API d'Idescat</t>
        </is>
      </c>
    </row>
    <row r="708" ht="15" customHeight="1" s="39">
      <c r="A708" s="38" t="n">
        <v>2021</v>
      </c>
      <c r="B708" s="42" t="inlineStr">
        <is>
          <t>430976</t>
        </is>
      </c>
      <c r="C708" s="38" t="inlineStr">
        <is>
          <t>Nou de Gaià, la</t>
        </is>
      </c>
      <c r="D708" s="38" t="inlineStr">
        <is>
          <t>Y094</t>
        </is>
      </c>
      <c r="E708" s="38" t="inlineStr">
        <is>
          <t>94 anys</t>
        </is>
      </c>
      <c r="F708" s="38" t="n">
        <v>94</v>
      </c>
      <c r="G708" s="38" t="n">
        <v>3</v>
      </c>
      <c r="I708" s="38" t="inlineStr">
        <is>
          <t>Total de tots els sexes; resposta JSON-stat de l'API d'Idescat</t>
        </is>
      </c>
    </row>
    <row r="709" ht="15" customHeight="1" s="39">
      <c r="A709" s="38" t="n">
        <v>2021</v>
      </c>
      <c r="B709" s="42" t="inlineStr">
        <is>
          <t>430976</t>
        </is>
      </c>
      <c r="C709" s="38" t="inlineStr">
        <is>
          <t>Nou de Gaià, la</t>
        </is>
      </c>
      <c r="D709" s="38" t="inlineStr">
        <is>
          <t>Y095</t>
        </is>
      </c>
      <c r="E709" s="38" t="inlineStr">
        <is>
          <t>95 anys</t>
        </is>
      </c>
      <c r="F709" s="38" t="n">
        <v>95</v>
      </c>
      <c r="G709" s="38" t="n">
        <v>0</v>
      </c>
      <c r="I709" s="38" t="inlineStr">
        <is>
          <t>Total de tots els sexes; resposta JSON-stat de l'API d'Idescat</t>
        </is>
      </c>
    </row>
    <row r="710" ht="15" customHeight="1" s="39">
      <c r="A710" s="38" t="n">
        <v>2021</v>
      </c>
      <c r="B710" s="42" t="inlineStr">
        <is>
          <t>430976</t>
        </is>
      </c>
      <c r="C710" s="38" t="inlineStr">
        <is>
          <t>Nou de Gaià, la</t>
        </is>
      </c>
      <c r="D710" s="38" t="inlineStr">
        <is>
          <t>Y096</t>
        </is>
      </c>
      <c r="E710" s="38" t="inlineStr">
        <is>
          <t>96 anys</t>
        </is>
      </c>
      <c r="F710" s="38" t="n">
        <v>96</v>
      </c>
      <c r="G710" s="38" t="n">
        <v>1</v>
      </c>
      <c r="I710" s="38" t="inlineStr">
        <is>
          <t>Total de tots els sexes; resposta JSON-stat de l'API d'Idescat</t>
        </is>
      </c>
    </row>
    <row r="711" ht="15" customHeight="1" s="39">
      <c r="A711" s="38" t="n">
        <v>2021</v>
      </c>
      <c r="B711" s="42" t="inlineStr">
        <is>
          <t>430976</t>
        </is>
      </c>
      <c r="C711" s="38" t="inlineStr">
        <is>
          <t>Nou de Gaià, la</t>
        </is>
      </c>
      <c r="D711" s="38" t="inlineStr">
        <is>
          <t>Y097</t>
        </is>
      </c>
      <c r="E711" s="38" t="inlineStr">
        <is>
          <t>97 anys</t>
        </is>
      </c>
      <c r="F711" s="38" t="n">
        <v>97</v>
      </c>
      <c r="G711" s="38" t="n">
        <v>0</v>
      </c>
      <c r="I711" s="38" t="inlineStr">
        <is>
          <t>Total de tots els sexes; resposta JSON-stat de l'API d'Idescat</t>
        </is>
      </c>
    </row>
    <row r="712" ht="15" customHeight="1" s="39">
      <c r="A712" s="38" t="n">
        <v>2021</v>
      </c>
      <c r="B712" s="42" t="inlineStr">
        <is>
          <t>430976</t>
        </is>
      </c>
      <c r="C712" s="38" t="inlineStr">
        <is>
          <t>Nou de Gaià, la</t>
        </is>
      </c>
      <c r="D712" s="38" t="inlineStr">
        <is>
          <t>Y098</t>
        </is>
      </c>
      <c r="E712" s="38" t="inlineStr">
        <is>
          <t>98 anys</t>
        </is>
      </c>
      <c r="F712" s="38" t="n">
        <v>98</v>
      </c>
      <c r="G712" s="38" t="n">
        <v>0</v>
      </c>
      <c r="I712" s="38" t="inlineStr">
        <is>
          <t>Total de tots els sexes; resposta JSON-stat de l'API d'Idescat</t>
        </is>
      </c>
    </row>
    <row r="713" ht="15" customHeight="1" s="39">
      <c r="A713" s="38" t="n">
        <v>2021</v>
      </c>
      <c r="B713" s="42" t="inlineStr">
        <is>
          <t>430976</t>
        </is>
      </c>
      <c r="C713" s="38" t="inlineStr">
        <is>
          <t>Nou de Gaià, la</t>
        </is>
      </c>
      <c r="D713" s="38" t="inlineStr">
        <is>
          <t>Y099</t>
        </is>
      </c>
      <c r="E713" s="38" t="inlineStr">
        <is>
          <t>99 anys</t>
        </is>
      </c>
      <c r="F713" s="38" t="n">
        <v>99</v>
      </c>
      <c r="G713" s="38" t="n">
        <v>0</v>
      </c>
      <c r="I713" s="38" t="inlineStr">
        <is>
          <t>Total de tots els sexes; resposta JSON-stat de l'API d'Idescat</t>
        </is>
      </c>
    </row>
    <row r="714" ht="15" customHeight="1" s="39">
      <c r="A714" s="38" t="n">
        <v>2021</v>
      </c>
      <c r="B714" s="42" t="inlineStr">
        <is>
          <t>430976</t>
        </is>
      </c>
      <c r="C714" s="38" t="inlineStr">
        <is>
          <t>Nou de Gaià, la</t>
        </is>
      </c>
      <c r="D714" s="38" t="inlineStr">
        <is>
          <t>Y_GE100</t>
        </is>
      </c>
      <c r="E714" s="38" t="inlineStr">
        <is>
          <t>100 anys o més</t>
        </is>
      </c>
      <c r="F714" s="38" t="n">
        <v>100</v>
      </c>
      <c r="G714" s="38" t="n">
        <v>0</v>
      </c>
      <c r="I714" s="38" t="inlineStr">
        <is>
          <t>Total de tots els sexes; resposta JSON-stat de l'API d'Idescat</t>
        </is>
      </c>
    </row>
    <row r="715" ht="15" customHeight="1" s="39">
      <c r="A715" s="38" t="n">
        <v>2021</v>
      </c>
      <c r="B715" s="42" t="inlineStr">
        <is>
          <t>430976</t>
        </is>
      </c>
      <c r="C715" s="38" t="inlineStr">
        <is>
          <t>Nou de Gaià, la</t>
        </is>
      </c>
      <c r="D715" s="38" t="inlineStr">
        <is>
          <t>TOTAL</t>
        </is>
      </c>
      <c r="E715" s="38" t="inlineStr">
        <is>
          <t>total</t>
        </is>
      </c>
      <c r="G715" s="38" t="n">
        <v>617</v>
      </c>
      <c r="I715" s="38" t="inlineStr">
        <is>
          <t>Total de tots els sexes; resposta JSON-stat de l'API d'Idescat</t>
        </is>
      </c>
    </row>
    <row r="716" ht="15" customHeight="1" s="39">
      <c r="A716" s="38" t="n">
        <v>2021</v>
      </c>
      <c r="B716" s="42" t="inlineStr">
        <is>
          <t>431009</t>
        </is>
      </c>
      <c r="C716" s="38" t="inlineStr">
        <is>
          <t>Pallaresos, els</t>
        </is>
      </c>
      <c r="D716" s="38" t="inlineStr">
        <is>
          <t>Y000</t>
        </is>
      </c>
      <c r="E716" s="38" t="inlineStr">
        <is>
          <t>0 anys</t>
        </is>
      </c>
      <c r="F716" s="38" t="n">
        <v>0</v>
      </c>
      <c r="G716" s="38" t="n">
        <v>26</v>
      </c>
      <c r="I716" s="38" t="inlineStr">
        <is>
          <t>Total de tots els sexes; resposta JSON-stat de l'API d'Idescat</t>
        </is>
      </c>
    </row>
    <row r="717" ht="15" customHeight="1" s="39">
      <c r="A717" s="38" t="n">
        <v>2021</v>
      </c>
      <c r="B717" s="42" t="inlineStr">
        <is>
          <t>431009</t>
        </is>
      </c>
      <c r="C717" s="38" t="inlineStr">
        <is>
          <t>Pallaresos, els</t>
        </is>
      </c>
      <c r="D717" s="38" t="inlineStr">
        <is>
          <t>Y001</t>
        </is>
      </c>
      <c r="E717" s="38" t="inlineStr">
        <is>
          <t>1 any</t>
        </is>
      </c>
      <c r="F717" s="38" t="n">
        <v>1</v>
      </c>
      <c r="G717" s="38" t="n">
        <v>23</v>
      </c>
      <c r="I717" s="38" t="inlineStr">
        <is>
          <t>Total de tots els sexes; resposta JSON-stat de l'API d'Idescat</t>
        </is>
      </c>
    </row>
    <row r="718" ht="15" customHeight="1" s="39">
      <c r="A718" s="38" t="n">
        <v>2021</v>
      </c>
      <c r="B718" s="42" t="inlineStr">
        <is>
          <t>431009</t>
        </is>
      </c>
      <c r="C718" s="38" t="inlineStr">
        <is>
          <t>Pallaresos, els</t>
        </is>
      </c>
      <c r="D718" s="38" t="inlineStr">
        <is>
          <t>Y002</t>
        </is>
      </c>
      <c r="E718" s="38" t="inlineStr">
        <is>
          <t>2 anys</t>
        </is>
      </c>
      <c r="F718" s="38" t="n">
        <v>2</v>
      </c>
      <c r="G718" s="38" t="n">
        <v>37</v>
      </c>
      <c r="I718" s="38" t="inlineStr">
        <is>
          <t>Total de tots els sexes; resposta JSON-stat de l'API d'Idescat</t>
        </is>
      </c>
    </row>
    <row r="719" ht="15" customHeight="1" s="39">
      <c r="A719" s="38" t="n">
        <v>2021</v>
      </c>
      <c r="B719" s="42" t="inlineStr">
        <is>
          <t>431009</t>
        </is>
      </c>
      <c r="C719" s="38" t="inlineStr">
        <is>
          <t>Pallaresos, els</t>
        </is>
      </c>
      <c r="D719" s="38" t="inlineStr">
        <is>
          <t>Y003</t>
        </is>
      </c>
      <c r="E719" s="38" t="inlineStr">
        <is>
          <t>3 anys</t>
        </is>
      </c>
      <c r="F719" s="38" t="n">
        <v>3</v>
      </c>
      <c r="G719" s="38" t="n">
        <v>40</v>
      </c>
      <c r="I719" s="38" t="inlineStr">
        <is>
          <t>Total de tots els sexes; resposta JSON-stat de l'API d'Idescat</t>
        </is>
      </c>
    </row>
    <row r="720" ht="15" customHeight="1" s="39">
      <c r="A720" s="38" t="n">
        <v>2021</v>
      </c>
      <c r="B720" s="42" t="inlineStr">
        <is>
          <t>431009</t>
        </is>
      </c>
      <c r="C720" s="38" t="inlineStr">
        <is>
          <t>Pallaresos, els</t>
        </is>
      </c>
      <c r="D720" s="38" t="inlineStr">
        <is>
          <t>Y004</t>
        </is>
      </c>
      <c r="E720" s="38" t="inlineStr">
        <is>
          <t>4 anys</t>
        </is>
      </c>
      <c r="F720" s="38" t="n">
        <v>4</v>
      </c>
      <c r="G720" s="38" t="n">
        <v>53</v>
      </c>
      <c r="I720" s="38" t="inlineStr">
        <is>
          <t>Total de tots els sexes; resposta JSON-stat de l'API d'Idescat</t>
        </is>
      </c>
    </row>
    <row r="721" ht="15" customHeight="1" s="39">
      <c r="A721" s="38" t="n">
        <v>2021</v>
      </c>
      <c r="B721" s="42" t="inlineStr">
        <is>
          <t>431009</t>
        </is>
      </c>
      <c r="C721" s="38" t="inlineStr">
        <is>
          <t>Pallaresos, els</t>
        </is>
      </c>
      <c r="D721" s="38" t="inlineStr">
        <is>
          <t>Y005</t>
        </is>
      </c>
      <c r="E721" s="38" t="inlineStr">
        <is>
          <t>5 anys</t>
        </is>
      </c>
      <c r="F721" s="38" t="n">
        <v>5</v>
      </c>
      <c r="G721" s="38" t="n">
        <v>52</v>
      </c>
      <c r="I721" s="38" t="inlineStr">
        <is>
          <t>Total de tots els sexes; resposta JSON-stat de l'API d'Idescat</t>
        </is>
      </c>
    </row>
    <row r="722" ht="15" customHeight="1" s="39">
      <c r="A722" s="38" t="n">
        <v>2021</v>
      </c>
      <c r="B722" s="42" t="inlineStr">
        <is>
          <t>431009</t>
        </is>
      </c>
      <c r="C722" s="38" t="inlineStr">
        <is>
          <t>Pallaresos, els</t>
        </is>
      </c>
      <c r="D722" s="38" t="inlineStr">
        <is>
          <t>Y006</t>
        </is>
      </c>
      <c r="E722" s="38" t="inlineStr">
        <is>
          <t>6 anys</t>
        </is>
      </c>
      <c r="F722" s="38" t="n">
        <v>6</v>
      </c>
      <c r="G722" s="38" t="n">
        <v>52</v>
      </c>
      <c r="I722" s="38" t="inlineStr">
        <is>
          <t>Total de tots els sexes; resposta JSON-stat de l'API d'Idescat</t>
        </is>
      </c>
    </row>
    <row r="723" ht="15" customHeight="1" s="39">
      <c r="A723" s="38" t="n">
        <v>2021</v>
      </c>
      <c r="B723" s="42" t="inlineStr">
        <is>
          <t>431009</t>
        </is>
      </c>
      <c r="C723" s="38" t="inlineStr">
        <is>
          <t>Pallaresos, els</t>
        </is>
      </c>
      <c r="D723" s="38" t="inlineStr">
        <is>
          <t>Y007</t>
        </is>
      </c>
      <c r="E723" s="38" t="inlineStr">
        <is>
          <t>7 anys</t>
        </is>
      </c>
      <c r="F723" s="38" t="n">
        <v>7</v>
      </c>
      <c r="G723" s="38" t="n">
        <v>64</v>
      </c>
      <c r="I723" s="38" t="inlineStr">
        <is>
          <t>Total de tots els sexes; resposta JSON-stat de l'API d'Idescat</t>
        </is>
      </c>
    </row>
    <row r="724" ht="15" customHeight="1" s="39">
      <c r="A724" s="38" t="n">
        <v>2021</v>
      </c>
      <c r="B724" s="42" t="inlineStr">
        <is>
          <t>431009</t>
        </is>
      </c>
      <c r="C724" s="38" t="inlineStr">
        <is>
          <t>Pallaresos, els</t>
        </is>
      </c>
      <c r="D724" s="38" t="inlineStr">
        <is>
          <t>Y008</t>
        </is>
      </c>
      <c r="E724" s="38" t="inlineStr">
        <is>
          <t>8 anys</t>
        </is>
      </c>
      <c r="F724" s="38" t="n">
        <v>8</v>
      </c>
      <c r="G724" s="38" t="n">
        <v>75</v>
      </c>
      <c r="I724" s="38" t="inlineStr">
        <is>
          <t>Total de tots els sexes; resposta JSON-stat de l'API d'Idescat</t>
        </is>
      </c>
    </row>
    <row r="725" ht="15" customHeight="1" s="39">
      <c r="A725" s="38" t="n">
        <v>2021</v>
      </c>
      <c r="B725" s="42" t="inlineStr">
        <is>
          <t>431009</t>
        </is>
      </c>
      <c r="C725" s="38" t="inlineStr">
        <is>
          <t>Pallaresos, els</t>
        </is>
      </c>
      <c r="D725" s="38" t="inlineStr">
        <is>
          <t>Y009</t>
        </is>
      </c>
      <c r="E725" s="38" t="inlineStr">
        <is>
          <t>9 anys</t>
        </is>
      </c>
      <c r="F725" s="38" t="n">
        <v>9</v>
      </c>
      <c r="G725" s="38" t="n">
        <v>55</v>
      </c>
      <c r="I725" s="38" t="inlineStr">
        <is>
          <t>Total de tots els sexes; resposta JSON-stat de l'API d'Idescat</t>
        </is>
      </c>
    </row>
    <row r="726" ht="15" customHeight="1" s="39">
      <c r="A726" s="38" t="n">
        <v>2021</v>
      </c>
      <c r="B726" s="42" t="inlineStr">
        <is>
          <t>431009</t>
        </is>
      </c>
      <c r="C726" s="38" t="inlineStr">
        <is>
          <t>Pallaresos, els</t>
        </is>
      </c>
      <c r="D726" s="38" t="inlineStr">
        <is>
          <t>Y010</t>
        </is>
      </c>
      <c r="E726" s="38" t="inlineStr">
        <is>
          <t>10 anys</t>
        </is>
      </c>
      <c r="F726" s="38" t="n">
        <v>10</v>
      </c>
      <c r="G726" s="38" t="n">
        <v>95</v>
      </c>
      <c r="I726" s="38" t="inlineStr">
        <is>
          <t>Total de tots els sexes; resposta JSON-stat de l'API d'Idescat</t>
        </is>
      </c>
    </row>
    <row r="727" ht="15" customHeight="1" s="39">
      <c r="A727" s="38" t="n">
        <v>2021</v>
      </c>
      <c r="B727" s="42" t="inlineStr">
        <is>
          <t>431009</t>
        </is>
      </c>
      <c r="C727" s="38" t="inlineStr">
        <is>
          <t>Pallaresos, els</t>
        </is>
      </c>
      <c r="D727" s="38" t="inlineStr">
        <is>
          <t>Y011</t>
        </is>
      </c>
      <c r="E727" s="38" t="inlineStr">
        <is>
          <t>11 anys</t>
        </is>
      </c>
      <c r="F727" s="38" t="n">
        <v>11</v>
      </c>
      <c r="G727" s="38" t="n">
        <v>75</v>
      </c>
      <c r="I727" s="38" t="inlineStr">
        <is>
          <t>Total de tots els sexes; resposta JSON-stat de l'API d'Idescat</t>
        </is>
      </c>
    </row>
    <row r="728" ht="15" customHeight="1" s="39">
      <c r="A728" s="38" t="n">
        <v>2021</v>
      </c>
      <c r="B728" s="42" t="inlineStr">
        <is>
          <t>431009</t>
        </is>
      </c>
      <c r="C728" s="38" t="inlineStr">
        <is>
          <t>Pallaresos, els</t>
        </is>
      </c>
      <c r="D728" s="38" t="inlineStr">
        <is>
          <t>Y012</t>
        </is>
      </c>
      <c r="E728" s="38" t="inlineStr">
        <is>
          <t>12 anys</t>
        </is>
      </c>
      <c r="F728" s="38" t="n">
        <v>12</v>
      </c>
      <c r="G728" s="38" t="n">
        <v>93</v>
      </c>
      <c r="I728" s="38" t="inlineStr">
        <is>
          <t>Total de tots els sexes; resposta JSON-stat de l'API d'Idescat</t>
        </is>
      </c>
    </row>
    <row r="729" ht="15" customHeight="1" s="39">
      <c r="A729" s="38" t="n">
        <v>2021</v>
      </c>
      <c r="B729" s="42" t="inlineStr">
        <is>
          <t>431009</t>
        </is>
      </c>
      <c r="C729" s="38" t="inlineStr">
        <is>
          <t>Pallaresos, els</t>
        </is>
      </c>
      <c r="D729" s="38" t="inlineStr">
        <is>
          <t>Y013</t>
        </is>
      </c>
      <c r="E729" s="38" t="inlineStr">
        <is>
          <t>13 anys</t>
        </is>
      </c>
      <c r="F729" s="38" t="n">
        <v>13</v>
      </c>
      <c r="G729" s="38" t="n">
        <v>84</v>
      </c>
      <c r="I729" s="38" t="inlineStr">
        <is>
          <t>Total de tots els sexes; resposta JSON-stat de l'API d'Idescat</t>
        </is>
      </c>
    </row>
    <row r="730" ht="15" customHeight="1" s="39">
      <c r="A730" s="38" t="n">
        <v>2021</v>
      </c>
      <c r="B730" s="42" t="inlineStr">
        <is>
          <t>431009</t>
        </is>
      </c>
      <c r="C730" s="38" t="inlineStr">
        <is>
          <t>Pallaresos, els</t>
        </is>
      </c>
      <c r="D730" s="38" t="inlineStr">
        <is>
          <t>Y014</t>
        </is>
      </c>
      <c r="E730" s="38" t="inlineStr">
        <is>
          <t>14 anys</t>
        </is>
      </c>
      <c r="F730" s="38" t="n">
        <v>14</v>
      </c>
      <c r="G730" s="38" t="n">
        <v>87</v>
      </c>
      <c r="I730" s="38" t="inlineStr">
        <is>
          <t>Total de tots els sexes; resposta JSON-stat de l'API d'Idescat</t>
        </is>
      </c>
    </row>
    <row r="731" ht="15" customHeight="1" s="39">
      <c r="A731" s="38" t="n">
        <v>2021</v>
      </c>
      <c r="B731" s="42" t="inlineStr">
        <is>
          <t>431009</t>
        </is>
      </c>
      <c r="C731" s="38" t="inlineStr">
        <is>
          <t>Pallaresos, els</t>
        </is>
      </c>
      <c r="D731" s="38" t="inlineStr">
        <is>
          <t>Y015</t>
        </is>
      </c>
      <c r="E731" s="38" t="inlineStr">
        <is>
          <t>15 anys</t>
        </is>
      </c>
      <c r="F731" s="38" t="n">
        <v>15</v>
      </c>
      <c r="G731" s="38" t="n">
        <v>95</v>
      </c>
      <c r="I731" s="38" t="inlineStr">
        <is>
          <t>Total de tots els sexes; resposta JSON-stat de l'API d'Idescat</t>
        </is>
      </c>
    </row>
    <row r="732" ht="15" customHeight="1" s="39">
      <c r="A732" s="38" t="n">
        <v>2021</v>
      </c>
      <c r="B732" s="42" t="inlineStr">
        <is>
          <t>431009</t>
        </is>
      </c>
      <c r="C732" s="38" t="inlineStr">
        <is>
          <t>Pallaresos, els</t>
        </is>
      </c>
      <c r="D732" s="38" t="inlineStr">
        <is>
          <t>Y016</t>
        </is>
      </c>
      <c r="E732" s="38" t="inlineStr">
        <is>
          <t>16 anys</t>
        </is>
      </c>
      <c r="F732" s="38" t="n">
        <v>16</v>
      </c>
      <c r="G732" s="38" t="n">
        <v>83</v>
      </c>
      <c r="I732" s="38" t="inlineStr">
        <is>
          <t>Total de tots els sexes; resposta JSON-stat de l'API d'Idescat</t>
        </is>
      </c>
    </row>
    <row r="733" ht="15" customHeight="1" s="39">
      <c r="A733" s="38" t="n">
        <v>2021</v>
      </c>
      <c r="B733" s="42" t="inlineStr">
        <is>
          <t>431009</t>
        </is>
      </c>
      <c r="C733" s="38" t="inlineStr">
        <is>
          <t>Pallaresos, els</t>
        </is>
      </c>
      <c r="D733" s="38" t="inlineStr">
        <is>
          <t>Y017</t>
        </is>
      </c>
      <c r="E733" s="38" t="inlineStr">
        <is>
          <t>17 anys</t>
        </is>
      </c>
      <c r="F733" s="38" t="n">
        <v>17</v>
      </c>
      <c r="G733" s="38" t="n">
        <v>72</v>
      </c>
      <c r="I733" s="38" t="inlineStr">
        <is>
          <t>Total de tots els sexes; resposta JSON-stat de l'API d'Idescat</t>
        </is>
      </c>
    </row>
    <row r="734" ht="15" customHeight="1" s="39">
      <c r="A734" s="38" t="n">
        <v>2021</v>
      </c>
      <c r="B734" s="42" t="inlineStr">
        <is>
          <t>431009</t>
        </is>
      </c>
      <c r="C734" s="38" t="inlineStr">
        <is>
          <t>Pallaresos, els</t>
        </is>
      </c>
      <c r="D734" s="38" t="inlineStr">
        <is>
          <t>Y018</t>
        </is>
      </c>
      <c r="E734" s="38" t="inlineStr">
        <is>
          <t>18 anys</t>
        </is>
      </c>
      <c r="F734" s="38" t="n">
        <v>18</v>
      </c>
      <c r="G734" s="38" t="n">
        <v>81</v>
      </c>
      <c r="I734" s="38" t="inlineStr">
        <is>
          <t>Total de tots els sexes; resposta JSON-stat de l'API d'Idescat</t>
        </is>
      </c>
    </row>
    <row r="735" ht="15" customHeight="1" s="39">
      <c r="A735" s="38" t="n">
        <v>2021</v>
      </c>
      <c r="B735" s="42" t="inlineStr">
        <is>
          <t>431009</t>
        </is>
      </c>
      <c r="C735" s="38" t="inlineStr">
        <is>
          <t>Pallaresos, els</t>
        </is>
      </c>
      <c r="D735" s="38" t="inlineStr">
        <is>
          <t>Y019</t>
        </is>
      </c>
      <c r="E735" s="38" t="inlineStr">
        <is>
          <t>19 anys</t>
        </is>
      </c>
      <c r="F735" s="38" t="n">
        <v>19</v>
      </c>
      <c r="G735" s="38" t="n">
        <v>75</v>
      </c>
      <c r="I735" s="38" t="inlineStr">
        <is>
          <t>Total de tots els sexes; resposta JSON-stat de l'API d'Idescat</t>
        </is>
      </c>
    </row>
    <row r="736" ht="15" customHeight="1" s="39">
      <c r="A736" s="38" t="n">
        <v>2021</v>
      </c>
      <c r="B736" s="42" t="inlineStr">
        <is>
          <t>431009</t>
        </is>
      </c>
      <c r="C736" s="38" t="inlineStr">
        <is>
          <t>Pallaresos, els</t>
        </is>
      </c>
      <c r="D736" s="38" t="inlineStr">
        <is>
          <t>Y020</t>
        </is>
      </c>
      <c r="E736" s="38" t="inlineStr">
        <is>
          <t>20 anys</t>
        </is>
      </c>
      <c r="F736" s="38" t="n">
        <v>20</v>
      </c>
      <c r="G736" s="38" t="n">
        <v>69</v>
      </c>
      <c r="I736" s="38" t="inlineStr">
        <is>
          <t>Total de tots els sexes; resposta JSON-stat de l'API d'Idescat</t>
        </is>
      </c>
    </row>
    <row r="737" ht="15" customHeight="1" s="39">
      <c r="A737" s="38" t="n">
        <v>2021</v>
      </c>
      <c r="B737" s="42" t="inlineStr">
        <is>
          <t>431009</t>
        </is>
      </c>
      <c r="C737" s="38" t="inlineStr">
        <is>
          <t>Pallaresos, els</t>
        </is>
      </c>
      <c r="D737" s="38" t="inlineStr">
        <is>
          <t>Y021</t>
        </is>
      </c>
      <c r="E737" s="38" t="inlineStr">
        <is>
          <t>21 anys</t>
        </is>
      </c>
      <c r="F737" s="38" t="n">
        <v>21</v>
      </c>
      <c r="G737" s="38" t="n">
        <v>63</v>
      </c>
      <c r="I737" s="38" t="inlineStr">
        <is>
          <t>Total de tots els sexes; resposta JSON-stat de l'API d'Idescat</t>
        </is>
      </c>
    </row>
    <row r="738" ht="15" customHeight="1" s="39">
      <c r="A738" s="38" t="n">
        <v>2021</v>
      </c>
      <c r="B738" s="42" t="inlineStr">
        <is>
          <t>431009</t>
        </is>
      </c>
      <c r="C738" s="38" t="inlineStr">
        <is>
          <t>Pallaresos, els</t>
        </is>
      </c>
      <c r="D738" s="38" t="inlineStr">
        <is>
          <t>Y022</t>
        </is>
      </c>
      <c r="E738" s="38" t="inlineStr">
        <is>
          <t>22 anys</t>
        </is>
      </c>
      <c r="F738" s="38" t="n">
        <v>22</v>
      </c>
      <c r="G738" s="38" t="n">
        <v>54</v>
      </c>
      <c r="I738" s="38" t="inlineStr">
        <is>
          <t>Total de tots els sexes; resposta JSON-stat de l'API d'Idescat</t>
        </is>
      </c>
    </row>
    <row r="739" ht="15" customHeight="1" s="39">
      <c r="A739" s="38" t="n">
        <v>2021</v>
      </c>
      <c r="B739" s="42" t="inlineStr">
        <is>
          <t>431009</t>
        </is>
      </c>
      <c r="C739" s="38" t="inlineStr">
        <is>
          <t>Pallaresos, els</t>
        </is>
      </c>
      <c r="D739" s="38" t="inlineStr">
        <is>
          <t>Y023</t>
        </is>
      </c>
      <c r="E739" s="38" t="inlineStr">
        <is>
          <t>23 anys</t>
        </is>
      </c>
      <c r="F739" s="38" t="n">
        <v>23</v>
      </c>
      <c r="G739" s="38" t="n">
        <v>40</v>
      </c>
      <c r="I739" s="38" t="inlineStr">
        <is>
          <t>Total de tots els sexes; resposta JSON-stat de l'API d'Idescat</t>
        </is>
      </c>
    </row>
    <row r="740" ht="15" customHeight="1" s="39">
      <c r="A740" s="38" t="n">
        <v>2021</v>
      </c>
      <c r="B740" s="42" t="inlineStr">
        <is>
          <t>431009</t>
        </is>
      </c>
      <c r="C740" s="38" t="inlineStr">
        <is>
          <t>Pallaresos, els</t>
        </is>
      </c>
      <c r="D740" s="38" t="inlineStr">
        <is>
          <t>Y024</t>
        </is>
      </c>
      <c r="E740" s="38" t="inlineStr">
        <is>
          <t>24 anys</t>
        </is>
      </c>
      <c r="F740" s="38" t="n">
        <v>24</v>
      </c>
      <c r="G740" s="38" t="n">
        <v>43</v>
      </c>
      <c r="I740" s="38" t="inlineStr">
        <is>
          <t>Total de tots els sexes; resposta JSON-stat de l'API d'Idescat</t>
        </is>
      </c>
    </row>
    <row r="741" ht="15" customHeight="1" s="39">
      <c r="A741" s="38" t="n">
        <v>2021</v>
      </c>
      <c r="B741" s="42" t="inlineStr">
        <is>
          <t>431009</t>
        </is>
      </c>
      <c r="C741" s="38" t="inlineStr">
        <is>
          <t>Pallaresos, els</t>
        </is>
      </c>
      <c r="D741" s="38" t="inlineStr">
        <is>
          <t>Y025</t>
        </is>
      </c>
      <c r="E741" s="38" t="inlineStr">
        <is>
          <t>25 anys</t>
        </is>
      </c>
      <c r="F741" s="38" t="n">
        <v>25</v>
      </c>
      <c r="G741" s="38" t="n">
        <v>39</v>
      </c>
      <c r="I741" s="38" t="inlineStr">
        <is>
          <t>Total de tots els sexes; resposta JSON-stat de l'API d'Idescat</t>
        </is>
      </c>
    </row>
    <row r="742" ht="15" customHeight="1" s="39">
      <c r="A742" s="38" t="n">
        <v>2021</v>
      </c>
      <c r="B742" s="42" t="inlineStr">
        <is>
          <t>431009</t>
        </is>
      </c>
      <c r="C742" s="38" t="inlineStr">
        <is>
          <t>Pallaresos, els</t>
        </is>
      </c>
      <c r="D742" s="38" t="inlineStr">
        <is>
          <t>Y026</t>
        </is>
      </c>
      <c r="E742" s="38" t="inlineStr">
        <is>
          <t>26 anys</t>
        </is>
      </c>
      <c r="F742" s="38" t="n">
        <v>26</v>
      </c>
      <c r="G742" s="38" t="n">
        <v>37</v>
      </c>
      <c r="I742" s="38" t="inlineStr">
        <is>
          <t>Total de tots els sexes; resposta JSON-stat de l'API d'Idescat</t>
        </is>
      </c>
    </row>
    <row r="743" ht="15" customHeight="1" s="39">
      <c r="A743" s="38" t="n">
        <v>2021</v>
      </c>
      <c r="B743" s="42" t="inlineStr">
        <is>
          <t>431009</t>
        </is>
      </c>
      <c r="C743" s="38" t="inlineStr">
        <is>
          <t>Pallaresos, els</t>
        </is>
      </c>
      <c r="D743" s="38" t="inlineStr">
        <is>
          <t>Y027</t>
        </is>
      </c>
      <c r="E743" s="38" t="inlineStr">
        <is>
          <t>27 anys</t>
        </is>
      </c>
      <c r="F743" s="38" t="n">
        <v>27</v>
      </c>
      <c r="G743" s="38" t="n">
        <v>42</v>
      </c>
      <c r="I743" s="38" t="inlineStr">
        <is>
          <t>Total de tots els sexes; resposta JSON-stat de l'API d'Idescat</t>
        </is>
      </c>
    </row>
    <row r="744" ht="15" customHeight="1" s="39">
      <c r="A744" s="38" t="n">
        <v>2021</v>
      </c>
      <c r="B744" s="42" t="inlineStr">
        <is>
          <t>431009</t>
        </is>
      </c>
      <c r="C744" s="38" t="inlineStr">
        <is>
          <t>Pallaresos, els</t>
        </is>
      </c>
      <c r="D744" s="38" t="inlineStr">
        <is>
          <t>Y028</t>
        </is>
      </c>
      <c r="E744" s="38" t="inlineStr">
        <is>
          <t>28 anys</t>
        </is>
      </c>
      <c r="F744" s="38" t="n">
        <v>28</v>
      </c>
      <c r="G744" s="38" t="n">
        <v>33</v>
      </c>
      <c r="I744" s="38" t="inlineStr">
        <is>
          <t>Total de tots els sexes; resposta JSON-stat de l'API d'Idescat</t>
        </is>
      </c>
    </row>
    <row r="745" ht="15" customHeight="1" s="39">
      <c r="A745" s="38" t="n">
        <v>2021</v>
      </c>
      <c r="B745" s="42" t="inlineStr">
        <is>
          <t>431009</t>
        </is>
      </c>
      <c r="C745" s="38" t="inlineStr">
        <is>
          <t>Pallaresos, els</t>
        </is>
      </c>
      <c r="D745" s="38" t="inlineStr">
        <is>
          <t>Y029</t>
        </is>
      </c>
      <c r="E745" s="38" t="inlineStr">
        <is>
          <t>29 anys</t>
        </is>
      </c>
      <c r="F745" s="38" t="n">
        <v>29</v>
      </c>
      <c r="G745" s="38" t="n">
        <v>38</v>
      </c>
      <c r="I745" s="38" t="inlineStr">
        <is>
          <t>Total de tots els sexes; resposta JSON-stat de l'API d'Idescat</t>
        </is>
      </c>
    </row>
    <row r="746" ht="15" customHeight="1" s="39">
      <c r="A746" s="38" t="n">
        <v>2021</v>
      </c>
      <c r="B746" s="42" t="inlineStr">
        <is>
          <t>431009</t>
        </is>
      </c>
      <c r="C746" s="38" t="inlineStr">
        <is>
          <t>Pallaresos, els</t>
        </is>
      </c>
      <c r="D746" s="38" t="inlineStr">
        <is>
          <t>Y030</t>
        </is>
      </c>
      <c r="E746" s="38" t="inlineStr">
        <is>
          <t>30 anys</t>
        </is>
      </c>
      <c r="F746" s="38" t="n">
        <v>30</v>
      </c>
      <c r="G746" s="38" t="n">
        <v>41</v>
      </c>
      <c r="I746" s="38" t="inlineStr">
        <is>
          <t>Total de tots els sexes; resposta JSON-stat de l'API d'Idescat</t>
        </is>
      </c>
    </row>
    <row r="747" ht="15" customHeight="1" s="39">
      <c r="A747" s="38" t="n">
        <v>2021</v>
      </c>
      <c r="B747" s="42" t="inlineStr">
        <is>
          <t>431009</t>
        </is>
      </c>
      <c r="C747" s="38" t="inlineStr">
        <is>
          <t>Pallaresos, els</t>
        </is>
      </c>
      <c r="D747" s="38" t="inlineStr">
        <is>
          <t>Y031</t>
        </is>
      </c>
      <c r="E747" s="38" t="inlineStr">
        <is>
          <t>31 anys</t>
        </is>
      </c>
      <c r="F747" s="38" t="n">
        <v>31</v>
      </c>
      <c r="G747" s="38" t="n">
        <v>47</v>
      </c>
      <c r="I747" s="38" t="inlineStr">
        <is>
          <t>Total de tots els sexes; resposta JSON-stat de l'API d'Idescat</t>
        </is>
      </c>
    </row>
    <row r="748" ht="15" customHeight="1" s="39">
      <c r="A748" s="38" t="n">
        <v>2021</v>
      </c>
      <c r="B748" s="42" t="inlineStr">
        <is>
          <t>431009</t>
        </is>
      </c>
      <c r="C748" s="38" t="inlineStr">
        <is>
          <t>Pallaresos, els</t>
        </is>
      </c>
      <c r="D748" s="38" t="inlineStr">
        <is>
          <t>Y032</t>
        </is>
      </c>
      <c r="E748" s="38" t="inlineStr">
        <is>
          <t>32 anys</t>
        </is>
      </c>
      <c r="F748" s="38" t="n">
        <v>32</v>
      </c>
      <c r="G748" s="38" t="n">
        <v>40</v>
      </c>
      <c r="I748" s="38" t="inlineStr">
        <is>
          <t>Total de tots els sexes; resposta JSON-stat de l'API d'Idescat</t>
        </is>
      </c>
    </row>
    <row r="749" ht="15" customHeight="1" s="39">
      <c r="A749" s="38" t="n">
        <v>2021</v>
      </c>
      <c r="B749" s="42" t="inlineStr">
        <is>
          <t>431009</t>
        </is>
      </c>
      <c r="C749" s="38" t="inlineStr">
        <is>
          <t>Pallaresos, els</t>
        </is>
      </c>
      <c r="D749" s="38" t="inlineStr">
        <is>
          <t>Y033</t>
        </is>
      </c>
      <c r="E749" s="38" t="inlineStr">
        <is>
          <t>33 anys</t>
        </is>
      </c>
      <c r="F749" s="38" t="n">
        <v>33</v>
      </c>
      <c r="G749" s="38" t="n">
        <v>43</v>
      </c>
      <c r="I749" s="38" t="inlineStr">
        <is>
          <t>Total de tots els sexes; resposta JSON-stat de l'API d'Idescat</t>
        </is>
      </c>
    </row>
    <row r="750" ht="15" customHeight="1" s="39">
      <c r="A750" s="38" t="n">
        <v>2021</v>
      </c>
      <c r="B750" s="42" t="inlineStr">
        <is>
          <t>431009</t>
        </is>
      </c>
      <c r="C750" s="38" t="inlineStr">
        <is>
          <t>Pallaresos, els</t>
        </is>
      </c>
      <c r="D750" s="38" t="inlineStr">
        <is>
          <t>Y034</t>
        </is>
      </c>
      <c r="E750" s="38" t="inlineStr">
        <is>
          <t>34 anys</t>
        </is>
      </c>
      <c r="F750" s="38" t="n">
        <v>34</v>
      </c>
      <c r="G750" s="38" t="n">
        <v>37</v>
      </c>
      <c r="I750" s="38" t="inlineStr">
        <is>
          <t>Total de tots els sexes; resposta JSON-stat de l'API d'Idescat</t>
        </is>
      </c>
    </row>
    <row r="751" ht="15" customHeight="1" s="39">
      <c r="A751" s="38" t="n">
        <v>2021</v>
      </c>
      <c r="B751" s="42" t="inlineStr">
        <is>
          <t>431009</t>
        </is>
      </c>
      <c r="C751" s="38" t="inlineStr">
        <is>
          <t>Pallaresos, els</t>
        </is>
      </c>
      <c r="D751" s="38" t="inlineStr">
        <is>
          <t>Y035</t>
        </is>
      </c>
      <c r="E751" s="38" t="inlineStr">
        <is>
          <t>35 anys</t>
        </is>
      </c>
      <c r="F751" s="38" t="n">
        <v>35</v>
      </c>
      <c r="G751" s="38" t="n">
        <v>54</v>
      </c>
      <c r="I751" s="38" t="inlineStr">
        <is>
          <t>Total de tots els sexes; resposta JSON-stat de l'API d'Idescat</t>
        </is>
      </c>
    </row>
    <row r="752" ht="15" customHeight="1" s="39">
      <c r="A752" s="38" t="n">
        <v>2021</v>
      </c>
      <c r="B752" s="42" t="inlineStr">
        <is>
          <t>431009</t>
        </is>
      </c>
      <c r="C752" s="38" t="inlineStr">
        <is>
          <t>Pallaresos, els</t>
        </is>
      </c>
      <c r="D752" s="38" t="inlineStr">
        <is>
          <t>Y036</t>
        </is>
      </c>
      <c r="E752" s="38" t="inlineStr">
        <is>
          <t>36 anys</t>
        </is>
      </c>
      <c r="F752" s="38" t="n">
        <v>36</v>
      </c>
      <c r="G752" s="38" t="n">
        <v>47</v>
      </c>
      <c r="I752" s="38" t="inlineStr">
        <is>
          <t>Total de tots els sexes; resposta JSON-stat de l'API d'Idescat</t>
        </is>
      </c>
    </row>
    <row r="753" ht="15" customHeight="1" s="39">
      <c r="A753" s="38" t="n">
        <v>2021</v>
      </c>
      <c r="B753" s="42" t="inlineStr">
        <is>
          <t>431009</t>
        </is>
      </c>
      <c r="C753" s="38" t="inlineStr">
        <is>
          <t>Pallaresos, els</t>
        </is>
      </c>
      <c r="D753" s="38" t="inlineStr">
        <is>
          <t>Y037</t>
        </is>
      </c>
      <c r="E753" s="38" t="inlineStr">
        <is>
          <t>37 anys</t>
        </is>
      </c>
      <c r="F753" s="38" t="n">
        <v>37</v>
      </c>
      <c r="G753" s="38" t="n">
        <v>52</v>
      </c>
      <c r="I753" s="38" t="inlineStr">
        <is>
          <t>Total de tots els sexes; resposta JSON-stat de l'API d'Idescat</t>
        </is>
      </c>
    </row>
    <row r="754" ht="15" customHeight="1" s="39">
      <c r="A754" s="38" t="n">
        <v>2021</v>
      </c>
      <c r="B754" s="42" t="inlineStr">
        <is>
          <t>431009</t>
        </is>
      </c>
      <c r="C754" s="38" t="inlineStr">
        <is>
          <t>Pallaresos, els</t>
        </is>
      </c>
      <c r="D754" s="38" t="inlineStr">
        <is>
          <t>Y038</t>
        </is>
      </c>
      <c r="E754" s="38" t="inlineStr">
        <is>
          <t>38 anys</t>
        </is>
      </c>
      <c r="F754" s="38" t="n">
        <v>38</v>
      </c>
      <c r="G754" s="38" t="n">
        <v>59</v>
      </c>
      <c r="I754" s="38" t="inlineStr">
        <is>
          <t>Total de tots els sexes; resposta JSON-stat de l'API d'Idescat</t>
        </is>
      </c>
    </row>
    <row r="755" ht="15" customHeight="1" s="39">
      <c r="A755" s="38" t="n">
        <v>2021</v>
      </c>
      <c r="B755" s="42" t="inlineStr">
        <is>
          <t>431009</t>
        </is>
      </c>
      <c r="C755" s="38" t="inlineStr">
        <is>
          <t>Pallaresos, els</t>
        </is>
      </c>
      <c r="D755" s="38" t="inlineStr">
        <is>
          <t>Y039</t>
        </is>
      </c>
      <c r="E755" s="38" t="inlineStr">
        <is>
          <t>39 anys</t>
        </is>
      </c>
      <c r="F755" s="38" t="n">
        <v>39</v>
      </c>
      <c r="G755" s="38" t="n">
        <v>74</v>
      </c>
      <c r="I755" s="38" t="inlineStr">
        <is>
          <t>Total de tots els sexes; resposta JSON-stat de l'API d'Idescat</t>
        </is>
      </c>
    </row>
    <row r="756" ht="15" customHeight="1" s="39">
      <c r="A756" s="38" t="n">
        <v>2021</v>
      </c>
      <c r="B756" s="42" t="inlineStr">
        <is>
          <t>431009</t>
        </is>
      </c>
      <c r="C756" s="38" t="inlineStr">
        <is>
          <t>Pallaresos, els</t>
        </is>
      </c>
      <c r="D756" s="38" t="inlineStr">
        <is>
          <t>Y040</t>
        </is>
      </c>
      <c r="E756" s="38" t="inlineStr">
        <is>
          <t>40 anys</t>
        </is>
      </c>
      <c r="F756" s="38" t="n">
        <v>40</v>
      </c>
      <c r="G756" s="38" t="n">
        <v>89</v>
      </c>
      <c r="I756" s="38" t="inlineStr">
        <is>
          <t>Total de tots els sexes; resposta JSON-stat de l'API d'Idescat</t>
        </is>
      </c>
    </row>
    <row r="757" ht="15" customHeight="1" s="39">
      <c r="A757" s="38" t="n">
        <v>2021</v>
      </c>
      <c r="B757" s="42" t="inlineStr">
        <is>
          <t>431009</t>
        </is>
      </c>
      <c r="C757" s="38" t="inlineStr">
        <is>
          <t>Pallaresos, els</t>
        </is>
      </c>
      <c r="D757" s="38" t="inlineStr">
        <is>
          <t>Y041</t>
        </is>
      </c>
      <c r="E757" s="38" t="inlineStr">
        <is>
          <t>41 anys</t>
        </is>
      </c>
      <c r="F757" s="38" t="n">
        <v>41</v>
      </c>
      <c r="G757" s="38" t="n">
        <v>72</v>
      </c>
      <c r="I757" s="38" t="inlineStr">
        <is>
          <t>Total de tots els sexes; resposta JSON-stat de l'API d'Idescat</t>
        </is>
      </c>
    </row>
    <row r="758" ht="15" customHeight="1" s="39">
      <c r="A758" s="38" t="n">
        <v>2021</v>
      </c>
      <c r="B758" s="42" t="inlineStr">
        <is>
          <t>431009</t>
        </is>
      </c>
      <c r="C758" s="38" t="inlineStr">
        <is>
          <t>Pallaresos, els</t>
        </is>
      </c>
      <c r="D758" s="38" t="inlineStr">
        <is>
          <t>Y042</t>
        </is>
      </c>
      <c r="E758" s="38" t="inlineStr">
        <is>
          <t>42 anys</t>
        </is>
      </c>
      <c r="F758" s="38" t="n">
        <v>42</v>
      </c>
      <c r="G758" s="38" t="n">
        <v>98</v>
      </c>
      <c r="I758" s="38" t="inlineStr">
        <is>
          <t>Total de tots els sexes; resposta JSON-stat de l'API d'Idescat</t>
        </is>
      </c>
    </row>
    <row r="759" ht="15" customHeight="1" s="39">
      <c r="A759" s="38" t="n">
        <v>2021</v>
      </c>
      <c r="B759" s="42" t="inlineStr">
        <is>
          <t>431009</t>
        </is>
      </c>
      <c r="C759" s="38" t="inlineStr">
        <is>
          <t>Pallaresos, els</t>
        </is>
      </c>
      <c r="D759" s="38" t="inlineStr">
        <is>
          <t>Y043</t>
        </is>
      </c>
      <c r="E759" s="38" t="inlineStr">
        <is>
          <t>43 anys</t>
        </is>
      </c>
      <c r="F759" s="38" t="n">
        <v>43</v>
      </c>
      <c r="G759" s="38" t="n">
        <v>103</v>
      </c>
      <c r="I759" s="38" t="inlineStr">
        <is>
          <t>Total de tots els sexes; resposta JSON-stat de l'API d'Idescat</t>
        </is>
      </c>
    </row>
    <row r="760" ht="15" customHeight="1" s="39">
      <c r="A760" s="38" t="n">
        <v>2021</v>
      </c>
      <c r="B760" s="42" t="inlineStr">
        <is>
          <t>431009</t>
        </is>
      </c>
      <c r="C760" s="38" t="inlineStr">
        <is>
          <t>Pallaresos, els</t>
        </is>
      </c>
      <c r="D760" s="38" t="inlineStr">
        <is>
          <t>Y044</t>
        </is>
      </c>
      <c r="E760" s="38" t="inlineStr">
        <is>
          <t>44 anys</t>
        </is>
      </c>
      <c r="F760" s="38" t="n">
        <v>44</v>
      </c>
      <c r="G760" s="38" t="n">
        <v>96</v>
      </c>
      <c r="I760" s="38" t="inlineStr">
        <is>
          <t>Total de tots els sexes; resposta JSON-stat de l'API d'Idescat</t>
        </is>
      </c>
    </row>
    <row r="761" ht="15" customHeight="1" s="39">
      <c r="A761" s="38" t="n">
        <v>2021</v>
      </c>
      <c r="B761" s="42" t="inlineStr">
        <is>
          <t>431009</t>
        </is>
      </c>
      <c r="C761" s="38" t="inlineStr">
        <is>
          <t>Pallaresos, els</t>
        </is>
      </c>
      <c r="D761" s="38" t="inlineStr">
        <is>
          <t>Y045</t>
        </is>
      </c>
      <c r="E761" s="38" t="inlineStr">
        <is>
          <t>45 anys</t>
        </is>
      </c>
      <c r="F761" s="38" t="n">
        <v>45</v>
      </c>
      <c r="G761" s="38" t="n">
        <v>99</v>
      </c>
      <c r="I761" s="38" t="inlineStr">
        <is>
          <t>Total de tots els sexes; resposta JSON-stat de l'API d'Idescat</t>
        </is>
      </c>
    </row>
    <row r="762" ht="15" customHeight="1" s="39">
      <c r="A762" s="38" t="n">
        <v>2021</v>
      </c>
      <c r="B762" s="42" t="inlineStr">
        <is>
          <t>431009</t>
        </is>
      </c>
      <c r="C762" s="38" t="inlineStr">
        <is>
          <t>Pallaresos, els</t>
        </is>
      </c>
      <c r="D762" s="38" t="inlineStr">
        <is>
          <t>Y046</t>
        </is>
      </c>
      <c r="E762" s="38" t="inlineStr">
        <is>
          <t>46 anys</t>
        </is>
      </c>
      <c r="F762" s="38" t="n">
        <v>46</v>
      </c>
      <c r="G762" s="38" t="n">
        <v>116</v>
      </c>
      <c r="I762" s="38" t="inlineStr">
        <is>
          <t>Total de tots els sexes; resposta JSON-stat de l'API d'Idescat</t>
        </is>
      </c>
    </row>
    <row r="763" ht="15" customHeight="1" s="39">
      <c r="A763" s="38" t="n">
        <v>2021</v>
      </c>
      <c r="B763" s="42" t="inlineStr">
        <is>
          <t>431009</t>
        </is>
      </c>
      <c r="C763" s="38" t="inlineStr">
        <is>
          <t>Pallaresos, els</t>
        </is>
      </c>
      <c r="D763" s="38" t="inlineStr">
        <is>
          <t>Y047</t>
        </is>
      </c>
      <c r="E763" s="38" t="inlineStr">
        <is>
          <t>47 anys</t>
        </is>
      </c>
      <c r="F763" s="38" t="n">
        <v>47</v>
      </c>
      <c r="G763" s="38" t="n">
        <v>98</v>
      </c>
      <c r="I763" s="38" t="inlineStr">
        <is>
          <t>Total de tots els sexes; resposta JSON-stat de l'API d'Idescat</t>
        </is>
      </c>
    </row>
    <row r="764" ht="15" customHeight="1" s="39">
      <c r="A764" s="38" t="n">
        <v>2021</v>
      </c>
      <c r="B764" s="42" t="inlineStr">
        <is>
          <t>431009</t>
        </is>
      </c>
      <c r="C764" s="38" t="inlineStr">
        <is>
          <t>Pallaresos, els</t>
        </is>
      </c>
      <c r="D764" s="38" t="inlineStr">
        <is>
          <t>Y048</t>
        </is>
      </c>
      <c r="E764" s="38" t="inlineStr">
        <is>
          <t>48 anys</t>
        </is>
      </c>
      <c r="F764" s="38" t="n">
        <v>48</v>
      </c>
      <c r="G764" s="38" t="n">
        <v>101</v>
      </c>
      <c r="I764" s="38" t="inlineStr">
        <is>
          <t>Total de tots els sexes; resposta JSON-stat de l'API d'Idescat</t>
        </is>
      </c>
    </row>
    <row r="765" ht="15" customHeight="1" s="39">
      <c r="A765" s="38" t="n">
        <v>2021</v>
      </c>
      <c r="B765" s="42" t="inlineStr">
        <is>
          <t>431009</t>
        </is>
      </c>
      <c r="C765" s="38" t="inlineStr">
        <is>
          <t>Pallaresos, els</t>
        </is>
      </c>
      <c r="D765" s="38" t="inlineStr">
        <is>
          <t>Y049</t>
        </is>
      </c>
      <c r="E765" s="38" t="inlineStr">
        <is>
          <t>49 anys</t>
        </is>
      </c>
      <c r="F765" s="38" t="n">
        <v>49</v>
      </c>
      <c r="G765" s="38" t="n">
        <v>104</v>
      </c>
      <c r="I765" s="38" t="inlineStr">
        <is>
          <t>Total de tots els sexes; resposta JSON-stat de l'API d'Idescat</t>
        </is>
      </c>
    </row>
    <row r="766" ht="15" customHeight="1" s="39">
      <c r="A766" s="38" t="n">
        <v>2021</v>
      </c>
      <c r="B766" s="42" t="inlineStr">
        <is>
          <t>431009</t>
        </is>
      </c>
      <c r="C766" s="38" t="inlineStr">
        <is>
          <t>Pallaresos, els</t>
        </is>
      </c>
      <c r="D766" s="38" t="inlineStr">
        <is>
          <t>Y050</t>
        </is>
      </c>
      <c r="E766" s="38" t="inlineStr">
        <is>
          <t>50 anys</t>
        </is>
      </c>
      <c r="F766" s="38" t="n">
        <v>50</v>
      </c>
      <c r="G766" s="38" t="n">
        <v>87</v>
      </c>
      <c r="I766" s="38" t="inlineStr">
        <is>
          <t>Total de tots els sexes; resposta JSON-stat de l'API d'Idescat</t>
        </is>
      </c>
    </row>
    <row r="767" ht="15" customHeight="1" s="39">
      <c r="A767" s="38" t="n">
        <v>2021</v>
      </c>
      <c r="B767" s="42" t="inlineStr">
        <is>
          <t>431009</t>
        </is>
      </c>
      <c r="C767" s="38" t="inlineStr">
        <is>
          <t>Pallaresos, els</t>
        </is>
      </c>
      <c r="D767" s="38" t="inlineStr">
        <is>
          <t>Y051</t>
        </is>
      </c>
      <c r="E767" s="38" t="inlineStr">
        <is>
          <t>51 anys</t>
        </is>
      </c>
      <c r="F767" s="38" t="n">
        <v>51</v>
      </c>
      <c r="G767" s="38" t="n">
        <v>101</v>
      </c>
      <c r="I767" s="38" t="inlineStr">
        <is>
          <t>Total de tots els sexes; resposta JSON-stat de l'API d'Idescat</t>
        </is>
      </c>
    </row>
    <row r="768" ht="15" customHeight="1" s="39">
      <c r="A768" s="38" t="n">
        <v>2021</v>
      </c>
      <c r="B768" s="42" t="inlineStr">
        <is>
          <t>431009</t>
        </is>
      </c>
      <c r="C768" s="38" t="inlineStr">
        <is>
          <t>Pallaresos, els</t>
        </is>
      </c>
      <c r="D768" s="38" t="inlineStr">
        <is>
          <t>Y052</t>
        </is>
      </c>
      <c r="E768" s="38" t="inlineStr">
        <is>
          <t>52 anys</t>
        </is>
      </c>
      <c r="F768" s="38" t="n">
        <v>52</v>
      </c>
      <c r="G768" s="38" t="n">
        <v>87</v>
      </c>
      <c r="I768" s="38" t="inlineStr">
        <is>
          <t>Total de tots els sexes; resposta JSON-stat de l'API d'Idescat</t>
        </is>
      </c>
    </row>
    <row r="769" ht="15" customHeight="1" s="39">
      <c r="A769" s="38" t="n">
        <v>2021</v>
      </c>
      <c r="B769" s="42" t="inlineStr">
        <is>
          <t>431009</t>
        </is>
      </c>
      <c r="C769" s="38" t="inlineStr">
        <is>
          <t>Pallaresos, els</t>
        </is>
      </c>
      <c r="D769" s="38" t="inlineStr">
        <is>
          <t>Y053</t>
        </is>
      </c>
      <c r="E769" s="38" t="inlineStr">
        <is>
          <t>53 anys</t>
        </is>
      </c>
      <c r="F769" s="38" t="n">
        <v>53</v>
      </c>
      <c r="G769" s="38" t="n">
        <v>103</v>
      </c>
      <c r="I769" s="38" t="inlineStr">
        <is>
          <t>Total de tots els sexes; resposta JSON-stat de l'API d'Idescat</t>
        </is>
      </c>
    </row>
    <row r="770" ht="15" customHeight="1" s="39">
      <c r="A770" s="38" t="n">
        <v>2021</v>
      </c>
      <c r="B770" s="42" t="inlineStr">
        <is>
          <t>431009</t>
        </is>
      </c>
      <c r="C770" s="38" t="inlineStr">
        <is>
          <t>Pallaresos, els</t>
        </is>
      </c>
      <c r="D770" s="38" t="inlineStr">
        <is>
          <t>Y054</t>
        </is>
      </c>
      <c r="E770" s="38" t="inlineStr">
        <is>
          <t>54 anys</t>
        </is>
      </c>
      <c r="F770" s="38" t="n">
        <v>54</v>
      </c>
      <c r="G770" s="38" t="n">
        <v>77</v>
      </c>
      <c r="I770" s="38" t="inlineStr">
        <is>
          <t>Total de tots els sexes; resposta JSON-stat de l'API d'Idescat</t>
        </is>
      </c>
    </row>
    <row r="771" ht="15" customHeight="1" s="39">
      <c r="A771" s="38" t="n">
        <v>2021</v>
      </c>
      <c r="B771" s="42" t="inlineStr">
        <is>
          <t>431009</t>
        </is>
      </c>
      <c r="C771" s="38" t="inlineStr">
        <is>
          <t>Pallaresos, els</t>
        </is>
      </c>
      <c r="D771" s="38" t="inlineStr">
        <is>
          <t>Y055</t>
        </is>
      </c>
      <c r="E771" s="38" t="inlineStr">
        <is>
          <t>55 anys</t>
        </is>
      </c>
      <c r="F771" s="38" t="n">
        <v>55</v>
      </c>
      <c r="G771" s="38" t="n">
        <v>95</v>
      </c>
      <c r="I771" s="38" t="inlineStr">
        <is>
          <t>Total de tots els sexes; resposta JSON-stat de l'API d'Idescat</t>
        </is>
      </c>
    </row>
    <row r="772" ht="15" customHeight="1" s="39">
      <c r="A772" s="38" t="n">
        <v>2021</v>
      </c>
      <c r="B772" s="42" t="inlineStr">
        <is>
          <t>431009</t>
        </is>
      </c>
      <c r="C772" s="38" t="inlineStr">
        <is>
          <t>Pallaresos, els</t>
        </is>
      </c>
      <c r="D772" s="38" t="inlineStr">
        <is>
          <t>Y056</t>
        </is>
      </c>
      <c r="E772" s="38" t="inlineStr">
        <is>
          <t>56 anys</t>
        </is>
      </c>
      <c r="F772" s="38" t="n">
        <v>56</v>
      </c>
      <c r="G772" s="38" t="n">
        <v>79</v>
      </c>
      <c r="I772" s="38" t="inlineStr">
        <is>
          <t>Total de tots els sexes; resposta JSON-stat de l'API d'Idescat</t>
        </is>
      </c>
    </row>
    <row r="773" ht="15" customHeight="1" s="39">
      <c r="A773" s="38" t="n">
        <v>2021</v>
      </c>
      <c r="B773" s="42" t="inlineStr">
        <is>
          <t>431009</t>
        </is>
      </c>
      <c r="C773" s="38" t="inlineStr">
        <is>
          <t>Pallaresos, els</t>
        </is>
      </c>
      <c r="D773" s="38" t="inlineStr">
        <is>
          <t>Y057</t>
        </is>
      </c>
      <c r="E773" s="38" t="inlineStr">
        <is>
          <t>57 anys</t>
        </is>
      </c>
      <c r="F773" s="38" t="n">
        <v>57</v>
      </c>
      <c r="G773" s="38" t="n">
        <v>74</v>
      </c>
      <c r="I773" s="38" t="inlineStr">
        <is>
          <t>Total de tots els sexes; resposta JSON-stat de l'API d'Idescat</t>
        </is>
      </c>
    </row>
    <row r="774" ht="15" customHeight="1" s="39">
      <c r="A774" s="38" t="n">
        <v>2021</v>
      </c>
      <c r="B774" s="42" t="inlineStr">
        <is>
          <t>431009</t>
        </is>
      </c>
      <c r="C774" s="38" t="inlineStr">
        <is>
          <t>Pallaresos, els</t>
        </is>
      </c>
      <c r="D774" s="38" t="inlineStr">
        <is>
          <t>Y058</t>
        </is>
      </c>
      <c r="E774" s="38" t="inlineStr">
        <is>
          <t>58 anys</t>
        </is>
      </c>
      <c r="F774" s="38" t="n">
        <v>58</v>
      </c>
      <c r="G774" s="38" t="n">
        <v>62</v>
      </c>
      <c r="I774" s="38" t="inlineStr">
        <is>
          <t>Total de tots els sexes; resposta JSON-stat de l'API d'Idescat</t>
        </is>
      </c>
    </row>
    <row r="775" ht="15" customHeight="1" s="39">
      <c r="A775" s="38" t="n">
        <v>2021</v>
      </c>
      <c r="B775" s="42" t="inlineStr">
        <is>
          <t>431009</t>
        </is>
      </c>
      <c r="C775" s="38" t="inlineStr">
        <is>
          <t>Pallaresos, els</t>
        </is>
      </c>
      <c r="D775" s="38" t="inlineStr">
        <is>
          <t>Y059</t>
        </is>
      </c>
      <c r="E775" s="38" t="inlineStr">
        <is>
          <t>59 anys</t>
        </is>
      </c>
      <c r="F775" s="38" t="n">
        <v>59</v>
      </c>
      <c r="G775" s="38" t="n">
        <v>62</v>
      </c>
      <c r="I775" s="38" t="inlineStr">
        <is>
          <t>Total de tots els sexes; resposta JSON-stat de l'API d'Idescat</t>
        </is>
      </c>
    </row>
    <row r="776" ht="15" customHeight="1" s="39">
      <c r="A776" s="38" t="n">
        <v>2021</v>
      </c>
      <c r="B776" s="42" t="inlineStr">
        <is>
          <t>431009</t>
        </is>
      </c>
      <c r="C776" s="38" t="inlineStr">
        <is>
          <t>Pallaresos, els</t>
        </is>
      </c>
      <c r="D776" s="38" t="inlineStr">
        <is>
          <t>Y060</t>
        </is>
      </c>
      <c r="E776" s="38" t="inlineStr">
        <is>
          <t>60 anys</t>
        </is>
      </c>
      <c r="F776" s="38" t="n">
        <v>60</v>
      </c>
      <c r="G776" s="38" t="n">
        <v>56</v>
      </c>
      <c r="I776" s="38" t="inlineStr">
        <is>
          <t>Total de tots els sexes; resposta JSON-stat de l'API d'Idescat</t>
        </is>
      </c>
    </row>
    <row r="777" ht="15" customHeight="1" s="39">
      <c r="A777" s="38" t="n">
        <v>2021</v>
      </c>
      <c r="B777" s="42" t="inlineStr">
        <is>
          <t>431009</t>
        </is>
      </c>
      <c r="C777" s="38" t="inlineStr">
        <is>
          <t>Pallaresos, els</t>
        </is>
      </c>
      <c r="D777" s="38" t="inlineStr">
        <is>
          <t>Y061</t>
        </is>
      </c>
      <c r="E777" s="38" t="inlineStr">
        <is>
          <t>61 anys</t>
        </is>
      </c>
      <c r="F777" s="38" t="n">
        <v>61</v>
      </c>
      <c r="G777" s="38" t="n">
        <v>52</v>
      </c>
      <c r="I777" s="38" t="inlineStr">
        <is>
          <t>Total de tots els sexes; resposta JSON-stat de l'API d'Idescat</t>
        </is>
      </c>
    </row>
    <row r="778" ht="15" customHeight="1" s="39">
      <c r="A778" s="38" t="n">
        <v>2021</v>
      </c>
      <c r="B778" s="42" t="inlineStr">
        <is>
          <t>431009</t>
        </is>
      </c>
      <c r="C778" s="38" t="inlineStr">
        <is>
          <t>Pallaresos, els</t>
        </is>
      </c>
      <c r="D778" s="38" t="inlineStr">
        <is>
          <t>Y062</t>
        </is>
      </c>
      <c r="E778" s="38" t="inlineStr">
        <is>
          <t>62 anys</t>
        </is>
      </c>
      <c r="F778" s="38" t="n">
        <v>62</v>
      </c>
      <c r="G778" s="38" t="n">
        <v>38</v>
      </c>
      <c r="I778" s="38" t="inlineStr">
        <is>
          <t>Total de tots els sexes; resposta JSON-stat de l'API d'Idescat</t>
        </is>
      </c>
    </row>
    <row r="779" ht="15" customHeight="1" s="39">
      <c r="A779" s="38" t="n">
        <v>2021</v>
      </c>
      <c r="B779" s="42" t="inlineStr">
        <is>
          <t>431009</t>
        </is>
      </c>
      <c r="C779" s="38" t="inlineStr">
        <is>
          <t>Pallaresos, els</t>
        </is>
      </c>
      <c r="D779" s="38" t="inlineStr">
        <is>
          <t>Y063</t>
        </is>
      </c>
      <c r="E779" s="38" t="inlineStr">
        <is>
          <t>63 anys</t>
        </is>
      </c>
      <c r="F779" s="38" t="n">
        <v>63</v>
      </c>
      <c r="G779" s="38" t="n">
        <v>51</v>
      </c>
      <c r="I779" s="38" t="inlineStr">
        <is>
          <t>Total de tots els sexes; resposta JSON-stat de l'API d'Idescat</t>
        </is>
      </c>
    </row>
    <row r="780" ht="15" customHeight="1" s="39">
      <c r="A780" s="38" t="n">
        <v>2021</v>
      </c>
      <c r="B780" s="42" t="inlineStr">
        <is>
          <t>431009</t>
        </is>
      </c>
      <c r="C780" s="38" t="inlineStr">
        <is>
          <t>Pallaresos, els</t>
        </is>
      </c>
      <c r="D780" s="38" t="inlineStr">
        <is>
          <t>Y064</t>
        </is>
      </c>
      <c r="E780" s="38" t="inlineStr">
        <is>
          <t>64 anys</t>
        </is>
      </c>
      <c r="F780" s="38" t="n">
        <v>64</v>
      </c>
      <c r="G780" s="38" t="n">
        <v>53</v>
      </c>
      <c r="I780" s="38" t="inlineStr">
        <is>
          <t>Total de tots els sexes; resposta JSON-stat de l'API d'Idescat</t>
        </is>
      </c>
    </row>
    <row r="781" ht="15" customHeight="1" s="39">
      <c r="A781" s="38" t="n">
        <v>2021</v>
      </c>
      <c r="B781" s="42" t="inlineStr">
        <is>
          <t>431009</t>
        </is>
      </c>
      <c r="C781" s="38" t="inlineStr">
        <is>
          <t>Pallaresos, els</t>
        </is>
      </c>
      <c r="D781" s="38" t="inlineStr">
        <is>
          <t>Y065</t>
        </is>
      </c>
      <c r="E781" s="38" t="inlineStr">
        <is>
          <t>65 anys</t>
        </is>
      </c>
      <c r="F781" s="38" t="n">
        <v>65</v>
      </c>
      <c r="G781" s="38" t="n">
        <v>42</v>
      </c>
      <c r="I781" s="38" t="inlineStr">
        <is>
          <t>Total de tots els sexes; resposta JSON-stat de l'API d'Idescat</t>
        </is>
      </c>
    </row>
    <row r="782" ht="15" customHeight="1" s="39">
      <c r="A782" s="38" t="n">
        <v>2021</v>
      </c>
      <c r="B782" s="42" t="inlineStr">
        <is>
          <t>431009</t>
        </is>
      </c>
      <c r="C782" s="38" t="inlineStr">
        <is>
          <t>Pallaresos, els</t>
        </is>
      </c>
      <c r="D782" s="38" t="inlineStr">
        <is>
          <t>Y066</t>
        </is>
      </c>
      <c r="E782" s="38" t="inlineStr">
        <is>
          <t>66 anys</t>
        </is>
      </c>
      <c r="F782" s="38" t="n">
        <v>66</v>
      </c>
      <c r="G782" s="38" t="n">
        <v>35</v>
      </c>
      <c r="I782" s="38" t="inlineStr">
        <is>
          <t>Total de tots els sexes; resposta JSON-stat de l'API d'Idescat</t>
        </is>
      </c>
    </row>
    <row r="783" ht="15" customHeight="1" s="39">
      <c r="A783" s="38" t="n">
        <v>2021</v>
      </c>
      <c r="B783" s="42" t="inlineStr">
        <is>
          <t>431009</t>
        </is>
      </c>
      <c r="C783" s="38" t="inlineStr">
        <is>
          <t>Pallaresos, els</t>
        </is>
      </c>
      <c r="D783" s="38" t="inlineStr">
        <is>
          <t>Y067</t>
        </is>
      </c>
      <c r="E783" s="38" t="inlineStr">
        <is>
          <t>67 anys</t>
        </is>
      </c>
      <c r="F783" s="38" t="n">
        <v>67</v>
      </c>
      <c r="G783" s="38" t="n">
        <v>34</v>
      </c>
      <c r="I783" s="38" t="inlineStr">
        <is>
          <t>Total de tots els sexes; resposta JSON-stat de l'API d'Idescat</t>
        </is>
      </c>
    </row>
    <row r="784" ht="15" customHeight="1" s="39">
      <c r="A784" s="38" t="n">
        <v>2021</v>
      </c>
      <c r="B784" s="42" t="inlineStr">
        <is>
          <t>431009</t>
        </is>
      </c>
      <c r="C784" s="38" t="inlineStr">
        <is>
          <t>Pallaresos, els</t>
        </is>
      </c>
      <c r="D784" s="38" t="inlineStr">
        <is>
          <t>Y068</t>
        </is>
      </c>
      <c r="E784" s="38" t="inlineStr">
        <is>
          <t>68 anys</t>
        </is>
      </c>
      <c r="F784" s="38" t="n">
        <v>68</v>
      </c>
      <c r="G784" s="38" t="n">
        <v>29</v>
      </c>
      <c r="I784" s="38" t="inlineStr">
        <is>
          <t>Total de tots els sexes; resposta JSON-stat de l'API d'Idescat</t>
        </is>
      </c>
    </row>
    <row r="785" ht="15" customHeight="1" s="39">
      <c r="A785" s="38" t="n">
        <v>2021</v>
      </c>
      <c r="B785" s="42" t="inlineStr">
        <is>
          <t>431009</t>
        </is>
      </c>
      <c r="C785" s="38" t="inlineStr">
        <is>
          <t>Pallaresos, els</t>
        </is>
      </c>
      <c r="D785" s="38" t="inlineStr">
        <is>
          <t>Y069</t>
        </is>
      </c>
      <c r="E785" s="38" t="inlineStr">
        <is>
          <t>69 anys</t>
        </is>
      </c>
      <c r="F785" s="38" t="n">
        <v>69</v>
      </c>
      <c r="G785" s="38" t="n">
        <v>40</v>
      </c>
      <c r="I785" s="38" t="inlineStr">
        <is>
          <t>Total de tots els sexes; resposta JSON-stat de l'API d'Idescat</t>
        </is>
      </c>
    </row>
    <row r="786" ht="15" customHeight="1" s="39">
      <c r="A786" s="38" t="n">
        <v>2021</v>
      </c>
      <c r="B786" s="42" t="inlineStr">
        <is>
          <t>431009</t>
        </is>
      </c>
      <c r="C786" s="38" t="inlineStr">
        <is>
          <t>Pallaresos, els</t>
        </is>
      </c>
      <c r="D786" s="38" t="inlineStr">
        <is>
          <t>Y070</t>
        </is>
      </c>
      <c r="E786" s="38" t="inlineStr">
        <is>
          <t>70 anys</t>
        </is>
      </c>
      <c r="F786" s="38" t="n">
        <v>70</v>
      </c>
      <c r="G786" s="38" t="n">
        <v>23</v>
      </c>
      <c r="I786" s="38" t="inlineStr">
        <is>
          <t>Total de tots els sexes; resposta JSON-stat de l'API d'Idescat</t>
        </is>
      </c>
    </row>
    <row r="787" ht="15" customHeight="1" s="39">
      <c r="A787" s="38" t="n">
        <v>2021</v>
      </c>
      <c r="B787" s="42" t="inlineStr">
        <is>
          <t>431009</t>
        </is>
      </c>
      <c r="C787" s="38" t="inlineStr">
        <is>
          <t>Pallaresos, els</t>
        </is>
      </c>
      <c r="D787" s="38" t="inlineStr">
        <is>
          <t>Y071</t>
        </is>
      </c>
      <c r="E787" s="38" t="inlineStr">
        <is>
          <t>71 anys</t>
        </is>
      </c>
      <c r="F787" s="38" t="n">
        <v>71</v>
      </c>
      <c r="G787" s="38" t="n">
        <v>24</v>
      </c>
      <c r="I787" s="38" t="inlineStr">
        <is>
          <t>Total de tots els sexes; resposta JSON-stat de l'API d'Idescat</t>
        </is>
      </c>
    </row>
    <row r="788" ht="15" customHeight="1" s="39">
      <c r="A788" s="38" t="n">
        <v>2021</v>
      </c>
      <c r="B788" s="42" t="inlineStr">
        <is>
          <t>431009</t>
        </is>
      </c>
      <c r="C788" s="38" t="inlineStr">
        <is>
          <t>Pallaresos, els</t>
        </is>
      </c>
      <c r="D788" s="38" t="inlineStr">
        <is>
          <t>Y072</t>
        </is>
      </c>
      <c r="E788" s="38" t="inlineStr">
        <is>
          <t>72 anys</t>
        </is>
      </c>
      <c r="F788" s="38" t="n">
        <v>72</v>
      </c>
      <c r="G788" s="38" t="n">
        <v>27</v>
      </c>
      <c r="I788" s="38" t="inlineStr">
        <is>
          <t>Total de tots els sexes; resposta JSON-stat de l'API d'Idescat</t>
        </is>
      </c>
    </row>
    <row r="789" ht="15" customHeight="1" s="39">
      <c r="A789" s="38" t="n">
        <v>2021</v>
      </c>
      <c r="B789" s="42" t="inlineStr">
        <is>
          <t>431009</t>
        </is>
      </c>
      <c r="C789" s="38" t="inlineStr">
        <is>
          <t>Pallaresos, els</t>
        </is>
      </c>
      <c r="D789" s="38" t="inlineStr">
        <is>
          <t>Y073</t>
        </is>
      </c>
      <c r="E789" s="38" t="inlineStr">
        <is>
          <t>73 anys</t>
        </is>
      </c>
      <c r="F789" s="38" t="n">
        <v>73</v>
      </c>
      <c r="G789" s="38" t="n">
        <v>21</v>
      </c>
      <c r="I789" s="38" t="inlineStr">
        <is>
          <t>Total de tots els sexes; resposta JSON-stat de l'API d'Idescat</t>
        </is>
      </c>
    </row>
    <row r="790" ht="15" customHeight="1" s="39">
      <c r="A790" s="38" t="n">
        <v>2021</v>
      </c>
      <c r="B790" s="42" t="inlineStr">
        <is>
          <t>431009</t>
        </is>
      </c>
      <c r="C790" s="38" t="inlineStr">
        <is>
          <t>Pallaresos, els</t>
        </is>
      </c>
      <c r="D790" s="38" t="inlineStr">
        <is>
          <t>Y074</t>
        </is>
      </c>
      <c r="E790" s="38" t="inlineStr">
        <is>
          <t>74 anys</t>
        </is>
      </c>
      <c r="F790" s="38" t="n">
        <v>74</v>
      </c>
      <c r="G790" s="38" t="n">
        <v>18</v>
      </c>
      <c r="I790" s="38" t="inlineStr">
        <is>
          <t>Total de tots els sexes; resposta JSON-stat de l'API d'Idescat</t>
        </is>
      </c>
    </row>
    <row r="791" ht="15" customHeight="1" s="39">
      <c r="A791" s="38" t="n">
        <v>2021</v>
      </c>
      <c r="B791" s="42" t="inlineStr">
        <is>
          <t>431009</t>
        </is>
      </c>
      <c r="C791" s="38" t="inlineStr">
        <is>
          <t>Pallaresos, els</t>
        </is>
      </c>
      <c r="D791" s="38" t="inlineStr">
        <is>
          <t>Y075</t>
        </is>
      </c>
      <c r="E791" s="38" t="inlineStr">
        <is>
          <t>75 anys</t>
        </is>
      </c>
      <c r="F791" s="38" t="n">
        <v>75</v>
      </c>
      <c r="G791" s="38" t="n">
        <v>26</v>
      </c>
      <c r="I791" s="38" t="inlineStr">
        <is>
          <t>Total de tots els sexes; resposta JSON-stat de l'API d'Idescat</t>
        </is>
      </c>
    </row>
    <row r="792" ht="15" customHeight="1" s="39">
      <c r="A792" s="38" t="n">
        <v>2021</v>
      </c>
      <c r="B792" s="42" t="inlineStr">
        <is>
          <t>431009</t>
        </is>
      </c>
      <c r="C792" s="38" t="inlineStr">
        <is>
          <t>Pallaresos, els</t>
        </is>
      </c>
      <c r="D792" s="38" t="inlineStr">
        <is>
          <t>Y076</t>
        </is>
      </c>
      <c r="E792" s="38" t="inlineStr">
        <is>
          <t>76 anys</t>
        </is>
      </c>
      <c r="F792" s="38" t="n">
        <v>76</v>
      </c>
      <c r="G792" s="38" t="n">
        <v>20</v>
      </c>
      <c r="I792" s="38" t="inlineStr">
        <is>
          <t>Total de tots els sexes; resposta JSON-stat de l'API d'Idescat</t>
        </is>
      </c>
    </row>
    <row r="793" ht="15" customHeight="1" s="39">
      <c r="A793" s="38" t="n">
        <v>2021</v>
      </c>
      <c r="B793" s="42" t="inlineStr">
        <is>
          <t>431009</t>
        </is>
      </c>
      <c r="C793" s="38" t="inlineStr">
        <is>
          <t>Pallaresos, els</t>
        </is>
      </c>
      <c r="D793" s="38" t="inlineStr">
        <is>
          <t>Y077</t>
        </is>
      </c>
      <c r="E793" s="38" t="inlineStr">
        <is>
          <t>77 anys</t>
        </is>
      </c>
      <c r="F793" s="38" t="n">
        <v>77</v>
      </c>
      <c r="G793" s="38" t="n">
        <v>19</v>
      </c>
      <c r="I793" s="38" t="inlineStr">
        <is>
          <t>Total de tots els sexes; resposta JSON-stat de l'API d'Idescat</t>
        </is>
      </c>
    </row>
    <row r="794" ht="15" customHeight="1" s="39">
      <c r="A794" s="38" t="n">
        <v>2021</v>
      </c>
      <c r="B794" s="42" t="inlineStr">
        <is>
          <t>431009</t>
        </is>
      </c>
      <c r="C794" s="38" t="inlineStr">
        <is>
          <t>Pallaresos, els</t>
        </is>
      </c>
      <c r="D794" s="38" t="inlineStr">
        <is>
          <t>Y078</t>
        </is>
      </c>
      <c r="E794" s="38" t="inlineStr">
        <is>
          <t>78 anys</t>
        </is>
      </c>
      <c r="F794" s="38" t="n">
        <v>78</v>
      </c>
      <c r="G794" s="38" t="n">
        <v>15</v>
      </c>
      <c r="I794" s="38" t="inlineStr">
        <is>
          <t>Total de tots els sexes; resposta JSON-stat de l'API d'Idescat</t>
        </is>
      </c>
    </row>
    <row r="795" ht="15" customHeight="1" s="39">
      <c r="A795" s="38" t="n">
        <v>2021</v>
      </c>
      <c r="B795" s="42" t="inlineStr">
        <is>
          <t>431009</t>
        </is>
      </c>
      <c r="C795" s="38" t="inlineStr">
        <is>
          <t>Pallaresos, els</t>
        </is>
      </c>
      <c r="D795" s="38" t="inlineStr">
        <is>
          <t>Y079</t>
        </is>
      </c>
      <c r="E795" s="38" t="inlineStr">
        <is>
          <t>79 anys</t>
        </is>
      </c>
      <c r="F795" s="38" t="n">
        <v>79</v>
      </c>
      <c r="G795" s="38" t="n">
        <v>13</v>
      </c>
      <c r="I795" s="38" t="inlineStr">
        <is>
          <t>Total de tots els sexes; resposta JSON-stat de l'API d'Idescat</t>
        </is>
      </c>
    </row>
    <row r="796" ht="15" customHeight="1" s="39">
      <c r="A796" s="38" t="n">
        <v>2021</v>
      </c>
      <c r="B796" s="42" t="inlineStr">
        <is>
          <t>431009</t>
        </is>
      </c>
      <c r="C796" s="38" t="inlineStr">
        <is>
          <t>Pallaresos, els</t>
        </is>
      </c>
      <c r="D796" s="38" t="inlineStr">
        <is>
          <t>Y080</t>
        </is>
      </c>
      <c r="E796" s="38" t="inlineStr">
        <is>
          <t>80 anys</t>
        </is>
      </c>
      <c r="F796" s="38" t="n">
        <v>80</v>
      </c>
      <c r="G796" s="38" t="n">
        <v>25</v>
      </c>
      <c r="I796" s="38" t="inlineStr">
        <is>
          <t>Total de tots els sexes; resposta JSON-stat de l'API d'Idescat</t>
        </is>
      </c>
    </row>
    <row r="797" ht="15" customHeight="1" s="39">
      <c r="A797" s="38" t="n">
        <v>2021</v>
      </c>
      <c r="B797" s="42" t="inlineStr">
        <is>
          <t>431009</t>
        </is>
      </c>
      <c r="C797" s="38" t="inlineStr">
        <is>
          <t>Pallaresos, els</t>
        </is>
      </c>
      <c r="D797" s="38" t="inlineStr">
        <is>
          <t>Y081</t>
        </is>
      </c>
      <c r="E797" s="38" t="inlineStr">
        <is>
          <t>81 anys</t>
        </is>
      </c>
      <c r="F797" s="38" t="n">
        <v>81</v>
      </c>
      <c r="G797" s="38" t="n">
        <v>10</v>
      </c>
      <c r="I797" s="38" t="inlineStr">
        <is>
          <t>Total de tots els sexes; resposta JSON-stat de l'API d'Idescat</t>
        </is>
      </c>
    </row>
    <row r="798" ht="15" customHeight="1" s="39">
      <c r="A798" s="38" t="n">
        <v>2021</v>
      </c>
      <c r="B798" s="42" t="inlineStr">
        <is>
          <t>431009</t>
        </is>
      </c>
      <c r="C798" s="38" t="inlineStr">
        <is>
          <t>Pallaresos, els</t>
        </is>
      </c>
      <c r="D798" s="38" t="inlineStr">
        <is>
          <t>Y082</t>
        </is>
      </c>
      <c r="E798" s="38" t="inlineStr">
        <is>
          <t>82 anys</t>
        </is>
      </c>
      <c r="F798" s="38" t="n">
        <v>82</v>
      </c>
      <c r="G798" s="38" t="n">
        <v>10</v>
      </c>
      <c r="I798" s="38" t="inlineStr">
        <is>
          <t>Total de tots els sexes; resposta JSON-stat de l'API d'Idescat</t>
        </is>
      </c>
    </row>
    <row r="799" ht="15" customHeight="1" s="39">
      <c r="A799" s="38" t="n">
        <v>2021</v>
      </c>
      <c r="B799" s="42" t="inlineStr">
        <is>
          <t>431009</t>
        </is>
      </c>
      <c r="C799" s="38" t="inlineStr">
        <is>
          <t>Pallaresos, els</t>
        </is>
      </c>
      <c r="D799" s="38" t="inlineStr">
        <is>
          <t>Y083</t>
        </is>
      </c>
      <c r="E799" s="38" t="inlineStr">
        <is>
          <t>83 anys</t>
        </is>
      </c>
      <c r="F799" s="38" t="n">
        <v>83</v>
      </c>
      <c r="G799" s="38" t="n">
        <v>11</v>
      </c>
      <c r="I799" s="38" t="inlineStr">
        <is>
          <t>Total de tots els sexes; resposta JSON-stat de l'API d'Idescat</t>
        </is>
      </c>
    </row>
    <row r="800" ht="15" customHeight="1" s="39">
      <c r="A800" s="38" t="n">
        <v>2021</v>
      </c>
      <c r="B800" s="42" t="inlineStr">
        <is>
          <t>431009</t>
        </is>
      </c>
      <c r="C800" s="38" t="inlineStr">
        <is>
          <t>Pallaresos, els</t>
        </is>
      </c>
      <c r="D800" s="38" t="inlineStr">
        <is>
          <t>Y084</t>
        </is>
      </c>
      <c r="E800" s="38" t="inlineStr">
        <is>
          <t>84 anys</t>
        </is>
      </c>
      <c r="F800" s="38" t="n">
        <v>84</v>
      </c>
      <c r="G800" s="38" t="n">
        <v>12</v>
      </c>
      <c r="I800" s="38" t="inlineStr">
        <is>
          <t>Total de tots els sexes; resposta JSON-stat de l'API d'Idescat</t>
        </is>
      </c>
    </row>
    <row r="801" ht="15" customHeight="1" s="39">
      <c r="A801" s="38" t="n">
        <v>2021</v>
      </c>
      <c r="B801" s="42" t="inlineStr">
        <is>
          <t>431009</t>
        </is>
      </c>
      <c r="C801" s="38" t="inlineStr">
        <is>
          <t>Pallaresos, els</t>
        </is>
      </c>
      <c r="D801" s="38" t="inlineStr">
        <is>
          <t>Y085</t>
        </is>
      </c>
      <c r="E801" s="38" t="inlineStr">
        <is>
          <t>85 anys</t>
        </is>
      </c>
      <c r="F801" s="38" t="n">
        <v>85</v>
      </c>
      <c r="G801" s="38" t="n">
        <v>10</v>
      </c>
      <c r="I801" s="38" t="inlineStr">
        <is>
          <t>Total de tots els sexes; resposta JSON-stat de l'API d'Idescat</t>
        </is>
      </c>
    </row>
    <row r="802" ht="15" customHeight="1" s="39">
      <c r="A802" s="38" t="n">
        <v>2021</v>
      </c>
      <c r="B802" s="42" t="inlineStr">
        <is>
          <t>431009</t>
        </is>
      </c>
      <c r="C802" s="38" t="inlineStr">
        <is>
          <t>Pallaresos, els</t>
        </is>
      </c>
      <c r="D802" s="38" t="inlineStr">
        <is>
          <t>Y086</t>
        </is>
      </c>
      <c r="E802" s="38" t="inlineStr">
        <is>
          <t>86 anys</t>
        </is>
      </c>
      <c r="F802" s="38" t="n">
        <v>86</v>
      </c>
      <c r="G802" s="38" t="n">
        <v>9</v>
      </c>
      <c r="I802" s="38" t="inlineStr">
        <is>
          <t>Total de tots els sexes; resposta JSON-stat de l'API d'Idescat</t>
        </is>
      </c>
    </row>
    <row r="803" ht="15" customHeight="1" s="39">
      <c r="A803" s="38" t="n">
        <v>2021</v>
      </c>
      <c r="B803" s="42" t="inlineStr">
        <is>
          <t>431009</t>
        </is>
      </c>
      <c r="C803" s="38" t="inlineStr">
        <is>
          <t>Pallaresos, els</t>
        </is>
      </c>
      <c r="D803" s="38" t="inlineStr">
        <is>
          <t>Y087</t>
        </is>
      </c>
      <c r="E803" s="38" t="inlineStr">
        <is>
          <t>87 anys</t>
        </is>
      </c>
      <c r="F803" s="38" t="n">
        <v>87</v>
      </c>
      <c r="G803" s="38" t="n">
        <v>13</v>
      </c>
      <c r="I803" s="38" t="inlineStr">
        <is>
          <t>Total de tots els sexes; resposta JSON-stat de l'API d'Idescat</t>
        </is>
      </c>
    </row>
    <row r="804" ht="15" customHeight="1" s="39">
      <c r="A804" s="38" t="n">
        <v>2021</v>
      </c>
      <c r="B804" s="42" t="inlineStr">
        <is>
          <t>431009</t>
        </is>
      </c>
      <c r="C804" s="38" t="inlineStr">
        <is>
          <t>Pallaresos, els</t>
        </is>
      </c>
      <c r="D804" s="38" t="inlineStr">
        <is>
          <t>Y088</t>
        </is>
      </c>
      <c r="E804" s="38" t="inlineStr">
        <is>
          <t>88 anys</t>
        </is>
      </c>
      <c r="F804" s="38" t="n">
        <v>88</v>
      </c>
      <c r="G804" s="38" t="n">
        <v>13</v>
      </c>
      <c r="I804" s="38" t="inlineStr">
        <is>
          <t>Total de tots els sexes; resposta JSON-stat de l'API d'Idescat</t>
        </is>
      </c>
    </row>
    <row r="805" ht="15" customHeight="1" s="39">
      <c r="A805" s="38" t="n">
        <v>2021</v>
      </c>
      <c r="B805" s="42" t="inlineStr">
        <is>
          <t>431009</t>
        </is>
      </c>
      <c r="C805" s="38" t="inlineStr">
        <is>
          <t>Pallaresos, els</t>
        </is>
      </c>
      <c r="D805" s="38" t="inlineStr">
        <is>
          <t>Y089</t>
        </is>
      </c>
      <c r="E805" s="38" t="inlineStr">
        <is>
          <t>89 anys</t>
        </is>
      </c>
      <c r="F805" s="38" t="n">
        <v>89</v>
      </c>
      <c r="G805" s="38" t="n">
        <v>7</v>
      </c>
      <c r="I805" s="38" t="inlineStr">
        <is>
          <t>Total de tots els sexes; resposta JSON-stat de l'API d'Idescat</t>
        </is>
      </c>
    </row>
    <row r="806" ht="15" customHeight="1" s="39">
      <c r="A806" s="38" t="n">
        <v>2021</v>
      </c>
      <c r="B806" s="42" t="inlineStr">
        <is>
          <t>431009</t>
        </is>
      </c>
      <c r="C806" s="38" t="inlineStr">
        <is>
          <t>Pallaresos, els</t>
        </is>
      </c>
      <c r="D806" s="38" t="inlineStr">
        <is>
          <t>Y090</t>
        </is>
      </c>
      <c r="E806" s="38" t="inlineStr">
        <is>
          <t>90 anys</t>
        </is>
      </c>
      <c r="F806" s="38" t="n">
        <v>90</v>
      </c>
      <c r="G806" s="38" t="n">
        <v>10</v>
      </c>
      <c r="I806" s="38" t="inlineStr">
        <is>
          <t>Total de tots els sexes; resposta JSON-stat de l'API d'Idescat</t>
        </is>
      </c>
    </row>
    <row r="807" ht="15" customHeight="1" s="39">
      <c r="A807" s="38" t="n">
        <v>2021</v>
      </c>
      <c r="B807" s="42" t="inlineStr">
        <is>
          <t>431009</t>
        </is>
      </c>
      <c r="C807" s="38" t="inlineStr">
        <is>
          <t>Pallaresos, els</t>
        </is>
      </c>
      <c r="D807" s="38" t="inlineStr">
        <is>
          <t>Y091</t>
        </is>
      </c>
      <c r="E807" s="38" t="inlineStr">
        <is>
          <t>91 anys</t>
        </is>
      </c>
      <c r="F807" s="38" t="n">
        <v>91</v>
      </c>
      <c r="G807" s="38" t="n">
        <v>5</v>
      </c>
      <c r="I807" s="38" t="inlineStr">
        <is>
          <t>Total de tots els sexes; resposta JSON-stat de l'API d'Idescat</t>
        </is>
      </c>
    </row>
    <row r="808" ht="15" customHeight="1" s="39">
      <c r="A808" s="38" t="n">
        <v>2021</v>
      </c>
      <c r="B808" s="42" t="inlineStr">
        <is>
          <t>431009</t>
        </is>
      </c>
      <c r="C808" s="38" t="inlineStr">
        <is>
          <t>Pallaresos, els</t>
        </is>
      </c>
      <c r="D808" s="38" t="inlineStr">
        <is>
          <t>Y092</t>
        </is>
      </c>
      <c r="E808" s="38" t="inlineStr">
        <is>
          <t>92 anys</t>
        </is>
      </c>
      <c r="F808" s="38" t="n">
        <v>92</v>
      </c>
      <c r="G808" s="38" t="n">
        <v>8</v>
      </c>
      <c r="I808" s="38" t="inlineStr">
        <is>
          <t>Total de tots els sexes; resposta JSON-stat de l'API d'Idescat</t>
        </is>
      </c>
    </row>
    <row r="809" ht="15" customHeight="1" s="39">
      <c r="A809" s="38" t="n">
        <v>2021</v>
      </c>
      <c r="B809" s="42" t="inlineStr">
        <is>
          <t>431009</t>
        </is>
      </c>
      <c r="C809" s="38" t="inlineStr">
        <is>
          <t>Pallaresos, els</t>
        </is>
      </c>
      <c r="D809" s="38" t="inlineStr">
        <is>
          <t>Y093</t>
        </is>
      </c>
      <c r="E809" s="38" t="inlineStr">
        <is>
          <t>93 anys</t>
        </is>
      </c>
      <c r="F809" s="38" t="n">
        <v>93</v>
      </c>
      <c r="G809" s="38" t="n">
        <v>3</v>
      </c>
      <c r="I809" s="38" t="inlineStr">
        <is>
          <t>Total de tots els sexes; resposta JSON-stat de l'API d'Idescat</t>
        </is>
      </c>
    </row>
    <row r="810" ht="15" customHeight="1" s="39">
      <c r="A810" s="38" t="n">
        <v>2021</v>
      </c>
      <c r="B810" s="42" t="inlineStr">
        <is>
          <t>431009</t>
        </is>
      </c>
      <c r="C810" s="38" t="inlineStr">
        <is>
          <t>Pallaresos, els</t>
        </is>
      </c>
      <c r="D810" s="38" t="inlineStr">
        <is>
          <t>Y094</t>
        </is>
      </c>
      <c r="E810" s="38" t="inlineStr">
        <is>
          <t>94 anys</t>
        </is>
      </c>
      <c r="F810" s="38" t="n">
        <v>94</v>
      </c>
      <c r="G810" s="38" t="n">
        <v>12</v>
      </c>
      <c r="I810" s="38" t="inlineStr">
        <is>
          <t>Total de tots els sexes; resposta JSON-stat de l'API d'Idescat</t>
        </is>
      </c>
    </row>
    <row r="811" ht="15" customHeight="1" s="39">
      <c r="A811" s="38" t="n">
        <v>2021</v>
      </c>
      <c r="B811" s="42" t="inlineStr">
        <is>
          <t>431009</t>
        </is>
      </c>
      <c r="C811" s="38" t="inlineStr">
        <is>
          <t>Pallaresos, els</t>
        </is>
      </c>
      <c r="D811" s="38" t="inlineStr">
        <is>
          <t>Y095</t>
        </is>
      </c>
      <c r="E811" s="38" t="inlineStr">
        <is>
          <t>95 anys</t>
        </is>
      </c>
      <c r="F811" s="38" t="n">
        <v>95</v>
      </c>
      <c r="G811" s="38" t="n">
        <v>1</v>
      </c>
      <c r="I811" s="38" t="inlineStr">
        <is>
          <t>Total de tots els sexes; resposta JSON-stat de l'API d'Idescat</t>
        </is>
      </c>
    </row>
    <row r="812" ht="15" customHeight="1" s="39">
      <c r="A812" s="38" t="n">
        <v>2021</v>
      </c>
      <c r="B812" s="42" t="inlineStr">
        <is>
          <t>431009</t>
        </is>
      </c>
      <c r="C812" s="38" t="inlineStr">
        <is>
          <t>Pallaresos, els</t>
        </is>
      </c>
      <c r="D812" s="38" t="inlineStr">
        <is>
          <t>Y096</t>
        </is>
      </c>
      <c r="E812" s="38" t="inlineStr">
        <is>
          <t>96 anys</t>
        </is>
      </c>
      <c r="F812" s="38" t="n">
        <v>96</v>
      </c>
      <c r="G812" s="38" t="n">
        <v>3</v>
      </c>
      <c r="I812" s="38" t="inlineStr">
        <is>
          <t>Total de tots els sexes; resposta JSON-stat de l'API d'Idescat</t>
        </is>
      </c>
    </row>
    <row r="813" ht="15" customHeight="1" s="39">
      <c r="A813" s="38" t="n">
        <v>2021</v>
      </c>
      <c r="B813" s="42" t="inlineStr">
        <is>
          <t>431009</t>
        </is>
      </c>
      <c r="C813" s="38" t="inlineStr">
        <is>
          <t>Pallaresos, els</t>
        </is>
      </c>
      <c r="D813" s="38" t="inlineStr">
        <is>
          <t>Y097</t>
        </is>
      </c>
      <c r="E813" s="38" t="inlineStr">
        <is>
          <t>97 anys</t>
        </is>
      </c>
      <c r="F813" s="38" t="n">
        <v>97</v>
      </c>
      <c r="G813" s="38" t="n">
        <v>3</v>
      </c>
      <c r="I813" s="38" t="inlineStr">
        <is>
          <t>Total de tots els sexes; resposta JSON-stat de l'API d'Idescat</t>
        </is>
      </c>
    </row>
    <row r="814" ht="15" customHeight="1" s="39">
      <c r="A814" s="38" t="n">
        <v>2021</v>
      </c>
      <c r="B814" s="42" t="inlineStr">
        <is>
          <t>431009</t>
        </is>
      </c>
      <c r="C814" s="38" t="inlineStr">
        <is>
          <t>Pallaresos, els</t>
        </is>
      </c>
      <c r="D814" s="38" t="inlineStr">
        <is>
          <t>Y098</t>
        </is>
      </c>
      <c r="E814" s="38" t="inlineStr">
        <is>
          <t>98 anys</t>
        </is>
      </c>
      <c r="F814" s="38" t="n">
        <v>98</v>
      </c>
      <c r="G814" s="38" t="n">
        <v>0</v>
      </c>
      <c r="I814" s="38" t="inlineStr">
        <is>
          <t>Total de tots els sexes; resposta JSON-stat de l'API d'Idescat</t>
        </is>
      </c>
    </row>
    <row r="815" ht="15" customHeight="1" s="39">
      <c r="A815" s="38" t="n">
        <v>2021</v>
      </c>
      <c r="B815" s="42" t="inlineStr">
        <is>
          <t>431009</t>
        </is>
      </c>
      <c r="C815" s="38" t="inlineStr">
        <is>
          <t>Pallaresos, els</t>
        </is>
      </c>
      <c r="D815" s="38" t="inlineStr">
        <is>
          <t>Y099</t>
        </is>
      </c>
      <c r="E815" s="38" t="inlineStr">
        <is>
          <t>99 anys</t>
        </is>
      </c>
      <c r="F815" s="38" t="n">
        <v>99</v>
      </c>
      <c r="G815" s="38" t="n">
        <v>0</v>
      </c>
      <c r="I815" s="38" t="inlineStr">
        <is>
          <t>Total de tots els sexes; resposta JSON-stat de l'API d'Idescat</t>
        </is>
      </c>
    </row>
    <row r="816" ht="15" customHeight="1" s="39">
      <c r="A816" s="38" t="n">
        <v>2021</v>
      </c>
      <c r="B816" s="42" t="inlineStr">
        <is>
          <t>431009</t>
        </is>
      </c>
      <c r="C816" s="38" t="inlineStr">
        <is>
          <t>Pallaresos, els</t>
        </is>
      </c>
      <c r="D816" s="38" t="inlineStr">
        <is>
          <t>Y_GE100</t>
        </is>
      </c>
      <c r="E816" s="38" t="inlineStr">
        <is>
          <t>100 anys o més</t>
        </is>
      </c>
      <c r="F816" s="38" t="n">
        <v>100</v>
      </c>
      <c r="G816" s="38" t="n">
        <v>1</v>
      </c>
      <c r="I816" s="38" t="inlineStr">
        <is>
          <t>Total de tots els sexes; resposta JSON-stat de l'API d'Idescat</t>
        </is>
      </c>
    </row>
    <row r="817" ht="15" customHeight="1" s="39">
      <c r="A817" s="38" t="n">
        <v>2021</v>
      </c>
      <c r="B817" s="42" t="inlineStr">
        <is>
          <t>431009</t>
        </is>
      </c>
      <c r="C817" s="38" t="inlineStr">
        <is>
          <t>Pallaresos, els</t>
        </is>
      </c>
      <c r="D817" s="38" t="inlineStr">
        <is>
          <t>TOTAL</t>
        </is>
      </c>
      <c r="E817" s="38" t="inlineStr">
        <is>
          <t>total</t>
        </is>
      </c>
      <c r="G817" s="38" t="n">
        <v>4874</v>
      </c>
      <c r="I817" s="38" t="inlineStr">
        <is>
          <t>Total de tots els sexes; resposta JSON-stat de l'API d'Idescat</t>
        </is>
      </c>
    </row>
    <row r="818" ht="15" customHeight="1" s="39">
      <c r="A818" s="38" t="n">
        <v>2021</v>
      </c>
      <c r="B818" s="42" t="inlineStr">
        <is>
          <t>431037</t>
        </is>
      </c>
      <c r="C818" s="38" t="inlineStr">
        <is>
          <t>Perafort</t>
        </is>
      </c>
      <c r="D818" s="38" t="inlineStr">
        <is>
          <t>Y000</t>
        </is>
      </c>
      <c r="E818" s="38" t="inlineStr">
        <is>
          <t>0 anys</t>
        </is>
      </c>
      <c r="F818" s="38" t="n">
        <v>0</v>
      </c>
      <c r="G818" s="38" t="n">
        <v>7</v>
      </c>
      <c r="I818" s="38" t="inlineStr">
        <is>
          <t>Total de tots els sexes; resposta JSON-stat de l'API d'Idescat</t>
        </is>
      </c>
    </row>
    <row r="819" ht="15" customHeight="1" s="39">
      <c r="A819" s="38" t="n">
        <v>2021</v>
      </c>
      <c r="B819" s="42" t="inlineStr">
        <is>
          <t>431037</t>
        </is>
      </c>
      <c r="C819" s="38" t="inlineStr">
        <is>
          <t>Perafort</t>
        </is>
      </c>
      <c r="D819" s="38" t="inlineStr">
        <is>
          <t>Y001</t>
        </is>
      </c>
      <c r="E819" s="38" t="inlineStr">
        <is>
          <t>1 any</t>
        </is>
      </c>
      <c r="F819" s="38" t="n">
        <v>1</v>
      </c>
      <c r="G819" s="38" t="n">
        <v>12</v>
      </c>
      <c r="I819" s="38" t="inlineStr">
        <is>
          <t>Total de tots els sexes; resposta JSON-stat de l'API d'Idescat</t>
        </is>
      </c>
    </row>
    <row r="820" ht="15" customHeight="1" s="39">
      <c r="A820" s="38" t="n">
        <v>2021</v>
      </c>
      <c r="B820" s="42" t="inlineStr">
        <is>
          <t>431037</t>
        </is>
      </c>
      <c r="C820" s="38" t="inlineStr">
        <is>
          <t>Perafort</t>
        </is>
      </c>
      <c r="D820" s="38" t="inlineStr">
        <is>
          <t>Y002</t>
        </is>
      </c>
      <c r="E820" s="38" t="inlineStr">
        <is>
          <t>2 anys</t>
        </is>
      </c>
      <c r="F820" s="38" t="n">
        <v>2</v>
      </c>
      <c r="G820" s="38" t="n">
        <v>15</v>
      </c>
      <c r="I820" s="38" t="inlineStr">
        <is>
          <t>Total de tots els sexes; resposta JSON-stat de l'API d'Idescat</t>
        </is>
      </c>
    </row>
    <row r="821" ht="15" customHeight="1" s="39">
      <c r="A821" s="38" t="n">
        <v>2021</v>
      </c>
      <c r="B821" s="42" t="inlineStr">
        <is>
          <t>431037</t>
        </is>
      </c>
      <c r="C821" s="38" t="inlineStr">
        <is>
          <t>Perafort</t>
        </is>
      </c>
      <c r="D821" s="38" t="inlineStr">
        <is>
          <t>Y003</t>
        </is>
      </c>
      <c r="E821" s="38" t="inlineStr">
        <is>
          <t>3 anys</t>
        </is>
      </c>
      <c r="F821" s="38" t="n">
        <v>3</v>
      </c>
      <c r="G821" s="38" t="n">
        <v>11</v>
      </c>
      <c r="I821" s="38" t="inlineStr">
        <is>
          <t>Total de tots els sexes; resposta JSON-stat de l'API d'Idescat</t>
        </is>
      </c>
    </row>
    <row r="822" ht="15" customHeight="1" s="39">
      <c r="A822" s="38" t="n">
        <v>2021</v>
      </c>
      <c r="B822" s="42" t="inlineStr">
        <is>
          <t>431037</t>
        </is>
      </c>
      <c r="C822" s="38" t="inlineStr">
        <is>
          <t>Perafort</t>
        </is>
      </c>
      <c r="D822" s="38" t="inlineStr">
        <is>
          <t>Y004</t>
        </is>
      </c>
      <c r="E822" s="38" t="inlineStr">
        <is>
          <t>4 anys</t>
        </is>
      </c>
      <c r="F822" s="38" t="n">
        <v>4</v>
      </c>
      <c r="G822" s="38" t="n">
        <v>6</v>
      </c>
      <c r="I822" s="38" t="inlineStr">
        <is>
          <t>Total de tots els sexes; resposta JSON-stat de l'API d'Idescat</t>
        </is>
      </c>
    </row>
    <row r="823" ht="15" customHeight="1" s="39">
      <c r="A823" s="38" t="n">
        <v>2021</v>
      </c>
      <c r="B823" s="42" t="inlineStr">
        <is>
          <t>431037</t>
        </is>
      </c>
      <c r="C823" s="38" t="inlineStr">
        <is>
          <t>Perafort</t>
        </is>
      </c>
      <c r="D823" s="38" t="inlineStr">
        <is>
          <t>Y005</t>
        </is>
      </c>
      <c r="E823" s="38" t="inlineStr">
        <is>
          <t>5 anys</t>
        </is>
      </c>
      <c r="F823" s="38" t="n">
        <v>5</v>
      </c>
      <c r="G823" s="38" t="n">
        <v>14</v>
      </c>
      <c r="I823" s="38" t="inlineStr">
        <is>
          <t>Total de tots els sexes; resposta JSON-stat de l'API d'Idescat</t>
        </is>
      </c>
    </row>
    <row r="824" ht="15" customHeight="1" s="39">
      <c r="A824" s="38" t="n">
        <v>2021</v>
      </c>
      <c r="B824" s="42" t="inlineStr">
        <is>
          <t>431037</t>
        </is>
      </c>
      <c r="C824" s="38" t="inlineStr">
        <is>
          <t>Perafort</t>
        </is>
      </c>
      <c r="D824" s="38" t="inlineStr">
        <is>
          <t>Y006</t>
        </is>
      </c>
      <c r="E824" s="38" t="inlineStr">
        <is>
          <t>6 anys</t>
        </is>
      </c>
      <c r="F824" s="38" t="n">
        <v>6</v>
      </c>
      <c r="G824" s="38" t="n">
        <v>13</v>
      </c>
      <c r="I824" s="38" t="inlineStr">
        <is>
          <t>Total de tots els sexes; resposta JSON-stat de l'API d'Idescat</t>
        </is>
      </c>
    </row>
    <row r="825" ht="15" customHeight="1" s="39">
      <c r="A825" s="38" t="n">
        <v>2021</v>
      </c>
      <c r="B825" s="42" t="inlineStr">
        <is>
          <t>431037</t>
        </is>
      </c>
      <c r="C825" s="38" t="inlineStr">
        <is>
          <t>Perafort</t>
        </is>
      </c>
      <c r="D825" s="38" t="inlineStr">
        <is>
          <t>Y007</t>
        </is>
      </c>
      <c r="E825" s="38" t="inlineStr">
        <is>
          <t>7 anys</t>
        </is>
      </c>
      <c r="F825" s="38" t="n">
        <v>7</v>
      </c>
      <c r="G825" s="38" t="n">
        <v>18</v>
      </c>
      <c r="I825" s="38" t="inlineStr">
        <is>
          <t>Total de tots els sexes; resposta JSON-stat de l'API d'Idescat</t>
        </is>
      </c>
    </row>
    <row r="826" ht="15" customHeight="1" s="39">
      <c r="A826" s="38" t="n">
        <v>2021</v>
      </c>
      <c r="B826" s="42" t="inlineStr">
        <is>
          <t>431037</t>
        </is>
      </c>
      <c r="C826" s="38" t="inlineStr">
        <is>
          <t>Perafort</t>
        </is>
      </c>
      <c r="D826" s="38" t="inlineStr">
        <is>
          <t>Y008</t>
        </is>
      </c>
      <c r="E826" s="38" t="inlineStr">
        <is>
          <t>8 anys</t>
        </is>
      </c>
      <c r="F826" s="38" t="n">
        <v>8</v>
      </c>
      <c r="G826" s="38" t="n">
        <v>25</v>
      </c>
      <c r="I826" s="38" t="inlineStr">
        <is>
          <t>Total de tots els sexes; resposta JSON-stat de l'API d'Idescat</t>
        </is>
      </c>
    </row>
    <row r="827" ht="15" customHeight="1" s="39">
      <c r="A827" s="38" t="n">
        <v>2021</v>
      </c>
      <c r="B827" s="42" t="inlineStr">
        <is>
          <t>431037</t>
        </is>
      </c>
      <c r="C827" s="38" t="inlineStr">
        <is>
          <t>Perafort</t>
        </is>
      </c>
      <c r="D827" s="38" t="inlineStr">
        <is>
          <t>Y009</t>
        </is>
      </c>
      <c r="E827" s="38" t="inlineStr">
        <is>
          <t>9 anys</t>
        </is>
      </c>
      <c r="F827" s="38" t="n">
        <v>9</v>
      </c>
      <c r="G827" s="38" t="n">
        <v>14</v>
      </c>
      <c r="I827" s="38" t="inlineStr">
        <is>
          <t>Total de tots els sexes; resposta JSON-stat de l'API d'Idescat</t>
        </is>
      </c>
    </row>
    <row r="828" ht="15" customHeight="1" s="39">
      <c r="A828" s="38" t="n">
        <v>2021</v>
      </c>
      <c r="B828" s="42" t="inlineStr">
        <is>
          <t>431037</t>
        </is>
      </c>
      <c r="C828" s="38" t="inlineStr">
        <is>
          <t>Perafort</t>
        </is>
      </c>
      <c r="D828" s="38" t="inlineStr">
        <is>
          <t>Y010</t>
        </is>
      </c>
      <c r="E828" s="38" t="inlineStr">
        <is>
          <t>10 anys</t>
        </is>
      </c>
      <c r="F828" s="38" t="n">
        <v>10</v>
      </c>
      <c r="G828" s="38" t="n">
        <v>28</v>
      </c>
      <c r="I828" s="38" t="inlineStr">
        <is>
          <t>Total de tots els sexes; resposta JSON-stat de l'API d'Idescat</t>
        </is>
      </c>
    </row>
    <row r="829" ht="15" customHeight="1" s="39">
      <c r="A829" s="38" t="n">
        <v>2021</v>
      </c>
      <c r="B829" s="42" t="inlineStr">
        <is>
          <t>431037</t>
        </is>
      </c>
      <c r="C829" s="38" t="inlineStr">
        <is>
          <t>Perafort</t>
        </is>
      </c>
      <c r="D829" s="38" t="inlineStr">
        <is>
          <t>Y011</t>
        </is>
      </c>
      <c r="E829" s="38" t="inlineStr">
        <is>
          <t>11 anys</t>
        </is>
      </c>
      <c r="F829" s="38" t="n">
        <v>11</v>
      </c>
      <c r="G829" s="38" t="n">
        <v>17</v>
      </c>
      <c r="I829" s="38" t="inlineStr">
        <is>
          <t>Total de tots els sexes; resposta JSON-stat de l'API d'Idescat</t>
        </is>
      </c>
    </row>
    <row r="830" ht="15" customHeight="1" s="39">
      <c r="A830" s="38" t="n">
        <v>2021</v>
      </c>
      <c r="B830" s="42" t="inlineStr">
        <is>
          <t>431037</t>
        </is>
      </c>
      <c r="C830" s="38" t="inlineStr">
        <is>
          <t>Perafort</t>
        </is>
      </c>
      <c r="D830" s="38" t="inlineStr">
        <is>
          <t>Y012</t>
        </is>
      </c>
      <c r="E830" s="38" t="inlineStr">
        <is>
          <t>12 anys</t>
        </is>
      </c>
      <c r="F830" s="38" t="n">
        <v>12</v>
      </c>
      <c r="G830" s="38" t="n">
        <v>24</v>
      </c>
      <c r="I830" s="38" t="inlineStr">
        <is>
          <t>Total de tots els sexes; resposta JSON-stat de l'API d'Idescat</t>
        </is>
      </c>
    </row>
    <row r="831" ht="15" customHeight="1" s="39">
      <c r="A831" s="38" t="n">
        <v>2021</v>
      </c>
      <c r="B831" s="42" t="inlineStr">
        <is>
          <t>431037</t>
        </is>
      </c>
      <c r="C831" s="38" t="inlineStr">
        <is>
          <t>Perafort</t>
        </is>
      </c>
      <c r="D831" s="38" t="inlineStr">
        <is>
          <t>Y013</t>
        </is>
      </c>
      <c r="E831" s="38" t="inlineStr">
        <is>
          <t>13 anys</t>
        </is>
      </c>
      <c r="F831" s="38" t="n">
        <v>13</v>
      </c>
      <c r="G831" s="38" t="n">
        <v>14</v>
      </c>
      <c r="I831" s="38" t="inlineStr">
        <is>
          <t>Total de tots els sexes; resposta JSON-stat de l'API d'Idescat</t>
        </is>
      </c>
    </row>
    <row r="832" ht="15" customHeight="1" s="39">
      <c r="A832" s="38" t="n">
        <v>2021</v>
      </c>
      <c r="B832" s="42" t="inlineStr">
        <is>
          <t>431037</t>
        </is>
      </c>
      <c r="C832" s="38" t="inlineStr">
        <is>
          <t>Perafort</t>
        </is>
      </c>
      <c r="D832" s="38" t="inlineStr">
        <is>
          <t>Y014</t>
        </is>
      </c>
      <c r="E832" s="38" t="inlineStr">
        <is>
          <t>14 anys</t>
        </is>
      </c>
      <c r="F832" s="38" t="n">
        <v>14</v>
      </c>
      <c r="G832" s="38" t="n">
        <v>22</v>
      </c>
      <c r="I832" s="38" t="inlineStr">
        <is>
          <t>Total de tots els sexes; resposta JSON-stat de l'API d'Idescat</t>
        </is>
      </c>
    </row>
    <row r="833" ht="15" customHeight="1" s="39">
      <c r="A833" s="38" t="n">
        <v>2021</v>
      </c>
      <c r="B833" s="42" t="inlineStr">
        <is>
          <t>431037</t>
        </is>
      </c>
      <c r="C833" s="38" t="inlineStr">
        <is>
          <t>Perafort</t>
        </is>
      </c>
      <c r="D833" s="38" t="inlineStr">
        <is>
          <t>Y015</t>
        </is>
      </c>
      <c r="E833" s="38" t="inlineStr">
        <is>
          <t>15 anys</t>
        </is>
      </c>
      <c r="F833" s="38" t="n">
        <v>15</v>
      </c>
      <c r="G833" s="38" t="n">
        <v>22</v>
      </c>
      <c r="I833" s="38" t="inlineStr">
        <is>
          <t>Total de tots els sexes; resposta JSON-stat de l'API d'Idescat</t>
        </is>
      </c>
    </row>
    <row r="834" ht="15" customHeight="1" s="39">
      <c r="A834" s="38" t="n">
        <v>2021</v>
      </c>
      <c r="B834" s="42" t="inlineStr">
        <is>
          <t>431037</t>
        </is>
      </c>
      <c r="C834" s="38" t="inlineStr">
        <is>
          <t>Perafort</t>
        </is>
      </c>
      <c r="D834" s="38" t="inlineStr">
        <is>
          <t>Y016</t>
        </is>
      </c>
      <c r="E834" s="38" t="inlineStr">
        <is>
          <t>16 anys</t>
        </is>
      </c>
      <c r="F834" s="38" t="n">
        <v>16</v>
      </c>
      <c r="G834" s="38" t="n">
        <v>14</v>
      </c>
      <c r="I834" s="38" t="inlineStr">
        <is>
          <t>Total de tots els sexes; resposta JSON-stat de l'API d'Idescat</t>
        </is>
      </c>
    </row>
    <row r="835" ht="15" customHeight="1" s="39">
      <c r="A835" s="38" t="n">
        <v>2021</v>
      </c>
      <c r="B835" s="42" t="inlineStr">
        <is>
          <t>431037</t>
        </is>
      </c>
      <c r="C835" s="38" t="inlineStr">
        <is>
          <t>Perafort</t>
        </is>
      </c>
      <c r="D835" s="38" t="inlineStr">
        <is>
          <t>Y017</t>
        </is>
      </c>
      <c r="E835" s="38" t="inlineStr">
        <is>
          <t>17 anys</t>
        </is>
      </c>
      <c r="F835" s="38" t="n">
        <v>17</v>
      </c>
      <c r="G835" s="38" t="n">
        <v>17</v>
      </c>
      <c r="I835" s="38" t="inlineStr">
        <is>
          <t>Total de tots els sexes; resposta JSON-stat de l'API d'Idescat</t>
        </is>
      </c>
    </row>
    <row r="836" ht="15" customHeight="1" s="39">
      <c r="A836" s="38" t="n">
        <v>2021</v>
      </c>
      <c r="B836" s="42" t="inlineStr">
        <is>
          <t>431037</t>
        </is>
      </c>
      <c r="C836" s="38" t="inlineStr">
        <is>
          <t>Perafort</t>
        </is>
      </c>
      <c r="D836" s="38" t="inlineStr">
        <is>
          <t>Y018</t>
        </is>
      </c>
      <c r="E836" s="38" t="inlineStr">
        <is>
          <t>18 anys</t>
        </is>
      </c>
      <c r="F836" s="38" t="n">
        <v>18</v>
      </c>
      <c r="G836" s="38" t="n">
        <v>14</v>
      </c>
      <c r="I836" s="38" t="inlineStr">
        <is>
          <t>Total de tots els sexes; resposta JSON-stat de l'API d'Idescat</t>
        </is>
      </c>
    </row>
    <row r="837" ht="15" customHeight="1" s="39">
      <c r="A837" s="38" t="n">
        <v>2021</v>
      </c>
      <c r="B837" s="42" t="inlineStr">
        <is>
          <t>431037</t>
        </is>
      </c>
      <c r="C837" s="38" t="inlineStr">
        <is>
          <t>Perafort</t>
        </is>
      </c>
      <c r="D837" s="38" t="inlineStr">
        <is>
          <t>Y019</t>
        </is>
      </c>
      <c r="E837" s="38" t="inlineStr">
        <is>
          <t>19 anys</t>
        </is>
      </c>
      <c r="F837" s="38" t="n">
        <v>19</v>
      </c>
      <c r="G837" s="38" t="n">
        <v>13</v>
      </c>
      <c r="I837" s="38" t="inlineStr">
        <is>
          <t>Total de tots els sexes; resposta JSON-stat de l'API d'Idescat</t>
        </is>
      </c>
    </row>
    <row r="838" ht="15" customHeight="1" s="39">
      <c r="A838" s="38" t="n">
        <v>2021</v>
      </c>
      <c r="B838" s="42" t="inlineStr">
        <is>
          <t>431037</t>
        </is>
      </c>
      <c r="C838" s="38" t="inlineStr">
        <is>
          <t>Perafort</t>
        </is>
      </c>
      <c r="D838" s="38" t="inlineStr">
        <is>
          <t>Y020</t>
        </is>
      </c>
      <c r="E838" s="38" t="inlineStr">
        <is>
          <t>20 anys</t>
        </is>
      </c>
      <c r="F838" s="38" t="n">
        <v>20</v>
      </c>
      <c r="G838" s="38" t="n">
        <v>14</v>
      </c>
      <c r="I838" s="38" t="inlineStr">
        <is>
          <t>Total de tots els sexes; resposta JSON-stat de l'API d'Idescat</t>
        </is>
      </c>
    </row>
    <row r="839" ht="15" customHeight="1" s="39">
      <c r="A839" s="38" t="n">
        <v>2021</v>
      </c>
      <c r="B839" s="42" t="inlineStr">
        <is>
          <t>431037</t>
        </is>
      </c>
      <c r="C839" s="38" t="inlineStr">
        <is>
          <t>Perafort</t>
        </is>
      </c>
      <c r="D839" s="38" t="inlineStr">
        <is>
          <t>Y021</t>
        </is>
      </c>
      <c r="E839" s="38" t="inlineStr">
        <is>
          <t>21 anys</t>
        </is>
      </c>
      <c r="F839" s="38" t="n">
        <v>21</v>
      </c>
      <c r="G839" s="38" t="n">
        <v>17</v>
      </c>
      <c r="I839" s="38" t="inlineStr">
        <is>
          <t>Total de tots els sexes; resposta JSON-stat de l'API d'Idescat</t>
        </is>
      </c>
    </row>
    <row r="840" ht="15" customHeight="1" s="39">
      <c r="A840" s="38" t="n">
        <v>2021</v>
      </c>
      <c r="B840" s="42" t="inlineStr">
        <is>
          <t>431037</t>
        </is>
      </c>
      <c r="C840" s="38" t="inlineStr">
        <is>
          <t>Perafort</t>
        </is>
      </c>
      <c r="D840" s="38" t="inlineStr">
        <is>
          <t>Y022</t>
        </is>
      </c>
      <c r="E840" s="38" t="inlineStr">
        <is>
          <t>22 anys</t>
        </is>
      </c>
      <c r="F840" s="38" t="n">
        <v>22</v>
      </c>
      <c r="G840" s="38" t="n">
        <v>14</v>
      </c>
      <c r="I840" s="38" t="inlineStr">
        <is>
          <t>Total de tots els sexes; resposta JSON-stat de l'API d'Idescat</t>
        </is>
      </c>
    </row>
    <row r="841" ht="15" customHeight="1" s="39">
      <c r="A841" s="38" t="n">
        <v>2021</v>
      </c>
      <c r="B841" s="42" t="inlineStr">
        <is>
          <t>431037</t>
        </is>
      </c>
      <c r="C841" s="38" t="inlineStr">
        <is>
          <t>Perafort</t>
        </is>
      </c>
      <c r="D841" s="38" t="inlineStr">
        <is>
          <t>Y023</t>
        </is>
      </c>
      <c r="E841" s="38" t="inlineStr">
        <is>
          <t>23 anys</t>
        </is>
      </c>
      <c r="F841" s="38" t="n">
        <v>23</v>
      </c>
      <c r="G841" s="38" t="n">
        <v>14</v>
      </c>
      <c r="I841" s="38" t="inlineStr">
        <is>
          <t>Total de tots els sexes; resposta JSON-stat de l'API d'Idescat</t>
        </is>
      </c>
    </row>
    <row r="842" ht="15" customHeight="1" s="39">
      <c r="A842" s="38" t="n">
        <v>2021</v>
      </c>
      <c r="B842" s="42" t="inlineStr">
        <is>
          <t>431037</t>
        </is>
      </c>
      <c r="C842" s="38" t="inlineStr">
        <is>
          <t>Perafort</t>
        </is>
      </c>
      <c r="D842" s="38" t="inlineStr">
        <is>
          <t>Y024</t>
        </is>
      </c>
      <c r="E842" s="38" t="inlineStr">
        <is>
          <t>24 anys</t>
        </is>
      </c>
      <c r="F842" s="38" t="n">
        <v>24</v>
      </c>
      <c r="G842" s="38" t="n">
        <v>11</v>
      </c>
      <c r="I842" s="38" t="inlineStr">
        <is>
          <t>Total de tots els sexes; resposta JSON-stat de l'API d'Idescat</t>
        </is>
      </c>
    </row>
    <row r="843" ht="15" customHeight="1" s="39">
      <c r="A843" s="38" t="n">
        <v>2021</v>
      </c>
      <c r="B843" s="42" t="inlineStr">
        <is>
          <t>431037</t>
        </is>
      </c>
      <c r="C843" s="38" t="inlineStr">
        <is>
          <t>Perafort</t>
        </is>
      </c>
      <c r="D843" s="38" t="inlineStr">
        <is>
          <t>Y025</t>
        </is>
      </c>
      <c r="E843" s="38" t="inlineStr">
        <is>
          <t>25 anys</t>
        </is>
      </c>
      <c r="F843" s="38" t="n">
        <v>25</v>
      </c>
      <c r="G843" s="38" t="n">
        <v>6</v>
      </c>
      <c r="I843" s="38" t="inlineStr">
        <is>
          <t>Total de tots els sexes; resposta JSON-stat de l'API d'Idescat</t>
        </is>
      </c>
    </row>
    <row r="844" ht="15" customHeight="1" s="39">
      <c r="A844" s="38" t="n">
        <v>2021</v>
      </c>
      <c r="B844" s="42" t="inlineStr">
        <is>
          <t>431037</t>
        </is>
      </c>
      <c r="C844" s="38" t="inlineStr">
        <is>
          <t>Perafort</t>
        </is>
      </c>
      <c r="D844" s="38" t="inlineStr">
        <is>
          <t>Y026</t>
        </is>
      </c>
      <c r="E844" s="38" t="inlineStr">
        <is>
          <t>26 anys</t>
        </is>
      </c>
      <c r="F844" s="38" t="n">
        <v>26</v>
      </c>
      <c r="G844" s="38" t="n">
        <v>10</v>
      </c>
      <c r="I844" s="38" t="inlineStr">
        <is>
          <t>Total de tots els sexes; resposta JSON-stat de l'API d'Idescat</t>
        </is>
      </c>
    </row>
    <row r="845" ht="15" customHeight="1" s="39">
      <c r="A845" s="38" t="n">
        <v>2021</v>
      </c>
      <c r="B845" s="42" t="inlineStr">
        <is>
          <t>431037</t>
        </is>
      </c>
      <c r="C845" s="38" t="inlineStr">
        <is>
          <t>Perafort</t>
        </is>
      </c>
      <c r="D845" s="38" t="inlineStr">
        <is>
          <t>Y027</t>
        </is>
      </c>
      <c r="E845" s="38" t="inlineStr">
        <is>
          <t>27 anys</t>
        </is>
      </c>
      <c r="F845" s="38" t="n">
        <v>27</v>
      </c>
      <c r="G845" s="38" t="n">
        <v>8</v>
      </c>
      <c r="I845" s="38" t="inlineStr">
        <is>
          <t>Total de tots els sexes; resposta JSON-stat de l'API d'Idescat</t>
        </is>
      </c>
    </row>
    <row r="846" ht="15" customHeight="1" s="39">
      <c r="A846" s="38" t="n">
        <v>2021</v>
      </c>
      <c r="B846" s="42" t="inlineStr">
        <is>
          <t>431037</t>
        </is>
      </c>
      <c r="C846" s="38" t="inlineStr">
        <is>
          <t>Perafort</t>
        </is>
      </c>
      <c r="D846" s="38" t="inlineStr">
        <is>
          <t>Y028</t>
        </is>
      </c>
      <c r="E846" s="38" t="inlineStr">
        <is>
          <t>28 anys</t>
        </is>
      </c>
      <c r="F846" s="38" t="n">
        <v>28</v>
      </c>
      <c r="G846" s="38" t="n">
        <v>9</v>
      </c>
      <c r="I846" s="38" t="inlineStr">
        <is>
          <t>Total de tots els sexes; resposta JSON-stat de l'API d'Idescat</t>
        </is>
      </c>
    </row>
    <row r="847" ht="15" customHeight="1" s="39">
      <c r="A847" s="38" t="n">
        <v>2021</v>
      </c>
      <c r="B847" s="42" t="inlineStr">
        <is>
          <t>431037</t>
        </is>
      </c>
      <c r="C847" s="38" t="inlineStr">
        <is>
          <t>Perafort</t>
        </is>
      </c>
      <c r="D847" s="38" t="inlineStr">
        <is>
          <t>Y029</t>
        </is>
      </c>
      <c r="E847" s="38" t="inlineStr">
        <is>
          <t>29 anys</t>
        </is>
      </c>
      <c r="F847" s="38" t="n">
        <v>29</v>
      </c>
      <c r="G847" s="38" t="n">
        <v>15</v>
      </c>
      <c r="I847" s="38" t="inlineStr">
        <is>
          <t>Total de tots els sexes; resposta JSON-stat de l'API d'Idescat</t>
        </is>
      </c>
    </row>
    <row r="848" ht="15" customHeight="1" s="39">
      <c r="A848" s="38" t="n">
        <v>2021</v>
      </c>
      <c r="B848" s="42" t="inlineStr">
        <is>
          <t>431037</t>
        </is>
      </c>
      <c r="C848" s="38" t="inlineStr">
        <is>
          <t>Perafort</t>
        </is>
      </c>
      <c r="D848" s="38" t="inlineStr">
        <is>
          <t>Y030</t>
        </is>
      </c>
      <c r="E848" s="38" t="inlineStr">
        <is>
          <t>30 anys</t>
        </is>
      </c>
      <c r="F848" s="38" t="n">
        <v>30</v>
      </c>
      <c r="G848" s="38" t="n">
        <v>10</v>
      </c>
      <c r="I848" s="38" t="inlineStr">
        <is>
          <t>Total de tots els sexes; resposta JSON-stat de l'API d'Idescat</t>
        </is>
      </c>
    </row>
    <row r="849" ht="15" customHeight="1" s="39">
      <c r="A849" s="38" t="n">
        <v>2021</v>
      </c>
      <c r="B849" s="42" t="inlineStr">
        <is>
          <t>431037</t>
        </is>
      </c>
      <c r="C849" s="38" t="inlineStr">
        <is>
          <t>Perafort</t>
        </is>
      </c>
      <c r="D849" s="38" t="inlineStr">
        <is>
          <t>Y031</t>
        </is>
      </c>
      <c r="E849" s="38" t="inlineStr">
        <is>
          <t>31 anys</t>
        </is>
      </c>
      <c r="F849" s="38" t="n">
        <v>31</v>
      </c>
      <c r="G849" s="38" t="n">
        <v>14</v>
      </c>
      <c r="I849" s="38" t="inlineStr">
        <is>
          <t>Total de tots els sexes; resposta JSON-stat de l'API d'Idescat</t>
        </is>
      </c>
    </row>
    <row r="850" ht="15" customHeight="1" s="39">
      <c r="A850" s="38" t="n">
        <v>2021</v>
      </c>
      <c r="B850" s="42" t="inlineStr">
        <is>
          <t>431037</t>
        </is>
      </c>
      <c r="C850" s="38" t="inlineStr">
        <is>
          <t>Perafort</t>
        </is>
      </c>
      <c r="D850" s="38" t="inlineStr">
        <is>
          <t>Y032</t>
        </is>
      </c>
      <c r="E850" s="38" t="inlineStr">
        <is>
          <t>32 anys</t>
        </is>
      </c>
      <c r="F850" s="38" t="n">
        <v>32</v>
      </c>
      <c r="G850" s="38" t="n">
        <v>13</v>
      </c>
      <c r="I850" s="38" t="inlineStr">
        <is>
          <t>Total de tots els sexes; resposta JSON-stat de l'API d'Idescat</t>
        </is>
      </c>
    </row>
    <row r="851" ht="15" customHeight="1" s="39">
      <c r="A851" s="38" t="n">
        <v>2021</v>
      </c>
      <c r="B851" s="42" t="inlineStr">
        <is>
          <t>431037</t>
        </is>
      </c>
      <c r="C851" s="38" t="inlineStr">
        <is>
          <t>Perafort</t>
        </is>
      </c>
      <c r="D851" s="38" t="inlineStr">
        <is>
          <t>Y033</t>
        </is>
      </c>
      <c r="E851" s="38" t="inlineStr">
        <is>
          <t>33 anys</t>
        </is>
      </c>
      <c r="F851" s="38" t="n">
        <v>33</v>
      </c>
      <c r="G851" s="38" t="n">
        <v>17</v>
      </c>
      <c r="I851" s="38" t="inlineStr">
        <is>
          <t>Total de tots els sexes; resposta JSON-stat de l'API d'Idescat</t>
        </is>
      </c>
    </row>
    <row r="852" ht="15" customHeight="1" s="39">
      <c r="A852" s="38" t="n">
        <v>2021</v>
      </c>
      <c r="B852" s="42" t="inlineStr">
        <is>
          <t>431037</t>
        </is>
      </c>
      <c r="C852" s="38" t="inlineStr">
        <is>
          <t>Perafort</t>
        </is>
      </c>
      <c r="D852" s="38" t="inlineStr">
        <is>
          <t>Y034</t>
        </is>
      </c>
      <c r="E852" s="38" t="inlineStr">
        <is>
          <t>34 anys</t>
        </is>
      </c>
      <c r="F852" s="38" t="n">
        <v>34</v>
      </c>
      <c r="G852" s="38" t="n">
        <v>12</v>
      </c>
      <c r="I852" s="38" t="inlineStr">
        <is>
          <t>Total de tots els sexes; resposta JSON-stat de l'API d'Idescat</t>
        </is>
      </c>
    </row>
    <row r="853" ht="15" customHeight="1" s="39">
      <c r="A853" s="38" t="n">
        <v>2021</v>
      </c>
      <c r="B853" s="42" t="inlineStr">
        <is>
          <t>431037</t>
        </is>
      </c>
      <c r="C853" s="38" t="inlineStr">
        <is>
          <t>Perafort</t>
        </is>
      </c>
      <c r="D853" s="38" t="inlineStr">
        <is>
          <t>Y035</t>
        </is>
      </c>
      <c r="E853" s="38" t="inlineStr">
        <is>
          <t>35 anys</t>
        </is>
      </c>
      <c r="F853" s="38" t="n">
        <v>35</v>
      </c>
      <c r="G853" s="38" t="n">
        <v>13</v>
      </c>
      <c r="I853" s="38" t="inlineStr">
        <is>
          <t>Total de tots els sexes; resposta JSON-stat de l'API d'Idescat</t>
        </is>
      </c>
    </row>
    <row r="854" ht="15" customHeight="1" s="39">
      <c r="A854" s="38" t="n">
        <v>2021</v>
      </c>
      <c r="B854" s="42" t="inlineStr">
        <is>
          <t>431037</t>
        </is>
      </c>
      <c r="C854" s="38" t="inlineStr">
        <is>
          <t>Perafort</t>
        </is>
      </c>
      <c r="D854" s="38" t="inlineStr">
        <is>
          <t>Y036</t>
        </is>
      </c>
      <c r="E854" s="38" t="inlineStr">
        <is>
          <t>36 anys</t>
        </is>
      </c>
      <c r="F854" s="38" t="n">
        <v>36</v>
      </c>
      <c r="G854" s="38" t="n">
        <v>19</v>
      </c>
      <c r="I854" s="38" t="inlineStr">
        <is>
          <t>Total de tots els sexes; resposta JSON-stat de l'API d'Idescat</t>
        </is>
      </c>
    </row>
    <row r="855" ht="15" customHeight="1" s="39">
      <c r="A855" s="38" t="n">
        <v>2021</v>
      </c>
      <c r="B855" s="42" t="inlineStr">
        <is>
          <t>431037</t>
        </is>
      </c>
      <c r="C855" s="38" t="inlineStr">
        <is>
          <t>Perafort</t>
        </is>
      </c>
      <c r="D855" s="38" t="inlineStr">
        <is>
          <t>Y037</t>
        </is>
      </c>
      <c r="E855" s="38" t="inlineStr">
        <is>
          <t>37 anys</t>
        </is>
      </c>
      <c r="F855" s="38" t="n">
        <v>37</v>
      </c>
      <c r="G855" s="38" t="n">
        <v>27</v>
      </c>
      <c r="I855" s="38" t="inlineStr">
        <is>
          <t>Total de tots els sexes; resposta JSON-stat de l'API d'Idescat</t>
        </is>
      </c>
    </row>
    <row r="856" ht="15" customHeight="1" s="39">
      <c r="A856" s="38" t="n">
        <v>2021</v>
      </c>
      <c r="B856" s="42" t="inlineStr">
        <is>
          <t>431037</t>
        </is>
      </c>
      <c r="C856" s="38" t="inlineStr">
        <is>
          <t>Perafort</t>
        </is>
      </c>
      <c r="D856" s="38" t="inlineStr">
        <is>
          <t>Y038</t>
        </is>
      </c>
      <c r="E856" s="38" t="inlineStr">
        <is>
          <t>38 anys</t>
        </is>
      </c>
      <c r="F856" s="38" t="n">
        <v>38</v>
      </c>
      <c r="G856" s="38" t="n">
        <v>22</v>
      </c>
      <c r="I856" s="38" t="inlineStr">
        <is>
          <t>Total de tots els sexes; resposta JSON-stat de l'API d'Idescat</t>
        </is>
      </c>
    </row>
    <row r="857" ht="15" customHeight="1" s="39">
      <c r="A857" s="38" t="n">
        <v>2021</v>
      </c>
      <c r="B857" s="42" t="inlineStr">
        <is>
          <t>431037</t>
        </is>
      </c>
      <c r="C857" s="38" t="inlineStr">
        <is>
          <t>Perafort</t>
        </is>
      </c>
      <c r="D857" s="38" t="inlineStr">
        <is>
          <t>Y039</t>
        </is>
      </c>
      <c r="E857" s="38" t="inlineStr">
        <is>
          <t>39 anys</t>
        </is>
      </c>
      <c r="F857" s="38" t="n">
        <v>39</v>
      </c>
      <c r="G857" s="38" t="n">
        <v>30</v>
      </c>
      <c r="I857" s="38" t="inlineStr">
        <is>
          <t>Total de tots els sexes; resposta JSON-stat de l'API d'Idescat</t>
        </is>
      </c>
    </row>
    <row r="858" ht="15" customHeight="1" s="39">
      <c r="A858" s="38" t="n">
        <v>2021</v>
      </c>
      <c r="B858" s="42" t="inlineStr">
        <is>
          <t>431037</t>
        </is>
      </c>
      <c r="C858" s="38" t="inlineStr">
        <is>
          <t>Perafort</t>
        </is>
      </c>
      <c r="D858" s="38" t="inlineStr">
        <is>
          <t>Y040</t>
        </is>
      </c>
      <c r="E858" s="38" t="inlineStr">
        <is>
          <t>40 anys</t>
        </is>
      </c>
      <c r="F858" s="38" t="n">
        <v>40</v>
      </c>
      <c r="G858" s="38" t="n">
        <v>24</v>
      </c>
      <c r="I858" s="38" t="inlineStr">
        <is>
          <t>Total de tots els sexes; resposta JSON-stat de l'API d'Idescat</t>
        </is>
      </c>
    </row>
    <row r="859" ht="15" customHeight="1" s="39">
      <c r="A859" s="38" t="n">
        <v>2021</v>
      </c>
      <c r="B859" s="42" t="inlineStr">
        <is>
          <t>431037</t>
        </is>
      </c>
      <c r="C859" s="38" t="inlineStr">
        <is>
          <t>Perafort</t>
        </is>
      </c>
      <c r="D859" s="38" t="inlineStr">
        <is>
          <t>Y041</t>
        </is>
      </c>
      <c r="E859" s="38" t="inlineStr">
        <is>
          <t>41 anys</t>
        </is>
      </c>
      <c r="F859" s="38" t="n">
        <v>41</v>
      </c>
      <c r="G859" s="38" t="n">
        <v>28</v>
      </c>
      <c r="I859" s="38" t="inlineStr">
        <is>
          <t>Total de tots els sexes; resposta JSON-stat de l'API d'Idescat</t>
        </is>
      </c>
    </row>
    <row r="860" ht="15" customHeight="1" s="39">
      <c r="A860" s="38" t="n">
        <v>2021</v>
      </c>
      <c r="B860" s="42" t="inlineStr">
        <is>
          <t>431037</t>
        </is>
      </c>
      <c r="C860" s="38" t="inlineStr">
        <is>
          <t>Perafort</t>
        </is>
      </c>
      <c r="D860" s="38" t="inlineStr">
        <is>
          <t>Y042</t>
        </is>
      </c>
      <c r="E860" s="38" t="inlineStr">
        <is>
          <t>42 anys</t>
        </is>
      </c>
      <c r="F860" s="38" t="n">
        <v>42</v>
      </c>
      <c r="G860" s="38" t="n">
        <v>29</v>
      </c>
      <c r="I860" s="38" t="inlineStr">
        <is>
          <t>Total de tots els sexes; resposta JSON-stat de l'API d'Idescat</t>
        </is>
      </c>
    </row>
    <row r="861" ht="15" customHeight="1" s="39">
      <c r="A861" s="38" t="n">
        <v>2021</v>
      </c>
      <c r="B861" s="42" t="inlineStr">
        <is>
          <t>431037</t>
        </is>
      </c>
      <c r="C861" s="38" t="inlineStr">
        <is>
          <t>Perafort</t>
        </is>
      </c>
      <c r="D861" s="38" t="inlineStr">
        <is>
          <t>Y043</t>
        </is>
      </c>
      <c r="E861" s="38" t="inlineStr">
        <is>
          <t>43 anys</t>
        </is>
      </c>
      <c r="F861" s="38" t="n">
        <v>43</v>
      </c>
      <c r="G861" s="38" t="n">
        <v>38</v>
      </c>
      <c r="I861" s="38" t="inlineStr">
        <is>
          <t>Total de tots els sexes; resposta JSON-stat de l'API d'Idescat</t>
        </is>
      </c>
    </row>
    <row r="862" ht="15" customHeight="1" s="39">
      <c r="A862" s="38" t="n">
        <v>2021</v>
      </c>
      <c r="B862" s="42" t="inlineStr">
        <is>
          <t>431037</t>
        </is>
      </c>
      <c r="C862" s="38" t="inlineStr">
        <is>
          <t>Perafort</t>
        </is>
      </c>
      <c r="D862" s="38" t="inlineStr">
        <is>
          <t>Y044</t>
        </is>
      </c>
      <c r="E862" s="38" t="inlineStr">
        <is>
          <t>44 anys</t>
        </is>
      </c>
      <c r="F862" s="38" t="n">
        <v>44</v>
      </c>
      <c r="G862" s="38" t="n">
        <v>39</v>
      </c>
      <c r="I862" s="38" t="inlineStr">
        <is>
          <t>Total de tots els sexes; resposta JSON-stat de l'API d'Idescat</t>
        </is>
      </c>
    </row>
    <row r="863" ht="15" customHeight="1" s="39">
      <c r="A863" s="38" t="n">
        <v>2021</v>
      </c>
      <c r="B863" s="42" t="inlineStr">
        <is>
          <t>431037</t>
        </is>
      </c>
      <c r="C863" s="38" t="inlineStr">
        <is>
          <t>Perafort</t>
        </is>
      </c>
      <c r="D863" s="38" t="inlineStr">
        <is>
          <t>Y045</t>
        </is>
      </c>
      <c r="E863" s="38" t="inlineStr">
        <is>
          <t>45 anys</t>
        </is>
      </c>
      <c r="F863" s="38" t="n">
        <v>45</v>
      </c>
      <c r="G863" s="38" t="n">
        <v>25</v>
      </c>
      <c r="I863" s="38" t="inlineStr">
        <is>
          <t>Total de tots els sexes; resposta JSON-stat de l'API d'Idescat</t>
        </is>
      </c>
    </row>
    <row r="864" ht="15" customHeight="1" s="39">
      <c r="A864" s="38" t="n">
        <v>2021</v>
      </c>
      <c r="B864" s="42" t="inlineStr">
        <is>
          <t>431037</t>
        </is>
      </c>
      <c r="C864" s="38" t="inlineStr">
        <is>
          <t>Perafort</t>
        </is>
      </c>
      <c r="D864" s="38" t="inlineStr">
        <is>
          <t>Y046</t>
        </is>
      </c>
      <c r="E864" s="38" t="inlineStr">
        <is>
          <t>46 anys</t>
        </is>
      </c>
      <c r="F864" s="38" t="n">
        <v>46</v>
      </c>
      <c r="G864" s="38" t="n">
        <v>26</v>
      </c>
      <c r="I864" s="38" t="inlineStr">
        <is>
          <t>Total de tots els sexes; resposta JSON-stat de l'API d'Idescat</t>
        </is>
      </c>
    </row>
    <row r="865" ht="15" customHeight="1" s="39">
      <c r="A865" s="38" t="n">
        <v>2021</v>
      </c>
      <c r="B865" s="42" t="inlineStr">
        <is>
          <t>431037</t>
        </is>
      </c>
      <c r="C865" s="38" t="inlineStr">
        <is>
          <t>Perafort</t>
        </is>
      </c>
      <c r="D865" s="38" t="inlineStr">
        <is>
          <t>Y047</t>
        </is>
      </c>
      <c r="E865" s="38" t="inlineStr">
        <is>
          <t>47 anys</t>
        </is>
      </c>
      <c r="F865" s="38" t="n">
        <v>47</v>
      </c>
      <c r="G865" s="38" t="n">
        <v>25</v>
      </c>
      <c r="I865" s="38" t="inlineStr">
        <is>
          <t>Total de tots els sexes; resposta JSON-stat de l'API d'Idescat</t>
        </is>
      </c>
    </row>
    <row r="866" ht="15" customHeight="1" s="39">
      <c r="A866" s="38" t="n">
        <v>2021</v>
      </c>
      <c r="B866" s="42" t="inlineStr">
        <is>
          <t>431037</t>
        </is>
      </c>
      <c r="C866" s="38" t="inlineStr">
        <is>
          <t>Perafort</t>
        </is>
      </c>
      <c r="D866" s="38" t="inlineStr">
        <is>
          <t>Y048</t>
        </is>
      </c>
      <c r="E866" s="38" t="inlineStr">
        <is>
          <t>48 anys</t>
        </is>
      </c>
      <c r="F866" s="38" t="n">
        <v>48</v>
      </c>
      <c r="G866" s="38" t="n">
        <v>24</v>
      </c>
      <c r="I866" s="38" t="inlineStr">
        <is>
          <t>Total de tots els sexes; resposta JSON-stat de l'API d'Idescat</t>
        </is>
      </c>
    </row>
    <row r="867" ht="15" customHeight="1" s="39">
      <c r="A867" s="38" t="n">
        <v>2021</v>
      </c>
      <c r="B867" s="42" t="inlineStr">
        <is>
          <t>431037</t>
        </is>
      </c>
      <c r="C867" s="38" t="inlineStr">
        <is>
          <t>Perafort</t>
        </is>
      </c>
      <c r="D867" s="38" t="inlineStr">
        <is>
          <t>Y049</t>
        </is>
      </c>
      <c r="E867" s="38" t="inlineStr">
        <is>
          <t>49 anys</t>
        </is>
      </c>
      <c r="F867" s="38" t="n">
        <v>49</v>
      </c>
      <c r="G867" s="38" t="n">
        <v>22</v>
      </c>
      <c r="I867" s="38" t="inlineStr">
        <is>
          <t>Total de tots els sexes; resposta JSON-stat de l'API d'Idescat</t>
        </is>
      </c>
    </row>
    <row r="868" ht="15" customHeight="1" s="39">
      <c r="A868" s="38" t="n">
        <v>2021</v>
      </c>
      <c r="B868" s="42" t="inlineStr">
        <is>
          <t>431037</t>
        </is>
      </c>
      <c r="C868" s="38" t="inlineStr">
        <is>
          <t>Perafort</t>
        </is>
      </c>
      <c r="D868" s="38" t="inlineStr">
        <is>
          <t>Y050</t>
        </is>
      </c>
      <c r="E868" s="38" t="inlineStr">
        <is>
          <t>50 anys</t>
        </is>
      </c>
      <c r="F868" s="38" t="n">
        <v>50</v>
      </c>
      <c r="G868" s="38" t="n">
        <v>18</v>
      </c>
      <c r="I868" s="38" t="inlineStr">
        <is>
          <t>Total de tots els sexes; resposta JSON-stat de l'API d'Idescat</t>
        </is>
      </c>
    </row>
    <row r="869" ht="15" customHeight="1" s="39">
      <c r="A869" s="38" t="n">
        <v>2021</v>
      </c>
      <c r="B869" s="42" t="inlineStr">
        <is>
          <t>431037</t>
        </is>
      </c>
      <c r="C869" s="38" t="inlineStr">
        <is>
          <t>Perafort</t>
        </is>
      </c>
      <c r="D869" s="38" t="inlineStr">
        <is>
          <t>Y051</t>
        </is>
      </c>
      <c r="E869" s="38" t="inlineStr">
        <is>
          <t>51 anys</t>
        </is>
      </c>
      <c r="F869" s="38" t="n">
        <v>51</v>
      </c>
      <c r="G869" s="38" t="n">
        <v>31</v>
      </c>
      <c r="I869" s="38" t="inlineStr">
        <is>
          <t>Total de tots els sexes; resposta JSON-stat de l'API d'Idescat</t>
        </is>
      </c>
    </row>
    <row r="870" ht="15" customHeight="1" s="39">
      <c r="A870" s="38" t="n">
        <v>2021</v>
      </c>
      <c r="B870" s="42" t="inlineStr">
        <is>
          <t>431037</t>
        </is>
      </c>
      <c r="C870" s="38" t="inlineStr">
        <is>
          <t>Perafort</t>
        </is>
      </c>
      <c r="D870" s="38" t="inlineStr">
        <is>
          <t>Y052</t>
        </is>
      </c>
      <c r="E870" s="38" t="inlineStr">
        <is>
          <t>52 anys</t>
        </is>
      </c>
      <c r="F870" s="38" t="n">
        <v>52</v>
      </c>
      <c r="G870" s="38" t="n">
        <v>22</v>
      </c>
      <c r="I870" s="38" t="inlineStr">
        <is>
          <t>Total de tots els sexes; resposta JSON-stat de l'API d'Idescat</t>
        </is>
      </c>
    </row>
    <row r="871" ht="15" customHeight="1" s="39">
      <c r="A871" s="38" t="n">
        <v>2021</v>
      </c>
      <c r="B871" s="42" t="inlineStr">
        <is>
          <t>431037</t>
        </is>
      </c>
      <c r="C871" s="38" t="inlineStr">
        <is>
          <t>Perafort</t>
        </is>
      </c>
      <c r="D871" s="38" t="inlineStr">
        <is>
          <t>Y053</t>
        </is>
      </c>
      <c r="E871" s="38" t="inlineStr">
        <is>
          <t>53 anys</t>
        </is>
      </c>
      <c r="F871" s="38" t="n">
        <v>53</v>
      </c>
      <c r="G871" s="38" t="n">
        <v>16</v>
      </c>
      <c r="I871" s="38" t="inlineStr">
        <is>
          <t>Total de tots els sexes; resposta JSON-stat de l'API d'Idescat</t>
        </is>
      </c>
    </row>
    <row r="872" ht="15" customHeight="1" s="39">
      <c r="A872" s="38" t="n">
        <v>2021</v>
      </c>
      <c r="B872" s="42" t="inlineStr">
        <is>
          <t>431037</t>
        </is>
      </c>
      <c r="C872" s="38" t="inlineStr">
        <is>
          <t>Perafort</t>
        </is>
      </c>
      <c r="D872" s="38" t="inlineStr">
        <is>
          <t>Y054</t>
        </is>
      </c>
      <c r="E872" s="38" t="inlineStr">
        <is>
          <t>54 anys</t>
        </is>
      </c>
      <c r="F872" s="38" t="n">
        <v>54</v>
      </c>
      <c r="G872" s="38" t="n">
        <v>23</v>
      </c>
      <c r="I872" s="38" t="inlineStr">
        <is>
          <t>Total de tots els sexes; resposta JSON-stat de l'API d'Idescat</t>
        </is>
      </c>
    </row>
    <row r="873" ht="15" customHeight="1" s="39">
      <c r="A873" s="38" t="n">
        <v>2021</v>
      </c>
      <c r="B873" s="42" t="inlineStr">
        <is>
          <t>431037</t>
        </is>
      </c>
      <c r="C873" s="38" t="inlineStr">
        <is>
          <t>Perafort</t>
        </is>
      </c>
      <c r="D873" s="38" t="inlineStr">
        <is>
          <t>Y055</t>
        </is>
      </c>
      <c r="E873" s="38" t="inlineStr">
        <is>
          <t>55 anys</t>
        </is>
      </c>
      <c r="F873" s="38" t="n">
        <v>55</v>
      </c>
      <c r="G873" s="38" t="n">
        <v>12</v>
      </c>
      <c r="I873" s="38" t="inlineStr">
        <is>
          <t>Total de tots els sexes; resposta JSON-stat de l'API d'Idescat</t>
        </is>
      </c>
    </row>
    <row r="874" ht="15" customHeight="1" s="39">
      <c r="A874" s="38" t="n">
        <v>2021</v>
      </c>
      <c r="B874" s="42" t="inlineStr">
        <is>
          <t>431037</t>
        </is>
      </c>
      <c r="C874" s="38" t="inlineStr">
        <is>
          <t>Perafort</t>
        </is>
      </c>
      <c r="D874" s="38" t="inlineStr">
        <is>
          <t>Y056</t>
        </is>
      </c>
      <c r="E874" s="38" t="inlineStr">
        <is>
          <t>56 anys</t>
        </is>
      </c>
      <c r="F874" s="38" t="n">
        <v>56</v>
      </c>
      <c r="G874" s="38" t="n">
        <v>16</v>
      </c>
      <c r="I874" s="38" t="inlineStr">
        <is>
          <t>Total de tots els sexes; resposta JSON-stat de l'API d'Idescat</t>
        </is>
      </c>
    </row>
    <row r="875" ht="15" customHeight="1" s="39">
      <c r="A875" s="38" t="n">
        <v>2021</v>
      </c>
      <c r="B875" s="42" t="inlineStr">
        <is>
          <t>431037</t>
        </is>
      </c>
      <c r="C875" s="38" t="inlineStr">
        <is>
          <t>Perafort</t>
        </is>
      </c>
      <c r="D875" s="38" t="inlineStr">
        <is>
          <t>Y057</t>
        </is>
      </c>
      <c r="E875" s="38" t="inlineStr">
        <is>
          <t>57 anys</t>
        </is>
      </c>
      <c r="F875" s="38" t="n">
        <v>57</v>
      </c>
      <c r="G875" s="38" t="n">
        <v>12</v>
      </c>
      <c r="I875" s="38" t="inlineStr">
        <is>
          <t>Total de tots els sexes; resposta JSON-stat de l'API d'Idescat</t>
        </is>
      </c>
    </row>
    <row r="876" ht="15" customHeight="1" s="39">
      <c r="A876" s="38" t="n">
        <v>2021</v>
      </c>
      <c r="B876" s="42" t="inlineStr">
        <is>
          <t>431037</t>
        </is>
      </c>
      <c r="C876" s="38" t="inlineStr">
        <is>
          <t>Perafort</t>
        </is>
      </c>
      <c r="D876" s="38" t="inlineStr">
        <is>
          <t>Y058</t>
        </is>
      </c>
      <c r="E876" s="38" t="inlineStr">
        <is>
          <t>58 anys</t>
        </is>
      </c>
      <c r="F876" s="38" t="n">
        <v>58</v>
      </c>
      <c r="G876" s="38" t="n">
        <v>15</v>
      </c>
      <c r="I876" s="38" t="inlineStr">
        <is>
          <t>Total de tots els sexes; resposta JSON-stat de l'API d'Idescat</t>
        </is>
      </c>
    </row>
    <row r="877" ht="15" customHeight="1" s="39">
      <c r="A877" s="38" t="n">
        <v>2021</v>
      </c>
      <c r="B877" s="42" t="inlineStr">
        <is>
          <t>431037</t>
        </is>
      </c>
      <c r="C877" s="38" t="inlineStr">
        <is>
          <t>Perafort</t>
        </is>
      </c>
      <c r="D877" s="38" t="inlineStr">
        <is>
          <t>Y059</t>
        </is>
      </c>
      <c r="E877" s="38" t="inlineStr">
        <is>
          <t>59 anys</t>
        </is>
      </c>
      <c r="F877" s="38" t="n">
        <v>59</v>
      </c>
      <c r="G877" s="38" t="n">
        <v>11</v>
      </c>
      <c r="I877" s="38" t="inlineStr">
        <is>
          <t>Total de tots els sexes; resposta JSON-stat de l'API d'Idescat</t>
        </is>
      </c>
    </row>
    <row r="878" ht="15" customHeight="1" s="39">
      <c r="A878" s="38" t="n">
        <v>2021</v>
      </c>
      <c r="B878" s="42" t="inlineStr">
        <is>
          <t>431037</t>
        </is>
      </c>
      <c r="C878" s="38" t="inlineStr">
        <is>
          <t>Perafort</t>
        </is>
      </c>
      <c r="D878" s="38" t="inlineStr">
        <is>
          <t>Y060</t>
        </is>
      </c>
      <c r="E878" s="38" t="inlineStr">
        <is>
          <t>60 anys</t>
        </is>
      </c>
      <c r="F878" s="38" t="n">
        <v>60</v>
      </c>
      <c r="G878" s="38" t="n">
        <v>13</v>
      </c>
      <c r="I878" s="38" t="inlineStr">
        <is>
          <t>Total de tots els sexes; resposta JSON-stat de l'API d'Idescat</t>
        </is>
      </c>
    </row>
    <row r="879" ht="15" customHeight="1" s="39">
      <c r="A879" s="38" t="n">
        <v>2021</v>
      </c>
      <c r="B879" s="42" t="inlineStr">
        <is>
          <t>431037</t>
        </is>
      </c>
      <c r="C879" s="38" t="inlineStr">
        <is>
          <t>Perafort</t>
        </is>
      </c>
      <c r="D879" s="38" t="inlineStr">
        <is>
          <t>Y061</t>
        </is>
      </c>
      <c r="E879" s="38" t="inlineStr">
        <is>
          <t>61 anys</t>
        </is>
      </c>
      <c r="F879" s="38" t="n">
        <v>61</v>
      </c>
      <c r="G879" s="38" t="n">
        <v>12</v>
      </c>
      <c r="I879" s="38" t="inlineStr">
        <is>
          <t>Total de tots els sexes; resposta JSON-stat de l'API d'Idescat</t>
        </is>
      </c>
    </row>
    <row r="880" ht="15" customHeight="1" s="39">
      <c r="A880" s="38" t="n">
        <v>2021</v>
      </c>
      <c r="B880" s="42" t="inlineStr">
        <is>
          <t>431037</t>
        </is>
      </c>
      <c r="C880" s="38" t="inlineStr">
        <is>
          <t>Perafort</t>
        </is>
      </c>
      <c r="D880" s="38" t="inlineStr">
        <is>
          <t>Y062</t>
        </is>
      </c>
      <c r="E880" s="38" t="inlineStr">
        <is>
          <t>62 anys</t>
        </is>
      </c>
      <c r="F880" s="38" t="n">
        <v>62</v>
      </c>
      <c r="G880" s="38" t="n">
        <v>13</v>
      </c>
      <c r="I880" s="38" t="inlineStr">
        <is>
          <t>Total de tots els sexes; resposta JSON-stat de l'API d'Idescat</t>
        </is>
      </c>
    </row>
    <row r="881" ht="15" customHeight="1" s="39">
      <c r="A881" s="38" t="n">
        <v>2021</v>
      </c>
      <c r="B881" s="42" t="inlineStr">
        <is>
          <t>431037</t>
        </is>
      </c>
      <c r="C881" s="38" t="inlineStr">
        <is>
          <t>Perafort</t>
        </is>
      </c>
      <c r="D881" s="38" t="inlineStr">
        <is>
          <t>Y063</t>
        </is>
      </c>
      <c r="E881" s="38" t="inlineStr">
        <is>
          <t>63 anys</t>
        </is>
      </c>
      <c r="F881" s="38" t="n">
        <v>63</v>
      </c>
      <c r="G881" s="38" t="n">
        <v>14</v>
      </c>
      <c r="I881" s="38" t="inlineStr">
        <is>
          <t>Total de tots els sexes; resposta JSON-stat de l'API d'Idescat</t>
        </is>
      </c>
    </row>
    <row r="882" ht="15" customHeight="1" s="39">
      <c r="A882" s="38" t="n">
        <v>2021</v>
      </c>
      <c r="B882" s="42" t="inlineStr">
        <is>
          <t>431037</t>
        </is>
      </c>
      <c r="C882" s="38" t="inlineStr">
        <is>
          <t>Perafort</t>
        </is>
      </c>
      <c r="D882" s="38" t="inlineStr">
        <is>
          <t>Y064</t>
        </is>
      </c>
      <c r="E882" s="38" t="inlineStr">
        <is>
          <t>64 anys</t>
        </is>
      </c>
      <c r="F882" s="38" t="n">
        <v>64</v>
      </c>
      <c r="G882" s="38" t="n">
        <v>10</v>
      </c>
      <c r="I882" s="38" t="inlineStr">
        <is>
          <t>Total de tots els sexes; resposta JSON-stat de l'API d'Idescat</t>
        </is>
      </c>
    </row>
    <row r="883" ht="15" customHeight="1" s="39">
      <c r="A883" s="38" t="n">
        <v>2021</v>
      </c>
      <c r="B883" s="42" t="inlineStr">
        <is>
          <t>431037</t>
        </is>
      </c>
      <c r="C883" s="38" t="inlineStr">
        <is>
          <t>Perafort</t>
        </is>
      </c>
      <c r="D883" s="38" t="inlineStr">
        <is>
          <t>Y065</t>
        </is>
      </c>
      <c r="E883" s="38" t="inlineStr">
        <is>
          <t>65 anys</t>
        </is>
      </c>
      <c r="F883" s="38" t="n">
        <v>65</v>
      </c>
      <c r="G883" s="38" t="n">
        <v>6</v>
      </c>
      <c r="I883" s="38" t="inlineStr">
        <is>
          <t>Total de tots els sexes; resposta JSON-stat de l'API d'Idescat</t>
        </is>
      </c>
    </row>
    <row r="884" ht="15" customHeight="1" s="39">
      <c r="A884" s="38" t="n">
        <v>2021</v>
      </c>
      <c r="B884" s="42" t="inlineStr">
        <is>
          <t>431037</t>
        </is>
      </c>
      <c r="C884" s="38" t="inlineStr">
        <is>
          <t>Perafort</t>
        </is>
      </c>
      <c r="D884" s="38" t="inlineStr">
        <is>
          <t>Y066</t>
        </is>
      </c>
      <c r="E884" s="38" t="inlineStr">
        <is>
          <t>66 anys</t>
        </is>
      </c>
      <c r="F884" s="38" t="n">
        <v>66</v>
      </c>
      <c r="G884" s="38" t="n">
        <v>9</v>
      </c>
      <c r="I884" s="38" t="inlineStr">
        <is>
          <t>Total de tots els sexes; resposta JSON-stat de l'API d'Idescat</t>
        </is>
      </c>
    </row>
    <row r="885" ht="15" customHeight="1" s="39">
      <c r="A885" s="38" t="n">
        <v>2021</v>
      </c>
      <c r="B885" s="42" t="inlineStr">
        <is>
          <t>431037</t>
        </is>
      </c>
      <c r="C885" s="38" t="inlineStr">
        <is>
          <t>Perafort</t>
        </is>
      </c>
      <c r="D885" s="38" t="inlineStr">
        <is>
          <t>Y067</t>
        </is>
      </c>
      <c r="E885" s="38" t="inlineStr">
        <is>
          <t>67 anys</t>
        </is>
      </c>
      <c r="F885" s="38" t="n">
        <v>67</v>
      </c>
      <c r="G885" s="38" t="n">
        <v>5</v>
      </c>
      <c r="I885" s="38" t="inlineStr">
        <is>
          <t>Total de tots els sexes; resposta JSON-stat de l'API d'Idescat</t>
        </is>
      </c>
    </row>
    <row r="886" ht="15" customHeight="1" s="39">
      <c r="A886" s="38" t="n">
        <v>2021</v>
      </c>
      <c r="B886" s="42" t="inlineStr">
        <is>
          <t>431037</t>
        </is>
      </c>
      <c r="C886" s="38" t="inlineStr">
        <is>
          <t>Perafort</t>
        </is>
      </c>
      <c r="D886" s="38" t="inlineStr">
        <is>
          <t>Y068</t>
        </is>
      </c>
      <c r="E886" s="38" t="inlineStr">
        <is>
          <t>68 anys</t>
        </is>
      </c>
      <c r="F886" s="38" t="n">
        <v>68</v>
      </c>
      <c r="G886" s="38" t="n">
        <v>6</v>
      </c>
      <c r="I886" s="38" t="inlineStr">
        <is>
          <t>Total de tots els sexes; resposta JSON-stat de l'API d'Idescat</t>
        </is>
      </c>
    </row>
    <row r="887" ht="15" customHeight="1" s="39">
      <c r="A887" s="38" t="n">
        <v>2021</v>
      </c>
      <c r="B887" s="42" t="inlineStr">
        <is>
          <t>431037</t>
        </is>
      </c>
      <c r="C887" s="38" t="inlineStr">
        <is>
          <t>Perafort</t>
        </is>
      </c>
      <c r="D887" s="38" t="inlineStr">
        <is>
          <t>Y069</t>
        </is>
      </c>
      <c r="E887" s="38" t="inlineStr">
        <is>
          <t>69 anys</t>
        </is>
      </c>
      <c r="F887" s="38" t="n">
        <v>69</v>
      </c>
      <c r="G887" s="38" t="n">
        <v>9</v>
      </c>
      <c r="I887" s="38" t="inlineStr">
        <is>
          <t>Total de tots els sexes; resposta JSON-stat de l'API d'Idescat</t>
        </is>
      </c>
    </row>
    <row r="888" ht="15" customHeight="1" s="39">
      <c r="A888" s="38" t="n">
        <v>2021</v>
      </c>
      <c r="B888" s="42" t="inlineStr">
        <is>
          <t>431037</t>
        </is>
      </c>
      <c r="C888" s="38" t="inlineStr">
        <is>
          <t>Perafort</t>
        </is>
      </c>
      <c r="D888" s="38" t="inlineStr">
        <is>
          <t>Y070</t>
        </is>
      </c>
      <c r="E888" s="38" t="inlineStr">
        <is>
          <t>70 anys</t>
        </is>
      </c>
      <c r="F888" s="38" t="n">
        <v>70</v>
      </c>
      <c r="G888" s="38" t="n">
        <v>11</v>
      </c>
      <c r="I888" s="38" t="inlineStr">
        <is>
          <t>Total de tots els sexes; resposta JSON-stat de l'API d'Idescat</t>
        </is>
      </c>
    </row>
    <row r="889" ht="15" customHeight="1" s="39">
      <c r="A889" s="38" t="n">
        <v>2021</v>
      </c>
      <c r="B889" s="42" t="inlineStr">
        <is>
          <t>431037</t>
        </is>
      </c>
      <c r="C889" s="38" t="inlineStr">
        <is>
          <t>Perafort</t>
        </is>
      </c>
      <c r="D889" s="38" t="inlineStr">
        <is>
          <t>Y071</t>
        </is>
      </c>
      <c r="E889" s="38" t="inlineStr">
        <is>
          <t>71 anys</t>
        </is>
      </c>
      <c r="F889" s="38" t="n">
        <v>71</v>
      </c>
      <c r="G889" s="38" t="n">
        <v>11</v>
      </c>
      <c r="I889" s="38" t="inlineStr">
        <is>
          <t>Total de tots els sexes; resposta JSON-stat de l'API d'Idescat</t>
        </is>
      </c>
    </row>
    <row r="890" ht="15" customHeight="1" s="39">
      <c r="A890" s="38" t="n">
        <v>2021</v>
      </c>
      <c r="B890" s="42" t="inlineStr">
        <is>
          <t>431037</t>
        </is>
      </c>
      <c r="C890" s="38" t="inlineStr">
        <is>
          <t>Perafort</t>
        </is>
      </c>
      <c r="D890" s="38" t="inlineStr">
        <is>
          <t>Y072</t>
        </is>
      </c>
      <c r="E890" s="38" t="inlineStr">
        <is>
          <t>72 anys</t>
        </is>
      </c>
      <c r="F890" s="38" t="n">
        <v>72</v>
      </c>
      <c r="G890" s="38" t="n">
        <v>8</v>
      </c>
      <c r="I890" s="38" t="inlineStr">
        <is>
          <t>Total de tots els sexes; resposta JSON-stat de l'API d'Idescat</t>
        </is>
      </c>
    </row>
    <row r="891" ht="15" customHeight="1" s="39">
      <c r="A891" s="38" t="n">
        <v>2021</v>
      </c>
      <c r="B891" s="42" t="inlineStr">
        <is>
          <t>431037</t>
        </is>
      </c>
      <c r="C891" s="38" t="inlineStr">
        <is>
          <t>Perafort</t>
        </is>
      </c>
      <c r="D891" s="38" t="inlineStr">
        <is>
          <t>Y073</t>
        </is>
      </c>
      <c r="E891" s="38" t="inlineStr">
        <is>
          <t>73 anys</t>
        </is>
      </c>
      <c r="F891" s="38" t="n">
        <v>73</v>
      </c>
      <c r="G891" s="38" t="n">
        <v>6</v>
      </c>
      <c r="I891" s="38" t="inlineStr">
        <is>
          <t>Total de tots els sexes; resposta JSON-stat de l'API d'Idescat</t>
        </is>
      </c>
    </row>
    <row r="892" ht="15" customHeight="1" s="39">
      <c r="A892" s="38" t="n">
        <v>2021</v>
      </c>
      <c r="B892" s="42" t="inlineStr">
        <is>
          <t>431037</t>
        </is>
      </c>
      <c r="C892" s="38" t="inlineStr">
        <is>
          <t>Perafort</t>
        </is>
      </c>
      <c r="D892" s="38" t="inlineStr">
        <is>
          <t>Y074</t>
        </is>
      </c>
      <c r="E892" s="38" t="inlineStr">
        <is>
          <t>74 anys</t>
        </is>
      </c>
      <c r="F892" s="38" t="n">
        <v>74</v>
      </c>
      <c r="G892" s="38" t="n">
        <v>7</v>
      </c>
      <c r="I892" s="38" t="inlineStr">
        <is>
          <t>Total de tots els sexes; resposta JSON-stat de l'API d'Idescat</t>
        </is>
      </c>
    </row>
    <row r="893" ht="15" customHeight="1" s="39">
      <c r="A893" s="38" t="n">
        <v>2021</v>
      </c>
      <c r="B893" s="42" t="inlineStr">
        <is>
          <t>431037</t>
        </is>
      </c>
      <c r="C893" s="38" t="inlineStr">
        <is>
          <t>Perafort</t>
        </is>
      </c>
      <c r="D893" s="38" t="inlineStr">
        <is>
          <t>Y075</t>
        </is>
      </c>
      <c r="E893" s="38" t="inlineStr">
        <is>
          <t>75 anys</t>
        </is>
      </c>
      <c r="F893" s="38" t="n">
        <v>75</v>
      </c>
      <c r="G893" s="38" t="n">
        <v>11</v>
      </c>
      <c r="I893" s="38" t="inlineStr">
        <is>
          <t>Total de tots els sexes; resposta JSON-stat de l'API d'Idescat</t>
        </is>
      </c>
    </row>
    <row r="894" ht="15" customHeight="1" s="39">
      <c r="A894" s="38" t="n">
        <v>2021</v>
      </c>
      <c r="B894" s="42" t="inlineStr">
        <is>
          <t>431037</t>
        </is>
      </c>
      <c r="C894" s="38" t="inlineStr">
        <is>
          <t>Perafort</t>
        </is>
      </c>
      <c r="D894" s="38" t="inlineStr">
        <is>
          <t>Y076</t>
        </is>
      </c>
      <c r="E894" s="38" t="inlineStr">
        <is>
          <t>76 anys</t>
        </is>
      </c>
      <c r="F894" s="38" t="n">
        <v>76</v>
      </c>
      <c r="G894" s="38" t="n">
        <v>7</v>
      </c>
      <c r="I894" s="38" t="inlineStr">
        <is>
          <t>Total de tots els sexes; resposta JSON-stat de l'API d'Idescat</t>
        </is>
      </c>
    </row>
    <row r="895" ht="15" customHeight="1" s="39">
      <c r="A895" s="38" t="n">
        <v>2021</v>
      </c>
      <c r="B895" s="42" t="inlineStr">
        <is>
          <t>431037</t>
        </is>
      </c>
      <c r="C895" s="38" t="inlineStr">
        <is>
          <t>Perafort</t>
        </is>
      </c>
      <c r="D895" s="38" t="inlineStr">
        <is>
          <t>Y077</t>
        </is>
      </c>
      <c r="E895" s="38" t="inlineStr">
        <is>
          <t>77 anys</t>
        </is>
      </c>
      <c r="F895" s="38" t="n">
        <v>77</v>
      </c>
      <c r="G895" s="38" t="n">
        <v>5</v>
      </c>
      <c r="I895" s="38" t="inlineStr">
        <is>
          <t>Total de tots els sexes; resposta JSON-stat de l'API d'Idescat</t>
        </is>
      </c>
    </row>
    <row r="896" ht="15" customHeight="1" s="39">
      <c r="A896" s="38" t="n">
        <v>2021</v>
      </c>
      <c r="B896" s="42" t="inlineStr">
        <is>
          <t>431037</t>
        </is>
      </c>
      <c r="C896" s="38" t="inlineStr">
        <is>
          <t>Perafort</t>
        </is>
      </c>
      <c r="D896" s="38" t="inlineStr">
        <is>
          <t>Y078</t>
        </is>
      </c>
      <c r="E896" s="38" t="inlineStr">
        <is>
          <t>78 anys</t>
        </is>
      </c>
      <c r="F896" s="38" t="n">
        <v>78</v>
      </c>
      <c r="G896" s="38" t="n">
        <v>3</v>
      </c>
      <c r="I896" s="38" t="inlineStr">
        <is>
          <t>Total de tots els sexes; resposta JSON-stat de l'API d'Idescat</t>
        </is>
      </c>
    </row>
    <row r="897" ht="15" customHeight="1" s="39">
      <c r="A897" s="38" t="n">
        <v>2021</v>
      </c>
      <c r="B897" s="42" t="inlineStr">
        <is>
          <t>431037</t>
        </is>
      </c>
      <c r="C897" s="38" t="inlineStr">
        <is>
          <t>Perafort</t>
        </is>
      </c>
      <c r="D897" s="38" t="inlineStr">
        <is>
          <t>Y079</t>
        </is>
      </c>
      <c r="E897" s="38" t="inlineStr">
        <is>
          <t>79 anys</t>
        </is>
      </c>
      <c r="F897" s="38" t="n">
        <v>79</v>
      </c>
      <c r="G897" s="38" t="n">
        <v>5</v>
      </c>
      <c r="I897" s="38" t="inlineStr">
        <is>
          <t>Total de tots els sexes; resposta JSON-stat de l'API d'Idescat</t>
        </is>
      </c>
    </row>
    <row r="898" ht="15" customHeight="1" s="39">
      <c r="A898" s="38" t="n">
        <v>2021</v>
      </c>
      <c r="B898" s="42" t="inlineStr">
        <is>
          <t>431037</t>
        </is>
      </c>
      <c r="C898" s="38" t="inlineStr">
        <is>
          <t>Perafort</t>
        </is>
      </c>
      <c r="D898" s="38" t="inlineStr">
        <is>
          <t>Y080</t>
        </is>
      </c>
      <c r="E898" s="38" t="inlineStr">
        <is>
          <t>80 anys</t>
        </is>
      </c>
      <c r="F898" s="38" t="n">
        <v>80</v>
      </c>
      <c r="G898" s="38" t="n">
        <v>7</v>
      </c>
      <c r="I898" s="38" t="inlineStr">
        <is>
          <t>Total de tots els sexes; resposta JSON-stat de l'API d'Idescat</t>
        </is>
      </c>
    </row>
    <row r="899" ht="15" customHeight="1" s="39">
      <c r="A899" s="38" t="n">
        <v>2021</v>
      </c>
      <c r="B899" s="42" t="inlineStr">
        <is>
          <t>431037</t>
        </is>
      </c>
      <c r="C899" s="38" t="inlineStr">
        <is>
          <t>Perafort</t>
        </is>
      </c>
      <c r="D899" s="38" t="inlineStr">
        <is>
          <t>Y081</t>
        </is>
      </c>
      <c r="E899" s="38" t="inlineStr">
        <is>
          <t>81 anys</t>
        </is>
      </c>
      <c r="F899" s="38" t="n">
        <v>81</v>
      </c>
      <c r="G899" s="38" t="n">
        <v>4</v>
      </c>
      <c r="I899" s="38" t="inlineStr">
        <is>
          <t>Total de tots els sexes; resposta JSON-stat de l'API d'Idescat</t>
        </is>
      </c>
    </row>
    <row r="900" ht="15" customHeight="1" s="39">
      <c r="A900" s="38" t="n">
        <v>2021</v>
      </c>
      <c r="B900" s="42" t="inlineStr">
        <is>
          <t>431037</t>
        </is>
      </c>
      <c r="C900" s="38" t="inlineStr">
        <is>
          <t>Perafort</t>
        </is>
      </c>
      <c r="D900" s="38" t="inlineStr">
        <is>
          <t>Y082</t>
        </is>
      </c>
      <c r="E900" s="38" t="inlineStr">
        <is>
          <t>82 anys</t>
        </is>
      </c>
      <c r="F900" s="38" t="n">
        <v>82</v>
      </c>
      <c r="G900" s="38" t="n">
        <v>2</v>
      </c>
      <c r="I900" s="38" t="inlineStr">
        <is>
          <t>Total de tots els sexes; resposta JSON-stat de l'API d'Idescat</t>
        </is>
      </c>
    </row>
    <row r="901" ht="15" customHeight="1" s="39">
      <c r="A901" s="38" t="n">
        <v>2021</v>
      </c>
      <c r="B901" s="42" t="inlineStr">
        <is>
          <t>431037</t>
        </is>
      </c>
      <c r="C901" s="38" t="inlineStr">
        <is>
          <t>Perafort</t>
        </is>
      </c>
      <c r="D901" s="38" t="inlineStr">
        <is>
          <t>Y083</t>
        </is>
      </c>
      <c r="E901" s="38" t="inlineStr">
        <is>
          <t>83 anys</t>
        </is>
      </c>
      <c r="F901" s="38" t="n">
        <v>83</v>
      </c>
      <c r="G901" s="38" t="n">
        <v>6</v>
      </c>
      <c r="I901" s="38" t="inlineStr">
        <is>
          <t>Total de tots els sexes; resposta JSON-stat de l'API d'Idescat</t>
        </is>
      </c>
    </row>
    <row r="902" ht="15" customHeight="1" s="39">
      <c r="A902" s="38" t="n">
        <v>2021</v>
      </c>
      <c r="B902" s="42" t="inlineStr">
        <is>
          <t>431037</t>
        </is>
      </c>
      <c r="C902" s="38" t="inlineStr">
        <is>
          <t>Perafort</t>
        </is>
      </c>
      <c r="D902" s="38" t="inlineStr">
        <is>
          <t>Y084</t>
        </is>
      </c>
      <c r="E902" s="38" t="inlineStr">
        <is>
          <t>84 anys</t>
        </is>
      </c>
      <c r="F902" s="38" t="n">
        <v>84</v>
      </c>
      <c r="G902" s="38" t="n">
        <v>6</v>
      </c>
      <c r="I902" s="38" t="inlineStr">
        <is>
          <t>Total de tots els sexes; resposta JSON-stat de l'API d'Idescat</t>
        </is>
      </c>
    </row>
    <row r="903" ht="15" customHeight="1" s="39">
      <c r="A903" s="38" t="n">
        <v>2021</v>
      </c>
      <c r="B903" s="42" t="inlineStr">
        <is>
          <t>431037</t>
        </is>
      </c>
      <c r="C903" s="38" t="inlineStr">
        <is>
          <t>Perafort</t>
        </is>
      </c>
      <c r="D903" s="38" t="inlineStr">
        <is>
          <t>Y085</t>
        </is>
      </c>
      <c r="E903" s="38" t="inlineStr">
        <is>
          <t>85 anys</t>
        </is>
      </c>
      <c r="F903" s="38" t="n">
        <v>85</v>
      </c>
      <c r="G903" s="38" t="n">
        <v>5</v>
      </c>
      <c r="I903" s="38" t="inlineStr">
        <is>
          <t>Total de tots els sexes; resposta JSON-stat de l'API d'Idescat</t>
        </is>
      </c>
    </row>
    <row r="904" ht="15" customHeight="1" s="39">
      <c r="A904" s="38" t="n">
        <v>2021</v>
      </c>
      <c r="B904" s="42" t="inlineStr">
        <is>
          <t>431037</t>
        </is>
      </c>
      <c r="C904" s="38" t="inlineStr">
        <is>
          <t>Perafort</t>
        </is>
      </c>
      <c r="D904" s="38" t="inlineStr">
        <is>
          <t>Y086</t>
        </is>
      </c>
      <c r="E904" s="38" t="inlineStr">
        <is>
          <t>86 anys</t>
        </is>
      </c>
      <c r="F904" s="38" t="n">
        <v>86</v>
      </c>
      <c r="G904" s="38" t="n">
        <v>0</v>
      </c>
      <c r="I904" s="38" t="inlineStr">
        <is>
          <t>Total de tots els sexes; resposta JSON-stat de l'API d'Idescat</t>
        </is>
      </c>
    </row>
    <row r="905" ht="15" customHeight="1" s="39">
      <c r="A905" s="38" t="n">
        <v>2021</v>
      </c>
      <c r="B905" s="42" t="inlineStr">
        <is>
          <t>431037</t>
        </is>
      </c>
      <c r="C905" s="38" t="inlineStr">
        <is>
          <t>Perafort</t>
        </is>
      </c>
      <c r="D905" s="38" t="inlineStr">
        <is>
          <t>Y087</t>
        </is>
      </c>
      <c r="E905" s="38" t="inlineStr">
        <is>
          <t>87 anys</t>
        </is>
      </c>
      <c r="F905" s="38" t="n">
        <v>87</v>
      </c>
      <c r="G905" s="38" t="n">
        <v>3</v>
      </c>
      <c r="I905" s="38" t="inlineStr">
        <is>
          <t>Total de tots els sexes; resposta JSON-stat de l'API d'Idescat</t>
        </is>
      </c>
    </row>
    <row r="906" ht="15" customHeight="1" s="39">
      <c r="A906" s="38" t="n">
        <v>2021</v>
      </c>
      <c r="B906" s="42" t="inlineStr">
        <is>
          <t>431037</t>
        </is>
      </c>
      <c r="C906" s="38" t="inlineStr">
        <is>
          <t>Perafort</t>
        </is>
      </c>
      <c r="D906" s="38" t="inlineStr">
        <is>
          <t>Y088</t>
        </is>
      </c>
      <c r="E906" s="38" t="inlineStr">
        <is>
          <t>88 anys</t>
        </is>
      </c>
      <c r="F906" s="38" t="n">
        <v>88</v>
      </c>
      <c r="G906" s="38" t="n">
        <v>4</v>
      </c>
      <c r="I906" s="38" t="inlineStr">
        <is>
          <t>Total de tots els sexes; resposta JSON-stat de l'API d'Idescat</t>
        </is>
      </c>
    </row>
    <row r="907" ht="15" customHeight="1" s="39">
      <c r="A907" s="38" t="n">
        <v>2021</v>
      </c>
      <c r="B907" s="42" t="inlineStr">
        <is>
          <t>431037</t>
        </is>
      </c>
      <c r="C907" s="38" t="inlineStr">
        <is>
          <t>Perafort</t>
        </is>
      </c>
      <c r="D907" s="38" t="inlineStr">
        <is>
          <t>Y089</t>
        </is>
      </c>
      <c r="E907" s="38" t="inlineStr">
        <is>
          <t>89 anys</t>
        </is>
      </c>
      <c r="F907" s="38" t="n">
        <v>89</v>
      </c>
      <c r="G907" s="38" t="n">
        <v>1</v>
      </c>
      <c r="I907" s="38" t="inlineStr">
        <is>
          <t>Total de tots els sexes; resposta JSON-stat de l'API d'Idescat</t>
        </is>
      </c>
    </row>
    <row r="908" ht="15" customHeight="1" s="39">
      <c r="A908" s="38" t="n">
        <v>2021</v>
      </c>
      <c r="B908" s="42" t="inlineStr">
        <is>
          <t>431037</t>
        </is>
      </c>
      <c r="C908" s="38" t="inlineStr">
        <is>
          <t>Perafort</t>
        </is>
      </c>
      <c r="D908" s="38" t="inlineStr">
        <is>
          <t>Y090</t>
        </is>
      </c>
      <c r="E908" s="38" t="inlineStr">
        <is>
          <t>90 anys</t>
        </is>
      </c>
      <c r="F908" s="38" t="n">
        <v>90</v>
      </c>
      <c r="G908" s="38" t="n">
        <v>2</v>
      </c>
      <c r="I908" s="38" t="inlineStr">
        <is>
          <t>Total de tots els sexes; resposta JSON-stat de l'API d'Idescat</t>
        </is>
      </c>
    </row>
    <row r="909" ht="15" customHeight="1" s="39">
      <c r="A909" s="38" t="n">
        <v>2021</v>
      </c>
      <c r="B909" s="42" t="inlineStr">
        <is>
          <t>431037</t>
        </is>
      </c>
      <c r="C909" s="38" t="inlineStr">
        <is>
          <t>Perafort</t>
        </is>
      </c>
      <c r="D909" s="38" t="inlineStr">
        <is>
          <t>Y091</t>
        </is>
      </c>
      <c r="E909" s="38" t="inlineStr">
        <is>
          <t>91 anys</t>
        </is>
      </c>
      <c r="F909" s="38" t="n">
        <v>91</v>
      </c>
      <c r="G909" s="38" t="n">
        <v>1</v>
      </c>
      <c r="I909" s="38" t="inlineStr">
        <is>
          <t>Total de tots els sexes; resposta JSON-stat de l'API d'Idescat</t>
        </is>
      </c>
    </row>
    <row r="910" ht="15" customHeight="1" s="39">
      <c r="A910" s="38" t="n">
        <v>2021</v>
      </c>
      <c r="B910" s="42" t="inlineStr">
        <is>
          <t>431037</t>
        </is>
      </c>
      <c r="C910" s="38" t="inlineStr">
        <is>
          <t>Perafort</t>
        </is>
      </c>
      <c r="D910" s="38" t="inlineStr">
        <is>
          <t>Y092</t>
        </is>
      </c>
      <c r="E910" s="38" t="inlineStr">
        <is>
          <t>92 anys</t>
        </is>
      </c>
      <c r="F910" s="38" t="n">
        <v>92</v>
      </c>
      <c r="G910" s="38" t="n">
        <v>2</v>
      </c>
      <c r="I910" s="38" t="inlineStr">
        <is>
          <t>Total de tots els sexes; resposta JSON-stat de l'API d'Idescat</t>
        </is>
      </c>
    </row>
    <row r="911" ht="15" customHeight="1" s="39">
      <c r="A911" s="38" t="n">
        <v>2021</v>
      </c>
      <c r="B911" s="42" t="inlineStr">
        <is>
          <t>431037</t>
        </is>
      </c>
      <c r="C911" s="38" t="inlineStr">
        <is>
          <t>Perafort</t>
        </is>
      </c>
      <c r="D911" s="38" t="inlineStr">
        <is>
          <t>Y093</t>
        </is>
      </c>
      <c r="E911" s="38" t="inlineStr">
        <is>
          <t>93 anys</t>
        </is>
      </c>
      <c r="F911" s="38" t="n">
        <v>93</v>
      </c>
      <c r="G911" s="38" t="n">
        <v>1</v>
      </c>
      <c r="I911" s="38" t="inlineStr">
        <is>
          <t>Total de tots els sexes; resposta JSON-stat de l'API d'Idescat</t>
        </is>
      </c>
    </row>
    <row r="912" ht="15" customHeight="1" s="39">
      <c r="A912" s="38" t="n">
        <v>2021</v>
      </c>
      <c r="B912" s="42" t="inlineStr">
        <is>
          <t>431037</t>
        </is>
      </c>
      <c r="C912" s="38" t="inlineStr">
        <is>
          <t>Perafort</t>
        </is>
      </c>
      <c r="D912" s="38" t="inlineStr">
        <is>
          <t>Y094</t>
        </is>
      </c>
      <c r="E912" s="38" t="inlineStr">
        <is>
          <t>94 anys</t>
        </is>
      </c>
      <c r="F912" s="38" t="n">
        <v>94</v>
      </c>
      <c r="G912" s="38" t="n">
        <v>0</v>
      </c>
      <c r="I912" s="38" t="inlineStr">
        <is>
          <t>Total de tots els sexes; resposta JSON-stat de l'API d'Idescat</t>
        </is>
      </c>
    </row>
    <row r="913" ht="15" customHeight="1" s="39">
      <c r="A913" s="38" t="n">
        <v>2021</v>
      </c>
      <c r="B913" s="42" t="inlineStr">
        <is>
          <t>431037</t>
        </is>
      </c>
      <c r="C913" s="38" t="inlineStr">
        <is>
          <t>Perafort</t>
        </is>
      </c>
      <c r="D913" s="38" t="inlineStr">
        <is>
          <t>Y095</t>
        </is>
      </c>
      <c r="E913" s="38" t="inlineStr">
        <is>
          <t>95 anys</t>
        </is>
      </c>
      <c r="F913" s="38" t="n">
        <v>95</v>
      </c>
      <c r="G913" s="38" t="n">
        <v>1</v>
      </c>
      <c r="I913" s="38" t="inlineStr">
        <is>
          <t>Total de tots els sexes; resposta JSON-stat de l'API d'Idescat</t>
        </is>
      </c>
    </row>
    <row r="914" ht="15" customHeight="1" s="39">
      <c r="A914" s="38" t="n">
        <v>2021</v>
      </c>
      <c r="B914" s="42" t="inlineStr">
        <is>
          <t>431037</t>
        </is>
      </c>
      <c r="C914" s="38" t="inlineStr">
        <is>
          <t>Perafort</t>
        </is>
      </c>
      <c r="D914" s="38" t="inlineStr">
        <is>
          <t>Y096</t>
        </is>
      </c>
      <c r="E914" s="38" t="inlineStr">
        <is>
          <t>96 anys</t>
        </is>
      </c>
      <c r="F914" s="38" t="n">
        <v>96</v>
      </c>
      <c r="G914" s="38" t="n">
        <v>0</v>
      </c>
      <c r="I914" s="38" t="inlineStr">
        <is>
          <t>Total de tots els sexes; resposta JSON-stat de l'API d'Idescat</t>
        </is>
      </c>
    </row>
    <row r="915" ht="15" customHeight="1" s="39">
      <c r="A915" s="38" t="n">
        <v>2021</v>
      </c>
      <c r="B915" s="42" t="inlineStr">
        <is>
          <t>431037</t>
        </is>
      </c>
      <c r="C915" s="38" t="inlineStr">
        <is>
          <t>Perafort</t>
        </is>
      </c>
      <c r="D915" s="38" t="inlineStr">
        <is>
          <t>Y097</t>
        </is>
      </c>
      <c r="E915" s="38" t="inlineStr">
        <is>
          <t>97 anys</t>
        </is>
      </c>
      <c r="F915" s="38" t="n">
        <v>97</v>
      </c>
      <c r="G915" s="38" t="n">
        <v>0</v>
      </c>
      <c r="I915" s="38" t="inlineStr">
        <is>
          <t>Total de tots els sexes; resposta JSON-stat de l'API d'Idescat</t>
        </is>
      </c>
    </row>
    <row r="916" ht="15" customHeight="1" s="39">
      <c r="A916" s="38" t="n">
        <v>2021</v>
      </c>
      <c r="B916" s="42" t="inlineStr">
        <is>
          <t>431037</t>
        </is>
      </c>
      <c r="C916" s="38" t="inlineStr">
        <is>
          <t>Perafort</t>
        </is>
      </c>
      <c r="D916" s="38" t="inlineStr">
        <is>
          <t>Y098</t>
        </is>
      </c>
      <c r="E916" s="38" t="inlineStr">
        <is>
          <t>98 anys</t>
        </is>
      </c>
      <c r="F916" s="38" t="n">
        <v>98</v>
      </c>
      <c r="G916" s="38" t="n">
        <v>0</v>
      </c>
      <c r="I916" s="38" t="inlineStr">
        <is>
          <t>Total de tots els sexes; resposta JSON-stat de l'API d'Idescat</t>
        </is>
      </c>
    </row>
    <row r="917" ht="15" customHeight="1" s="39">
      <c r="A917" s="38" t="n">
        <v>2021</v>
      </c>
      <c r="B917" s="42" t="inlineStr">
        <is>
          <t>431037</t>
        </is>
      </c>
      <c r="C917" s="38" t="inlineStr">
        <is>
          <t>Perafort</t>
        </is>
      </c>
      <c r="D917" s="38" t="inlineStr">
        <is>
          <t>Y099</t>
        </is>
      </c>
      <c r="E917" s="38" t="inlineStr">
        <is>
          <t>99 anys</t>
        </is>
      </c>
      <c r="F917" s="38" t="n">
        <v>99</v>
      </c>
      <c r="G917" s="38" t="n">
        <v>0</v>
      </c>
      <c r="I917" s="38" t="inlineStr">
        <is>
          <t>Total de tots els sexes; resposta JSON-stat de l'API d'Idescat</t>
        </is>
      </c>
    </row>
    <row r="918" ht="15" customHeight="1" s="39">
      <c r="A918" s="38" t="n">
        <v>2021</v>
      </c>
      <c r="B918" s="42" t="inlineStr">
        <is>
          <t>431037</t>
        </is>
      </c>
      <c r="C918" s="38" t="inlineStr">
        <is>
          <t>Perafort</t>
        </is>
      </c>
      <c r="D918" s="38" t="inlineStr">
        <is>
          <t>Y_GE100</t>
        </is>
      </c>
      <c r="E918" s="38" t="inlineStr">
        <is>
          <t>100 anys o més</t>
        </is>
      </c>
      <c r="F918" s="38" t="n">
        <v>100</v>
      </c>
      <c r="G918" s="38" t="n">
        <v>0</v>
      </c>
      <c r="I918" s="38" t="inlineStr">
        <is>
          <t>Total de tots els sexes; resposta JSON-stat de l'API d'Idescat</t>
        </is>
      </c>
    </row>
    <row r="919" ht="15" customHeight="1" s="39">
      <c r="A919" s="38" t="n">
        <v>2021</v>
      </c>
      <c r="B919" s="42" t="inlineStr">
        <is>
          <t>431037</t>
        </is>
      </c>
      <c r="C919" s="38" t="inlineStr">
        <is>
          <t>Perafort</t>
        </is>
      </c>
      <c r="D919" s="38" t="inlineStr">
        <is>
          <t>TOTAL</t>
        </is>
      </c>
      <c r="E919" s="38" t="inlineStr">
        <is>
          <t>total</t>
        </is>
      </c>
      <c r="G919" s="38" t="n">
        <v>1287</v>
      </c>
      <c r="I919" s="38" t="inlineStr">
        <is>
          <t>Total de tots els sexes; resposta JSON-stat de l'API d'Idescat</t>
        </is>
      </c>
    </row>
    <row r="920" ht="15" customHeight="1" s="39">
      <c r="A920" s="38" t="n">
        <v>2021</v>
      </c>
      <c r="B920" s="42" t="inlineStr">
        <is>
          <t>431093</t>
        </is>
      </c>
      <c r="C920" s="38" t="inlineStr">
        <is>
          <t>Pobla de Mafumet, la</t>
        </is>
      </c>
      <c r="D920" s="38" t="inlineStr">
        <is>
          <t>Y000</t>
        </is>
      </c>
      <c r="E920" s="38" t="inlineStr">
        <is>
          <t>0 anys</t>
        </is>
      </c>
      <c r="F920" s="38" t="n">
        <v>0</v>
      </c>
      <c r="G920" s="38" t="n">
        <v>61</v>
      </c>
      <c r="I920" s="38" t="inlineStr">
        <is>
          <t>Total de tots els sexes; resposta JSON-stat de l'API d'Idescat</t>
        </is>
      </c>
    </row>
    <row r="921" ht="15" customHeight="1" s="39">
      <c r="A921" s="38" t="n">
        <v>2021</v>
      </c>
      <c r="B921" s="42" t="inlineStr">
        <is>
          <t>431093</t>
        </is>
      </c>
      <c r="C921" s="38" t="inlineStr">
        <is>
          <t>Pobla de Mafumet, la</t>
        </is>
      </c>
      <c r="D921" s="38" t="inlineStr">
        <is>
          <t>Y001</t>
        </is>
      </c>
      <c r="E921" s="38" t="inlineStr">
        <is>
          <t>1 any</t>
        </is>
      </c>
      <c r="F921" s="38" t="n">
        <v>1</v>
      </c>
      <c r="G921" s="38" t="n">
        <v>58</v>
      </c>
      <c r="I921" s="38" t="inlineStr">
        <is>
          <t>Total de tots els sexes; resposta JSON-stat de l'API d'Idescat</t>
        </is>
      </c>
    </row>
    <row r="922" ht="15" customHeight="1" s="39">
      <c r="A922" s="38" t="n">
        <v>2021</v>
      </c>
      <c r="B922" s="42" t="inlineStr">
        <is>
          <t>431093</t>
        </is>
      </c>
      <c r="C922" s="38" t="inlineStr">
        <is>
          <t>Pobla de Mafumet, la</t>
        </is>
      </c>
      <c r="D922" s="38" t="inlineStr">
        <is>
          <t>Y002</t>
        </is>
      </c>
      <c r="E922" s="38" t="inlineStr">
        <is>
          <t>2 anys</t>
        </is>
      </c>
      <c r="F922" s="38" t="n">
        <v>2</v>
      </c>
      <c r="G922" s="38" t="n">
        <v>65</v>
      </c>
      <c r="I922" s="38" t="inlineStr">
        <is>
          <t>Total de tots els sexes; resposta JSON-stat de l'API d'Idescat</t>
        </is>
      </c>
    </row>
    <row r="923" ht="15" customHeight="1" s="39">
      <c r="A923" s="38" t="n">
        <v>2021</v>
      </c>
      <c r="B923" s="42" t="inlineStr">
        <is>
          <t>431093</t>
        </is>
      </c>
      <c r="C923" s="38" t="inlineStr">
        <is>
          <t>Pobla de Mafumet, la</t>
        </is>
      </c>
      <c r="D923" s="38" t="inlineStr">
        <is>
          <t>Y003</t>
        </is>
      </c>
      <c r="E923" s="38" t="inlineStr">
        <is>
          <t>3 anys</t>
        </is>
      </c>
      <c r="F923" s="38" t="n">
        <v>3</v>
      </c>
      <c r="G923" s="38" t="n">
        <v>50</v>
      </c>
      <c r="I923" s="38" t="inlineStr">
        <is>
          <t>Total de tots els sexes; resposta JSON-stat de l'API d'Idescat</t>
        </is>
      </c>
    </row>
    <row r="924" ht="15" customHeight="1" s="39">
      <c r="A924" s="38" t="n">
        <v>2021</v>
      </c>
      <c r="B924" s="42" t="inlineStr">
        <is>
          <t>431093</t>
        </is>
      </c>
      <c r="C924" s="38" t="inlineStr">
        <is>
          <t>Pobla de Mafumet, la</t>
        </is>
      </c>
      <c r="D924" s="38" t="inlineStr">
        <is>
          <t>Y004</t>
        </is>
      </c>
      <c r="E924" s="38" t="inlineStr">
        <is>
          <t>4 anys</t>
        </is>
      </c>
      <c r="F924" s="38" t="n">
        <v>4</v>
      </c>
      <c r="G924" s="38" t="n">
        <v>60</v>
      </c>
      <c r="I924" s="38" t="inlineStr">
        <is>
          <t>Total de tots els sexes; resposta JSON-stat de l'API d'Idescat</t>
        </is>
      </c>
    </row>
    <row r="925" ht="15" customHeight="1" s="39">
      <c r="A925" s="38" t="n">
        <v>2021</v>
      </c>
      <c r="B925" s="42" t="inlineStr">
        <is>
          <t>431093</t>
        </is>
      </c>
      <c r="C925" s="38" t="inlineStr">
        <is>
          <t>Pobla de Mafumet, la</t>
        </is>
      </c>
      <c r="D925" s="38" t="inlineStr">
        <is>
          <t>Y005</t>
        </is>
      </c>
      <c r="E925" s="38" t="inlineStr">
        <is>
          <t>5 anys</t>
        </is>
      </c>
      <c r="F925" s="38" t="n">
        <v>5</v>
      </c>
      <c r="G925" s="38" t="n">
        <v>73</v>
      </c>
      <c r="I925" s="38" t="inlineStr">
        <is>
          <t>Total de tots els sexes; resposta JSON-stat de l'API d'Idescat</t>
        </is>
      </c>
    </row>
    <row r="926" ht="15" customHeight="1" s="39">
      <c r="A926" s="38" t="n">
        <v>2021</v>
      </c>
      <c r="B926" s="42" t="inlineStr">
        <is>
          <t>431093</t>
        </is>
      </c>
      <c r="C926" s="38" t="inlineStr">
        <is>
          <t>Pobla de Mafumet, la</t>
        </is>
      </c>
      <c r="D926" s="38" t="inlineStr">
        <is>
          <t>Y006</t>
        </is>
      </c>
      <c r="E926" s="38" t="inlineStr">
        <is>
          <t>6 anys</t>
        </is>
      </c>
      <c r="F926" s="38" t="n">
        <v>6</v>
      </c>
      <c r="G926" s="38" t="n">
        <v>67</v>
      </c>
      <c r="I926" s="38" t="inlineStr">
        <is>
          <t>Total de tots els sexes; resposta JSON-stat de l'API d'Idescat</t>
        </is>
      </c>
    </row>
    <row r="927" ht="15" customHeight="1" s="39">
      <c r="A927" s="38" t="n">
        <v>2021</v>
      </c>
      <c r="B927" s="42" t="inlineStr">
        <is>
          <t>431093</t>
        </is>
      </c>
      <c r="C927" s="38" t="inlineStr">
        <is>
          <t>Pobla de Mafumet, la</t>
        </is>
      </c>
      <c r="D927" s="38" t="inlineStr">
        <is>
          <t>Y007</t>
        </is>
      </c>
      <c r="E927" s="38" t="inlineStr">
        <is>
          <t>7 anys</t>
        </is>
      </c>
      <c r="F927" s="38" t="n">
        <v>7</v>
      </c>
      <c r="G927" s="38" t="n">
        <v>56</v>
      </c>
      <c r="I927" s="38" t="inlineStr">
        <is>
          <t>Total de tots els sexes; resposta JSON-stat de l'API d'Idescat</t>
        </is>
      </c>
    </row>
    <row r="928" ht="15" customHeight="1" s="39">
      <c r="A928" s="38" t="n">
        <v>2021</v>
      </c>
      <c r="B928" s="42" t="inlineStr">
        <is>
          <t>431093</t>
        </is>
      </c>
      <c r="C928" s="38" t="inlineStr">
        <is>
          <t>Pobla de Mafumet, la</t>
        </is>
      </c>
      <c r="D928" s="38" t="inlineStr">
        <is>
          <t>Y008</t>
        </is>
      </c>
      <c r="E928" s="38" t="inlineStr">
        <is>
          <t>8 anys</t>
        </is>
      </c>
      <c r="F928" s="38" t="n">
        <v>8</v>
      </c>
      <c r="G928" s="38" t="n">
        <v>73</v>
      </c>
      <c r="I928" s="38" t="inlineStr">
        <is>
          <t>Total de tots els sexes; resposta JSON-stat de l'API d'Idescat</t>
        </is>
      </c>
    </row>
    <row r="929" ht="15" customHeight="1" s="39">
      <c r="A929" s="38" t="n">
        <v>2021</v>
      </c>
      <c r="B929" s="42" t="inlineStr">
        <is>
          <t>431093</t>
        </is>
      </c>
      <c r="C929" s="38" t="inlineStr">
        <is>
          <t>Pobla de Mafumet, la</t>
        </is>
      </c>
      <c r="D929" s="38" t="inlineStr">
        <is>
          <t>Y009</t>
        </is>
      </c>
      <c r="E929" s="38" t="inlineStr">
        <is>
          <t>9 anys</t>
        </is>
      </c>
      <c r="F929" s="38" t="n">
        <v>9</v>
      </c>
      <c r="G929" s="38" t="n">
        <v>63</v>
      </c>
      <c r="I929" s="38" t="inlineStr">
        <is>
          <t>Total de tots els sexes; resposta JSON-stat de l'API d'Idescat</t>
        </is>
      </c>
    </row>
    <row r="930" ht="15" customHeight="1" s="39">
      <c r="A930" s="38" t="n">
        <v>2021</v>
      </c>
      <c r="B930" s="42" t="inlineStr">
        <is>
          <t>431093</t>
        </is>
      </c>
      <c r="C930" s="38" t="inlineStr">
        <is>
          <t>Pobla de Mafumet, la</t>
        </is>
      </c>
      <c r="D930" s="38" t="inlineStr">
        <is>
          <t>Y010</t>
        </is>
      </c>
      <c r="E930" s="38" t="inlineStr">
        <is>
          <t>10 anys</t>
        </is>
      </c>
      <c r="F930" s="38" t="n">
        <v>10</v>
      </c>
      <c r="G930" s="38" t="n">
        <v>62</v>
      </c>
      <c r="I930" s="38" t="inlineStr">
        <is>
          <t>Total de tots els sexes; resposta JSON-stat de l'API d'Idescat</t>
        </is>
      </c>
    </row>
    <row r="931" ht="15" customHeight="1" s="39">
      <c r="A931" s="38" t="n">
        <v>2021</v>
      </c>
      <c r="B931" s="42" t="inlineStr">
        <is>
          <t>431093</t>
        </is>
      </c>
      <c r="C931" s="38" t="inlineStr">
        <is>
          <t>Pobla de Mafumet, la</t>
        </is>
      </c>
      <c r="D931" s="38" t="inlineStr">
        <is>
          <t>Y011</t>
        </is>
      </c>
      <c r="E931" s="38" t="inlineStr">
        <is>
          <t>11 anys</t>
        </is>
      </c>
      <c r="F931" s="38" t="n">
        <v>11</v>
      </c>
      <c r="G931" s="38" t="n">
        <v>54</v>
      </c>
      <c r="I931" s="38" t="inlineStr">
        <is>
          <t>Total de tots els sexes; resposta JSON-stat de l'API d'Idescat</t>
        </is>
      </c>
    </row>
    <row r="932" ht="15" customHeight="1" s="39">
      <c r="A932" s="38" t="n">
        <v>2021</v>
      </c>
      <c r="B932" s="42" t="inlineStr">
        <is>
          <t>431093</t>
        </is>
      </c>
      <c r="C932" s="38" t="inlineStr">
        <is>
          <t>Pobla de Mafumet, la</t>
        </is>
      </c>
      <c r="D932" s="38" t="inlineStr">
        <is>
          <t>Y012</t>
        </is>
      </c>
      <c r="E932" s="38" t="inlineStr">
        <is>
          <t>12 anys</t>
        </is>
      </c>
      <c r="F932" s="38" t="n">
        <v>12</v>
      </c>
      <c r="G932" s="38" t="n">
        <v>53</v>
      </c>
      <c r="I932" s="38" t="inlineStr">
        <is>
          <t>Total de tots els sexes; resposta JSON-stat de l'API d'Idescat</t>
        </is>
      </c>
    </row>
    <row r="933" ht="15" customHeight="1" s="39">
      <c r="A933" s="38" t="n">
        <v>2021</v>
      </c>
      <c r="B933" s="42" t="inlineStr">
        <is>
          <t>431093</t>
        </is>
      </c>
      <c r="C933" s="38" t="inlineStr">
        <is>
          <t>Pobla de Mafumet, la</t>
        </is>
      </c>
      <c r="D933" s="38" t="inlineStr">
        <is>
          <t>Y013</t>
        </is>
      </c>
      <c r="E933" s="38" t="inlineStr">
        <is>
          <t>13 anys</t>
        </is>
      </c>
      <c r="F933" s="38" t="n">
        <v>13</v>
      </c>
      <c r="G933" s="38" t="n">
        <v>34</v>
      </c>
      <c r="I933" s="38" t="inlineStr">
        <is>
          <t>Total de tots els sexes; resposta JSON-stat de l'API d'Idescat</t>
        </is>
      </c>
    </row>
    <row r="934" ht="15" customHeight="1" s="39">
      <c r="A934" s="38" t="n">
        <v>2021</v>
      </c>
      <c r="B934" s="42" t="inlineStr">
        <is>
          <t>431093</t>
        </is>
      </c>
      <c r="C934" s="38" t="inlineStr">
        <is>
          <t>Pobla de Mafumet, la</t>
        </is>
      </c>
      <c r="D934" s="38" t="inlineStr">
        <is>
          <t>Y014</t>
        </is>
      </c>
      <c r="E934" s="38" t="inlineStr">
        <is>
          <t>14 anys</t>
        </is>
      </c>
      <c r="F934" s="38" t="n">
        <v>14</v>
      </c>
      <c r="G934" s="38" t="n">
        <v>38</v>
      </c>
      <c r="I934" s="38" t="inlineStr">
        <is>
          <t>Total de tots els sexes; resposta JSON-stat de l'API d'Idescat</t>
        </is>
      </c>
    </row>
    <row r="935" ht="15" customHeight="1" s="39">
      <c r="A935" s="38" t="n">
        <v>2021</v>
      </c>
      <c r="B935" s="42" t="inlineStr">
        <is>
          <t>431093</t>
        </is>
      </c>
      <c r="C935" s="38" t="inlineStr">
        <is>
          <t>Pobla de Mafumet, la</t>
        </is>
      </c>
      <c r="D935" s="38" t="inlineStr">
        <is>
          <t>Y015</t>
        </is>
      </c>
      <c r="E935" s="38" t="inlineStr">
        <is>
          <t>15 anys</t>
        </is>
      </c>
      <c r="F935" s="38" t="n">
        <v>15</v>
      </c>
      <c r="G935" s="38" t="n">
        <v>46</v>
      </c>
      <c r="I935" s="38" t="inlineStr">
        <is>
          <t>Total de tots els sexes; resposta JSON-stat de l'API d'Idescat</t>
        </is>
      </c>
    </row>
    <row r="936" ht="15" customHeight="1" s="39">
      <c r="A936" s="38" t="n">
        <v>2021</v>
      </c>
      <c r="B936" s="42" t="inlineStr">
        <is>
          <t>431093</t>
        </is>
      </c>
      <c r="C936" s="38" t="inlineStr">
        <is>
          <t>Pobla de Mafumet, la</t>
        </is>
      </c>
      <c r="D936" s="38" t="inlineStr">
        <is>
          <t>Y016</t>
        </is>
      </c>
      <c r="E936" s="38" t="inlineStr">
        <is>
          <t>16 anys</t>
        </is>
      </c>
      <c r="F936" s="38" t="n">
        <v>16</v>
      </c>
      <c r="G936" s="38" t="n">
        <v>44</v>
      </c>
      <c r="I936" s="38" t="inlineStr">
        <is>
          <t>Total de tots els sexes; resposta JSON-stat de l'API d'Idescat</t>
        </is>
      </c>
    </row>
    <row r="937" ht="15" customHeight="1" s="39">
      <c r="A937" s="38" t="n">
        <v>2021</v>
      </c>
      <c r="B937" s="42" t="inlineStr">
        <is>
          <t>431093</t>
        </is>
      </c>
      <c r="C937" s="38" t="inlineStr">
        <is>
          <t>Pobla de Mafumet, la</t>
        </is>
      </c>
      <c r="D937" s="38" t="inlineStr">
        <is>
          <t>Y017</t>
        </is>
      </c>
      <c r="E937" s="38" t="inlineStr">
        <is>
          <t>17 anys</t>
        </is>
      </c>
      <c r="F937" s="38" t="n">
        <v>17</v>
      </c>
      <c r="G937" s="38" t="n">
        <v>40</v>
      </c>
      <c r="I937" s="38" t="inlineStr">
        <is>
          <t>Total de tots els sexes; resposta JSON-stat de l'API d'Idescat</t>
        </is>
      </c>
    </row>
    <row r="938" ht="15" customHeight="1" s="39">
      <c r="A938" s="38" t="n">
        <v>2021</v>
      </c>
      <c r="B938" s="42" t="inlineStr">
        <is>
          <t>431093</t>
        </is>
      </c>
      <c r="C938" s="38" t="inlineStr">
        <is>
          <t>Pobla de Mafumet, la</t>
        </is>
      </c>
      <c r="D938" s="38" t="inlineStr">
        <is>
          <t>Y018</t>
        </is>
      </c>
      <c r="E938" s="38" t="inlineStr">
        <is>
          <t>18 anys</t>
        </is>
      </c>
      <c r="F938" s="38" t="n">
        <v>18</v>
      </c>
      <c r="G938" s="38" t="n">
        <v>36</v>
      </c>
      <c r="I938" s="38" t="inlineStr">
        <is>
          <t>Total de tots els sexes; resposta JSON-stat de l'API d'Idescat</t>
        </is>
      </c>
    </row>
    <row r="939" ht="15" customHeight="1" s="39">
      <c r="A939" s="38" t="n">
        <v>2021</v>
      </c>
      <c r="B939" s="42" t="inlineStr">
        <is>
          <t>431093</t>
        </is>
      </c>
      <c r="C939" s="38" t="inlineStr">
        <is>
          <t>Pobla de Mafumet, la</t>
        </is>
      </c>
      <c r="D939" s="38" t="inlineStr">
        <is>
          <t>Y019</t>
        </is>
      </c>
      <c r="E939" s="38" t="inlineStr">
        <is>
          <t>19 anys</t>
        </is>
      </c>
      <c r="F939" s="38" t="n">
        <v>19</v>
      </c>
      <c r="G939" s="38" t="n">
        <v>38</v>
      </c>
      <c r="I939" s="38" t="inlineStr">
        <is>
          <t>Total de tots els sexes; resposta JSON-stat de l'API d'Idescat</t>
        </is>
      </c>
    </row>
    <row r="940" ht="15" customHeight="1" s="39">
      <c r="A940" s="38" t="n">
        <v>2021</v>
      </c>
      <c r="B940" s="42" t="inlineStr">
        <is>
          <t>431093</t>
        </is>
      </c>
      <c r="C940" s="38" t="inlineStr">
        <is>
          <t>Pobla de Mafumet, la</t>
        </is>
      </c>
      <c r="D940" s="38" t="inlineStr">
        <is>
          <t>Y020</t>
        </is>
      </c>
      <c r="E940" s="38" t="inlineStr">
        <is>
          <t>20 anys</t>
        </is>
      </c>
      <c r="F940" s="38" t="n">
        <v>20</v>
      </c>
      <c r="G940" s="38" t="n">
        <v>55</v>
      </c>
      <c r="I940" s="38" t="inlineStr">
        <is>
          <t>Total de tots els sexes; resposta JSON-stat de l'API d'Idescat</t>
        </is>
      </c>
    </row>
    <row r="941" ht="15" customHeight="1" s="39">
      <c r="A941" s="38" t="n">
        <v>2021</v>
      </c>
      <c r="B941" s="42" t="inlineStr">
        <is>
          <t>431093</t>
        </is>
      </c>
      <c r="C941" s="38" t="inlineStr">
        <is>
          <t>Pobla de Mafumet, la</t>
        </is>
      </c>
      <c r="D941" s="38" t="inlineStr">
        <is>
          <t>Y021</t>
        </is>
      </c>
      <c r="E941" s="38" t="inlineStr">
        <is>
          <t>21 anys</t>
        </is>
      </c>
      <c r="F941" s="38" t="n">
        <v>21</v>
      </c>
      <c r="G941" s="38" t="n">
        <v>42</v>
      </c>
      <c r="I941" s="38" t="inlineStr">
        <is>
          <t>Total de tots els sexes; resposta JSON-stat de l'API d'Idescat</t>
        </is>
      </c>
    </row>
    <row r="942" ht="15" customHeight="1" s="39">
      <c r="A942" s="38" t="n">
        <v>2021</v>
      </c>
      <c r="B942" s="42" t="inlineStr">
        <is>
          <t>431093</t>
        </is>
      </c>
      <c r="C942" s="38" t="inlineStr">
        <is>
          <t>Pobla de Mafumet, la</t>
        </is>
      </c>
      <c r="D942" s="38" t="inlineStr">
        <is>
          <t>Y022</t>
        </is>
      </c>
      <c r="E942" s="38" t="inlineStr">
        <is>
          <t>22 anys</t>
        </is>
      </c>
      <c r="F942" s="38" t="n">
        <v>22</v>
      </c>
      <c r="G942" s="38" t="n">
        <v>43</v>
      </c>
      <c r="I942" s="38" t="inlineStr">
        <is>
          <t>Total de tots els sexes; resposta JSON-stat de l'API d'Idescat</t>
        </is>
      </c>
    </row>
    <row r="943" ht="15" customHeight="1" s="39">
      <c r="A943" s="38" t="n">
        <v>2021</v>
      </c>
      <c r="B943" s="42" t="inlineStr">
        <is>
          <t>431093</t>
        </is>
      </c>
      <c r="C943" s="38" t="inlineStr">
        <is>
          <t>Pobla de Mafumet, la</t>
        </is>
      </c>
      <c r="D943" s="38" t="inlineStr">
        <is>
          <t>Y023</t>
        </is>
      </c>
      <c r="E943" s="38" t="inlineStr">
        <is>
          <t>23 anys</t>
        </is>
      </c>
      <c r="F943" s="38" t="n">
        <v>23</v>
      </c>
      <c r="G943" s="38" t="n">
        <v>35</v>
      </c>
      <c r="I943" s="38" t="inlineStr">
        <is>
          <t>Total de tots els sexes; resposta JSON-stat de l'API d'Idescat</t>
        </is>
      </c>
    </row>
    <row r="944" ht="15" customHeight="1" s="39">
      <c r="A944" s="38" t="n">
        <v>2021</v>
      </c>
      <c r="B944" s="42" t="inlineStr">
        <is>
          <t>431093</t>
        </is>
      </c>
      <c r="C944" s="38" t="inlineStr">
        <is>
          <t>Pobla de Mafumet, la</t>
        </is>
      </c>
      <c r="D944" s="38" t="inlineStr">
        <is>
          <t>Y024</t>
        </is>
      </c>
      <c r="E944" s="38" t="inlineStr">
        <is>
          <t>24 anys</t>
        </is>
      </c>
      <c r="F944" s="38" t="n">
        <v>24</v>
      </c>
      <c r="G944" s="38" t="n">
        <v>33</v>
      </c>
      <c r="I944" s="38" t="inlineStr">
        <is>
          <t>Total de tots els sexes; resposta JSON-stat de l'API d'Idescat</t>
        </is>
      </c>
    </row>
    <row r="945" ht="15" customHeight="1" s="39">
      <c r="A945" s="38" t="n">
        <v>2021</v>
      </c>
      <c r="B945" s="42" t="inlineStr">
        <is>
          <t>431093</t>
        </is>
      </c>
      <c r="C945" s="38" t="inlineStr">
        <is>
          <t>Pobla de Mafumet, la</t>
        </is>
      </c>
      <c r="D945" s="38" t="inlineStr">
        <is>
          <t>Y025</t>
        </is>
      </c>
      <c r="E945" s="38" t="inlineStr">
        <is>
          <t>25 anys</t>
        </is>
      </c>
      <c r="F945" s="38" t="n">
        <v>25</v>
      </c>
      <c r="G945" s="38" t="n">
        <v>41</v>
      </c>
      <c r="I945" s="38" t="inlineStr">
        <is>
          <t>Total de tots els sexes; resposta JSON-stat de l'API d'Idescat</t>
        </is>
      </c>
    </row>
    <row r="946" ht="15" customHeight="1" s="39">
      <c r="A946" s="38" t="n">
        <v>2021</v>
      </c>
      <c r="B946" s="42" t="inlineStr">
        <is>
          <t>431093</t>
        </is>
      </c>
      <c r="C946" s="38" t="inlineStr">
        <is>
          <t>Pobla de Mafumet, la</t>
        </is>
      </c>
      <c r="D946" s="38" t="inlineStr">
        <is>
          <t>Y026</t>
        </is>
      </c>
      <c r="E946" s="38" t="inlineStr">
        <is>
          <t>26 anys</t>
        </is>
      </c>
      <c r="F946" s="38" t="n">
        <v>26</v>
      </c>
      <c r="G946" s="38" t="n">
        <v>53</v>
      </c>
      <c r="I946" s="38" t="inlineStr">
        <is>
          <t>Total de tots els sexes; resposta JSON-stat de l'API d'Idescat</t>
        </is>
      </c>
    </row>
    <row r="947" ht="15" customHeight="1" s="39">
      <c r="A947" s="38" t="n">
        <v>2021</v>
      </c>
      <c r="B947" s="42" t="inlineStr">
        <is>
          <t>431093</t>
        </is>
      </c>
      <c r="C947" s="38" t="inlineStr">
        <is>
          <t>Pobla de Mafumet, la</t>
        </is>
      </c>
      <c r="D947" s="38" t="inlineStr">
        <is>
          <t>Y027</t>
        </is>
      </c>
      <c r="E947" s="38" t="inlineStr">
        <is>
          <t>27 anys</t>
        </is>
      </c>
      <c r="F947" s="38" t="n">
        <v>27</v>
      </c>
      <c r="G947" s="38" t="n">
        <v>47</v>
      </c>
      <c r="I947" s="38" t="inlineStr">
        <is>
          <t>Total de tots els sexes; resposta JSON-stat de l'API d'Idescat</t>
        </is>
      </c>
    </row>
    <row r="948" ht="15" customHeight="1" s="39">
      <c r="A948" s="38" t="n">
        <v>2021</v>
      </c>
      <c r="B948" s="42" t="inlineStr">
        <is>
          <t>431093</t>
        </is>
      </c>
      <c r="C948" s="38" t="inlineStr">
        <is>
          <t>Pobla de Mafumet, la</t>
        </is>
      </c>
      <c r="D948" s="38" t="inlineStr">
        <is>
          <t>Y028</t>
        </is>
      </c>
      <c r="E948" s="38" t="inlineStr">
        <is>
          <t>28 anys</t>
        </is>
      </c>
      <c r="F948" s="38" t="n">
        <v>28</v>
      </c>
      <c r="G948" s="38" t="n">
        <v>75</v>
      </c>
      <c r="I948" s="38" t="inlineStr">
        <is>
          <t>Total de tots els sexes; resposta JSON-stat de l'API d'Idescat</t>
        </is>
      </c>
    </row>
    <row r="949" ht="15" customHeight="1" s="39">
      <c r="A949" s="38" t="n">
        <v>2021</v>
      </c>
      <c r="B949" s="42" t="inlineStr">
        <is>
          <t>431093</t>
        </is>
      </c>
      <c r="C949" s="38" t="inlineStr">
        <is>
          <t>Pobla de Mafumet, la</t>
        </is>
      </c>
      <c r="D949" s="38" t="inlineStr">
        <is>
          <t>Y029</t>
        </is>
      </c>
      <c r="E949" s="38" t="inlineStr">
        <is>
          <t>29 anys</t>
        </is>
      </c>
      <c r="F949" s="38" t="n">
        <v>29</v>
      </c>
      <c r="G949" s="38" t="n">
        <v>72</v>
      </c>
      <c r="I949" s="38" t="inlineStr">
        <is>
          <t>Total de tots els sexes; resposta JSON-stat de l'API d'Idescat</t>
        </is>
      </c>
    </row>
    <row r="950" ht="15" customHeight="1" s="39">
      <c r="A950" s="38" t="n">
        <v>2021</v>
      </c>
      <c r="B950" s="42" t="inlineStr">
        <is>
          <t>431093</t>
        </is>
      </c>
      <c r="C950" s="38" t="inlineStr">
        <is>
          <t>Pobla de Mafumet, la</t>
        </is>
      </c>
      <c r="D950" s="38" t="inlineStr">
        <is>
          <t>Y030</t>
        </is>
      </c>
      <c r="E950" s="38" t="inlineStr">
        <is>
          <t>30 anys</t>
        </is>
      </c>
      <c r="F950" s="38" t="n">
        <v>30</v>
      </c>
      <c r="G950" s="38" t="n">
        <v>53</v>
      </c>
      <c r="I950" s="38" t="inlineStr">
        <is>
          <t>Total de tots els sexes; resposta JSON-stat de l'API d'Idescat</t>
        </is>
      </c>
    </row>
    <row r="951" ht="15" customHeight="1" s="39">
      <c r="A951" s="38" t="n">
        <v>2021</v>
      </c>
      <c r="B951" s="42" t="inlineStr">
        <is>
          <t>431093</t>
        </is>
      </c>
      <c r="C951" s="38" t="inlineStr">
        <is>
          <t>Pobla de Mafumet, la</t>
        </is>
      </c>
      <c r="D951" s="38" t="inlineStr">
        <is>
          <t>Y031</t>
        </is>
      </c>
      <c r="E951" s="38" t="inlineStr">
        <is>
          <t>31 anys</t>
        </is>
      </c>
      <c r="F951" s="38" t="n">
        <v>31</v>
      </c>
      <c r="G951" s="38" t="n">
        <v>53</v>
      </c>
      <c r="I951" s="38" t="inlineStr">
        <is>
          <t>Total de tots els sexes; resposta JSON-stat de l'API d'Idescat</t>
        </is>
      </c>
    </row>
    <row r="952" ht="15" customHeight="1" s="39">
      <c r="A952" s="38" t="n">
        <v>2021</v>
      </c>
      <c r="B952" s="42" t="inlineStr">
        <is>
          <t>431093</t>
        </is>
      </c>
      <c r="C952" s="38" t="inlineStr">
        <is>
          <t>Pobla de Mafumet, la</t>
        </is>
      </c>
      <c r="D952" s="38" t="inlineStr">
        <is>
          <t>Y032</t>
        </is>
      </c>
      <c r="E952" s="38" t="inlineStr">
        <is>
          <t>32 anys</t>
        </is>
      </c>
      <c r="F952" s="38" t="n">
        <v>32</v>
      </c>
      <c r="G952" s="38" t="n">
        <v>92</v>
      </c>
      <c r="I952" s="38" t="inlineStr">
        <is>
          <t>Total de tots els sexes; resposta JSON-stat de l'API d'Idescat</t>
        </is>
      </c>
    </row>
    <row r="953" ht="15" customHeight="1" s="39">
      <c r="A953" s="38" t="n">
        <v>2021</v>
      </c>
      <c r="B953" s="42" t="inlineStr">
        <is>
          <t>431093</t>
        </is>
      </c>
      <c r="C953" s="38" t="inlineStr">
        <is>
          <t>Pobla de Mafumet, la</t>
        </is>
      </c>
      <c r="D953" s="38" t="inlineStr">
        <is>
          <t>Y033</t>
        </is>
      </c>
      <c r="E953" s="38" t="inlineStr">
        <is>
          <t>33 anys</t>
        </is>
      </c>
      <c r="F953" s="38" t="n">
        <v>33</v>
      </c>
      <c r="G953" s="38" t="n">
        <v>84</v>
      </c>
      <c r="I953" s="38" t="inlineStr">
        <is>
          <t>Total de tots els sexes; resposta JSON-stat de l'API d'Idescat</t>
        </is>
      </c>
    </row>
    <row r="954" ht="15" customHeight="1" s="39">
      <c r="A954" s="38" t="n">
        <v>2021</v>
      </c>
      <c r="B954" s="42" t="inlineStr">
        <is>
          <t>431093</t>
        </is>
      </c>
      <c r="C954" s="38" t="inlineStr">
        <is>
          <t>Pobla de Mafumet, la</t>
        </is>
      </c>
      <c r="D954" s="38" t="inlineStr">
        <is>
          <t>Y034</t>
        </is>
      </c>
      <c r="E954" s="38" t="inlineStr">
        <is>
          <t>34 anys</t>
        </is>
      </c>
      <c r="F954" s="38" t="n">
        <v>34</v>
      </c>
      <c r="G954" s="38" t="n">
        <v>59</v>
      </c>
      <c r="I954" s="38" t="inlineStr">
        <is>
          <t>Total de tots els sexes; resposta JSON-stat de l'API d'Idescat</t>
        </is>
      </c>
    </row>
    <row r="955" ht="15" customHeight="1" s="39">
      <c r="A955" s="38" t="n">
        <v>2021</v>
      </c>
      <c r="B955" s="42" t="inlineStr">
        <is>
          <t>431093</t>
        </is>
      </c>
      <c r="C955" s="38" t="inlineStr">
        <is>
          <t>Pobla de Mafumet, la</t>
        </is>
      </c>
      <c r="D955" s="38" t="inlineStr">
        <is>
          <t>Y035</t>
        </is>
      </c>
      <c r="E955" s="38" t="inlineStr">
        <is>
          <t>35 anys</t>
        </is>
      </c>
      <c r="F955" s="38" t="n">
        <v>35</v>
      </c>
      <c r="G955" s="38" t="n">
        <v>95</v>
      </c>
      <c r="I955" s="38" t="inlineStr">
        <is>
          <t>Total de tots els sexes; resposta JSON-stat de l'API d'Idescat</t>
        </is>
      </c>
    </row>
    <row r="956" ht="15" customHeight="1" s="39">
      <c r="A956" s="38" t="n">
        <v>2021</v>
      </c>
      <c r="B956" s="42" t="inlineStr">
        <is>
          <t>431093</t>
        </is>
      </c>
      <c r="C956" s="38" t="inlineStr">
        <is>
          <t>Pobla de Mafumet, la</t>
        </is>
      </c>
      <c r="D956" s="38" t="inlineStr">
        <is>
          <t>Y036</t>
        </is>
      </c>
      <c r="E956" s="38" t="inlineStr">
        <is>
          <t>36 anys</t>
        </is>
      </c>
      <c r="F956" s="38" t="n">
        <v>36</v>
      </c>
      <c r="G956" s="38" t="n">
        <v>95</v>
      </c>
      <c r="I956" s="38" t="inlineStr">
        <is>
          <t>Total de tots els sexes; resposta JSON-stat de l'API d'Idescat</t>
        </is>
      </c>
    </row>
    <row r="957" ht="15" customHeight="1" s="39">
      <c r="A957" s="38" t="n">
        <v>2021</v>
      </c>
      <c r="B957" s="42" t="inlineStr">
        <is>
          <t>431093</t>
        </is>
      </c>
      <c r="C957" s="38" t="inlineStr">
        <is>
          <t>Pobla de Mafumet, la</t>
        </is>
      </c>
      <c r="D957" s="38" t="inlineStr">
        <is>
          <t>Y037</t>
        </is>
      </c>
      <c r="E957" s="38" t="inlineStr">
        <is>
          <t>37 anys</t>
        </is>
      </c>
      <c r="F957" s="38" t="n">
        <v>37</v>
      </c>
      <c r="G957" s="38" t="n">
        <v>109</v>
      </c>
      <c r="I957" s="38" t="inlineStr">
        <is>
          <t>Total de tots els sexes; resposta JSON-stat de l'API d'Idescat</t>
        </is>
      </c>
    </row>
    <row r="958" ht="15" customHeight="1" s="39">
      <c r="A958" s="38" t="n">
        <v>2021</v>
      </c>
      <c r="B958" s="42" t="inlineStr">
        <is>
          <t>431093</t>
        </is>
      </c>
      <c r="C958" s="38" t="inlineStr">
        <is>
          <t>Pobla de Mafumet, la</t>
        </is>
      </c>
      <c r="D958" s="38" t="inlineStr">
        <is>
          <t>Y038</t>
        </is>
      </c>
      <c r="E958" s="38" t="inlineStr">
        <is>
          <t>38 anys</t>
        </is>
      </c>
      <c r="F958" s="38" t="n">
        <v>38</v>
      </c>
      <c r="G958" s="38" t="n">
        <v>90</v>
      </c>
      <c r="I958" s="38" t="inlineStr">
        <is>
          <t>Total de tots els sexes; resposta JSON-stat de l'API d'Idescat</t>
        </is>
      </c>
    </row>
    <row r="959" ht="15" customHeight="1" s="39">
      <c r="A959" s="38" t="n">
        <v>2021</v>
      </c>
      <c r="B959" s="42" t="inlineStr">
        <is>
          <t>431093</t>
        </is>
      </c>
      <c r="C959" s="38" t="inlineStr">
        <is>
          <t>Pobla de Mafumet, la</t>
        </is>
      </c>
      <c r="D959" s="38" t="inlineStr">
        <is>
          <t>Y039</t>
        </is>
      </c>
      <c r="E959" s="38" t="inlineStr">
        <is>
          <t>39 anys</t>
        </is>
      </c>
      <c r="F959" s="38" t="n">
        <v>39</v>
      </c>
      <c r="G959" s="38" t="n">
        <v>103</v>
      </c>
      <c r="I959" s="38" t="inlineStr">
        <is>
          <t>Total de tots els sexes; resposta JSON-stat de l'API d'Idescat</t>
        </is>
      </c>
    </row>
    <row r="960" ht="15" customHeight="1" s="39">
      <c r="A960" s="38" t="n">
        <v>2021</v>
      </c>
      <c r="B960" s="42" t="inlineStr">
        <is>
          <t>431093</t>
        </is>
      </c>
      <c r="C960" s="38" t="inlineStr">
        <is>
          <t>Pobla de Mafumet, la</t>
        </is>
      </c>
      <c r="D960" s="38" t="inlineStr">
        <is>
          <t>Y040</t>
        </is>
      </c>
      <c r="E960" s="38" t="inlineStr">
        <is>
          <t>40 anys</t>
        </is>
      </c>
      <c r="F960" s="38" t="n">
        <v>40</v>
      </c>
      <c r="G960" s="38" t="n">
        <v>93</v>
      </c>
      <c r="I960" s="38" t="inlineStr">
        <is>
          <t>Total de tots els sexes; resposta JSON-stat de l'API d'Idescat</t>
        </is>
      </c>
    </row>
    <row r="961" ht="15" customHeight="1" s="39">
      <c r="A961" s="38" t="n">
        <v>2021</v>
      </c>
      <c r="B961" s="42" t="inlineStr">
        <is>
          <t>431093</t>
        </is>
      </c>
      <c r="C961" s="38" t="inlineStr">
        <is>
          <t>Pobla de Mafumet, la</t>
        </is>
      </c>
      <c r="D961" s="38" t="inlineStr">
        <is>
          <t>Y041</t>
        </is>
      </c>
      <c r="E961" s="38" t="inlineStr">
        <is>
          <t>41 anys</t>
        </is>
      </c>
      <c r="F961" s="38" t="n">
        <v>41</v>
      </c>
      <c r="G961" s="38" t="n">
        <v>94</v>
      </c>
      <c r="I961" s="38" t="inlineStr">
        <is>
          <t>Total de tots els sexes; resposta JSON-stat de l'API d'Idescat</t>
        </is>
      </c>
    </row>
    <row r="962" ht="15" customHeight="1" s="39">
      <c r="A962" s="38" t="n">
        <v>2021</v>
      </c>
      <c r="B962" s="42" t="inlineStr">
        <is>
          <t>431093</t>
        </is>
      </c>
      <c r="C962" s="38" t="inlineStr">
        <is>
          <t>Pobla de Mafumet, la</t>
        </is>
      </c>
      <c r="D962" s="38" t="inlineStr">
        <is>
          <t>Y042</t>
        </is>
      </c>
      <c r="E962" s="38" t="inlineStr">
        <is>
          <t>42 anys</t>
        </is>
      </c>
      <c r="F962" s="38" t="n">
        <v>42</v>
      </c>
      <c r="G962" s="38" t="n">
        <v>75</v>
      </c>
      <c r="I962" s="38" t="inlineStr">
        <is>
          <t>Total de tots els sexes; resposta JSON-stat de l'API d'Idescat</t>
        </is>
      </c>
    </row>
    <row r="963" ht="15" customHeight="1" s="39">
      <c r="A963" s="38" t="n">
        <v>2021</v>
      </c>
      <c r="B963" s="42" t="inlineStr">
        <is>
          <t>431093</t>
        </is>
      </c>
      <c r="C963" s="38" t="inlineStr">
        <is>
          <t>Pobla de Mafumet, la</t>
        </is>
      </c>
      <c r="D963" s="38" t="inlineStr">
        <is>
          <t>Y043</t>
        </is>
      </c>
      <c r="E963" s="38" t="inlineStr">
        <is>
          <t>43 anys</t>
        </is>
      </c>
      <c r="F963" s="38" t="n">
        <v>43</v>
      </c>
      <c r="G963" s="38" t="n">
        <v>75</v>
      </c>
      <c r="I963" s="38" t="inlineStr">
        <is>
          <t>Total de tots els sexes; resposta JSON-stat de l'API d'Idescat</t>
        </is>
      </c>
    </row>
    <row r="964" ht="15" customHeight="1" s="39">
      <c r="A964" s="38" t="n">
        <v>2021</v>
      </c>
      <c r="B964" s="42" t="inlineStr">
        <is>
          <t>431093</t>
        </is>
      </c>
      <c r="C964" s="38" t="inlineStr">
        <is>
          <t>Pobla de Mafumet, la</t>
        </is>
      </c>
      <c r="D964" s="38" t="inlineStr">
        <is>
          <t>Y044</t>
        </is>
      </c>
      <c r="E964" s="38" t="inlineStr">
        <is>
          <t>44 anys</t>
        </is>
      </c>
      <c r="F964" s="38" t="n">
        <v>44</v>
      </c>
      <c r="G964" s="38" t="n">
        <v>82</v>
      </c>
      <c r="I964" s="38" t="inlineStr">
        <is>
          <t>Total de tots els sexes; resposta JSON-stat de l'API d'Idescat</t>
        </is>
      </c>
    </row>
    <row r="965" ht="15" customHeight="1" s="39">
      <c r="A965" s="38" t="n">
        <v>2021</v>
      </c>
      <c r="B965" s="42" t="inlineStr">
        <is>
          <t>431093</t>
        </is>
      </c>
      <c r="C965" s="38" t="inlineStr">
        <is>
          <t>Pobla de Mafumet, la</t>
        </is>
      </c>
      <c r="D965" s="38" t="inlineStr">
        <is>
          <t>Y045</t>
        </is>
      </c>
      <c r="E965" s="38" t="inlineStr">
        <is>
          <t>45 anys</t>
        </is>
      </c>
      <c r="F965" s="38" t="n">
        <v>45</v>
      </c>
      <c r="G965" s="38" t="n">
        <v>74</v>
      </c>
      <c r="I965" s="38" t="inlineStr">
        <is>
          <t>Total de tots els sexes; resposta JSON-stat de l'API d'Idescat</t>
        </is>
      </c>
    </row>
    <row r="966" ht="15" customHeight="1" s="39">
      <c r="A966" s="38" t="n">
        <v>2021</v>
      </c>
      <c r="B966" s="42" t="inlineStr">
        <is>
          <t>431093</t>
        </is>
      </c>
      <c r="C966" s="38" t="inlineStr">
        <is>
          <t>Pobla de Mafumet, la</t>
        </is>
      </c>
      <c r="D966" s="38" t="inlineStr">
        <is>
          <t>Y046</t>
        </is>
      </c>
      <c r="E966" s="38" t="inlineStr">
        <is>
          <t>46 anys</t>
        </is>
      </c>
      <c r="F966" s="38" t="n">
        <v>46</v>
      </c>
      <c r="G966" s="38" t="n">
        <v>65</v>
      </c>
      <c r="I966" s="38" t="inlineStr">
        <is>
          <t>Total de tots els sexes; resposta JSON-stat de l'API d'Idescat</t>
        </is>
      </c>
    </row>
    <row r="967" ht="15" customHeight="1" s="39">
      <c r="A967" s="38" t="n">
        <v>2021</v>
      </c>
      <c r="B967" s="42" t="inlineStr">
        <is>
          <t>431093</t>
        </is>
      </c>
      <c r="C967" s="38" t="inlineStr">
        <is>
          <t>Pobla de Mafumet, la</t>
        </is>
      </c>
      <c r="D967" s="38" t="inlineStr">
        <is>
          <t>Y047</t>
        </is>
      </c>
      <c r="E967" s="38" t="inlineStr">
        <is>
          <t>47 anys</t>
        </is>
      </c>
      <c r="F967" s="38" t="n">
        <v>47</v>
      </c>
      <c r="G967" s="38" t="n">
        <v>58</v>
      </c>
      <c r="I967" s="38" t="inlineStr">
        <is>
          <t>Total de tots els sexes; resposta JSON-stat de l'API d'Idescat</t>
        </is>
      </c>
    </row>
    <row r="968" ht="15" customHeight="1" s="39">
      <c r="A968" s="38" t="n">
        <v>2021</v>
      </c>
      <c r="B968" s="42" t="inlineStr">
        <is>
          <t>431093</t>
        </is>
      </c>
      <c r="C968" s="38" t="inlineStr">
        <is>
          <t>Pobla de Mafumet, la</t>
        </is>
      </c>
      <c r="D968" s="38" t="inlineStr">
        <is>
          <t>Y048</t>
        </is>
      </c>
      <c r="E968" s="38" t="inlineStr">
        <is>
          <t>48 anys</t>
        </is>
      </c>
      <c r="F968" s="38" t="n">
        <v>48</v>
      </c>
      <c r="G968" s="38" t="n">
        <v>60</v>
      </c>
      <c r="I968" s="38" t="inlineStr">
        <is>
          <t>Total de tots els sexes; resposta JSON-stat de l'API d'Idescat</t>
        </is>
      </c>
    </row>
    <row r="969" ht="15" customHeight="1" s="39">
      <c r="A969" s="38" t="n">
        <v>2021</v>
      </c>
      <c r="B969" s="42" t="inlineStr">
        <is>
          <t>431093</t>
        </is>
      </c>
      <c r="C969" s="38" t="inlineStr">
        <is>
          <t>Pobla de Mafumet, la</t>
        </is>
      </c>
      <c r="D969" s="38" t="inlineStr">
        <is>
          <t>Y049</t>
        </is>
      </c>
      <c r="E969" s="38" t="inlineStr">
        <is>
          <t>49 anys</t>
        </is>
      </c>
      <c r="F969" s="38" t="n">
        <v>49</v>
      </c>
      <c r="G969" s="38" t="n">
        <v>47</v>
      </c>
      <c r="I969" s="38" t="inlineStr">
        <is>
          <t>Total de tots els sexes; resposta JSON-stat de l'API d'Idescat</t>
        </is>
      </c>
    </row>
    <row r="970" ht="15" customHeight="1" s="39">
      <c r="A970" s="38" t="n">
        <v>2021</v>
      </c>
      <c r="B970" s="42" t="inlineStr">
        <is>
          <t>431093</t>
        </is>
      </c>
      <c r="C970" s="38" t="inlineStr">
        <is>
          <t>Pobla de Mafumet, la</t>
        </is>
      </c>
      <c r="D970" s="38" t="inlineStr">
        <is>
          <t>Y050</t>
        </is>
      </c>
      <c r="E970" s="38" t="inlineStr">
        <is>
          <t>50 anys</t>
        </is>
      </c>
      <c r="F970" s="38" t="n">
        <v>50</v>
      </c>
      <c r="G970" s="38" t="n">
        <v>45</v>
      </c>
      <c r="I970" s="38" t="inlineStr">
        <is>
          <t>Total de tots els sexes; resposta JSON-stat de l'API d'Idescat</t>
        </is>
      </c>
    </row>
    <row r="971" ht="15" customHeight="1" s="39">
      <c r="A971" s="38" t="n">
        <v>2021</v>
      </c>
      <c r="B971" s="42" t="inlineStr">
        <is>
          <t>431093</t>
        </is>
      </c>
      <c r="C971" s="38" t="inlineStr">
        <is>
          <t>Pobla de Mafumet, la</t>
        </is>
      </c>
      <c r="D971" s="38" t="inlineStr">
        <is>
          <t>Y051</t>
        </is>
      </c>
      <c r="E971" s="38" t="inlineStr">
        <is>
          <t>51 anys</t>
        </is>
      </c>
      <c r="F971" s="38" t="n">
        <v>51</v>
      </c>
      <c r="G971" s="38" t="n">
        <v>53</v>
      </c>
      <c r="I971" s="38" t="inlineStr">
        <is>
          <t>Total de tots els sexes; resposta JSON-stat de l'API d'Idescat</t>
        </is>
      </c>
    </row>
    <row r="972" ht="15" customHeight="1" s="39">
      <c r="A972" s="38" t="n">
        <v>2021</v>
      </c>
      <c r="B972" s="42" t="inlineStr">
        <is>
          <t>431093</t>
        </is>
      </c>
      <c r="C972" s="38" t="inlineStr">
        <is>
          <t>Pobla de Mafumet, la</t>
        </is>
      </c>
      <c r="D972" s="38" t="inlineStr">
        <is>
          <t>Y052</t>
        </is>
      </c>
      <c r="E972" s="38" t="inlineStr">
        <is>
          <t>52 anys</t>
        </is>
      </c>
      <c r="F972" s="38" t="n">
        <v>52</v>
      </c>
      <c r="G972" s="38" t="n">
        <v>55</v>
      </c>
      <c r="I972" s="38" t="inlineStr">
        <is>
          <t>Total de tots els sexes; resposta JSON-stat de l'API d'Idescat</t>
        </is>
      </c>
    </row>
    <row r="973" ht="15" customHeight="1" s="39">
      <c r="A973" s="38" t="n">
        <v>2021</v>
      </c>
      <c r="B973" s="42" t="inlineStr">
        <is>
          <t>431093</t>
        </is>
      </c>
      <c r="C973" s="38" t="inlineStr">
        <is>
          <t>Pobla de Mafumet, la</t>
        </is>
      </c>
      <c r="D973" s="38" t="inlineStr">
        <is>
          <t>Y053</t>
        </is>
      </c>
      <c r="E973" s="38" t="inlineStr">
        <is>
          <t>53 anys</t>
        </is>
      </c>
      <c r="F973" s="38" t="n">
        <v>53</v>
      </c>
      <c r="G973" s="38" t="n">
        <v>43</v>
      </c>
      <c r="I973" s="38" t="inlineStr">
        <is>
          <t>Total de tots els sexes; resposta JSON-stat de l'API d'Idescat</t>
        </is>
      </c>
    </row>
    <row r="974" ht="15" customHeight="1" s="39">
      <c r="A974" s="38" t="n">
        <v>2021</v>
      </c>
      <c r="B974" s="42" t="inlineStr">
        <is>
          <t>431093</t>
        </is>
      </c>
      <c r="C974" s="38" t="inlineStr">
        <is>
          <t>Pobla de Mafumet, la</t>
        </is>
      </c>
      <c r="D974" s="38" t="inlineStr">
        <is>
          <t>Y054</t>
        </is>
      </c>
      <c r="E974" s="38" t="inlineStr">
        <is>
          <t>54 anys</t>
        </is>
      </c>
      <c r="F974" s="38" t="n">
        <v>54</v>
      </c>
      <c r="G974" s="38" t="n">
        <v>42</v>
      </c>
      <c r="I974" s="38" t="inlineStr">
        <is>
          <t>Total de tots els sexes; resposta JSON-stat de l'API d'Idescat</t>
        </is>
      </c>
    </row>
    <row r="975" ht="15" customHeight="1" s="39">
      <c r="A975" s="38" t="n">
        <v>2021</v>
      </c>
      <c r="B975" s="42" t="inlineStr">
        <is>
          <t>431093</t>
        </is>
      </c>
      <c r="C975" s="38" t="inlineStr">
        <is>
          <t>Pobla de Mafumet, la</t>
        </is>
      </c>
      <c r="D975" s="38" t="inlineStr">
        <is>
          <t>Y055</t>
        </is>
      </c>
      <c r="E975" s="38" t="inlineStr">
        <is>
          <t>55 anys</t>
        </is>
      </c>
      <c r="F975" s="38" t="n">
        <v>55</v>
      </c>
      <c r="G975" s="38" t="n">
        <v>44</v>
      </c>
      <c r="I975" s="38" t="inlineStr">
        <is>
          <t>Total de tots els sexes; resposta JSON-stat de l'API d'Idescat</t>
        </is>
      </c>
    </row>
    <row r="976" ht="15" customHeight="1" s="39">
      <c r="A976" s="38" t="n">
        <v>2021</v>
      </c>
      <c r="B976" s="42" t="inlineStr">
        <is>
          <t>431093</t>
        </is>
      </c>
      <c r="C976" s="38" t="inlineStr">
        <is>
          <t>Pobla de Mafumet, la</t>
        </is>
      </c>
      <c r="D976" s="38" t="inlineStr">
        <is>
          <t>Y056</t>
        </is>
      </c>
      <c r="E976" s="38" t="inlineStr">
        <is>
          <t>56 anys</t>
        </is>
      </c>
      <c r="F976" s="38" t="n">
        <v>56</v>
      </c>
      <c r="G976" s="38" t="n">
        <v>37</v>
      </c>
      <c r="I976" s="38" t="inlineStr">
        <is>
          <t>Total de tots els sexes; resposta JSON-stat de l'API d'Idescat</t>
        </is>
      </c>
    </row>
    <row r="977" ht="15" customHeight="1" s="39">
      <c r="A977" s="38" t="n">
        <v>2021</v>
      </c>
      <c r="B977" s="42" t="inlineStr">
        <is>
          <t>431093</t>
        </is>
      </c>
      <c r="C977" s="38" t="inlineStr">
        <is>
          <t>Pobla de Mafumet, la</t>
        </is>
      </c>
      <c r="D977" s="38" t="inlineStr">
        <is>
          <t>Y057</t>
        </is>
      </c>
      <c r="E977" s="38" t="inlineStr">
        <is>
          <t>57 anys</t>
        </is>
      </c>
      <c r="F977" s="38" t="n">
        <v>57</v>
      </c>
      <c r="G977" s="38" t="n">
        <v>41</v>
      </c>
      <c r="I977" s="38" t="inlineStr">
        <is>
          <t>Total de tots els sexes; resposta JSON-stat de l'API d'Idescat</t>
        </is>
      </c>
    </row>
    <row r="978" ht="15" customHeight="1" s="39">
      <c r="A978" s="38" t="n">
        <v>2021</v>
      </c>
      <c r="B978" s="42" t="inlineStr">
        <is>
          <t>431093</t>
        </is>
      </c>
      <c r="C978" s="38" t="inlineStr">
        <is>
          <t>Pobla de Mafumet, la</t>
        </is>
      </c>
      <c r="D978" s="38" t="inlineStr">
        <is>
          <t>Y058</t>
        </is>
      </c>
      <c r="E978" s="38" t="inlineStr">
        <is>
          <t>58 anys</t>
        </is>
      </c>
      <c r="F978" s="38" t="n">
        <v>58</v>
      </c>
      <c r="G978" s="38" t="n">
        <v>33</v>
      </c>
      <c r="I978" s="38" t="inlineStr">
        <is>
          <t>Total de tots els sexes; resposta JSON-stat de l'API d'Idescat</t>
        </is>
      </c>
    </row>
    <row r="979" ht="15" customHeight="1" s="39">
      <c r="A979" s="38" t="n">
        <v>2021</v>
      </c>
      <c r="B979" s="42" t="inlineStr">
        <is>
          <t>431093</t>
        </is>
      </c>
      <c r="C979" s="38" t="inlineStr">
        <is>
          <t>Pobla de Mafumet, la</t>
        </is>
      </c>
      <c r="D979" s="38" t="inlineStr">
        <is>
          <t>Y059</t>
        </is>
      </c>
      <c r="E979" s="38" t="inlineStr">
        <is>
          <t>59 anys</t>
        </is>
      </c>
      <c r="F979" s="38" t="n">
        <v>59</v>
      </c>
      <c r="G979" s="38" t="n">
        <v>36</v>
      </c>
      <c r="I979" s="38" t="inlineStr">
        <is>
          <t>Total de tots els sexes; resposta JSON-stat de l'API d'Idescat</t>
        </is>
      </c>
    </row>
    <row r="980" ht="15" customHeight="1" s="39">
      <c r="A980" s="38" t="n">
        <v>2021</v>
      </c>
      <c r="B980" s="42" t="inlineStr">
        <is>
          <t>431093</t>
        </is>
      </c>
      <c r="C980" s="38" t="inlineStr">
        <is>
          <t>Pobla de Mafumet, la</t>
        </is>
      </c>
      <c r="D980" s="38" t="inlineStr">
        <is>
          <t>Y060</t>
        </is>
      </c>
      <c r="E980" s="38" t="inlineStr">
        <is>
          <t>60 anys</t>
        </is>
      </c>
      <c r="F980" s="38" t="n">
        <v>60</v>
      </c>
      <c r="G980" s="38" t="n">
        <v>39</v>
      </c>
      <c r="I980" s="38" t="inlineStr">
        <is>
          <t>Total de tots els sexes; resposta JSON-stat de l'API d'Idescat</t>
        </is>
      </c>
    </row>
    <row r="981" ht="15" customHeight="1" s="39">
      <c r="A981" s="38" t="n">
        <v>2021</v>
      </c>
      <c r="B981" s="42" t="inlineStr">
        <is>
          <t>431093</t>
        </is>
      </c>
      <c r="C981" s="38" t="inlineStr">
        <is>
          <t>Pobla de Mafumet, la</t>
        </is>
      </c>
      <c r="D981" s="38" t="inlineStr">
        <is>
          <t>Y061</t>
        </is>
      </c>
      <c r="E981" s="38" t="inlineStr">
        <is>
          <t>61 anys</t>
        </is>
      </c>
      <c r="F981" s="38" t="n">
        <v>61</v>
      </c>
      <c r="G981" s="38" t="n">
        <v>28</v>
      </c>
      <c r="I981" s="38" t="inlineStr">
        <is>
          <t>Total de tots els sexes; resposta JSON-stat de l'API d'Idescat</t>
        </is>
      </c>
    </row>
    <row r="982" ht="15" customHeight="1" s="39">
      <c r="A982" s="38" t="n">
        <v>2021</v>
      </c>
      <c r="B982" s="42" t="inlineStr">
        <is>
          <t>431093</t>
        </is>
      </c>
      <c r="C982" s="38" t="inlineStr">
        <is>
          <t>Pobla de Mafumet, la</t>
        </is>
      </c>
      <c r="D982" s="38" t="inlineStr">
        <is>
          <t>Y062</t>
        </is>
      </c>
      <c r="E982" s="38" t="inlineStr">
        <is>
          <t>62 anys</t>
        </is>
      </c>
      <c r="F982" s="38" t="n">
        <v>62</v>
      </c>
      <c r="G982" s="38" t="n">
        <v>32</v>
      </c>
      <c r="I982" s="38" t="inlineStr">
        <is>
          <t>Total de tots els sexes; resposta JSON-stat de l'API d'Idescat</t>
        </is>
      </c>
    </row>
    <row r="983" ht="15" customHeight="1" s="39">
      <c r="A983" s="38" t="n">
        <v>2021</v>
      </c>
      <c r="B983" s="42" t="inlineStr">
        <is>
          <t>431093</t>
        </is>
      </c>
      <c r="C983" s="38" t="inlineStr">
        <is>
          <t>Pobla de Mafumet, la</t>
        </is>
      </c>
      <c r="D983" s="38" t="inlineStr">
        <is>
          <t>Y063</t>
        </is>
      </c>
      <c r="E983" s="38" t="inlineStr">
        <is>
          <t>63 anys</t>
        </is>
      </c>
      <c r="F983" s="38" t="n">
        <v>63</v>
      </c>
      <c r="G983" s="38" t="n">
        <v>32</v>
      </c>
      <c r="I983" s="38" t="inlineStr">
        <is>
          <t>Total de tots els sexes; resposta JSON-stat de l'API d'Idescat</t>
        </is>
      </c>
    </row>
    <row r="984" ht="15" customHeight="1" s="39">
      <c r="A984" s="38" t="n">
        <v>2021</v>
      </c>
      <c r="B984" s="42" t="inlineStr">
        <is>
          <t>431093</t>
        </is>
      </c>
      <c r="C984" s="38" t="inlineStr">
        <is>
          <t>Pobla de Mafumet, la</t>
        </is>
      </c>
      <c r="D984" s="38" t="inlineStr">
        <is>
          <t>Y064</t>
        </is>
      </c>
      <c r="E984" s="38" t="inlineStr">
        <is>
          <t>64 anys</t>
        </is>
      </c>
      <c r="F984" s="38" t="n">
        <v>64</v>
      </c>
      <c r="G984" s="38" t="n">
        <v>29</v>
      </c>
      <c r="I984" s="38" t="inlineStr">
        <is>
          <t>Total de tots els sexes; resposta JSON-stat de l'API d'Idescat</t>
        </is>
      </c>
    </row>
    <row r="985" ht="15" customHeight="1" s="39">
      <c r="A985" s="38" t="n">
        <v>2021</v>
      </c>
      <c r="B985" s="42" t="inlineStr">
        <is>
          <t>431093</t>
        </is>
      </c>
      <c r="C985" s="38" t="inlineStr">
        <is>
          <t>Pobla de Mafumet, la</t>
        </is>
      </c>
      <c r="D985" s="38" t="inlineStr">
        <is>
          <t>Y065</t>
        </is>
      </c>
      <c r="E985" s="38" t="inlineStr">
        <is>
          <t>65 anys</t>
        </is>
      </c>
      <c r="F985" s="38" t="n">
        <v>65</v>
      </c>
      <c r="G985" s="38" t="n">
        <v>19</v>
      </c>
      <c r="I985" s="38" t="inlineStr">
        <is>
          <t>Total de tots els sexes; resposta JSON-stat de l'API d'Idescat</t>
        </is>
      </c>
    </row>
    <row r="986" ht="15" customHeight="1" s="39">
      <c r="A986" s="38" t="n">
        <v>2021</v>
      </c>
      <c r="B986" s="42" t="inlineStr">
        <is>
          <t>431093</t>
        </is>
      </c>
      <c r="C986" s="38" t="inlineStr">
        <is>
          <t>Pobla de Mafumet, la</t>
        </is>
      </c>
      <c r="D986" s="38" t="inlineStr">
        <is>
          <t>Y066</t>
        </is>
      </c>
      <c r="E986" s="38" t="inlineStr">
        <is>
          <t>66 anys</t>
        </is>
      </c>
      <c r="F986" s="38" t="n">
        <v>66</v>
      </c>
      <c r="G986" s="38" t="n">
        <v>20</v>
      </c>
      <c r="I986" s="38" t="inlineStr">
        <is>
          <t>Total de tots els sexes; resposta JSON-stat de l'API d'Idescat</t>
        </is>
      </c>
    </row>
    <row r="987" ht="15" customHeight="1" s="39">
      <c r="A987" s="38" t="n">
        <v>2021</v>
      </c>
      <c r="B987" s="42" t="inlineStr">
        <is>
          <t>431093</t>
        </is>
      </c>
      <c r="C987" s="38" t="inlineStr">
        <is>
          <t>Pobla de Mafumet, la</t>
        </is>
      </c>
      <c r="D987" s="38" t="inlineStr">
        <is>
          <t>Y067</t>
        </is>
      </c>
      <c r="E987" s="38" t="inlineStr">
        <is>
          <t>67 anys</t>
        </is>
      </c>
      <c r="F987" s="38" t="n">
        <v>67</v>
      </c>
      <c r="G987" s="38" t="n">
        <v>20</v>
      </c>
      <c r="I987" s="38" t="inlineStr">
        <is>
          <t>Total de tots els sexes; resposta JSON-stat de l'API d'Idescat</t>
        </is>
      </c>
    </row>
    <row r="988" ht="15" customHeight="1" s="39">
      <c r="A988" s="38" t="n">
        <v>2021</v>
      </c>
      <c r="B988" s="42" t="inlineStr">
        <is>
          <t>431093</t>
        </is>
      </c>
      <c r="C988" s="38" t="inlineStr">
        <is>
          <t>Pobla de Mafumet, la</t>
        </is>
      </c>
      <c r="D988" s="38" t="inlineStr">
        <is>
          <t>Y068</t>
        </is>
      </c>
      <c r="E988" s="38" t="inlineStr">
        <is>
          <t>68 anys</t>
        </is>
      </c>
      <c r="F988" s="38" t="n">
        <v>68</v>
      </c>
      <c r="G988" s="38" t="n">
        <v>19</v>
      </c>
      <c r="I988" s="38" t="inlineStr">
        <is>
          <t>Total de tots els sexes; resposta JSON-stat de l'API d'Idescat</t>
        </is>
      </c>
    </row>
    <row r="989" ht="15" customHeight="1" s="39">
      <c r="A989" s="38" t="n">
        <v>2021</v>
      </c>
      <c r="B989" s="42" t="inlineStr">
        <is>
          <t>431093</t>
        </is>
      </c>
      <c r="C989" s="38" t="inlineStr">
        <is>
          <t>Pobla de Mafumet, la</t>
        </is>
      </c>
      <c r="D989" s="38" t="inlineStr">
        <is>
          <t>Y069</t>
        </is>
      </c>
      <c r="E989" s="38" t="inlineStr">
        <is>
          <t>69 anys</t>
        </is>
      </c>
      <c r="F989" s="38" t="n">
        <v>69</v>
      </c>
      <c r="G989" s="38" t="n">
        <v>20</v>
      </c>
      <c r="I989" s="38" t="inlineStr">
        <is>
          <t>Total de tots els sexes; resposta JSON-stat de l'API d'Idescat</t>
        </is>
      </c>
    </row>
    <row r="990" ht="15" customHeight="1" s="39">
      <c r="A990" s="38" t="n">
        <v>2021</v>
      </c>
      <c r="B990" s="42" t="inlineStr">
        <is>
          <t>431093</t>
        </is>
      </c>
      <c r="C990" s="38" t="inlineStr">
        <is>
          <t>Pobla de Mafumet, la</t>
        </is>
      </c>
      <c r="D990" s="38" t="inlineStr">
        <is>
          <t>Y070</t>
        </is>
      </c>
      <c r="E990" s="38" t="inlineStr">
        <is>
          <t>70 anys</t>
        </is>
      </c>
      <c r="F990" s="38" t="n">
        <v>70</v>
      </c>
      <c r="G990" s="38" t="n">
        <v>18</v>
      </c>
      <c r="I990" s="38" t="inlineStr">
        <is>
          <t>Total de tots els sexes; resposta JSON-stat de l'API d'Idescat</t>
        </is>
      </c>
    </row>
    <row r="991" ht="15" customHeight="1" s="39">
      <c r="A991" s="38" t="n">
        <v>2021</v>
      </c>
      <c r="B991" s="42" t="inlineStr">
        <is>
          <t>431093</t>
        </is>
      </c>
      <c r="C991" s="38" t="inlineStr">
        <is>
          <t>Pobla de Mafumet, la</t>
        </is>
      </c>
      <c r="D991" s="38" t="inlineStr">
        <is>
          <t>Y071</t>
        </is>
      </c>
      <c r="E991" s="38" t="inlineStr">
        <is>
          <t>71 anys</t>
        </is>
      </c>
      <c r="F991" s="38" t="n">
        <v>71</v>
      </c>
      <c r="G991" s="38" t="n">
        <v>25</v>
      </c>
      <c r="I991" s="38" t="inlineStr">
        <is>
          <t>Total de tots els sexes; resposta JSON-stat de l'API d'Idescat</t>
        </is>
      </c>
    </row>
    <row r="992" ht="15" customHeight="1" s="39">
      <c r="A992" s="38" t="n">
        <v>2021</v>
      </c>
      <c r="B992" s="42" t="inlineStr">
        <is>
          <t>431093</t>
        </is>
      </c>
      <c r="C992" s="38" t="inlineStr">
        <is>
          <t>Pobla de Mafumet, la</t>
        </is>
      </c>
      <c r="D992" s="38" t="inlineStr">
        <is>
          <t>Y072</t>
        </is>
      </c>
      <c r="E992" s="38" t="inlineStr">
        <is>
          <t>72 anys</t>
        </is>
      </c>
      <c r="F992" s="38" t="n">
        <v>72</v>
      </c>
      <c r="G992" s="38" t="n">
        <v>21</v>
      </c>
      <c r="I992" s="38" t="inlineStr">
        <is>
          <t>Total de tots els sexes; resposta JSON-stat de l'API d'Idescat</t>
        </is>
      </c>
    </row>
    <row r="993" ht="15" customHeight="1" s="39">
      <c r="A993" s="38" t="n">
        <v>2021</v>
      </c>
      <c r="B993" s="42" t="inlineStr">
        <is>
          <t>431093</t>
        </is>
      </c>
      <c r="C993" s="38" t="inlineStr">
        <is>
          <t>Pobla de Mafumet, la</t>
        </is>
      </c>
      <c r="D993" s="38" t="inlineStr">
        <is>
          <t>Y073</t>
        </is>
      </c>
      <c r="E993" s="38" t="inlineStr">
        <is>
          <t>73 anys</t>
        </is>
      </c>
      <c r="F993" s="38" t="n">
        <v>73</v>
      </c>
      <c r="G993" s="38" t="n">
        <v>18</v>
      </c>
      <c r="I993" s="38" t="inlineStr">
        <is>
          <t>Total de tots els sexes; resposta JSON-stat de l'API d'Idescat</t>
        </is>
      </c>
    </row>
    <row r="994" ht="15" customHeight="1" s="39">
      <c r="A994" s="38" t="n">
        <v>2021</v>
      </c>
      <c r="B994" s="42" t="inlineStr">
        <is>
          <t>431093</t>
        </is>
      </c>
      <c r="C994" s="38" t="inlineStr">
        <is>
          <t>Pobla de Mafumet, la</t>
        </is>
      </c>
      <c r="D994" s="38" t="inlineStr">
        <is>
          <t>Y074</t>
        </is>
      </c>
      <c r="E994" s="38" t="inlineStr">
        <is>
          <t>74 anys</t>
        </is>
      </c>
      <c r="F994" s="38" t="n">
        <v>74</v>
      </c>
      <c r="G994" s="38" t="n">
        <v>20</v>
      </c>
      <c r="I994" s="38" t="inlineStr">
        <is>
          <t>Total de tots els sexes; resposta JSON-stat de l'API d'Idescat</t>
        </is>
      </c>
    </row>
    <row r="995" ht="15" customHeight="1" s="39">
      <c r="A995" s="38" t="n">
        <v>2021</v>
      </c>
      <c r="B995" s="42" t="inlineStr">
        <is>
          <t>431093</t>
        </is>
      </c>
      <c r="C995" s="38" t="inlineStr">
        <is>
          <t>Pobla de Mafumet, la</t>
        </is>
      </c>
      <c r="D995" s="38" t="inlineStr">
        <is>
          <t>Y075</t>
        </is>
      </c>
      <c r="E995" s="38" t="inlineStr">
        <is>
          <t>75 anys</t>
        </is>
      </c>
      <c r="F995" s="38" t="n">
        <v>75</v>
      </c>
      <c r="G995" s="38" t="n">
        <v>15</v>
      </c>
      <c r="I995" s="38" t="inlineStr">
        <is>
          <t>Total de tots els sexes; resposta JSON-stat de l'API d'Idescat</t>
        </is>
      </c>
    </row>
    <row r="996" ht="15" customHeight="1" s="39">
      <c r="A996" s="38" t="n">
        <v>2021</v>
      </c>
      <c r="B996" s="42" t="inlineStr">
        <is>
          <t>431093</t>
        </is>
      </c>
      <c r="C996" s="38" t="inlineStr">
        <is>
          <t>Pobla de Mafumet, la</t>
        </is>
      </c>
      <c r="D996" s="38" t="inlineStr">
        <is>
          <t>Y076</t>
        </is>
      </c>
      <c r="E996" s="38" t="inlineStr">
        <is>
          <t>76 anys</t>
        </is>
      </c>
      <c r="F996" s="38" t="n">
        <v>76</v>
      </c>
      <c r="G996" s="38" t="n">
        <v>10</v>
      </c>
      <c r="I996" s="38" t="inlineStr">
        <is>
          <t>Total de tots els sexes; resposta JSON-stat de l'API d'Idescat</t>
        </is>
      </c>
    </row>
    <row r="997" ht="15" customHeight="1" s="39">
      <c r="A997" s="38" t="n">
        <v>2021</v>
      </c>
      <c r="B997" s="42" t="inlineStr">
        <is>
          <t>431093</t>
        </is>
      </c>
      <c r="C997" s="38" t="inlineStr">
        <is>
          <t>Pobla de Mafumet, la</t>
        </is>
      </c>
      <c r="D997" s="38" t="inlineStr">
        <is>
          <t>Y077</t>
        </is>
      </c>
      <c r="E997" s="38" t="inlineStr">
        <is>
          <t>77 anys</t>
        </is>
      </c>
      <c r="F997" s="38" t="n">
        <v>77</v>
      </c>
      <c r="G997" s="38" t="n">
        <v>12</v>
      </c>
      <c r="I997" s="38" t="inlineStr">
        <is>
          <t>Total de tots els sexes; resposta JSON-stat de l'API d'Idescat</t>
        </is>
      </c>
    </row>
    <row r="998" ht="15" customHeight="1" s="39">
      <c r="A998" s="38" t="n">
        <v>2021</v>
      </c>
      <c r="B998" s="42" t="inlineStr">
        <is>
          <t>431093</t>
        </is>
      </c>
      <c r="C998" s="38" t="inlineStr">
        <is>
          <t>Pobla de Mafumet, la</t>
        </is>
      </c>
      <c r="D998" s="38" t="inlineStr">
        <is>
          <t>Y078</t>
        </is>
      </c>
      <c r="E998" s="38" t="inlineStr">
        <is>
          <t>78 anys</t>
        </is>
      </c>
      <c r="F998" s="38" t="n">
        <v>78</v>
      </c>
      <c r="G998" s="38" t="n">
        <v>13</v>
      </c>
      <c r="I998" s="38" t="inlineStr">
        <is>
          <t>Total de tots els sexes; resposta JSON-stat de l'API d'Idescat</t>
        </is>
      </c>
    </row>
    <row r="999" ht="15" customHeight="1" s="39">
      <c r="A999" s="38" t="n">
        <v>2021</v>
      </c>
      <c r="B999" s="42" t="inlineStr">
        <is>
          <t>431093</t>
        </is>
      </c>
      <c r="C999" s="38" t="inlineStr">
        <is>
          <t>Pobla de Mafumet, la</t>
        </is>
      </c>
      <c r="D999" s="38" t="inlineStr">
        <is>
          <t>Y079</t>
        </is>
      </c>
      <c r="E999" s="38" t="inlineStr">
        <is>
          <t>79 anys</t>
        </is>
      </c>
      <c r="F999" s="38" t="n">
        <v>79</v>
      </c>
      <c r="G999" s="38" t="n">
        <v>4</v>
      </c>
      <c r="I999" s="38" t="inlineStr">
        <is>
          <t>Total de tots els sexes; resposta JSON-stat de l'API d'Idescat</t>
        </is>
      </c>
    </row>
    <row r="1000" ht="15" customHeight="1" s="39">
      <c r="A1000" s="38" t="n">
        <v>2021</v>
      </c>
      <c r="B1000" s="42" t="inlineStr">
        <is>
          <t>431093</t>
        </is>
      </c>
      <c r="C1000" s="38" t="inlineStr">
        <is>
          <t>Pobla de Mafumet, la</t>
        </is>
      </c>
      <c r="D1000" s="38" t="inlineStr">
        <is>
          <t>Y080</t>
        </is>
      </c>
      <c r="E1000" s="38" t="inlineStr">
        <is>
          <t>80 anys</t>
        </is>
      </c>
      <c r="F1000" s="38" t="n">
        <v>80</v>
      </c>
      <c r="G1000" s="38" t="n">
        <v>6</v>
      </c>
      <c r="I1000" s="38" t="inlineStr">
        <is>
          <t>Total de tots els sexes; resposta JSON-stat de l'API d'Idescat</t>
        </is>
      </c>
    </row>
    <row r="1001" ht="15" customHeight="1" s="39">
      <c r="A1001" s="38" t="n">
        <v>2021</v>
      </c>
      <c r="B1001" s="42" t="inlineStr">
        <is>
          <t>431093</t>
        </is>
      </c>
      <c r="C1001" s="38" t="inlineStr">
        <is>
          <t>Pobla de Mafumet, la</t>
        </is>
      </c>
      <c r="D1001" s="38" t="inlineStr">
        <is>
          <t>Y081</t>
        </is>
      </c>
      <c r="E1001" s="38" t="inlineStr">
        <is>
          <t>81 anys</t>
        </is>
      </c>
      <c r="F1001" s="38" t="n">
        <v>81</v>
      </c>
      <c r="G1001" s="38" t="n">
        <v>3</v>
      </c>
      <c r="I1001" s="38" t="inlineStr">
        <is>
          <t>Total de tots els sexes; resposta JSON-stat de l'API d'Idescat</t>
        </is>
      </c>
    </row>
    <row r="1002" ht="15" customHeight="1" s="39">
      <c r="A1002" s="38" t="n">
        <v>2021</v>
      </c>
      <c r="B1002" s="42" t="inlineStr">
        <is>
          <t>431093</t>
        </is>
      </c>
      <c r="C1002" s="38" t="inlineStr">
        <is>
          <t>Pobla de Mafumet, la</t>
        </is>
      </c>
      <c r="D1002" s="38" t="inlineStr">
        <is>
          <t>Y082</t>
        </is>
      </c>
      <c r="E1002" s="38" t="inlineStr">
        <is>
          <t>82 anys</t>
        </is>
      </c>
      <c r="F1002" s="38" t="n">
        <v>82</v>
      </c>
      <c r="G1002" s="38" t="n">
        <v>6</v>
      </c>
      <c r="I1002" s="38" t="inlineStr">
        <is>
          <t>Total de tots els sexes; resposta JSON-stat de l'API d'Idescat</t>
        </is>
      </c>
    </row>
    <row r="1003" ht="15" customHeight="1" s="39">
      <c r="A1003" s="38" t="n">
        <v>2021</v>
      </c>
      <c r="B1003" s="42" t="inlineStr">
        <is>
          <t>431093</t>
        </is>
      </c>
      <c r="C1003" s="38" t="inlineStr">
        <is>
          <t>Pobla de Mafumet, la</t>
        </is>
      </c>
      <c r="D1003" s="38" t="inlineStr">
        <is>
          <t>Y083</t>
        </is>
      </c>
      <c r="E1003" s="38" t="inlineStr">
        <is>
          <t>83 anys</t>
        </is>
      </c>
      <c r="F1003" s="38" t="n">
        <v>83</v>
      </c>
      <c r="G1003" s="38" t="n">
        <v>5</v>
      </c>
      <c r="I1003" s="38" t="inlineStr">
        <is>
          <t>Total de tots els sexes; resposta JSON-stat de l'API d'Idescat</t>
        </is>
      </c>
    </row>
    <row r="1004" ht="15" customHeight="1" s="39">
      <c r="A1004" s="38" t="n">
        <v>2021</v>
      </c>
      <c r="B1004" s="42" t="inlineStr">
        <is>
          <t>431093</t>
        </is>
      </c>
      <c r="C1004" s="38" t="inlineStr">
        <is>
          <t>Pobla de Mafumet, la</t>
        </is>
      </c>
      <c r="D1004" s="38" t="inlineStr">
        <is>
          <t>Y084</t>
        </is>
      </c>
      <c r="E1004" s="38" t="inlineStr">
        <is>
          <t>84 anys</t>
        </is>
      </c>
      <c r="F1004" s="38" t="n">
        <v>84</v>
      </c>
      <c r="G1004" s="38" t="n">
        <v>7</v>
      </c>
      <c r="I1004" s="38" t="inlineStr">
        <is>
          <t>Total de tots els sexes; resposta JSON-stat de l'API d'Idescat</t>
        </is>
      </c>
    </row>
    <row r="1005" ht="15" customHeight="1" s="39">
      <c r="A1005" s="38" t="n">
        <v>2021</v>
      </c>
      <c r="B1005" s="42" t="inlineStr">
        <is>
          <t>431093</t>
        </is>
      </c>
      <c r="C1005" s="38" t="inlineStr">
        <is>
          <t>Pobla de Mafumet, la</t>
        </is>
      </c>
      <c r="D1005" s="38" t="inlineStr">
        <is>
          <t>Y085</t>
        </is>
      </c>
      <c r="E1005" s="38" t="inlineStr">
        <is>
          <t>85 anys</t>
        </is>
      </c>
      <c r="F1005" s="38" t="n">
        <v>85</v>
      </c>
      <c r="G1005" s="38" t="n">
        <v>13</v>
      </c>
      <c r="I1005" s="38" t="inlineStr">
        <is>
          <t>Total de tots els sexes; resposta JSON-stat de l'API d'Idescat</t>
        </is>
      </c>
    </row>
    <row r="1006" ht="15" customHeight="1" s="39">
      <c r="A1006" s="38" t="n">
        <v>2021</v>
      </c>
      <c r="B1006" s="42" t="inlineStr">
        <is>
          <t>431093</t>
        </is>
      </c>
      <c r="C1006" s="38" t="inlineStr">
        <is>
          <t>Pobla de Mafumet, la</t>
        </is>
      </c>
      <c r="D1006" s="38" t="inlineStr">
        <is>
          <t>Y086</t>
        </is>
      </c>
      <c r="E1006" s="38" t="inlineStr">
        <is>
          <t>86 anys</t>
        </is>
      </c>
      <c r="F1006" s="38" t="n">
        <v>86</v>
      </c>
      <c r="G1006" s="38" t="n">
        <v>7</v>
      </c>
      <c r="I1006" s="38" t="inlineStr">
        <is>
          <t>Total de tots els sexes; resposta JSON-stat de l'API d'Idescat</t>
        </is>
      </c>
    </row>
    <row r="1007" ht="15" customHeight="1" s="39">
      <c r="A1007" s="38" t="n">
        <v>2021</v>
      </c>
      <c r="B1007" s="42" t="inlineStr">
        <is>
          <t>431093</t>
        </is>
      </c>
      <c r="C1007" s="38" t="inlineStr">
        <is>
          <t>Pobla de Mafumet, la</t>
        </is>
      </c>
      <c r="D1007" s="38" t="inlineStr">
        <is>
          <t>Y087</t>
        </is>
      </c>
      <c r="E1007" s="38" t="inlineStr">
        <is>
          <t>87 anys</t>
        </is>
      </c>
      <c r="F1007" s="38" t="n">
        <v>87</v>
      </c>
      <c r="G1007" s="38" t="n">
        <v>5</v>
      </c>
      <c r="I1007" s="38" t="inlineStr">
        <is>
          <t>Total de tots els sexes; resposta JSON-stat de l'API d'Idescat</t>
        </is>
      </c>
    </row>
    <row r="1008" ht="15" customHeight="1" s="39">
      <c r="A1008" s="38" t="n">
        <v>2021</v>
      </c>
      <c r="B1008" s="42" t="inlineStr">
        <is>
          <t>431093</t>
        </is>
      </c>
      <c r="C1008" s="38" t="inlineStr">
        <is>
          <t>Pobla de Mafumet, la</t>
        </is>
      </c>
      <c r="D1008" s="38" t="inlineStr">
        <is>
          <t>Y088</t>
        </is>
      </c>
      <c r="E1008" s="38" t="inlineStr">
        <is>
          <t>88 anys</t>
        </is>
      </c>
      <c r="F1008" s="38" t="n">
        <v>88</v>
      </c>
      <c r="G1008" s="38" t="n">
        <v>4</v>
      </c>
      <c r="I1008" s="38" t="inlineStr">
        <is>
          <t>Total de tots els sexes; resposta JSON-stat de l'API d'Idescat</t>
        </is>
      </c>
    </row>
    <row r="1009" ht="15" customHeight="1" s="39">
      <c r="A1009" s="38" t="n">
        <v>2021</v>
      </c>
      <c r="B1009" s="42" t="inlineStr">
        <is>
          <t>431093</t>
        </is>
      </c>
      <c r="C1009" s="38" t="inlineStr">
        <is>
          <t>Pobla de Mafumet, la</t>
        </is>
      </c>
      <c r="D1009" s="38" t="inlineStr">
        <is>
          <t>Y089</t>
        </is>
      </c>
      <c r="E1009" s="38" t="inlineStr">
        <is>
          <t>89 anys</t>
        </is>
      </c>
      <c r="F1009" s="38" t="n">
        <v>89</v>
      </c>
      <c r="G1009" s="38" t="n">
        <v>3</v>
      </c>
      <c r="I1009" s="38" t="inlineStr">
        <is>
          <t>Total de tots els sexes; resposta JSON-stat de l'API d'Idescat</t>
        </is>
      </c>
    </row>
    <row r="1010" ht="15" customHeight="1" s="39">
      <c r="A1010" s="38" t="n">
        <v>2021</v>
      </c>
      <c r="B1010" s="42" t="inlineStr">
        <is>
          <t>431093</t>
        </is>
      </c>
      <c r="C1010" s="38" t="inlineStr">
        <is>
          <t>Pobla de Mafumet, la</t>
        </is>
      </c>
      <c r="D1010" s="38" t="inlineStr">
        <is>
          <t>Y090</t>
        </is>
      </c>
      <c r="E1010" s="38" t="inlineStr">
        <is>
          <t>90 anys</t>
        </is>
      </c>
      <c r="F1010" s="38" t="n">
        <v>90</v>
      </c>
      <c r="G1010" s="38" t="n">
        <v>4</v>
      </c>
      <c r="I1010" s="38" t="inlineStr">
        <is>
          <t>Total de tots els sexes; resposta JSON-stat de l'API d'Idescat</t>
        </is>
      </c>
    </row>
    <row r="1011" ht="15" customHeight="1" s="39">
      <c r="A1011" s="38" t="n">
        <v>2021</v>
      </c>
      <c r="B1011" s="42" t="inlineStr">
        <is>
          <t>431093</t>
        </is>
      </c>
      <c r="C1011" s="38" t="inlineStr">
        <is>
          <t>Pobla de Mafumet, la</t>
        </is>
      </c>
      <c r="D1011" s="38" t="inlineStr">
        <is>
          <t>Y091</t>
        </is>
      </c>
      <c r="E1011" s="38" t="inlineStr">
        <is>
          <t>91 anys</t>
        </is>
      </c>
      <c r="F1011" s="38" t="n">
        <v>91</v>
      </c>
      <c r="G1011" s="38" t="n">
        <v>5</v>
      </c>
      <c r="I1011" s="38" t="inlineStr">
        <is>
          <t>Total de tots els sexes; resposta JSON-stat de l'API d'Idescat</t>
        </is>
      </c>
    </row>
    <row r="1012" ht="15" customHeight="1" s="39">
      <c r="A1012" s="38" t="n">
        <v>2021</v>
      </c>
      <c r="B1012" s="42" t="inlineStr">
        <is>
          <t>431093</t>
        </is>
      </c>
      <c r="C1012" s="38" t="inlineStr">
        <is>
          <t>Pobla de Mafumet, la</t>
        </is>
      </c>
      <c r="D1012" s="38" t="inlineStr">
        <is>
          <t>Y092</t>
        </is>
      </c>
      <c r="E1012" s="38" t="inlineStr">
        <is>
          <t>92 anys</t>
        </is>
      </c>
      <c r="F1012" s="38" t="n">
        <v>92</v>
      </c>
      <c r="G1012" s="38" t="n">
        <v>2</v>
      </c>
      <c r="I1012" s="38" t="inlineStr">
        <is>
          <t>Total de tots els sexes; resposta JSON-stat de l'API d'Idescat</t>
        </is>
      </c>
    </row>
    <row r="1013" ht="15" customHeight="1" s="39">
      <c r="A1013" s="38" t="n">
        <v>2021</v>
      </c>
      <c r="B1013" s="42" t="inlineStr">
        <is>
          <t>431093</t>
        </is>
      </c>
      <c r="C1013" s="38" t="inlineStr">
        <is>
          <t>Pobla de Mafumet, la</t>
        </is>
      </c>
      <c r="D1013" s="38" t="inlineStr">
        <is>
          <t>Y093</t>
        </is>
      </c>
      <c r="E1013" s="38" t="inlineStr">
        <is>
          <t>93 anys</t>
        </is>
      </c>
      <c r="F1013" s="38" t="n">
        <v>93</v>
      </c>
      <c r="G1013" s="38" t="n">
        <v>3</v>
      </c>
      <c r="I1013" s="38" t="inlineStr">
        <is>
          <t>Total de tots els sexes; resposta JSON-stat de l'API d'Idescat</t>
        </is>
      </c>
    </row>
    <row r="1014" ht="15" customHeight="1" s="39">
      <c r="A1014" s="38" t="n">
        <v>2021</v>
      </c>
      <c r="B1014" s="42" t="inlineStr">
        <is>
          <t>431093</t>
        </is>
      </c>
      <c r="C1014" s="38" t="inlineStr">
        <is>
          <t>Pobla de Mafumet, la</t>
        </is>
      </c>
      <c r="D1014" s="38" t="inlineStr">
        <is>
          <t>Y094</t>
        </is>
      </c>
      <c r="E1014" s="38" t="inlineStr">
        <is>
          <t>94 anys</t>
        </is>
      </c>
      <c r="F1014" s="38" t="n">
        <v>94</v>
      </c>
      <c r="G1014" s="38" t="n">
        <v>1</v>
      </c>
      <c r="I1014" s="38" t="inlineStr">
        <is>
          <t>Total de tots els sexes; resposta JSON-stat de l'API d'Idescat</t>
        </is>
      </c>
    </row>
    <row r="1015" ht="15" customHeight="1" s="39">
      <c r="A1015" s="38" t="n">
        <v>2021</v>
      </c>
      <c r="B1015" s="42" t="inlineStr">
        <is>
          <t>431093</t>
        </is>
      </c>
      <c r="C1015" s="38" t="inlineStr">
        <is>
          <t>Pobla de Mafumet, la</t>
        </is>
      </c>
      <c r="D1015" s="38" t="inlineStr">
        <is>
          <t>Y095</t>
        </is>
      </c>
      <c r="E1015" s="38" t="inlineStr">
        <is>
          <t>95 anys</t>
        </is>
      </c>
      <c r="F1015" s="38" t="n">
        <v>95</v>
      </c>
      <c r="G1015" s="38" t="n">
        <v>1</v>
      </c>
      <c r="I1015" s="38" t="inlineStr">
        <is>
          <t>Total de tots els sexes; resposta JSON-stat de l'API d'Idescat</t>
        </is>
      </c>
    </row>
    <row r="1016" ht="15" customHeight="1" s="39">
      <c r="A1016" s="38" t="n">
        <v>2021</v>
      </c>
      <c r="B1016" s="42" t="inlineStr">
        <is>
          <t>431093</t>
        </is>
      </c>
      <c r="C1016" s="38" t="inlineStr">
        <is>
          <t>Pobla de Mafumet, la</t>
        </is>
      </c>
      <c r="D1016" s="38" t="inlineStr">
        <is>
          <t>Y096</t>
        </is>
      </c>
      <c r="E1016" s="38" t="inlineStr">
        <is>
          <t>96 anys</t>
        </is>
      </c>
      <c r="F1016" s="38" t="n">
        <v>96</v>
      </c>
      <c r="G1016" s="38" t="n">
        <v>1</v>
      </c>
      <c r="I1016" s="38" t="inlineStr">
        <is>
          <t>Total de tots els sexes; resposta JSON-stat de l'API d'Idescat</t>
        </is>
      </c>
    </row>
    <row r="1017" ht="15" customHeight="1" s="39">
      <c r="A1017" s="38" t="n">
        <v>2021</v>
      </c>
      <c r="B1017" s="42" t="inlineStr">
        <is>
          <t>431093</t>
        </is>
      </c>
      <c r="C1017" s="38" t="inlineStr">
        <is>
          <t>Pobla de Mafumet, la</t>
        </is>
      </c>
      <c r="D1017" s="38" t="inlineStr">
        <is>
          <t>Y097</t>
        </is>
      </c>
      <c r="E1017" s="38" t="inlineStr">
        <is>
          <t>97 anys</t>
        </is>
      </c>
      <c r="F1017" s="38" t="n">
        <v>97</v>
      </c>
      <c r="G1017" s="38" t="n">
        <v>1</v>
      </c>
      <c r="I1017" s="38" t="inlineStr">
        <is>
          <t>Total de tots els sexes; resposta JSON-stat de l'API d'Idescat</t>
        </is>
      </c>
    </row>
    <row r="1018" ht="15" customHeight="1" s="39">
      <c r="A1018" s="38" t="n">
        <v>2021</v>
      </c>
      <c r="B1018" s="42" t="inlineStr">
        <is>
          <t>431093</t>
        </is>
      </c>
      <c r="C1018" s="38" t="inlineStr">
        <is>
          <t>Pobla de Mafumet, la</t>
        </is>
      </c>
      <c r="D1018" s="38" t="inlineStr">
        <is>
          <t>Y098</t>
        </is>
      </c>
      <c r="E1018" s="38" t="inlineStr">
        <is>
          <t>98 anys</t>
        </is>
      </c>
      <c r="F1018" s="38" t="n">
        <v>98</v>
      </c>
      <c r="G1018" s="38" t="n">
        <v>0</v>
      </c>
      <c r="I1018" s="38" t="inlineStr">
        <is>
          <t>Total de tots els sexes; resposta JSON-stat de l'API d'Idescat</t>
        </is>
      </c>
    </row>
    <row r="1019" ht="15" customHeight="1" s="39">
      <c r="A1019" s="38" t="n">
        <v>2021</v>
      </c>
      <c r="B1019" s="42" t="inlineStr">
        <is>
          <t>431093</t>
        </is>
      </c>
      <c r="C1019" s="38" t="inlineStr">
        <is>
          <t>Pobla de Mafumet, la</t>
        </is>
      </c>
      <c r="D1019" s="38" t="inlineStr">
        <is>
          <t>Y099</t>
        </is>
      </c>
      <c r="E1019" s="38" t="inlineStr">
        <is>
          <t>99 anys</t>
        </is>
      </c>
      <c r="F1019" s="38" t="n">
        <v>99</v>
      </c>
      <c r="G1019" s="38" t="n">
        <v>1</v>
      </c>
      <c r="I1019" s="38" t="inlineStr">
        <is>
          <t>Total de tots els sexes; resposta JSON-stat de l'API d'Idescat</t>
        </is>
      </c>
    </row>
    <row r="1020" ht="15" customHeight="1" s="39">
      <c r="A1020" s="38" t="n">
        <v>2021</v>
      </c>
      <c r="B1020" s="42" t="inlineStr">
        <is>
          <t>431093</t>
        </is>
      </c>
      <c r="C1020" s="38" t="inlineStr">
        <is>
          <t>Pobla de Mafumet, la</t>
        </is>
      </c>
      <c r="D1020" s="38" t="inlineStr">
        <is>
          <t>Y_GE100</t>
        </is>
      </c>
      <c r="E1020" s="38" t="inlineStr">
        <is>
          <t>100 anys o més</t>
        </is>
      </c>
      <c r="F1020" s="38" t="n">
        <v>100</v>
      </c>
      <c r="G1020" s="38" t="n">
        <v>0</v>
      </c>
      <c r="I1020" s="38" t="inlineStr">
        <is>
          <t>Total de tots els sexes; resposta JSON-stat de l'API d'Idescat</t>
        </is>
      </c>
    </row>
    <row r="1021" ht="15" customHeight="1" s="39">
      <c r="A1021" s="38" t="n">
        <v>2021</v>
      </c>
      <c r="B1021" s="42" t="inlineStr">
        <is>
          <t>431093</t>
        </is>
      </c>
      <c r="C1021" s="38" t="inlineStr">
        <is>
          <t>Pobla de Mafumet, la</t>
        </is>
      </c>
      <c r="D1021" s="38" t="inlineStr">
        <is>
          <t>TOTAL</t>
        </is>
      </c>
      <c r="E1021" s="38" t="inlineStr">
        <is>
          <t>total</t>
        </is>
      </c>
      <c r="G1021" s="38" t="n">
        <v>4044</v>
      </c>
      <c r="I1021" s="38" t="inlineStr">
        <is>
          <t>Total de tots els sexes; resposta JSON-stat de l'API d'Idescat</t>
        </is>
      </c>
    </row>
    <row r="1022" ht="15" customHeight="1" s="39">
      <c r="A1022" s="38" t="n">
        <v>2021</v>
      </c>
      <c r="B1022" s="42" t="inlineStr">
        <is>
          <t>431114</t>
        </is>
      </c>
      <c r="C1022" s="38" t="inlineStr">
        <is>
          <t>Pobla de Montornès, la</t>
        </is>
      </c>
      <c r="D1022" s="38" t="inlineStr">
        <is>
          <t>Y000</t>
        </is>
      </c>
      <c r="E1022" s="38" t="inlineStr">
        <is>
          <t>0 anys</t>
        </is>
      </c>
      <c r="F1022" s="38" t="n">
        <v>0</v>
      </c>
      <c r="G1022" s="38" t="n">
        <v>17</v>
      </c>
      <c r="I1022" s="38" t="inlineStr">
        <is>
          <t>Total de tots els sexes; resposta JSON-stat de l'API d'Idescat</t>
        </is>
      </c>
    </row>
    <row r="1023" ht="15" customHeight="1" s="39">
      <c r="A1023" s="38" t="n">
        <v>2021</v>
      </c>
      <c r="B1023" s="42" t="inlineStr">
        <is>
          <t>431114</t>
        </is>
      </c>
      <c r="C1023" s="38" t="inlineStr">
        <is>
          <t>Pobla de Montornès, la</t>
        </is>
      </c>
      <c r="D1023" s="38" t="inlineStr">
        <is>
          <t>Y001</t>
        </is>
      </c>
      <c r="E1023" s="38" t="inlineStr">
        <is>
          <t>1 any</t>
        </is>
      </c>
      <c r="F1023" s="38" t="n">
        <v>1</v>
      </c>
      <c r="G1023" s="38" t="n">
        <v>18</v>
      </c>
      <c r="I1023" s="38" t="inlineStr">
        <is>
          <t>Total de tots els sexes; resposta JSON-stat de l'API d'Idescat</t>
        </is>
      </c>
    </row>
    <row r="1024" ht="15" customHeight="1" s="39">
      <c r="A1024" s="38" t="n">
        <v>2021</v>
      </c>
      <c r="B1024" s="42" t="inlineStr">
        <is>
          <t>431114</t>
        </is>
      </c>
      <c r="C1024" s="38" t="inlineStr">
        <is>
          <t>Pobla de Montornès, la</t>
        </is>
      </c>
      <c r="D1024" s="38" t="inlineStr">
        <is>
          <t>Y002</t>
        </is>
      </c>
      <c r="E1024" s="38" t="inlineStr">
        <is>
          <t>2 anys</t>
        </is>
      </c>
      <c r="F1024" s="38" t="n">
        <v>2</v>
      </c>
      <c r="G1024" s="38" t="n">
        <v>16</v>
      </c>
      <c r="I1024" s="38" t="inlineStr">
        <is>
          <t>Total de tots els sexes; resposta JSON-stat de l'API d'Idescat</t>
        </is>
      </c>
    </row>
    <row r="1025" ht="15" customHeight="1" s="39">
      <c r="A1025" s="38" t="n">
        <v>2021</v>
      </c>
      <c r="B1025" s="42" t="inlineStr">
        <is>
          <t>431114</t>
        </is>
      </c>
      <c r="C1025" s="38" t="inlineStr">
        <is>
          <t>Pobla de Montornès, la</t>
        </is>
      </c>
      <c r="D1025" s="38" t="inlineStr">
        <is>
          <t>Y003</t>
        </is>
      </c>
      <c r="E1025" s="38" t="inlineStr">
        <is>
          <t>3 anys</t>
        </is>
      </c>
      <c r="F1025" s="38" t="n">
        <v>3</v>
      </c>
      <c r="G1025" s="38" t="n">
        <v>21</v>
      </c>
      <c r="I1025" s="38" t="inlineStr">
        <is>
          <t>Total de tots els sexes; resposta JSON-stat de l'API d'Idescat</t>
        </is>
      </c>
    </row>
    <row r="1026" ht="15" customHeight="1" s="39">
      <c r="A1026" s="38" t="n">
        <v>2021</v>
      </c>
      <c r="B1026" s="42" t="inlineStr">
        <is>
          <t>431114</t>
        </is>
      </c>
      <c r="C1026" s="38" t="inlineStr">
        <is>
          <t>Pobla de Montornès, la</t>
        </is>
      </c>
      <c r="D1026" s="38" t="inlineStr">
        <is>
          <t>Y004</t>
        </is>
      </c>
      <c r="E1026" s="38" t="inlineStr">
        <is>
          <t>4 anys</t>
        </is>
      </c>
      <c r="F1026" s="38" t="n">
        <v>4</v>
      </c>
      <c r="G1026" s="38" t="n">
        <v>30</v>
      </c>
      <c r="I1026" s="38" t="inlineStr">
        <is>
          <t>Total de tots els sexes; resposta JSON-stat de l'API d'Idescat</t>
        </is>
      </c>
    </row>
    <row r="1027" ht="15" customHeight="1" s="39">
      <c r="A1027" s="38" t="n">
        <v>2021</v>
      </c>
      <c r="B1027" s="42" t="inlineStr">
        <is>
          <t>431114</t>
        </is>
      </c>
      <c r="C1027" s="38" t="inlineStr">
        <is>
          <t>Pobla de Montornès, la</t>
        </is>
      </c>
      <c r="D1027" s="38" t="inlineStr">
        <is>
          <t>Y005</t>
        </is>
      </c>
      <c r="E1027" s="38" t="inlineStr">
        <is>
          <t>5 anys</t>
        </is>
      </c>
      <c r="F1027" s="38" t="n">
        <v>5</v>
      </c>
      <c r="G1027" s="38" t="n">
        <v>25</v>
      </c>
      <c r="I1027" s="38" t="inlineStr">
        <is>
          <t>Total de tots els sexes; resposta JSON-stat de l'API d'Idescat</t>
        </is>
      </c>
    </row>
    <row r="1028" ht="15" customHeight="1" s="39">
      <c r="A1028" s="38" t="n">
        <v>2021</v>
      </c>
      <c r="B1028" s="42" t="inlineStr">
        <is>
          <t>431114</t>
        </is>
      </c>
      <c r="C1028" s="38" t="inlineStr">
        <is>
          <t>Pobla de Montornès, la</t>
        </is>
      </c>
      <c r="D1028" s="38" t="inlineStr">
        <is>
          <t>Y006</t>
        </is>
      </c>
      <c r="E1028" s="38" t="inlineStr">
        <is>
          <t>6 anys</t>
        </is>
      </c>
      <c r="F1028" s="38" t="n">
        <v>6</v>
      </c>
      <c r="G1028" s="38" t="n">
        <v>38</v>
      </c>
      <c r="I1028" s="38" t="inlineStr">
        <is>
          <t>Total de tots els sexes; resposta JSON-stat de l'API d'Idescat</t>
        </is>
      </c>
    </row>
    <row r="1029" ht="15" customHeight="1" s="39">
      <c r="A1029" s="38" t="n">
        <v>2021</v>
      </c>
      <c r="B1029" s="42" t="inlineStr">
        <is>
          <t>431114</t>
        </is>
      </c>
      <c r="C1029" s="38" t="inlineStr">
        <is>
          <t>Pobla de Montornès, la</t>
        </is>
      </c>
      <c r="D1029" s="38" t="inlineStr">
        <is>
          <t>Y007</t>
        </is>
      </c>
      <c r="E1029" s="38" t="inlineStr">
        <is>
          <t>7 anys</t>
        </is>
      </c>
      <c r="F1029" s="38" t="n">
        <v>7</v>
      </c>
      <c r="G1029" s="38" t="n">
        <v>20</v>
      </c>
      <c r="I1029" s="38" t="inlineStr">
        <is>
          <t>Total de tots els sexes; resposta JSON-stat de l'API d'Idescat</t>
        </is>
      </c>
    </row>
    <row r="1030" ht="15" customHeight="1" s="39">
      <c r="A1030" s="38" t="n">
        <v>2021</v>
      </c>
      <c r="B1030" s="42" t="inlineStr">
        <is>
          <t>431114</t>
        </is>
      </c>
      <c r="C1030" s="38" t="inlineStr">
        <is>
          <t>Pobla de Montornès, la</t>
        </is>
      </c>
      <c r="D1030" s="38" t="inlineStr">
        <is>
          <t>Y008</t>
        </is>
      </c>
      <c r="E1030" s="38" t="inlineStr">
        <is>
          <t>8 anys</t>
        </is>
      </c>
      <c r="F1030" s="38" t="n">
        <v>8</v>
      </c>
      <c r="G1030" s="38" t="n">
        <v>34</v>
      </c>
      <c r="I1030" s="38" t="inlineStr">
        <is>
          <t>Total de tots els sexes; resposta JSON-stat de l'API d'Idescat</t>
        </is>
      </c>
    </row>
    <row r="1031" ht="15" customHeight="1" s="39">
      <c r="A1031" s="38" t="n">
        <v>2021</v>
      </c>
      <c r="B1031" s="42" t="inlineStr">
        <is>
          <t>431114</t>
        </is>
      </c>
      <c r="C1031" s="38" t="inlineStr">
        <is>
          <t>Pobla de Montornès, la</t>
        </is>
      </c>
      <c r="D1031" s="38" t="inlineStr">
        <is>
          <t>Y009</t>
        </is>
      </c>
      <c r="E1031" s="38" t="inlineStr">
        <is>
          <t>9 anys</t>
        </is>
      </c>
      <c r="F1031" s="38" t="n">
        <v>9</v>
      </c>
      <c r="G1031" s="38" t="n">
        <v>33</v>
      </c>
      <c r="I1031" s="38" t="inlineStr">
        <is>
          <t>Total de tots els sexes; resposta JSON-stat de l'API d'Idescat</t>
        </is>
      </c>
    </row>
    <row r="1032" ht="15" customHeight="1" s="39">
      <c r="A1032" s="38" t="n">
        <v>2021</v>
      </c>
      <c r="B1032" s="42" t="inlineStr">
        <is>
          <t>431114</t>
        </is>
      </c>
      <c r="C1032" s="38" t="inlineStr">
        <is>
          <t>Pobla de Montornès, la</t>
        </is>
      </c>
      <c r="D1032" s="38" t="inlineStr">
        <is>
          <t>Y010</t>
        </is>
      </c>
      <c r="E1032" s="38" t="inlineStr">
        <is>
          <t>10 anys</t>
        </is>
      </c>
      <c r="F1032" s="38" t="n">
        <v>10</v>
      </c>
      <c r="G1032" s="38" t="n">
        <v>31</v>
      </c>
      <c r="I1032" s="38" t="inlineStr">
        <is>
          <t>Total de tots els sexes; resposta JSON-stat de l'API d'Idescat</t>
        </is>
      </c>
    </row>
    <row r="1033" ht="15" customHeight="1" s="39">
      <c r="A1033" s="38" t="n">
        <v>2021</v>
      </c>
      <c r="B1033" s="42" t="inlineStr">
        <is>
          <t>431114</t>
        </is>
      </c>
      <c r="C1033" s="38" t="inlineStr">
        <is>
          <t>Pobla de Montornès, la</t>
        </is>
      </c>
      <c r="D1033" s="38" t="inlineStr">
        <is>
          <t>Y011</t>
        </is>
      </c>
      <c r="E1033" s="38" t="inlineStr">
        <is>
          <t>11 anys</t>
        </is>
      </c>
      <c r="F1033" s="38" t="n">
        <v>11</v>
      </c>
      <c r="G1033" s="38" t="n">
        <v>38</v>
      </c>
      <c r="I1033" s="38" t="inlineStr">
        <is>
          <t>Total de tots els sexes; resposta JSON-stat de l'API d'Idescat</t>
        </is>
      </c>
    </row>
    <row r="1034" ht="15" customHeight="1" s="39">
      <c r="A1034" s="38" t="n">
        <v>2021</v>
      </c>
      <c r="B1034" s="42" t="inlineStr">
        <is>
          <t>431114</t>
        </is>
      </c>
      <c r="C1034" s="38" t="inlineStr">
        <is>
          <t>Pobla de Montornès, la</t>
        </is>
      </c>
      <c r="D1034" s="38" t="inlineStr">
        <is>
          <t>Y012</t>
        </is>
      </c>
      <c r="E1034" s="38" t="inlineStr">
        <is>
          <t>12 anys</t>
        </is>
      </c>
      <c r="F1034" s="38" t="n">
        <v>12</v>
      </c>
      <c r="G1034" s="38" t="n">
        <v>44</v>
      </c>
      <c r="I1034" s="38" t="inlineStr">
        <is>
          <t>Total de tots els sexes; resposta JSON-stat de l'API d'Idescat</t>
        </is>
      </c>
    </row>
    <row r="1035" ht="15" customHeight="1" s="39">
      <c r="A1035" s="38" t="n">
        <v>2021</v>
      </c>
      <c r="B1035" s="42" t="inlineStr">
        <is>
          <t>431114</t>
        </is>
      </c>
      <c r="C1035" s="38" t="inlineStr">
        <is>
          <t>Pobla de Montornès, la</t>
        </is>
      </c>
      <c r="D1035" s="38" t="inlineStr">
        <is>
          <t>Y013</t>
        </is>
      </c>
      <c r="E1035" s="38" t="inlineStr">
        <is>
          <t>13 anys</t>
        </is>
      </c>
      <c r="F1035" s="38" t="n">
        <v>13</v>
      </c>
      <c r="G1035" s="38" t="n">
        <v>33</v>
      </c>
      <c r="I1035" s="38" t="inlineStr">
        <is>
          <t>Total de tots els sexes; resposta JSON-stat de l'API d'Idescat</t>
        </is>
      </c>
    </row>
    <row r="1036" ht="15" customHeight="1" s="39">
      <c r="A1036" s="38" t="n">
        <v>2021</v>
      </c>
      <c r="B1036" s="42" t="inlineStr">
        <is>
          <t>431114</t>
        </is>
      </c>
      <c r="C1036" s="38" t="inlineStr">
        <is>
          <t>Pobla de Montornès, la</t>
        </is>
      </c>
      <c r="D1036" s="38" t="inlineStr">
        <is>
          <t>Y014</t>
        </is>
      </c>
      <c r="E1036" s="38" t="inlineStr">
        <is>
          <t>14 anys</t>
        </is>
      </c>
      <c r="F1036" s="38" t="n">
        <v>14</v>
      </c>
      <c r="G1036" s="38" t="n">
        <v>47</v>
      </c>
      <c r="I1036" s="38" t="inlineStr">
        <is>
          <t>Total de tots els sexes; resposta JSON-stat de l'API d'Idescat</t>
        </is>
      </c>
    </row>
    <row r="1037" ht="15" customHeight="1" s="39">
      <c r="A1037" s="38" t="n">
        <v>2021</v>
      </c>
      <c r="B1037" s="42" t="inlineStr">
        <is>
          <t>431114</t>
        </is>
      </c>
      <c r="C1037" s="38" t="inlineStr">
        <is>
          <t>Pobla de Montornès, la</t>
        </is>
      </c>
      <c r="D1037" s="38" t="inlineStr">
        <is>
          <t>Y015</t>
        </is>
      </c>
      <c r="E1037" s="38" t="inlineStr">
        <is>
          <t>15 anys</t>
        </is>
      </c>
      <c r="F1037" s="38" t="n">
        <v>15</v>
      </c>
      <c r="G1037" s="38" t="n">
        <v>40</v>
      </c>
      <c r="I1037" s="38" t="inlineStr">
        <is>
          <t>Total de tots els sexes; resposta JSON-stat de l'API d'Idescat</t>
        </is>
      </c>
    </row>
    <row r="1038" ht="15" customHeight="1" s="39">
      <c r="A1038" s="38" t="n">
        <v>2021</v>
      </c>
      <c r="B1038" s="42" t="inlineStr">
        <is>
          <t>431114</t>
        </is>
      </c>
      <c r="C1038" s="38" t="inlineStr">
        <is>
          <t>Pobla de Montornès, la</t>
        </is>
      </c>
      <c r="D1038" s="38" t="inlineStr">
        <is>
          <t>Y016</t>
        </is>
      </c>
      <c r="E1038" s="38" t="inlineStr">
        <is>
          <t>16 anys</t>
        </is>
      </c>
      <c r="F1038" s="38" t="n">
        <v>16</v>
      </c>
      <c r="G1038" s="38" t="n">
        <v>33</v>
      </c>
      <c r="I1038" s="38" t="inlineStr">
        <is>
          <t>Total de tots els sexes; resposta JSON-stat de l'API d'Idescat</t>
        </is>
      </c>
    </row>
    <row r="1039" ht="15" customHeight="1" s="39">
      <c r="A1039" s="38" t="n">
        <v>2021</v>
      </c>
      <c r="B1039" s="42" t="inlineStr">
        <is>
          <t>431114</t>
        </is>
      </c>
      <c r="C1039" s="38" t="inlineStr">
        <is>
          <t>Pobla de Montornès, la</t>
        </is>
      </c>
      <c r="D1039" s="38" t="inlineStr">
        <is>
          <t>Y017</t>
        </is>
      </c>
      <c r="E1039" s="38" t="inlineStr">
        <is>
          <t>17 anys</t>
        </is>
      </c>
      <c r="F1039" s="38" t="n">
        <v>17</v>
      </c>
      <c r="G1039" s="38" t="n">
        <v>31</v>
      </c>
      <c r="I1039" s="38" t="inlineStr">
        <is>
          <t>Total de tots els sexes; resposta JSON-stat de l'API d'Idescat</t>
        </is>
      </c>
    </row>
    <row r="1040" ht="15" customHeight="1" s="39">
      <c r="A1040" s="38" t="n">
        <v>2021</v>
      </c>
      <c r="B1040" s="42" t="inlineStr">
        <is>
          <t>431114</t>
        </is>
      </c>
      <c r="C1040" s="38" t="inlineStr">
        <is>
          <t>Pobla de Montornès, la</t>
        </is>
      </c>
      <c r="D1040" s="38" t="inlineStr">
        <is>
          <t>Y018</t>
        </is>
      </c>
      <c r="E1040" s="38" t="inlineStr">
        <is>
          <t>18 anys</t>
        </is>
      </c>
      <c r="F1040" s="38" t="n">
        <v>18</v>
      </c>
      <c r="G1040" s="38" t="n">
        <v>32</v>
      </c>
      <c r="I1040" s="38" t="inlineStr">
        <is>
          <t>Total de tots els sexes; resposta JSON-stat de l'API d'Idescat</t>
        </is>
      </c>
    </row>
    <row r="1041" ht="15" customHeight="1" s="39">
      <c r="A1041" s="38" t="n">
        <v>2021</v>
      </c>
      <c r="B1041" s="42" t="inlineStr">
        <is>
          <t>431114</t>
        </is>
      </c>
      <c r="C1041" s="38" t="inlineStr">
        <is>
          <t>Pobla de Montornès, la</t>
        </is>
      </c>
      <c r="D1041" s="38" t="inlineStr">
        <is>
          <t>Y019</t>
        </is>
      </c>
      <c r="E1041" s="38" t="inlineStr">
        <is>
          <t>19 anys</t>
        </is>
      </c>
      <c r="F1041" s="38" t="n">
        <v>19</v>
      </c>
      <c r="G1041" s="38" t="n">
        <v>23</v>
      </c>
      <c r="I1041" s="38" t="inlineStr">
        <is>
          <t>Total de tots els sexes; resposta JSON-stat de l'API d'Idescat</t>
        </is>
      </c>
    </row>
    <row r="1042" ht="15" customHeight="1" s="39">
      <c r="A1042" s="38" t="n">
        <v>2021</v>
      </c>
      <c r="B1042" s="42" t="inlineStr">
        <is>
          <t>431114</t>
        </is>
      </c>
      <c r="C1042" s="38" t="inlineStr">
        <is>
          <t>Pobla de Montornès, la</t>
        </is>
      </c>
      <c r="D1042" s="38" t="inlineStr">
        <is>
          <t>Y020</t>
        </is>
      </c>
      <c r="E1042" s="38" t="inlineStr">
        <is>
          <t>20 anys</t>
        </is>
      </c>
      <c r="F1042" s="38" t="n">
        <v>20</v>
      </c>
      <c r="G1042" s="38" t="n">
        <v>23</v>
      </c>
      <c r="I1042" s="38" t="inlineStr">
        <is>
          <t>Total de tots els sexes; resposta JSON-stat de l'API d'Idescat</t>
        </is>
      </c>
    </row>
    <row r="1043" ht="15" customHeight="1" s="39">
      <c r="A1043" s="38" t="n">
        <v>2021</v>
      </c>
      <c r="B1043" s="42" t="inlineStr">
        <is>
          <t>431114</t>
        </is>
      </c>
      <c r="C1043" s="38" t="inlineStr">
        <is>
          <t>Pobla de Montornès, la</t>
        </is>
      </c>
      <c r="D1043" s="38" t="inlineStr">
        <is>
          <t>Y021</t>
        </is>
      </c>
      <c r="E1043" s="38" t="inlineStr">
        <is>
          <t>21 anys</t>
        </is>
      </c>
      <c r="F1043" s="38" t="n">
        <v>21</v>
      </c>
      <c r="G1043" s="38" t="n">
        <v>30</v>
      </c>
      <c r="I1043" s="38" t="inlineStr">
        <is>
          <t>Total de tots els sexes; resposta JSON-stat de l'API d'Idescat</t>
        </is>
      </c>
    </row>
    <row r="1044" ht="15" customHeight="1" s="39">
      <c r="A1044" s="38" t="n">
        <v>2021</v>
      </c>
      <c r="B1044" s="42" t="inlineStr">
        <is>
          <t>431114</t>
        </is>
      </c>
      <c r="C1044" s="38" t="inlineStr">
        <is>
          <t>Pobla de Montornès, la</t>
        </is>
      </c>
      <c r="D1044" s="38" t="inlineStr">
        <is>
          <t>Y022</t>
        </is>
      </c>
      <c r="E1044" s="38" t="inlineStr">
        <is>
          <t>22 anys</t>
        </is>
      </c>
      <c r="F1044" s="38" t="n">
        <v>22</v>
      </c>
      <c r="G1044" s="38" t="n">
        <v>26</v>
      </c>
      <c r="I1044" s="38" t="inlineStr">
        <is>
          <t>Total de tots els sexes; resposta JSON-stat de l'API d'Idescat</t>
        </is>
      </c>
    </row>
    <row r="1045" ht="15" customHeight="1" s="39">
      <c r="A1045" s="38" t="n">
        <v>2021</v>
      </c>
      <c r="B1045" s="42" t="inlineStr">
        <is>
          <t>431114</t>
        </is>
      </c>
      <c r="C1045" s="38" t="inlineStr">
        <is>
          <t>Pobla de Montornès, la</t>
        </is>
      </c>
      <c r="D1045" s="38" t="inlineStr">
        <is>
          <t>Y023</t>
        </is>
      </c>
      <c r="E1045" s="38" t="inlineStr">
        <is>
          <t>23 anys</t>
        </is>
      </c>
      <c r="F1045" s="38" t="n">
        <v>23</v>
      </c>
      <c r="G1045" s="38" t="n">
        <v>22</v>
      </c>
      <c r="I1045" s="38" t="inlineStr">
        <is>
          <t>Total de tots els sexes; resposta JSON-stat de l'API d'Idescat</t>
        </is>
      </c>
    </row>
    <row r="1046" ht="15" customHeight="1" s="39">
      <c r="A1046" s="38" t="n">
        <v>2021</v>
      </c>
      <c r="B1046" s="42" t="inlineStr">
        <is>
          <t>431114</t>
        </is>
      </c>
      <c r="C1046" s="38" t="inlineStr">
        <is>
          <t>Pobla de Montornès, la</t>
        </is>
      </c>
      <c r="D1046" s="38" t="inlineStr">
        <is>
          <t>Y024</t>
        </is>
      </c>
      <c r="E1046" s="38" t="inlineStr">
        <is>
          <t>24 anys</t>
        </is>
      </c>
      <c r="F1046" s="38" t="n">
        <v>24</v>
      </c>
      <c r="G1046" s="38" t="n">
        <v>30</v>
      </c>
      <c r="I1046" s="38" t="inlineStr">
        <is>
          <t>Total de tots els sexes; resposta JSON-stat de l'API d'Idescat</t>
        </is>
      </c>
    </row>
    <row r="1047" ht="15" customHeight="1" s="39">
      <c r="A1047" s="38" t="n">
        <v>2021</v>
      </c>
      <c r="B1047" s="42" t="inlineStr">
        <is>
          <t>431114</t>
        </is>
      </c>
      <c r="C1047" s="38" t="inlineStr">
        <is>
          <t>Pobla de Montornès, la</t>
        </is>
      </c>
      <c r="D1047" s="38" t="inlineStr">
        <is>
          <t>Y025</t>
        </is>
      </c>
      <c r="E1047" s="38" t="inlineStr">
        <is>
          <t>25 anys</t>
        </is>
      </c>
      <c r="F1047" s="38" t="n">
        <v>25</v>
      </c>
      <c r="G1047" s="38" t="n">
        <v>21</v>
      </c>
      <c r="I1047" s="38" t="inlineStr">
        <is>
          <t>Total de tots els sexes; resposta JSON-stat de l'API d'Idescat</t>
        </is>
      </c>
    </row>
    <row r="1048" ht="15" customHeight="1" s="39">
      <c r="A1048" s="38" t="n">
        <v>2021</v>
      </c>
      <c r="B1048" s="42" t="inlineStr">
        <is>
          <t>431114</t>
        </is>
      </c>
      <c r="C1048" s="38" t="inlineStr">
        <is>
          <t>Pobla de Montornès, la</t>
        </is>
      </c>
      <c r="D1048" s="38" t="inlineStr">
        <is>
          <t>Y026</t>
        </is>
      </c>
      <c r="E1048" s="38" t="inlineStr">
        <is>
          <t>26 anys</t>
        </is>
      </c>
      <c r="F1048" s="38" t="n">
        <v>26</v>
      </c>
      <c r="G1048" s="38" t="n">
        <v>21</v>
      </c>
      <c r="I1048" s="38" t="inlineStr">
        <is>
          <t>Total de tots els sexes; resposta JSON-stat de l'API d'Idescat</t>
        </is>
      </c>
    </row>
    <row r="1049" ht="15" customHeight="1" s="39">
      <c r="A1049" s="38" t="n">
        <v>2021</v>
      </c>
      <c r="B1049" s="42" t="inlineStr">
        <is>
          <t>431114</t>
        </is>
      </c>
      <c r="C1049" s="38" t="inlineStr">
        <is>
          <t>Pobla de Montornès, la</t>
        </is>
      </c>
      <c r="D1049" s="38" t="inlineStr">
        <is>
          <t>Y027</t>
        </is>
      </c>
      <c r="E1049" s="38" t="inlineStr">
        <is>
          <t>27 anys</t>
        </is>
      </c>
      <c r="F1049" s="38" t="n">
        <v>27</v>
      </c>
      <c r="G1049" s="38" t="n">
        <v>34</v>
      </c>
      <c r="I1049" s="38" t="inlineStr">
        <is>
          <t>Total de tots els sexes; resposta JSON-stat de l'API d'Idescat</t>
        </is>
      </c>
    </row>
    <row r="1050" ht="15" customHeight="1" s="39">
      <c r="A1050" s="38" t="n">
        <v>2021</v>
      </c>
      <c r="B1050" s="42" t="inlineStr">
        <is>
          <t>431114</t>
        </is>
      </c>
      <c r="C1050" s="38" t="inlineStr">
        <is>
          <t>Pobla de Montornès, la</t>
        </is>
      </c>
      <c r="D1050" s="38" t="inlineStr">
        <is>
          <t>Y028</t>
        </is>
      </c>
      <c r="E1050" s="38" t="inlineStr">
        <is>
          <t>28 anys</t>
        </is>
      </c>
      <c r="F1050" s="38" t="n">
        <v>28</v>
      </c>
      <c r="G1050" s="38" t="n">
        <v>25</v>
      </c>
      <c r="I1050" s="38" t="inlineStr">
        <is>
          <t>Total de tots els sexes; resposta JSON-stat de l'API d'Idescat</t>
        </is>
      </c>
    </row>
    <row r="1051" ht="15" customHeight="1" s="39">
      <c r="A1051" s="38" t="n">
        <v>2021</v>
      </c>
      <c r="B1051" s="42" t="inlineStr">
        <is>
          <t>431114</t>
        </is>
      </c>
      <c r="C1051" s="38" t="inlineStr">
        <is>
          <t>Pobla de Montornès, la</t>
        </is>
      </c>
      <c r="D1051" s="38" t="inlineStr">
        <is>
          <t>Y029</t>
        </is>
      </c>
      <c r="E1051" s="38" t="inlineStr">
        <is>
          <t>29 anys</t>
        </is>
      </c>
      <c r="F1051" s="38" t="n">
        <v>29</v>
      </c>
      <c r="G1051" s="38" t="n">
        <v>25</v>
      </c>
      <c r="I1051" s="38" t="inlineStr">
        <is>
          <t>Total de tots els sexes; resposta JSON-stat de l'API d'Idescat</t>
        </is>
      </c>
    </row>
    <row r="1052" ht="15" customHeight="1" s="39">
      <c r="A1052" s="38" t="n">
        <v>2021</v>
      </c>
      <c r="B1052" s="42" t="inlineStr">
        <is>
          <t>431114</t>
        </is>
      </c>
      <c r="C1052" s="38" t="inlineStr">
        <is>
          <t>Pobla de Montornès, la</t>
        </is>
      </c>
      <c r="D1052" s="38" t="inlineStr">
        <is>
          <t>Y030</t>
        </is>
      </c>
      <c r="E1052" s="38" t="inlineStr">
        <is>
          <t>30 anys</t>
        </is>
      </c>
      <c r="F1052" s="38" t="n">
        <v>30</v>
      </c>
      <c r="G1052" s="38" t="n">
        <v>29</v>
      </c>
      <c r="I1052" s="38" t="inlineStr">
        <is>
          <t>Total de tots els sexes; resposta JSON-stat de l'API d'Idescat</t>
        </is>
      </c>
    </row>
    <row r="1053" ht="15" customHeight="1" s="39">
      <c r="A1053" s="38" t="n">
        <v>2021</v>
      </c>
      <c r="B1053" s="42" t="inlineStr">
        <is>
          <t>431114</t>
        </is>
      </c>
      <c r="C1053" s="38" t="inlineStr">
        <is>
          <t>Pobla de Montornès, la</t>
        </is>
      </c>
      <c r="D1053" s="38" t="inlineStr">
        <is>
          <t>Y031</t>
        </is>
      </c>
      <c r="E1053" s="38" t="inlineStr">
        <is>
          <t>31 anys</t>
        </is>
      </c>
      <c r="F1053" s="38" t="n">
        <v>31</v>
      </c>
      <c r="G1053" s="38" t="n">
        <v>23</v>
      </c>
      <c r="I1053" s="38" t="inlineStr">
        <is>
          <t>Total de tots els sexes; resposta JSON-stat de l'API d'Idescat</t>
        </is>
      </c>
    </row>
    <row r="1054" ht="15" customHeight="1" s="39">
      <c r="A1054" s="38" t="n">
        <v>2021</v>
      </c>
      <c r="B1054" s="42" t="inlineStr">
        <is>
          <t>431114</t>
        </is>
      </c>
      <c r="C1054" s="38" t="inlineStr">
        <is>
          <t>Pobla de Montornès, la</t>
        </is>
      </c>
      <c r="D1054" s="38" t="inlineStr">
        <is>
          <t>Y032</t>
        </is>
      </c>
      <c r="E1054" s="38" t="inlineStr">
        <is>
          <t>32 anys</t>
        </is>
      </c>
      <c r="F1054" s="38" t="n">
        <v>32</v>
      </c>
      <c r="G1054" s="38" t="n">
        <v>29</v>
      </c>
      <c r="I1054" s="38" t="inlineStr">
        <is>
          <t>Total de tots els sexes; resposta JSON-stat de l'API d'Idescat</t>
        </is>
      </c>
    </row>
    <row r="1055" ht="15" customHeight="1" s="39">
      <c r="A1055" s="38" t="n">
        <v>2021</v>
      </c>
      <c r="B1055" s="42" t="inlineStr">
        <is>
          <t>431114</t>
        </is>
      </c>
      <c r="C1055" s="38" t="inlineStr">
        <is>
          <t>Pobla de Montornès, la</t>
        </is>
      </c>
      <c r="D1055" s="38" t="inlineStr">
        <is>
          <t>Y033</t>
        </is>
      </c>
      <c r="E1055" s="38" t="inlineStr">
        <is>
          <t>33 anys</t>
        </is>
      </c>
      <c r="F1055" s="38" t="n">
        <v>33</v>
      </c>
      <c r="G1055" s="38" t="n">
        <v>36</v>
      </c>
      <c r="I1055" s="38" t="inlineStr">
        <is>
          <t>Total de tots els sexes; resposta JSON-stat de l'API d'Idescat</t>
        </is>
      </c>
    </row>
    <row r="1056" ht="15" customHeight="1" s="39">
      <c r="A1056" s="38" t="n">
        <v>2021</v>
      </c>
      <c r="B1056" s="42" t="inlineStr">
        <is>
          <t>431114</t>
        </is>
      </c>
      <c r="C1056" s="38" t="inlineStr">
        <is>
          <t>Pobla de Montornès, la</t>
        </is>
      </c>
      <c r="D1056" s="38" t="inlineStr">
        <is>
          <t>Y034</t>
        </is>
      </c>
      <c r="E1056" s="38" t="inlineStr">
        <is>
          <t>34 anys</t>
        </is>
      </c>
      <c r="F1056" s="38" t="n">
        <v>34</v>
      </c>
      <c r="G1056" s="38" t="n">
        <v>28</v>
      </c>
      <c r="I1056" s="38" t="inlineStr">
        <is>
          <t>Total de tots els sexes; resposta JSON-stat de l'API d'Idescat</t>
        </is>
      </c>
    </row>
    <row r="1057" ht="15" customHeight="1" s="39">
      <c r="A1057" s="38" t="n">
        <v>2021</v>
      </c>
      <c r="B1057" s="42" t="inlineStr">
        <is>
          <t>431114</t>
        </is>
      </c>
      <c r="C1057" s="38" t="inlineStr">
        <is>
          <t>Pobla de Montornès, la</t>
        </is>
      </c>
      <c r="D1057" s="38" t="inlineStr">
        <is>
          <t>Y035</t>
        </is>
      </c>
      <c r="E1057" s="38" t="inlineStr">
        <is>
          <t>35 anys</t>
        </is>
      </c>
      <c r="F1057" s="38" t="n">
        <v>35</v>
      </c>
      <c r="G1057" s="38" t="n">
        <v>41</v>
      </c>
      <c r="I1057" s="38" t="inlineStr">
        <is>
          <t>Total de tots els sexes; resposta JSON-stat de l'API d'Idescat</t>
        </is>
      </c>
    </row>
    <row r="1058" ht="15" customHeight="1" s="39">
      <c r="A1058" s="38" t="n">
        <v>2021</v>
      </c>
      <c r="B1058" s="42" t="inlineStr">
        <is>
          <t>431114</t>
        </is>
      </c>
      <c r="C1058" s="38" t="inlineStr">
        <is>
          <t>Pobla de Montornès, la</t>
        </is>
      </c>
      <c r="D1058" s="38" t="inlineStr">
        <is>
          <t>Y036</t>
        </is>
      </c>
      <c r="E1058" s="38" t="inlineStr">
        <is>
          <t>36 anys</t>
        </is>
      </c>
      <c r="F1058" s="38" t="n">
        <v>36</v>
      </c>
      <c r="G1058" s="38" t="n">
        <v>36</v>
      </c>
      <c r="I1058" s="38" t="inlineStr">
        <is>
          <t>Total de tots els sexes; resposta JSON-stat de l'API d'Idescat</t>
        </is>
      </c>
    </row>
    <row r="1059" ht="15" customHeight="1" s="39">
      <c r="A1059" s="38" t="n">
        <v>2021</v>
      </c>
      <c r="B1059" s="42" t="inlineStr">
        <is>
          <t>431114</t>
        </is>
      </c>
      <c r="C1059" s="38" t="inlineStr">
        <is>
          <t>Pobla de Montornès, la</t>
        </is>
      </c>
      <c r="D1059" s="38" t="inlineStr">
        <is>
          <t>Y037</t>
        </is>
      </c>
      <c r="E1059" s="38" t="inlineStr">
        <is>
          <t>37 anys</t>
        </is>
      </c>
      <c r="F1059" s="38" t="n">
        <v>37</v>
      </c>
      <c r="G1059" s="38" t="n">
        <v>33</v>
      </c>
      <c r="I1059" s="38" t="inlineStr">
        <is>
          <t>Total de tots els sexes; resposta JSON-stat de l'API d'Idescat</t>
        </is>
      </c>
    </row>
    <row r="1060" ht="15" customHeight="1" s="39">
      <c r="A1060" s="38" t="n">
        <v>2021</v>
      </c>
      <c r="B1060" s="42" t="inlineStr">
        <is>
          <t>431114</t>
        </is>
      </c>
      <c r="C1060" s="38" t="inlineStr">
        <is>
          <t>Pobla de Montornès, la</t>
        </is>
      </c>
      <c r="D1060" s="38" t="inlineStr">
        <is>
          <t>Y038</t>
        </is>
      </c>
      <c r="E1060" s="38" t="inlineStr">
        <is>
          <t>38 anys</t>
        </is>
      </c>
      <c r="F1060" s="38" t="n">
        <v>38</v>
      </c>
      <c r="G1060" s="38" t="n">
        <v>39</v>
      </c>
      <c r="I1060" s="38" t="inlineStr">
        <is>
          <t>Total de tots els sexes; resposta JSON-stat de l'API d'Idescat</t>
        </is>
      </c>
    </row>
    <row r="1061" ht="15" customHeight="1" s="39">
      <c r="A1061" s="38" t="n">
        <v>2021</v>
      </c>
      <c r="B1061" s="42" t="inlineStr">
        <is>
          <t>431114</t>
        </is>
      </c>
      <c r="C1061" s="38" t="inlineStr">
        <is>
          <t>Pobla de Montornès, la</t>
        </is>
      </c>
      <c r="D1061" s="38" t="inlineStr">
        <is>
          <t>Y039</t>
        </is>
      </c>
      <c r="E1061" s="38" t="inlineStr">
        <is>
          <t>39 anys</t>
        </is>
      </c>
      <c r="F1061" s="38" t="n">
        <v>39</v>
      </c>
      <c r="G1061" s="38" t="n">
        <v>51</v>
      </c>
      <c r="I1061" s="38" t="inlineStr">
        <is>
          <t>Total de tots els sexes; resposta JSON-stat de l'API d'Idescat</t>
        </is>
      </c>
    </row>
    <row r="1062" ht="15" customHeight="1" s="39">
      <c r="A1062" s="38" t="n">
        <v>2021</v>
      </c>
      <c r="B1062" s="42" t="inlineStr">
        <is>
          <t>431114</t>
        </is>
      </c>
      <c r="C1062" s="38" t="inlineStr">
        <is>
          <t>Pobla de Montornès, la</t>
        </is>
      </c>
      <c r="D1062" s="38" t="inlineStr">
        <is>
          <t>Y040</t>
        </is>
      </c>
      <c r="E1062" s="38" t="inlineStr">
        <is>
          <t>40 anys</t>
        </is>
      </c>
      <c r="F1062" s="38" t="n">
        <v>40</v>
      </c>
      <c r="G1062" s="38" t="n">
        <v>46</v>
      </c>
      <c r="I1062" s="38" t="inlineStr">
        <is>
          <t>Total de tots els sexes; resposta JSON-stat de l'API d'Idescat</t>
        </is>
      </c>
    </row>
    <row r="1063" ht="15" customHeight="1" s="39">
      <c r="A1063" s="38" t="n">
        <v>2021</v>
      </c>
      <c r="B1063" s="42" t="inlineStr">
        <is>
          <t>431114</t>
        </is>
      </c>
      <c r="C1063" s="38" t="inlineStr">
        <is>
          <t>Pobla de Montornès, la</t>
        </is>
      </c>
      <c r="D1063" s="38" t="inlineStr">
        <is>
          <t>Y041</t>
        </is>
      </c>
      <c r="E1063" s="38" t="inlineStr">
        <is>
          <t>41 anys</t>
        </is>
      </c>
      <c r="F1063" s="38" t="n">
        <v>41</v>
      </c>
      <c r="G1063" s="38" t="n">
        <v>59</v>
      </c>
      <c r="I1063" s="38" t="inlineStr">
        <is>
          <t>Total de tots els sexes; resposta JSON-stat de l'API d'Idescat</t>
        </is>
      </c>
    </row>
    <row r="1064" ht="15" customHeight="1" s="39">
      <c r="A1064" s="38" t="n">
        <v>2021</v>
      </c>
      <c r="B1064" s="42" t="inlineStr">
        <is>
          <t>431114</t>
        </is>
      </c>
      <c r="C1064" s="38" t="inlineStr">
        <is>
          <t>Pobla de Montornès, la</t>
        </is>
      </c>
      <c r="D1064" s="38" t="inlineStr">
        <is>
          <t>Y042</t>
        </is>
      </c>
      <c r="E1064" s="38" t="inlineStr">
        <is>
          <t>42 anys</t>
        </is>
      </c>
      <c r="F1064" s="38" t="n">
        <v>42</v>
      </c>
      <c r="G1064" s="38" t="n">
        <v>66</v>
      </c>
      <c r="I1064" s="38" t="inlineStr">
        <is>
          <t>Total de tots els sexes; resposta JSON-stat de l'API d'Idescat</t>
        </is>
      </c>
    </row>
    <row r="1065" ht="15" customHeight="1" s="39">
      <c r="A1065" s="38" t="n">
        <v>2021</v>
      </c>
      <c r="B1065" s="42" t="inlineStr">
        <is>
          <t>431114</t>
        </is>
      </c>
      <c r="C1065" s="38" t="inlineStr">
        <is>
          <t>Pobla de Montornès, la</t>
        </is>
      </c>
      <c r="D1065" s="38" t="inlineStr">
        <is>
          <t>Y043</t>
        </is>
      </c>
      <c r="E1065" s="38" t="inlineStr">
        <is>
          <t>43 anys</t>
        </is>
      </c>
      <c r="F1065" s="38" t="n">
        <v>43</v>
      </c>
      <c r="G1065" s="38" t="n">
        <v>53</v>
      </c>
      <c r="I1065" s="38" t="inlineStr">
        <is>
          <t>Total de tots els sexes; resposta JSON-stat de l'API d'Idescat</t>
        </is>
      </c>
    </row>
    <row r="1066" ht="15" customHeight="1" s="39">
      <c r="A1066" s="38" t="n">
        <v>2021</v>
      </c>
      <c r="B1066" s="42" t="inlineStr">
        <is>
          <t>431114</t>
        </is>
      </c>
      <c r="C1066" s="38" t="inlineStr">
        <is>
          <t>Pobla de Montornès, la</t>
        </is>
      </c>
      <c r="D1066" s="38" t="inlineStr">
        <is>
          <t>Y044</t>
        </is>
      </c>
      <c r="E1066" s="38" t="inlineStr">
        <is>
          <t>44 anys</t>
        </is>
      </c>
      <c r="F1066" s="38" t="n">
        <v>44</v>
      </c>
      <c r="G1066" s="38" t="n">
        <v>70</v>
      </c>
      <c r="I1066" s="38" t="inlineStr">
        <is>
          <t>Total de tots els sexes; resposta JSON-stat de l'API d'Idescat</t>
        </is>
      </c>
    </row>
    <row r="1067" ht="15" customHeight="1" s="39">
      <c r="A1067" s="38" t="n">
        <v>2021</v>
      </c>
      <c r="B1067" s="42" t="inlineStr">
        <is>
          <t>431114</t>
        </is>
      </c>
      <c r="C1067" s="38" t="inlineStr">
        <is>
          <t>Pobla de Montornès, la</t>
        </is>
      </c>
      <c r="D1067" s="38" t="inlineStr">
        <is>
          <t>Y045</t>
        </is>
      </c>
      <c r="E1067" s="38" t="inlineStr">
        <is>
          <t>45 anys</t>
        </is>
      </c>
      <c r="F1067" s="38" t="n">
        <v>45</v>
      </c>
      <c r="G1067" s="38" t="n">
        <v>58</v>
      </c>
      <c r="I1067" s="38" t="inlineStr">
        <is>
          <t>Total de tots els sexes; resposta JSON-stat de l'API d'Idescat</t>
        </is>
      </c>
    </row>
    <row r="1068" ht="15" customHeight="1" s="39">
      <c r="A1068" s="38" t="n">
        <v>2021</v>
      </c>
      <c r="B1068" s="42" t="inlineStr">
        <is>
          <t>431114</t>
        </is>
      </c>
      <c r="C1068" s="38" t="inlineStr">
        <is>
          <t>Pobla de Montornès, la</t>
        </is>
      </c>
      <c r="D1068" s="38" t="inlineStr">
        <is>
          <t>Y046</t>
        </is>
      </c>
      <c r="E1068" s="38" t="inlineStr">
        <is>
          <t>46 anys</t>
        </is>
      </c>
      <c r="F1068" s="38" t="n">
        <v>46</v>
      </c>
      <c r="G1068" s="38" t="n">
        <v>49</v>
      </c>
      <c r="I1068" s="38" t="inlineStr">
        <is>
          <t>Total de tots els sexes; resposta JSON-stat de l'API d'Idescat</t>
        </is>
      </c>
    </row>
    <row r="1069" ht="15" customHeight="1" s="39">
      <c r="A1069" s="38" t="n">
        <v>2021</v>
      </c>
      <c r="B1069" s="42" t="inlineStr">
        <is>
          <t>431114</t>
        </is>
      </c>
      <c r="C1069" s="38" t="inlineStr">
        <is>
          <t>Pobla de Montornès, la</t>
        </is>
      </c>
      <c r="D1069" s="38" t="inlineStr">
        <is>
          <t>Y047</t>
        </is>
      </c>
      <c r="E1069" s="38" t="inlineStr">
        <is>
          <t>47 anys</t>
        </is>
      </c>
      <c r="F1069" s="38" t="n">
        <v>47</v>
      </c>
      <c r="G1069" s="38" t="n">
        <v>56</v>
      </c>
      <c r="I1069" s="38" t="inlineStr">
        <is>
          <t>Total de tots els sexes; resposta JSON-stat de l'API d'Idescat</t>
        </is>
      </c>
    </row>
    <row r="1070" ht="15" customHeight="1" s="39">
      <c r="A1070" s="38" t="n">
        <v>2021</v>
      </c>
      <c r="B1070" s="42" t="inlineStr">
        <is>
          <t>431114</t>
        </is>
      </c>
      <c r="C1070" s="38" t="inlineStr">
        <is>
          <t>Pobla de Montornès, la</t>
        </is>
      </c>
      <c r="D1070" s="38" t="inlineStr">
        <is>
          <t>Y048</t>
        </is>
      </c>
      <c r="E1070" s="38" t="inlineStr">
        <is>
          <t>48 anys</t>
        </is>
      </c>
      <c r="F1070" s="38" t="n">
        <v>48</v>
      </c>
      <c r="G1070" s="38" t="n">
        <v>49</v>
      </c>
      <c r="I1070" s="38" t="inlineStr">
        <is>
          <t>Total de tots els sexes; resposta JSON-stat de l'API d'Idescat</t>
        </is>
      </c>
    </row>
    <row r="1071" ht="15" customHeight="1" s="39">
      <c r="A1071" s="38" t="n">
        <v>2021</v>
      </c>
      <c r="B1071" s="42" t="inlineStr">
        <is>
          <t>431114</t>
        </is>
      </c>
      <c r="C1071" s="38" t="inlineStr">
        <is>
          <t>Pobla de Montornès, la</t>
        </is>
      </c>
      <c r="D1071" s="38" t="inlineStr">
        <is>
          <t>Y049</t>
        </is>
      </c>
      <c r="E1071" s="38" t="inlineStr">
        <is>
          <t>49 anys</t>
        </is>
      </c>
      <c r="F1071" s="38" t="n">
        <v>49</v>
      </c>
      <c r="G1071" s="38" t="n">
        <v>48</v>
      </c>
      <c r="I1071" s="38" t="inlineStr">
        <is>
          <t>Total de tots els sexes; resposta JSON-stat de l'API d'Idescat</t>
        </is>
      </c>
    </row>
    <row r="1072" ht="15" customHeight="1" s="39">
      <c r="A1072" s="38" t="n">
        <v>2021</v>
      </c>
      <c r="B1072" s="42" t="inlineStr">
        <is>
          <t>431114</t>
        </is>
      </c>
      <c r="C1072" s="38" t="inlineStr">
        <is>
          <t>Pobla de Montornès, la</t>
        </is>
      </c>
      <c r="D1072" s="38" t="inlineStr">
        <is>
          <t>Y050</t>
        </is>
      </c>
      <c r="E1072" s="38" t="inlineStr">
        <is>
          <t>50 anys</t>
        </is>
      </c>
      <c r="F1072" s="38" t="n">
        <v>50</v>
      </c>
      <c r="G1072" s="38" t="n">
        <v>52</v>
      </c>
      <c r="I1072" s="38" t="inlineStr">
        <is>
          <t>Total de tots els sexes; resposta JSON-stat de l'API d'Idescat</t>
        </is>
      </c>
    </row>
    <row r="1073" ht="15" customHeight="1" s="39">
      <c r="A1073" s="38" t="n">
        <v>2021</v>
      </c>
      <c r="B1073" s="42" t="inlineStr">
        <is>
          <t>431114</t>
        </is>
      </c>
      <c r="C1073" s="38" t="inlineStr">
        <is>
          <t>Pobla de Montornès, la</t>
        </is>
      </c>
      <c r="D1073" s="38" t="inlineStr">
        <is>
          <t>Y051</t>
        </is>
      </c>
      <c r="E1073" s="38" t="inlineStr">
        <is>
          <t>51 anys</t>
        </is>
      </c>
      <c r="F1073" s="38" t="n">
        <v>51</v>
      </c>
      <c r="G1073" s="38" t="n">
        <v>57</v>
      </c>
      <c r="I1073" s="38" t="inlineStr">
        <is>
          <t>Total de tots els sexes; resposta JSON-stat de l'API d'Idescat</t>
        </is>
      </c>
    </row>
    <row r="1074" ht="15" customHeight="1" s="39">
      <c r="A1074" s="38" t="n">
        <v>2021</v>
      </c>
      <c r="B1074" s="42" t="inlineStr">
        <is>
          <t>431114</t>
        </is>
      </c>
      <c r="C1074" s="38" t="inlineStr">
        <is>
          <t>Pobla de Montornès, la</t>
        </is>
      </c>
      <c r="D1074" s="38" t="inlineStr">
        <is>
          <t>Y052</t>
        </is>
      </c>
      <c r="E1074" s="38" t="inlineStr">
        <is>
          <t>52 anys</t>
        </is>
      </c>
      <c r="F1074" s="38" t="n">
        <v>52</v>
      </c>
      <c r="G1074" s="38" t="n">
        <v>48</v>
      </c>
      <c r="I1074" s="38" t="inlineStr">
        <is>
          <t>Total de tots els sexes; resposta JSON-stat de l'API d'Idescat</t>
        </is>
      </c>
    </row>
    <row r="1075" ht="15" customHeight="1" s="39">
      <c r="A1075" s="38" t="n">
        <v>2021</v>
      </c>
      <c r="B1075" s="42" t="inlineStr">
        <is>
          <t>431114</t>
        </is>
      </c>
      <c r="C1075" s="38" t="inlineStr">
        <is>
          <t>Pobla de Montornès, la</t>
        </is>
      </c>
      <c r="D1075" s="38" t="inlineStr">
        <is>
          <t>Y053</t>
        </is>
      </c>
      <c r="E1075" s="38" t="inlineStr">
        <is>
          <t>53 anys</t>
        </is>
      </c>
      <c r="F1075" s="38" t="n">
        <v>53</v>
      </c>
      <c r="G1075" s="38" t="n">
        <v>49</v>
      </c>
      <c r="I1075" s="38" t="inlineStr">
        <is>
          <t>Total de tots els sexes; resposta JSON-stat de l'API d'Idescat</t>
        </is>
      </c>
    </row>
    <row r="1076" ht="15" customHeight="1" s="39">
      <c r="A1076" s="38" t="n">
        <v>2021</v>
      </c>
      <c r="B1076" s="42" t="inlineStr">
        <is>
          <t>431114</t>
        </is>
      </c>
      <c r="C1076" s="38" t="inlineStr">
        <is>
          <t>Pobla de Montornès, la</t>
        </is>
      </c>
      <c r="D1076" s="38" t="inlineStr">
        <is>
          <t>Y054</t>
        </is>
      </c>
      <c r="E1076" s="38" t="inlineStr">
        <is>
          <t>54 anys</t>
        </is>
      </c>
      <c r="F1076" s="38" t="n">
        <v>54</v>
      </c>
      <c r="G1076" s="38" t="n">
        <v>52</v>
      </c>
      <c r="I1076" s="38" t="inlineStr">
        <is>
          <t>Total de tots els sexes; resposta JSON-stat de l'API d'Idescat</t>
        </is>
      </c>
    </row>
    <row r="1077" ht="15" customHeight="1" s="39">
      <c r="A1077" s="38" t="n">
        <v>2021</v>
      </c>
      <c r="B1077" s="42" t="inlineStr">
        <is>
          <t>431114</t>
        </is>
      </c>
      <c r="C1077" s="38" t="inlineStr">
        <is>
          <t>Pobla de Montornès, la</t>
        </is>
      </c>
      <c r="D1077" s="38" t="inlineStr">
        <is>
          <t>Y055</t>
        </is>
      </c>
      <c r="E1077" s="38" t="inlineStr">
        <is>
          <t>55 anys</t>
        </is>
      </c>
      <c r="F1077" s="38" t="n">
        <v>55</v>
      </c>
      <c r="G1077" s="38" t="n">
        <v>35</v>
      </c>
      <c r="I1077" s="38" t="inlineStr">
        <is>
          <t>Total de tots els sexes; resposta JSON-stat de l'API d'Idescat</t>
        </is>
      </c>
    </row>
    <row r="1078" ht="15" customHeight="1" s="39">
      <c r="A1078" s="38" t="n">
        <v>2021</v>
      </c>
      <c r="B1078" s="42" t="inlineStr">
        <is>
          <t>431114</t>
        </is>
      </c>
      <c r="C1078" s="38" t="inlineStr">
        <is>
          <t>Pobla de Montornès, la</t>
        </is>
      </c>
      <c r="D1078" s="38" t="inlineStr">
        <is>
          <t>Y056</t>
        </is>
      </c>
      <c r="E1078" s="38" t="inlineStr">
        <is>
          <t>56 anys</t>
        </is>
      </c>
      <c r="F1078" s="38" t="n">
        <v>56</v>
      </c>
      <c r="G1078" s="38" t="n">
        <v>41</v>
      </c>
      <c r="I1078" s="38" t="inlineStr">
        <is>
          <t>Total de tots els sexes; resposta JSON-stat de l'API d'Idescat</t>
        </is>
      </c>
    </row>
    <row r="1079" ht="15" customHeight="1" s="39">
      <c r="A1079" s="38" t="n">
        <v>2021</v>
      </c>
      <c r="B1079" s="42" t="inlineStr">
        <is>
          <t>431114</t>
        </is>
      </c>
      <c r="C1079" s="38" t="inlineStr">
        <is>
          <t>Pobla de Montornès, la</t>
        </is>
      </c>
      <c r="D1079" s="38" t="inlineStr">
        <is>
          <t>Y057</t>
        </is>
      </c>
      <c r="E1079" s="38" t="inlineStr">
        <is>
          <t>57 anys</t>
        </is>
      </c>
      <c r="F1079" s="38" t="n">
        <v>57</v>
      </c>
      <c r="G1079" s="38" t="n">
        <v>40</v>
      </c>
      <c r="I1079" s="38" t="inlineStr">
        <is>
          <t>Total de tots els sexes; resposta JSON-stat de l'API d'Idescat</t>
        </is>
      </c>
    </row>
    <row r="1080" ht="15" customHeight="1" s="39">
      <c r="A1080" s="38" t="n">
        <v>2021</v>
      </c>
      <c r="B1080" s="42" t="inlineStr">
        <is>
          <t>431114</t>
        </is>
      </c>
      <c r="C1080" s="38" t="inlineStr">
        <is>
          <t>Pobla de Montornès, la</t>
        </is>
      </c>
      <c r="D1080" s="38" t="inlineStr">
        <is>
          <t>Y058</t>
        </is>
      </c>
      <c r="E1080" s="38" t="inlineStr">
        <is>
          <t>58 anys</t>
        </is>
      </c>
      <c r="F1080" s="38" t="n">
        <v>58</v>
      </c>
      <c r="G1080" s="38" t="n">
        <v>46</v>
      </c>
      <c r="I1080" s="38" t="inlineStr">
        <is>
          <t>Total de tots els sexes; resposta JSON-stat de l'API d'Idescat</t>
        </is>
      </c>
    </row>
    <row r="1081" ht="15" customHeight="1" s="39">
      <c r="A1081" s="38" t="n">
        <v>2021</v>
      </c>
      <c r="B1081" s="42" t="inlineStr">
        <is>
          <t>431114</t>
        </is>
      </c>
      <c r="C1081" s="38" t="inlineStr">
        <is>
          <t>Pobla de Montornès, la</t>
        </is>
      </c>
      <c r="D1081" s="38" t="inlineStr">
        <is>
          <t>Y059</t>
        </is>
      </c>
      <c r="E1081" s="38" t="inlineStr">
        <is>
          <t>59 anys</t>
        </is>
      </c>
      <c r="F1081" s="38" t="n">
        <v>59</v>
      </c>
      <c r="G1081" s="38" t="n">
        <v>31</v>
      </c>
      <c r="I1081" s="38" t="inlineStr">
        <is>
          <t>Total de tots els sexes; resposta JSON-stat de l'API d'Idescat</t>
        </is>
      </c>
    </row>
    <row r="1082" ht="15" customHeight="1" s="39">
      <c r="A1082" s="38" t="n">
        <v>2021</v>
      </c>
      <c r="B1082" s="42" t="inlineStr">
        <is>
          <t>431114</t>
        </is>
      </c>
      <c r="C1082" s="38" t="inlineStr">
        <is>
          <t>Pobla de Montornès, la</t>
        </is>
      </c>
      <c r="D1082" s="38" t="inlineStr">
        <is>
          <t>Y060</t>
        </is>
      </c>
      <c r="E1082" s="38" t="inlineStr">
        <is>
          <t>60 anys</t>
        </is>
      </c>
      <c r="F1082" s="38" t="n">
        <v>60</v>
      </c>
      <c r="G1082" s="38" t="n">
        <v>51</v>
      </c>
      <c r="I1082" s="38" t="inlineStr">
        <is>
          <t>Total de tots els sexes; resposta JSON-stat de l'API d'Idescat</t>
        </is>
      </c>
    </row>
    <row r="1083" ht="15" customHeight="1" s="39">
      <c r="A1083" s="38" t="n">
        <v>2021</v>
      </c>
      <c r="B1083" s="42" t="inlineStr">
        <is>
          <t>431114</t>
        </is>
      </c>
      <c r="C1083" s="38" t="inlineStr">
        <is>
          <t>Pobla de Montornès, la</t>
        </is>
      </c>
      <c r="D1083" s="38" t="inlineStr">
        <is>
          <t>Y061</t>
        </is>
      </c>
      <c r="E1083" s="38" t="inlineStr">
        <is>
          <t>61 anys</t>
        </is>
      </c>
      <c r="F1083" s="38" t="n">
        <v>61</v>
      </c>
      <c r="G1083" s="38" t="n">
        <v>36</v>
      </c>
      <c r="I1083" s="38" t="inlineStr">
        <is>
          <t>Total de tots els sexes; resposta JSON-stat de l'API d'Idescat</t>
        </is>
      </c>
    </row>
    <row r="1084" ht="15" customHeight="1" s="39">
      <c r="A1084" s="38" t="n">
        <v>2021</v>
      </c>
      <c r="B1084" s="42" t="inlineStr">
        <is>
          <t>431114</t>
        </is>
      </c>
      <c r="C1084" s="38" t="inlineStr">
        <is>
          <t>Pobla de Montornès, la</t>
        </is>
      </c>
      <c r="D1084" s="38" t="inlineStr">
        <is>
          <t>Y062</t>
        </is>
      </c>
      <c r="E1084" s="38" t="inlineStr">
        <is>
          <t>62 anys</t>
        </is>
      </c>
      <c r="F1084" s="38" t="n">
        <v>62</v>
      </c>
      <c r="G1084" s="38" t="n">
        <v>31</v>
      </c>
      <c r="I1084" s="38" t="inlineStr">
        <is>
          <t>Total de tots els sexes; resposta JSON-stat de l'API d'Idescat</t>
        </is>
      </c>
    </row>
    <row r="1085" ht="15" customHeight="1" s="39">
      <c r="A1085" s="38" t="n">
        <v>2021</v>
      </c>
      <c r="B1085" s="42" t="inlineStr">
        <is>
          <t>431114</t>
        </is>
      </c>
      <c r="C1085" s="38" t="inlineStr">
        <is>
          <t>Pobla de Montornès, la</t>
        </is>
      </c>
      <c r="D1085" s="38" t="inlineStr">
        <is>
          <t>Y063</t>
        </is>
      </c>
      <c r="E1085" s="38" t="inlineStr">
        <is>
          <t>63 anys</t>
        </is>
      </c>
      <c r="F1085" s="38" t="n">
        <v>63</v>
      </c>
      <c r="G1085" s="38" t="n">
        <v>43</v>
      </c>
      <c r="I1085" s="38" t="inlineStr">
        <is>
          <t>Total de tots els sexes; resposta JSON-stat de l'API d'Idescat</t>
        </is>
      </c>
    </row>
    <row r="1086" ht="15" customHeight="1" s="39">
      <c r="A1086" s="38" t="n">
        <v>2021</v>
      </c>
      <c r="B1086" s="42" t="inlineStr">
        <is>
          <t>431114</t>
        </is>
      </c>
      <c r="C1086" s="38" t="inlineStr">
        <is>
          <t>Pobla de Montornès, la</t>
        </is>
      </c>
      <c r="D1086" s="38" t="inlineStr">
        <is>
          <t>Y064</t>
        </is>
      </c>
      <c r="E1086" s="38" t="inlineStr">
        <is>
          <t>64 anys</t>
        </is>
      </c>
      <c r="F1086" s="38" t="n">
        <v>64</v>
      </c>
      <c r="G1086" s="38" t="n">
        <v>28</v>
      </c>
      <c r="I1086" s="38" t="inlineStr">
        <is>
          <t>Total de tots els sexes; resposta JSON-stat de l'API d'Idescat</t>
        </is>
      </c>
    </row>
    <row r="1087" ht="15" customHeight="1" s="39">
      <c r="A1087" s="38" t="n">
        <v>2021</v>
      </c>
      <c r="B1087" s="42" t="inlineStr">
        <is>
          <t>431114</t>
        </is>
      </c>
      <c r="C1087" s="38" t="inlineStr">
        <is>
          <t>Pobla de Montornès, la</t>
        </is>
      </c>
      <c r="D1087" s="38" t="inlineStr">
        <is>
          <t>Y065</t>
        </is>
      </c>
      <c r="E1087" s="38" t="inlineStr">
        <is>
          <t>65 anys</t>
        </is>
      </c>
      <c r="F1087" s="38" t="n">
        <v>65</v>
      </c>
      <c r="G1087" s="38" t="n">
        <v>27</v>
      </c>
      <c r="I1087" s="38" t="inlineStr">
        <is>
          <t>Total de tots els sexes; resposta JSON-stat de l'API d'Idescat</t>
        </is>
      </c>
    </row>
    <row r="1088" ht="15" customHeight="1" s="39">
      <c r="A1088" s="38" t="n">
        <v>2021</v>
      </c>
      <c r="B1088" s="42" t="inlineStr">
        <is>
          <t>431114</t>
        </is>
      </c>
      <c r="C1088" s="38" t="inlineStr">
        <is>
          <t>Pobla de Montornès, la</t>
        </is>
      </c>
      <c r="D1088" s="38" t="inlineStr">
        <is>
          <t>Y066</t>
        </is>
      </c>
      <c r="E1088" s="38" t="inlineStr">
        <is>
          <t>66 anys</t>
        </is>
      </c>
      <c r="F1088" s="38" t="n">
        <v>66</v>
      </c>
      <c r="G1088" s="38" t="n">
        <v>32</v>
      </c>
      <c r="I1088" s="38" t="inlineStr">
        <is>
          <t>Total de tots els sexes; resposta JSON-stat de l'API d'Idescat</t>
        </is>
      </c>
    </row>
    <row r="1089" ht="15" customHeight="1" s="39">
      <c r="A1089" s="38" t="n">
        <v>2021</v>
      </c>
      <c r="B1089" s="42" t="inlineStr">
        <is>
          <t>431114</t>
        </is>
      </c>
      <c r="C1089" s="38" t="inlineStr">
        <is>
          <t>Pobla de Montornès, la</t>
        </is>
      </c>
      <c r="D1089" s="38" t="inlineStr">
        <is>
          <t>Y067</t>
        </is>
      </c>
      <c r="E1089" s="38" t="inlineStr">
        <is>
          <t>67 anys</t>
        </is>
      </c>
      <c r="F1089" s="38" t="n">
        <v>67</v>
      </c>
      <c r="G1089" s="38" t="n">
        <v>46</v>
      </c>
      <c r="I1089" s="38" t="inlineStr">
        <is>
          <t>Total de tots els sexes; resposta JSON-stat de l'API d'Idescat</t>
        </is>
      </c>
    </row>
    <row r="1090" ht="15" customHeight="1" s="39">
      <c r="A1090" s="38" t="n">
        <v>2021</v>
      </c>
      <c r="B1090" s="42" t="inlineStr">
        <is>
          <t>431114</t>
        </is>
      </c>
      <c r="C1090" s="38" t="inlineStr">
        <is>
          <t>Pobla de Montornès, la</t>
        </is>
      </c>
      <c r="D1090" s="38" t="inlineStr">
        <is>
          <t>Y068</t>
        </is>
      </c>
      <c r="E1090" s="38" t="inlineStr">
        <is>
          <t>68 anys</t>
        </is>
      </c>
      <c r="F1090" s="38" t="n">
        <v>68</v>
      </c>
      <c r="G1090" s="38" t="n">
        <v>33</v>
      </c>
      <c r="I1090" s="38" t="inlineStr">
        <is>
          <t>Total de tots els sexes; resposta JSON-stat de l'API d'Idescat</t>
        </is>
      </c>
    </row>
    <row r="1091" ht="15" customHeight="1" s="39">
      <c r="A1091" s="38" t="n">
        <v>2021</v>
      </c>
      <c r="B1091" s="42" t="inlineStr">
        <is>
          <t>431114</t>
        </is>
      </c>
      <c r="C1091" s="38" t="inlineStr">
        <is>
          <t>Pobla de Montornès, la</t>
        </is>
      </c>
      <c r="D1091" s="38" t="inlineStr">
        <is>
          <t>Y069</t>
        </is>
      </c>
      <c r="E1091" s="38" t="inlineStr">
        <is>
          <t>69 anys</t>
        </is>
      </c>
      <c r="F1091" s="38" t="n">
        <v>69</v>
      </c>
      <c r="G1091" s="38" t="n">
        <v>27</v>
      </c>
      <c r="I1091" s="38" t="inlineStr">
        <is>
          <t>Total de tots els sexes; resposta JSON-stat de l'API d'Idescat</t>
        </is>
      </c>
    </row>
    <row r="1092" ht="15" customHeight="1" s="39">
      <c r="A1092" s="38" t="n">
        <v>2021</v>
      </c>
      <c r="B1092" s="42" t="inlineStr">
        <is>
          <t>431114</t>
        </is>
      </c>
      <c r="C1092" s="38" t="inlineStr">
        <is>
          <t>Pobla de Montornès, la</t>
        </is>
      </c>
      <c r="D1092" s="38" t="inlineStr">
        <is>
          <t>Y070</t>
        </is>
      </c>
      <c r="E1092" s="38" t="inlineStr">
        <is>
          <t>70 anys</t>
        </is>
      </c>
      <c r="F1092" s="38" t="n">
        <v>70</v>
      </c>
      <c r="G1092" s="38" t="n">
        <v>30</v>
      </c>
      <c r="I1092" s="38" t="inlineStr">
        <is>
          <t>Total de tots els sexes; resposta JSON-stat de l'API d'Idescat</t>
        </is>
      </c>
    </row>
    <row r="1093" ht="15" customHeight="1" s="39">
      <c r="A1093" s="38" t="n">
        <v>2021</v>
      </c>
      <c r="B1093" s="42" t="inlineStr">
        <is>
          <t>431114</t>
        </is>
      </c>
      <c r="C1093" s="38" t="inlineStr">
        <is>
          <t>Pobla de Montornès, la</t>
        </is>
      </c>
      <c r="D1093" s="38" t="inlineStr">
        <is>
          <t>Y071</t>
        </is>
      </c>
      <c r="E1093" s="38" t="inlineStr">
        <is>
          <t>71 anys</t>
        </is>
      </c>
      <c r="F1093" s="38" t="n">
        <v>71</v>
      </c>
      <c r="G1093" s="38" t="n">
        <v>34</v>
      </c>
      <c r="I1093" s="38" t="inlineStr">
        <is>
          <t>Total de tots els sexes; resposta JSON-stat de l'API d'Idescat</t>
        </is>
      </c>
    </row>
    <row r="1094" ht="15" customHeight="1" s="39">
      <c r="A1094" s="38" t="n">
        <v>2021</v>
      </c>
      <c r="B1094" s="42" t="inlineStr">
        <is>
          <t>431114</t>
        </is>
      </c>
      <c r="C1094" s="38" t="inlineStr">
        <is>
          <t>Pobla de Montornès, la</t>
        </is>
      </c>
      <c r="D1094" s="38" t="inlineStr">
        <is>
          <t>Y072</t>
        </is>
      </c>
      <c r="E1094" s="38" t="inlineStr">
        <is>
          <t>72 anys</t>
        </is>
      </c>
      <c r="F1094" s="38" t="n">
        <v>72</v>
      </c>
      <c r="G1094" s="38" t="n">
        <v>30</v>
      </c>
      <c r="I1094" s="38" t="inlineStr">
        <is>
          <t>Total de tots els sexes; resposta JSON-stat de l'API d'Idescat</t>
        </is>
      </c>
    </row>
    <row r="1095" ht="15" customHeight="1" s="39">
      <c r="A1095" s="38" t="n">
        <v>2021</v>
      </c>
      <c r="B1095" s="42" t="inlineStr">
        <is>
          <t>431114</t>
        </is>
      </c>
      <c r="C1095" s="38" t="inlineStr">
        <is>
          <t>Pobla de Montornès, la</t>
        </is>
      </c>
      <c r="D1095" s="38" t="inlineStr">
        <is>
          <t>Y073</t>
        </is>
      </c>
      <c r="E1095" s="38" t="inlineStr">
        <is>
          <t>73 anys</t>
        </is>
      </c>
      <c r="F1095" s="38" t="n">
        <v>73</v>
      </c>
      <c r="G1095" s="38" t="n">
        <v>35</v>
      </c>
      <c r="I1095" s="38" t="inlineStr">
        <is>
          <t>Total de tots els sexes; resposta JSON-stat de l'API d'Idescat</t>
        </is>
      </c>
    </row>
    <row r="1096" ht="15" customHeight="1" s="39">
      <c r="A1096" s="38" t="n">
        <v>2021</v>
      </c>
      <c r="B1096" s="42" t="inlineStr">
        <is>
          <t>431114</t>
        </is>
      </c>
      <c r="C1096" s="38" t="inlineStr">
        <is>
          <t>Pobla de Montornès, la</t>
        </is>
      </c>
      <c r="D1096" s="38" t="inlineStr">
        <is>
          <t>Y074</t>
        </is>
      </c>
      <c r="E1096" s="38" t="inlineStr">
        <is>
          <t>74 anys</t>
        </is>
      </c>
      <c r="F1096" s="38" t="n">
        <v>74</v>
      </c>
      <c r="G1096" s="38" t="n">
        <v>27</v>
      </c>
      <c r="I1096" s="38" t="inlineStr">
        <is>
          <t>Total de tots els sexes; resposta JSON-stat de l'API d'Idescat</t>
        </is>
      </c>
    </row>
    <row r="1097" ht="15" customHeight="1" s="39">
      <c r="A1097" s="38" t="n">
        <v>2021</v>
      </c>
      <c r="B1097" s="42" t="inlineStr">
        <is>
          <t>431114</t>
        </is>
      </c>
      <c r="C1097" s="38" t="inlineStr">
        <is>
          <t>Pobla de Montornès, la</t>
        </is>
      </c>
      <c r="D1097" s="38" t="inlineStr">
        <is>
          <t>Y075</t>
        </is>
      </c>
      <c r="E1097" s="38" t="inlineStr">
        <is>
          <t>75 anys</t>
        </is>
      </c>
      <c r="F1097" s="38" t="n">
        <v>75</v>
      </c>
      <c r="G1097" s="38" t="n">
        <v>25</v>
      </c>
      <c r="I1097" s="38" t="inlineStr">
        <is>
          <t>Total de tots els sexes; resposta JSON-stat de l'API d'Idescat</t>
        </is>
      </c>
    </row>
    <row r="1098" ht="15" customHeight="1" s="39">
      <c r="A1098" s="38" t="n">
        <v>2021</v>
      </c>
      <c r="B1098" s="42" t="inlineStr">
        <is>
          <t>431114</t>
        </is>
      </c>
      <c r="C1098" s="38" t="inlineStr">
        <is>
          <t>Pobla de Montornès, la</t>
        </is>
      </c>
      <c r="D1098" s="38" t="inlineStr">
        <is>
          <t>Y076</t>
        </is>
      </c>
      <c r="E1098" s="38" t="inlineStr">
        <is>
          <t>76 anys</t>
        </is>
      </c>
      <c r="F1098" s="38" t="n">
        <v>76</v>
      </c>
      <c r="G1098" s="38" t="n">
        <v>28</v>
      </c>
      <c r="I1098" s="38" t="inlineStr">
        <is>
          <t>Total de tots els sexes; resposta JSON-stat de l'API d'Idescat</t>
        </is>
      </c>
    </row>
    <row r="1099" ht="15" customHeight="1" s="39">
      <c r="A1099" s="38" t="n">
        <v>2021</v>
      </c>
      <c r="B1099" s="42" t="inlineStr">
        <is>
          <t>431114</t>
        </is>
      </c>
      <c r="C1099" s="38" t="inlineStr">
        <is>
          <t>Pobla de Montornès, la</t>
        </is>
      </c>
      <c r="D1099" s="38" t="inlineStr">
        <is>
          <t>Y077</t>
        </is>
      </c>
      <c r="E1099" s="38" t="inlineStr">
        <is>
          <t>77 anys</t>
        </is>
      </c>
      <c r="F1099" s="38" t="n">
        <v>77</v>
      </c>
      <c r="G1099" s="38" t="n">
        <v>37</v>
      </c>
      <c r="I1099" s="38" t="inlineStr">
        <is>
          <t>Total de tots els sexes; resposta JSON-stat de l'API d'Idescat</t>
        </is>
      </c>
    </row>
    <row r="1100" ht="15" customHeight="1" s="39">
      <c r="A1100" s="38" t="n">
        <v>2021</v>
      </c>
      <c r="B1100" s="42" t="inlineStr">
        <is>
          <t>431114</t>
        </is>
      </c>
      <c r="C1100" s="38" t="inlineStr">
        <is>
          <t>Pobla de Montornès, la</t>
        </is>
      </c>
      <c r="D1100" s="38" t="inlineStr">
        <is>
          <t>Y078</t>
        </is>
      </c>
      <c r="E1100" s="38" t="inlineStr">
        <is>
          <t>78 anys</t>
        </is>
      </c>
      <c r="F1100" s="38" t="n">
        <v>78</v>
      </c>
      <c r="G1100" s="38" t="n">
        <v>24</v>
      </c>
      <c r="I1100" s="38" t="inlineStr">
        <is>
          <t>Total de tots els sexes; resposta JSON-stat de l'API d'Idescat</t>
        </is>
      </c>
    </row>
    <row r="1101" ht="15" customHeight="1" s="39">
      <c r="A1101" s="38" t="n">
        <v>2021</v>
      </c>
      <c r="B1101" s="42" t="inlineStr">
        <is>
          <t>431114</t>
        </is>
      </c>
      <c r="C1101" s="38" t="inlineStr">
        <is>
          <t>Pobla de Montornès, la</t>
        </is>
      </c>
      <c r="D1101" s="38" t="inlineStr">
        <is>
          <t>Y079</t>
        </is>
      </c>
      <c r="E1101" s="38" t="inlineStr">
        <is>
          <t>79 anys</t>
        </is>
      </c>
      <c r="F1101" s="38" t="n">
        <v>79</v>
      </c>
      <c r="G1101" s="38" t="n">
        <v>16</v>
      </c>
      <c r="I1101" s="38" t="inlineStr">
        <is>
          <t>Total de tots els sexes; resposta JSON-stat de l'API d'Idescat</t>
        </is>
      </c>
    </row>
    <row r="1102" ht="15" customHeight="1" s="39">
      <c r="A1102" s="38" t="n">
        <v>2021</v>
      </c>
      <c r="B1102" s="42" t="inlineStr">
        <is>
          <t>431114</t>
        </is>
      </c>
      <c r="C1102" s="38" t="inlineStr">
        <is>
          <t>Pobla de Montornès, la</t>
        </is>
      </c>
      <c r="D1102" s="38" t="inlineStr">
        <is>
          <t>Y080</t>
        </is>
      </c>
      <c r="E1102" s="38" t="inlineStr">
        <is>
          <t>80 anys</t>
        </is>
      </c>
      <c r="F1102" s="38" t="n">
        <v>80</v>
      </c>
      <c r="G1102" s="38" t="n">
        <v>22</v>
      </c>
      <c r="I1102" s="38" t="inlineStr">
        <is>
          <t>Total de tots els sexes; resposta JSON-stat de l'API d'Idescat</t>
        </is>
      </c>
    </row>
    <row r="1103" ht="15" customHeight="1" s="39">
      <c r="A1103" s="38" t="n">
        <v>2021</v>
      </c>
      <c r="B1103" s="42" t="inlineStr">
        <is>
          <t>431114</t>
        </is>
      </c>
      <c r="C1103" s="38" t="inlineStr">
        <is>
          <t>Pobla de Montornès, la</t>
        </is>
      </c>
      <c r="D1103" s="38" t="inlineStr">
        <is>
          <t>Y081</t>
        </is>
      </c>
      <c r="E1103" s="38" t="inlineStr">
        <is>
          <t>81 anys</t>
        </is>
      </c>
      <c r="F1103" s="38" t="n">
        <v>81</v>
      </c>
      <c r="G1103" s="38" t="n">
        <v>15</v>
      </c>
      <c r="I1103" s="38" t="inlineStr">
        <is>
          <t>Total de tots els sexes; resposta JSON-stat de l'API d'Idescat</t>
        </is>
      </c>
    </row>
    <row r="1104" ht="15" customHeight="1" s="39">
      <c r="A1104" s="38" t="n">
        <v>2021</v>
      </c>
      <c r="B1104" s="42" t="inlineStr">
        <is>
          <t>431114</t>
        </is>
      </c>
      <c r="C1104" s="38" t="inlineStr">
        <is>
          <t>Pobla de Montornès, la</t>
        </is>
      </c>
      <c r="D1104" s="38" t="inlineStr">
        <is>
          <t>Y082</t>
        </is>
      </c>
      <c r="E1104" s="38" t="inlineStr">
        <is>
          <t>82 anys</t>
        </is>
      </c>
      <c r="F1104" s="38" t="n">
        <v>82</v>
      </c>
      <c r="G1104" s="38" t="n">
        <v>11</v>
      </c>
      <c r="I1104" s="38" t="inlineStr">
        <is>
          <t>Total de tots els sexes; resposta JSON-stat de l'API d'Idescat</t>
        </is>
      </c>
    </row>
    <row r="1105" ht="15" customHeight="1" s="39">
      <c r="A1105" s="38" t="n">
        <v>2021</v>
      </c>
      <c r="B1105" s="42" t="inlineStr">
        <is>
          <t>431114</t>
        </is>
      </c>
      <c r="C1105" s="38" t="inlineStr">
        <is>
          <t>Pobla de Montornès, la</t>
        </is>
      </c>
      <c r="D1105" s="38" t="inlineStr">
        <is>
          <t>Y083</t>
        </is>
      </c>
      <c r="E1105" s="38" t="inlineStr">
        <is>
          <t>83 anys</t>
        </is>
      </c>
      <c r="F1105" s="38" t="n">
        <v>83</v>
      </c>
      <c r="G1105" s="38" t="n">
        <v>18</v>
      </c>
      <c r="I1105" s="38" t="inlineStr">
        <is>
          <t>Total de tots els sexes; resposta JSON-stat de l'API d'Idescat</t>
        </is>
      </c>
    </row>
    <row r="1106" ht="15" customHeight="1" s="39">
      <c r="A1106" s="38" t="n">
        <v>2021</v>
      </c>
      <c r="B1106" s="42" t="inlineStr">
        <is>
          <t>431114</t>
        </is>
      </c>
      <c r="C1106" s="38" t="inlineStr">
        <is>
          <t>Pobla de Montornès, la</t>
        </is>
      </c>
      <c r="D1106" s="38" t="inlineStr">
        <is>
          <t>Y084</t>
        </is>
      </c>
      <c r="E1106" s="38" t="inlineStr">
        <is>
          <t>84 anys</t>
        </is>
      </c>
      <c r="F1106" s="38" t="n">
        <v>84</v>
      </c>
      <c r="G1106" s="38" t="n">
        <v>14</v>
      </c>
      <c r="I1106" s="38" t="inlineStr">
        <is>
          <t>Total de tots els sexes; resposta JSON-stat de l'API d'Idescat</t>
        </is>
      </c>
    </row>
    <row r="1107" ht="15" customHeight="1" s="39">
      <c r="A1107" s="38" t="n">
        <v>2021</v>
      </c>
      <c r="B1107" s="42" t="inlineStr">
        <is>
          <t>431114</t>
        </is>
      </c>
      <c r="C1107" s="38" t="inlineStr">
        <is>
          <t>Pobla de Montornès, la</t>
        </is>
      </c>
      <c r="D1107" s="38" t="inlineStr">
        <is>
          <t>Y085</t>
        </is>
      </c>
      <c r="E1107" s="38" t="inlineStr">
        <is>
          <t>85 anys</t>
        </is>
      </c>
      <c r="F1107" s="38" t="n">
        <v>85</v>
      </c>
      <c r="G1107" s="38" t="n">
        <v>12</v>
      </c>
      <c r="I1107" s="38" t="inlineStr">
        <is>
          <t>Total de tots els sexes; resposta JSON-stat de l'API d'Idescat</t>
        </is>
      </c>
    </row>
    <row r="1108" ht="15" customHeight="1" s="39">
      <c r="A1108" s="38" t="n">
        <v>2021</v>
      </c>
      <c r="B1108" s="42" t="inlineStr">
        <is>
          <t>431114</t>
        </is>
      </c>
      <c r="C1108" s="38" t="inlineStr">
        <is>
          <t>Pobla de Montornès, la</t>
        </is>
      </c>
      <c r="D1108" s="38" t="inlineStr">
        <is>
          <t>Y086</t>
        </is>
      </c>
      <c r="E1108" s="38" t="inlineStr">
        <is>
          <t>86 anys</t>
        </is>
      </c>
      <c r="F1108" s="38" t="n">
        <v>86</v>
      </c>
      <c r="G1108" s="38" t="n">
        <v>14</v>
      </c>
      <c r="I1108" s="38" t="inlineStr">
        <is>
          <t>Total de tots els sexes; resposta JSON-stat de l'API d'Idescat</t>
        </is>
      </c>
    </row>
    <row r="1109" ht="15" customHeight="1" s="39">
      <c r="A1109" s="38" t="n">
        <v>2021</v>
      </c>
      <c r="B1109" s="42" t="inlineStr">
        <is>
          <t>431114</t>
        </is>
      </c>
      <c r="C1109" s="38" t="inlineStr">
        <is>
          <t>Pobla de Montornès, la</t>
        </is>
      </c>
      <c r="D1109" s="38" t="inlineStr">
        <is>
          <t>Y087</t>
        </is>
      </c>
      <c r="E1109" s="38" t="inlineStr">
        <is>
          <t>87 anys</t>
        </is>
      </c>
      <c r="F1109" s="38" t="n">
        <v>87</v>
      </c>
      <c r="G1109" s="38" t="n">
        <v>7</v>
      </c>
      <c r="I1109" s="38" t="inlineStr">
        <is>
          <t>Total de tots els sexes; resposta JSON-stat de l'API d'Idescat</t>
        </is>
      </c>
    </row>
    <row r="1110" ht="15" customHeight="1" s="39">
      <c r="A1110" s="38" t="n">
        <v>2021</v>
      </c>
      <c r="B1110" s="42" t="inlineStr">
        <is>
          <t>431114</t>
        </is>
      </c>
      <c r="C1110" s="38" t="inlineStr">
        <is>
          <t>Pobla de Montornès, la</t>
        </is>
      </c>
      <c r="D1110" s="38" t="inlineStr">
        <is>
          <t>Y088</t>
        </is>
      </c>
      <c r="E1110" s="38" t="inlineStr">
        <is>
          <t>88 anys</t>
        </is>
      </c>
      <c r="F1110" s="38" t="n">
        <v>88</v>
      </c>
      <c r="G1110" s="38" t="n">
        <v>14</v>
      </c>
      <c r="I1110" s="38" t="inlineStr">
        <is>
          <t>Total de tots els sexes; resposta JSON-stat de l'API d'Idescat</t>
        </is>
      </c>
    </row>
    <row r="1111" ht="15" customHeight="1" s="39">
      <c r="A1111" s="38" t="n">
        <v>2021</v>
      </c>
      <c r="B1111" s="42" t="inlineStr">
        <is>
          <t>431114</t>
        </is>
      </c>
      <c r="C1111" s="38" t="inlineStr">
        <is>
          <t>Pobla de Montornès, la</t>
        </is>
      </c>
      <c r="D1111" s="38" t="inlineStr">
        <is>
          <t>Y089</t>
        </is>
      </c>
      <c r="E1111" s="38" t="inlineStr">
        <is>
          <t>89 anys</t>
        </is>
      </c>
      <c r="F1111" s="38" t="n">
        <v>89</v>
      </c>
      <c r="G1111" s="38" t="n">
        <v>9</v>
      </c>
      <c r="I1111" s="38" t="inlineStr">
        <is>
          <t>Total de tots els sexes; resposta JSON-stat de l'API d'Idescat</t>
        </is>
      </c>
    </row>
    <row r="1112" ht="15" customHeight="1" s="39">
      <c r="A1112" s="38" t="n">
        <v>2021</v>
      </c>
      <c r="B1112" s="42" t="inlineStr">
        <is>
          <t>431114</t>
        </is>
      </c>
      <c r="C1112" s="38" t="inlineStr">
        <is>
          <t>Pobla de Montornès, la</t>
        </is>
      </c>
      <c r="D1112" s="38" t="inlineStr">
        <is>
          <t>Y090</t>
        </is>
      </c>
      <c r="E1112" s="38" t="inlineStr">
        <is>
          <t>90 anys</t>
        </is>
      </c>
      <c r="F1112" s="38" t="n">
        <v>90</v>
      </c>
      <c r="G1112" s="38" t="n">
        <v>4</v>
      </c>
      <c r="I1112" s="38" t="inlineStr">
        <is>
          <t>Total de tots els sexes; resposta JSON-stat de l'API d'Idescat</t>
        </is>
      </c>
    </row>
    <row r="1113" ht="15" customHeight="1" s="39">
      <c r="A1113" s="38" t="n">
        <v>2021</v>
      </c>
      <c r="B1113" s="42" t="inlineStr">
        <is>
          <t>431114</t>
        </is>
      </c>
      <c r="C1113" s="38" t="inlineStr">
        <is>
          <t>Pobla de Montornès, la</t>
        </is>
      </c>
      <c r="D1113" s="38" t="inlineStr">
        <is>
          <t>Y091</t>
        </is>
      </c>
      <c r="E1113" s="38" t="inlineStr">
        <is>
          <t>91 anys</t>
        </is>
      </c>
      <c r="F1113" s="38" t="n">
        <v>91</v>
      </c>
      <c r="G1113" s="38" t="n">
        <v>6</v>
      </c>
      <c r="I1113" s="38" t="inlineStr">
        <is>
          <t>Total de tots els sexes; resposta JSON-stat de l'API d'Idescat</t>
        </is>
      </c>
    </row>
    <row r="1114" ht="15" customHeight="1" s="39">
      <c r="A1114" s="38" t="n">
        <v>2021</v>
      </c>
      <c r="B1114" s="42" t="inlineStr">
        <is>
          <t>431114</t>
        </is>
      </c>
      <c r="C1114" s="38" t="inlineStr">
        <is>
          <t>Pobla de Montornès, la</t>
        </is>
      </c>
      <c r="D1114" s="38" t="inlineStr">
        <is>
          <t>Y092</t>
        </is>
      </c>
      <c r="E1114" s="38" t="inlineStr">
        <is>
          <t>92 anys</t>
        </is>
      </c>
      <c r="F1114" s="38" t="n">
        <v>92</v>
      </c>
      <c r="G1114" s="38" t="n">
        <v>1</v>
      </c>
      <c r="I1114" s="38" t="inlineStr">
        <is>
          <t>Total de tots els sexes; resposta JSON-stat de l'API d'Idescat</t>
        </is>
      </c>
    </row>
    <row r="1115" ht="15" customHeight="1" s="39">
      <c r="A1115" s="38" t="n">
        <v>2021</v>
      </c>
      <c r="B1115" s="42" t="inlineStr">
        <is>
          <t>431114</t>
        </is>
      </c>
      <c r="C1115" s="38" t="inlineStr">
        <is>
          <t>Pobla de Montornès, la</t>
        </is>
      </c>
      <c r="D1115" s="38" t="inlineStr">
        <is>
          <t>Y093</t>
        </is>
      </c>
      <c r="E1115" s="38" t="inlineStr">
        <is>
          <t>93 anys</t>
        </is>
      </c>
      <c r="F1115" s="38" t="n">
        <v>93</v>
      </c>
      <c r="G1115" s="38" t="n">
        <v>1</v>
      </c>
      <c r="I1115" s="38" t="inlineStr">
        <is>
          <t>Total de tots els sexes; resposta JSON-stat de l'API d'Idescat</t>
        </is>
      </c>
    </row>
    <row r="1116" ht="15" customHeight="1" s="39">
      <c r="A1116" s="38" t="n">
        <v>2021</v>
      </c>
      <c r="B1116" s="42" t="inlineStr">
        <is>
          <t>431114</t>
        </is>
      </c>
      <c r="C1116" s="38" t="inlineStr">
        <is>
          <t>Pobla de Montornès, la</t>
        </is>
      </c>
      <c r="D1116" s="38" t="inlineStr">
        <is>
          <t>Y094</t>
        </is>
      </c>
      <c r="E1116" s="38" t="inlineStr">
        <is>
          <t>94 anys</t>
        </is>
      </c>
      <c r="F1116" s="38" t="n">
        <v>94</v>
      </c>
      <c r="G1116" s="38" t="n">
        <v>0</v>
      </c>
      <c r="I1116" s="38" t="inlineStr">
        <is>
          <t>Total de tots els sexes; resposta JSON-stat de l'API d'Idescat</t>
        </is>
      </c>
    </row>
    <row r="1117" ht="15" customHeight="1" s="39">
      <c r="A1117" s="38" t="n">
        <v>2021</v>
      </c>
      <c r="B1117" s="42" t="inlineStr">
        <is>
          <t>431114</t>
        </is>
      </c>
      <c r="C1117" s="38" t="inlineStr">
        <is>
          <t>Pobla de Montornès, la</t>
        </is>
      </c>
      <c r="D1117" s="38" t="inlineStr">
        <is>
          <t>Y095</t>
        </is>
      </c>
      <c r="E1117" s="38" t="inlineStr">
        <is>
          <t>95 anys</t>
        </is>
      </c>
      <c r="F1117" s="38" t="n">
        <v>95</v>
      </c>
      <c r="G1117" s="38" t="n">
        <v>1</v>
      </c>
      <c r="I1117" s="38" t="inlineStr">
        <is>
          <t>Total de tots els sexes; resposta JSON-stat de l'API d'Idescat</t>
        </is>
      </c>
    </row>
    <row r="1118" ht="15" customHeight="1" s="39">
      <c r="A1118" s="38" t="n">
        <v>2021</v>
      </c>
      <c r="B1118" s="42" t="inlineStr">
        <is>
          <t>431114</t>
        </is>
      </c>
      <c r="C1118" s="38" t="inlineStr">
        <is>
          <t>Pobla de Montornès, la</t>
        </is>
      </c>
      <c r="D1118" s="38" t="inlineStr">
        <is>
          <t>Y096</t>
        </is>
      </c>
      <c r="E1118" s="38" t="inlineStr">
        <is>
          <t>96 anys</t>
        </is>
      </c>
      <c r="F1118" s="38" t="n">
        <v>96</v>
      </c>
      <c r="G1118" s="38" t="n">
        <v>1</v>
      </c>
      <c r="I1118" s="38" t="inlineStr">
        <is>
          <t>Total de tots els sexes; resposta JSON-stat de l'API d'Idescat</t>
        </is>
      </c>
    </row>
    <row r="1119" ht="15" customHeight="1" s="39">
      <c r="A1119" s="38" t="n">
        <v>2021</v>
      </c>
      <c r="B1119" s="42" t="inlineStr">
        <is>
          <t>431114</t>
        </is>
      </c>
      <c r="C1119" s="38" t="inlineStr">
        <is>
          <t>Pobla de Montornès, la</t>
        </is>
      </c>
      <c r="D1119" s="38" t="inlineStr">
        <is>
          <t>Y097</t>
        </is>
      </c>
      <c r="E1119" s="38" t="inlineStr">
        <is>
          <t>97 anys</t>
        </is>
      </c>
      <c r="F1119" s="38" t="n">
        <v>97</v>
      </c>
      <c r="G1119" s="38" t="n">
        <v>0</v>
      </c>
      <c r="I1119" s="38" t="inlineStr">
        <is>
          <t>Total de tots els sexes; resposta JSON-stat de l'API d'Idescat</t>
        </is>
      </c>
    </row>
    <row r="1120" ht="15" customHeight="1" s="39">
      <c r="A1120" s="38" t="n">
        <v>2021</v>
      </c>
      <c r="B1120" s="42" t="inlineStr">
        <is>
          <t>431114</t>
        </is>
      </c>
      <c r="C1120" s="38" t="inlineStr">
        <is>
          <t>Pobla de Montornès, la</t>
        </is>
      </c>
      <c r="D1120" s="38" t="inlineStr">
        <is>
          <t>Y098</t>
        </is>
      </c>
      <c r="E1120" s="38" t="inlineStr">
        <is>
          <t>98 anys</t>
        </is>
      </c>
      <c r="F1120" s="38" t="n">
        <v>98</v>
      </c>
      <c r="G1120" s="38" t="n">
        <v>0</v>
      </c>
      <c r="I1120" s="38" t="inlineStr">
        <is>
          <t>Total de tots els sexes; resposta JSON-stat de l'API d'Idescat</t>
        </is>
      </c>
    </row>
    <row r="1121" ht="15" customHeight="1" s="39">
      <c r="A1121" s="38" t="n">
        <v>2021</v>
      </c>
      <c r="B1121" s="42" t="inlineStr">
        <is>
          <t>431114</t>
        </is>
      </c>
      <c r="C1121" s="38" t="inlineStr">
        <is>
          <t>Pobla de Montornès, la</t>
        </is>
      </c>
      <c r="D1121" s="38" t="inlineStr">
        <is>
          <t>Y099</t>
        </is>
      </c>
      <c r="E1121" s="38" t="inlineStr">
        <is>
          <t>99 anys</t>
        </is>
      </c>
      <c r="F1121" s="38" t="n">
        <v>99</v>
      </c>
      <c r="G1121" s="38" t="n">
        <v>0</v>
      </c>
      <c r="I1121" s="38" t="inlineStr">
        <is>
          <t>Total de tots els sexes; resposta JSON-stat de l'API d'Idescat</t>
        </is>
      </c>
    </row>
    <row r="1122" ht="15" customHeight="1" s="39">
      <c r="A1122" s="38" t="n">
        <v>2021</v>
      </c>
      <c r="B1122" s="42" t="inlineStr">
        <is>
          <t>431114</t>
        </is>
      </c>
      <c r="C1122" s="38" t="inlineStr">
        <is>
          <t>Pobla de Montornès, la</t>
        </is>
      </c>
      <c r="D1122" s="38" t="inlineStr">
        <is>
          <t>Y_GE100</t>
        </is>
      </c>
      <c r="E1122" s="38" t="inlineStr">
        <is>
          <t>100 anys o més</t>
        </is>
      </c>
      <c r="F1122" s="38" t="n">
        <v>100</v>
      </c>
      <c r="G1122" s="38" t="n">
        <v>1</v>
      </c>
      <c r="I1122" s="38" t="inlineStr">
        <is>
          <t>Total de tots els sexes; resposta JSON-stat de l'API d'Idescat</t>
        </is>
      </c>
    </row>
    <row r="1123" ht="15" customHeight="1" s="39">
      <c r="A1123" s="38" t="n">
        <v>2021</v>
      </c>
      <c r="B1123" s="42" t="inlineStr">
        <is>
          <t>431114</t>
        </is>
      </c>
      <c r="C1123" s="38" t="inlineStr">
        <is>
          <t>Pobla de Montornès, la</t>
        </is>
      </c>
      <c r="D1123" s="38" t="inlineStr">
        <is>
          <t>TOTAL</t>
        </is>
      </c>
      <c r="E1123" s="38" t="inlineStr">
        <is>
          <t>total</t>
        </is>
      </c>
      <c r="G1123" s="38" t="n">
        <v>3002</v>
      </c>
      <c r="I1123" s="38" t="inlineStr">
        <is>
          <t>Total de tots els sexes; resposta JSON-stat de l'API d'Idescat</t>
        </is>
      </c>
    </row>
    <row r="1124" ht="15" customHeight="1" s="39">
      <c r="A1124" s="38" t="n">
        <v>2021</v>
      </c>
      <c r="B1124" s="42" t="inlineStr">
        <is>
          <t>431227</t>
        </is>
      </c>
      <c r="C1124" s="38" t="inlineStr">
        <is>
          <t>Renau</t>
        </is>
      </c>
      <c r="D1124" s="38" t="inlineStr">
        <is>
          <t>Y000</t>
        </is>
      </c>
      <c r="E1124" s="38" t="inlineStr">
        <is>
          <t>0 anys</t>
        </is>
      </c>
      <c r="F1124" s="38" t="n">
        <v>0</v>
      </c>
      <c r="G1124" s="38" t="n">
        <v>0</v>
      </c>
      <c r="I1124" s="38" t="inlineStr">
        <is>
          <t>Total de tots els sexes; resposta JSON-stat de l'API d'Idescat</t>
        </is>
      </c>
    </row>
    <row r="1125" ht="15" customHeight="1" s="39">
      <c r="A1125" s="38" t="n">
        <v>2021</v>
      </c>
      <c r="B1125" s="42" t="inlineStr">
        <is>
          <t>431227</t>
        </is>
      </c>
      <c r="C1125" s="38" t="inlineStr">
        <is>
          <t>Renau</t>
        </is>
      </c>
      <c r="D1125" s="38" t="inlineStr">
        <is>
          <t>Y001</t>
        </is>
      </c>
      <c r="E1125" s="38" t="inlineStr">
        <is>
          <t>1 any</t>
        </is>
      </c>
      <c r="F1125" s="38" t="n">
        <v>1</v>
      </c>
      <c r="G1125" s="38" t="n">
        <v>2</v>
      </c>
      <c r="I1125" s="38" t="inlineStr">
        <is>
          <t>Total de tots els sexes; resposta JSON-stat de l'API d'Idescat</t>
        </is>
      </c>
    </row>
    <row r="1126" ht="15" customHeight="1" s="39">
      <c r="A1126" s="38" t="n">
        <v>2021</v>
      </c>
      <c r="B1126" s="42" t="inlineStr">
        <is>
          <t>431227</t>
        </is>
      </c>
      <c r="C1126" s="38" t="inlineStr">
        <is>
          <t>Renau</t>
        </is>
      </c>
      <c r="D1126" s="38" t="inlineStr">
        <is>
          <t>Y002</t>
        </is>
      </c>
      <c r="E1126" s="38" t="inlineStr">
        <is>
          <t>2 anys</t>
        </is>
      </c>
      <c r="F1126" s="38" t="n">
        <v>2</v>
      </c>
      <c r="G1126" s="38" t="n">
        <v>2</v>
      </c>
      <c r="I1126" s="38" t="inlineStr">
        <is>
          <t>Total de tots els sexes; resposta JSON-stat de l'API d'Idescat</t>
        </is>
      </c>
    </row>
    <row r="1127" ht="15" customHeight="1" s="39">
      <c r="A1127" s="38" t="n">
        <v>2021</v>
      </c>
      <c r="B1127" s="42" t="inlineStr">
        <is>
          <t>431227</t>
        </is>
      </c>
      <c r="C1127" s="38" t="inlineStr">
        <is>
          <t>Renau</t>
        </is>
      </c>
      <c r="D1127" s="38" t="inlineStr">
        <is>
          <t>Y003</t>
        </is>
      </c>
      <c r="E1127" s="38" t="inlineStr">
        <is>
          <t>3 anys</t>
        </is>
      </c>
      <c r="F1127" s="38" t="n">
        <v>3</v>
      </c>
      <c r="G1127" s="38" t="n">
        <v>4</v>
      </c>
      <c r="I1127" s="38" t="inlineStr">
        <is>
          <t>Total de tots els sexes; resposta JSON-stat de l'API d'Idescat</t>
        </is>
      </c>
    </row>
    <row r="1128" ht="15" customHeight="1" s="39">
      <c r="A1128" s="38" t="n">
        <v>2021</v>
      </c>
      <c r="B1128" s="42" t="inlineStr">
        <is>
          <t>431227</t>
        </is>
      </c>
      <c r="C1128" s="38" t="inlineStr">
        <is>
          <t>Renau</t>
        </is>
      </c>
      <c r="D1128" s="38" t="inlineStr">
        <is>
          <t>Y004</t>
        </is>
      </c>
      <c r="E1128" s="38" t="inlineStr">
        <is>
          <t>4 anys</t>
        </is>
      </c>
      <c r="F1128" s="38" t="n">
        <v>4</v>
      </c>
      <c r="G1128" s="38" t="n">
        <v>2</v>
      </c>
      <c r="I1128" s="38" t="inlineStr">
        <is>
          <t>Total de tots els sexes; resposta JSON-stat de l'API d'Idescat</t>
        </is>
      </c>
    </row>
    <row r="1129" ht="15" customHeight="1" s="39">
      <c r="A1129" s="38" t="n">
        <v>2021</v>
      </c>
      <c r="B1129" s="42" t="inlineStr">
        <is>
          <t>431227</t>
        </is>
      </c>
      <c r="C1129" s="38" t="inlineStr">
        <is>
          <t>Renau</t>
        </is>
      </c>
      <c r="D1129" s="38" t="inlineStr">
        <is>
          <t>Y005</t>
        </is>
      </c>
      <c r="E1129" s="38" t="inlineStr">
        <is>
          <t>5 anys</t>
        </is>
      </c>
      <c r="F1129" s="38" t="n">
        <v>5</v>
      </c>
      <c r="G1129" s="38" t="n">
        <v>2</v>
      </c>
      <c r="I1129" s="38" t="inlineStr">
        <is>
          <t>Total de tots els sexes; resposta JSON-stat de l'API d'Idescat</t>
        </is>
      </c>
    </row>
    <row r="1130" ht="15" customHeight="1" s="39">
      <c r="A1130" s="38" t="n">
        <v>2021</v>
      </c>
      <c r="B1130" s="42" t="inlineStr">
        <is>
          <t>431227</t>
        </is>
      </c>
      <c r="C1130" s="38" t="inlineStr">
        <is>
          <t>Renau</t>
        </is>
      </c>
      <c r="D1130" s="38" t="inlineStr">
        <is>
          <t>Y006</t>
        </is>
      </c>
      <c r="E1130" s="38" t="inlineStr">
        <is>
          <t>6 anys</t>
        </is>
      </c>
      <c r="F1130" s="38" t="n">
        <v>6</v>
      </c>
      <c r="G1130" s="38" t="n">
        <v>1</v>
      </c>
      <c r="I1130" s="38" t="inlineStr">
        <is>
          <t>Total de tots els sexes; resposta JSON-stat de l'API d'Idescat</t>
        </is>
      </c>
    </row>
    <row r="1131" ht="15" customHeight="1" s="39">
      <c r="A1131" s="38" t="n">
        <v>2021</v>
      </c>
      <c r="B1131" s="42" t="inlineStr">
        <is>
          <t>431227</t>
        </is>
      </c>
      <c r="C1131" s="38" t="inlineStr">
        <is>
          <t>Renau</t>
        </is>
      </c>
      <c r="D1131" s="38" t="inlineStr">
        <is>
          <t>Y007</t>
        </is>
      </c>
      <c r="E1131" s="38" t="inlineStr">
        <is>
          <t>7 anys</t>
        </is>
      </c>
      <c r="F1131" s="38" t="n">
        <v>7</v>
      </c>
      <c r="G1131" s="38" t="n">
        <v>0</v>
      </c>
      <c r="I1131" s="38" t="inlineStr">
        <is>
          <t>Total de tots els sexes; resposta JSON-stat de l'API d'Idescat</t>
        </is>
      </c>
    </row>
    <row r="1132" ht="15" customHeight="1" s="39">
      <c r="A1132" s="38" t="n">
        <v>2021</v>
      </c>
      <c r="B1132" s="42" t="inlineStr">
        <is>
          <t>431227</t>
        </is>
      </c>
      <c r="C1132" s="38" t="inlineStr">
        <is>
          <t>Renau</t>
        </is>
      </c>
      <c r="D1132" s="38" t="inlineStr">
        <is>
          <t>Y008</t>
        </is>
      </c>
      <c r="E1132" s="38" t="inlineStr">
        <is>
          <t>8 anys</t>
        </is>
      </c>
      <c r="F1132" s="38" t="n">
        <v>8</v>
      </c>
      <c r="G1132" s="38" t="n">
        <v>3</v>
      </c>
      <c r="I1132" s="38" t="inlineStr">
        <is>
          <t>Total de tots els sexes; resposta JSON-stat de l'API d'Idescat</t>
        </is>
      </c>
    </row>
    <row r="1133" ht="15" customHeight="1" s="39">
      <c r="A1133" s="38" t="n">
        <v>2021</v>
      </c>
      <c r="B1133" s="42" t="inlineStr">
        <is>
          <t>431227</t>
        </is>
      </c>
      <c r="C1133" s="38" t="inlineStr">
        <is>
          <t>Renau</t>
        </is>
      </c>
      <c r="D1133" s="38" t="inlineStr">
        <is>
          <t>Y009</t>
        </is>
      </c>
      <c r="E1133" s="38" t="inlineStr">
        <is>
          <t>9 anys</t>
        </is>
      </c>
      <c r="F1133" s="38" t="n">
        <v>9</v>
      </c>
      <c r="G1133" s="38" t="n">
        <v>7</v>
      </c>
      <c r="I1133" s="38" t="inlineStr">
        <is>
          <t>Total de tots els sexes; resposta JSON-stat de l'API d'Idescat</t>
        </is>
      </c>
    </row>
    <row r="1134" ht="15" customHeight="1" s="39">
      <c r="A1134" s="38" t="n">
        <v>2021</v>
      </c>
      <c r="B1134" s="42" t="inlineStr">
        <is>
          <t>431227</t>
        </is>
      </c>
      <c r="C1134" s="38" t="inlineStr">
        <is>
          <t>Renau</t>
        </is>
      </c>
      <c r="D1134" s="38" t="inlineStr">
        <is>
          <t>Y010</t>
        </is>
      </c>
      <c r="E1134" s="38" t="inlineStr">
        <is>
          <t>10 anys</t>
        </is>
      </c>
      <c r="F1134" s="38" t="n">
        <v>10</v>
      </c>
      <c r="G1134" s="38" t="n">
        <v>5</v>
      </c>
      <c r="I1134" s="38" t="inlineStr">
        <is>
          <t>Total de tots els sexes; resposta JSON-stat de l'API d'Idescat</t>
        </is>
      </c>
    </row>
    <row r="1135" ht="15" customHeight="1" s="39">
      <c r="A1135" s="38" t="n">
        <v>2021</v>
      </c>
      <c r="B1135" s="42" t="inlineStr">
        <is>
          <t>431227</t>
        </is>
      </c>
      <c r="C1135" s="38" t="inlineStr">
        <is>
          <t>Renau</t>
        </is>
      </c>
      <c r="D1135" s="38" t="inlineStr">
        <is>
          <t>Y011</t>
        </is>
      </c>
      <c r="E1135" s="38" t="inlineStr">
        <is>
          <t>11 anys</t>
        </is>
      </c>
      <c r="F1135" s="38" t="n">
        <v>11</v>
      </c>
      <c r="G1135" s="38" t="n">
        <v>0</v>
      </c>
      <c r="I1135" s="38" t="inlineStr">
        <is>
          <t>Total de tots els sexes; resposta JSON-stat de l'API d'Idescat</t>
        </is>
      </c>
    </row>
    <row r="1136" ht="15" customHeight="1" s="39">
      <c r="A1136" s="38" t="n">
        <v>2021</v>
      </c>
      <c r="B1136" s="42" t="inlineStr">
        <is>
          <t>431227</t>
        </is>
      </c>
      <c r="C1136" s="38" t="inlineStr">
        <is>
          <t>Renau</t>
        </is>
      </c>
      <c r="D1136" s="38" t="inlineStr">
        <is>
          <t>Y012</t>
        </is>
      </c>
      <c r="E1136" s="38" t="inlineStr">
        <is>
          <t>12 anys</t>
        </is>
      </c>
      <c r="F1136" s="38" t="n">
        <v>12</v>
      </c>
      <c r="G1136" s="38" t="n">
        <v>1</v>
      </c>
      <c r="I1136" s="38" t="inlineStr">
        <is>
          <t>Total de tots els sexes; resposta JSON-stat de l'API d'Idescat</t>
        </is>
      </c>
    </row>
    <row r="1137" ht="15" customHeight="1" s="39">
      <c r="A1137" s="38" t="n">
        <v>2021</v>
      </c>
      <c r="B1137" s="42" t="inlineStr">
        <is>
          <t>431227</t>
        </is>
      </c>
      <c r="C1137" s="38" t="inlineStr">
        <is>
          <t>Renau</t>
        </is>
      </c>
      <c r="D1137" s="38" t="inlineStr">
        <is>
          <t>Y013</t>
        </is>
      </c>
      <c r="E1137" s="38" t="inlineStr">
        <is>
          <t>13 anys</t>
        </is>
      </c>
      <c r="F1137" s="38" t="n">
        <v>13</v>
      </c>
      <c r="G1137" s="38" t="n">
        <v>1</v>
      </c>
      <c r="I1137" s="38" t="inlineStr">
        <is>
          <t>Total de tots els sexes; resposta JSON-stat de l'API d'Idescat</t>
        </is>
      </c>
    </row>
    <row r="1138" ht="15" customHeight="1" s="39">
      <c r="A1138" s="38" t="n">
        <v>2021</v>
      </c>
      <c r="B1138" s="42" t="inlineStr">
        <is>
          <t>431227</t>
        </is>
      </c>
      <c r="C1138" s="38" t="inlineStr">
        <is>
          <t>Renau</t>
        </is>
      </c>
      <c r="D1138" s="38" t="inlineStr">
        <is>
          <t>Y014</t>
        </is>
      </c>
      <c r="E1138" s="38" t="inlineStr">
        <is>
          <t>14 anys</t>
        </is>
      </c>
      <c r="F1138" s="38" t="n">
        <v>14</v>
      </c>
      <c r="G1138" s="38" t="n">
        <v>1</v>
      </c>
      <c r="I1138" s="38" t="inlineStr">
        <is>
          <t>Total de tots els sexes; resposta JSON-stat de l'API d'Idescat</t>
        </is>
      </c>
    </row>
    <row r="1139" ht="15" customHeight="1" s="39">
      <c r="A1139" s="38" t="n">
        <v>2021</v>
      </c>
      <c r="B1139" s="42" t="inlineStr">
        <is>
          <t>431227</t>
        </is>
      </c>
      <c r="C1139" s="38" t="inlineStr">
        <is>
          <t>Renau</t>
        </is>
      </c>
      <c r="D1139" s="38" t="inlineStr">
        <is>
          <t>Y015</t>
        </is>
      </c>
      <c r="E1139" s="38" t="inlineStr">
        <is>
          <t>15 anys</t>
        </is>
      </c>
      <c r="F1139" s="38" t="n">
        <v>15</v>
      </c>
      <c r="G1139" s="38" t="n">
        <v>2</v>
      </c>
      <c r="I1139" s="38" t="inlineStr">
        <is>
          <t>Total de tots els sexes; resposta JSON-stat de l'API d'Idescat</t>
        </is>
      </c>
    </row>
    <row r="1140" ht="15" customHeight="1" s="39">
      <c r="A1140" s="38" t="n">
        <v>2021</v>
      </c>
      <c r="B1140" s="42" t="inlineStr">
        <is>
          <t>431227</t>
        </is>
      </c>
      <c r="C1140" s="38" t="inlineStr">
        <is>
          <t>Renau</t>
        </is>
      </c>
      <c r="D1140" s="38" t="inlineStr">
        <is>
          <t>Y016</t>
        </is>
      </c>
      <c r="E1140" s="38" t="inlineStr">
        <is>
          <t>16 anys</t>
        </is>
      </c>
      <c r="F1140" s="38" t="n">
        <v>16</v>
      </c>
      <c r="G1140" s="38" t="n">
        <v>4</v>
      </c>
      <c r="I1140" s="38" t="inlineStr">
        <is>
          <t>Total de tots els sexes; resposta JSON-stat de l'API d'Idescat</t>
        </is>
      </c>
    </row>
    <row r="1141" ht="15" customHeight="1" s="39">
      <c r="A1141" s="38" t="n">
        <v>2021</v>
      </c>
      <c r="B1141" s="42" t="inlineStr">
        <is>
          <t>431227</t>
        </is>
      </c>
      <c r="C1141" s="38" t="inlineStr">
        <is>
          <t>Renau</t>
        </is>
      </c>
      <c r="D1141" s="38" t="inlineStr">
        <is>
          <t>Y017</t>
        </is>
      </c>
      <c r="E1141" s="38" t="inlineStr">
        <is>
          <t>17 anys</t>
        </is>
      </c>
      <c r="F1141" s="38" t="n">
        <v>17</v>
      </c>
      <c r="G1141" s="38" t="n">
        <v>0</v>
      </c>
      <c r="I1141" s="38" t="inlineStr">
        <is>
          <t>Total de tots els sexes; resposta JSON-stat de l'API d'Idescat</t>
        </is>
      </c>
    </row>
    <row r="1142" ht="15" customHeight="1" s="39">
      <c r="A1142" s="38" t="n">
        <v>2021</v>
      </c>
      <c r="B1142" s="42" t="inlineStr">
        <is>
          <t>431227</t>
        </is>
      </c>
      <c r="C1142" s="38" t="inlineStr">
        <is>
          <t>Renau</t>
        </is>
      </c>
      <c r="D1142" s="38" t="inlineStr">
        <is>
          <t>Y018</t>
        </is>
      </c>
      <c r="E1142" s="38" t="inlineStr">
        <is>
          <t>18 anys</t>
        </is>
      </c>
      <c r="F1142" s="38" t="n">
        <v>18</v>
      </c>
      <c r="G1142" s="38" t="n">
        <v>1</v>
      </c>
      <c r="I1142" s="38" t="inlineStr">
        <is>
          <t>Total de tots els sexes; resposta JSON-stat de l'API d'Idescat</t>
        </is>
      </c>
    </row>
    <row r="1143" ht="15" customHeight="1" s="39">
      <c r="A1143" s="38" t="n">
        <v>2021</v>
      </c>
      <c r="B1143" s="42" t="inlineStr">
        <is>
          <t>431227</t>
        </is>
      </c>
      <c r="C1143" s="38" t="inlineStr">
        <is>
          <t>Renau</t>
        </is>
      </c>
      <c r="D1143" s="38" t="inlineStr">
        <is>
          <t>Y019</t>
        </is>
      </c>
      <c r="E1143" s="38" t="inlineStr">
        <is>
          <t>19 anys</t>
        </is>
      </c>
      <c r="F1143" s="38" t="n">
        <v>19</v>
      </c>
      <c r="G1143" s="38" t="n">
        <v>2</v>
      </c>
      <c r="I1143" s="38" t="inlineStr">
        <is>
          <t>Total de tots els sexes; resposta JSON-stat de l'API d'Idescat</t>
        </is>
      </c>
    </row>
    <row r="1144" ht="15" customHeight="1" s="39">
      <c r="A1144" s="38" t="n">
        <v>2021</v>
      </c>
      <c r="B1144" s="42" t="inlineStr">
        <is>
          <t>431227</t>
        </is>
      </c>
      <c r="C1144" s="38" t="inlineStr">
        <is>
          <t>Renau</t>
        </is>
      </c>
      <c r="D1144" s="38" t="inlineStr">
        <is>
          <t>Y020</t>
        </is>
      </c>
      <c r="E1144" s="38" t="inlineStr">
        <is>
          <t>20 anys</t>
        </is>
      </c>
      <c r="F1144" s="38" t="n">
        <v>20</v>
      </c>
      <c r="G1144" s="38" t="n">
        <v>0</v>
      </c>
      <c r="I1144" s="38" t="inlineStr">
        <is>
          <t>Total de tots els sexes; resposta JSON-stat de l'API d'Idescat</t>
        </is>
      </c>
    </row>
    <row r="1145" ht="15" customHeight="1" s="39">
      <c r="A1145" s="38" t="n">
        <v>2021</v>
      </c>
      <c r="B1145" s="42" t="inlineStr">
        <is>
          <t>431227</t>
        </is>
      </c>
      <c r="C1145" s="38" t="inlineStr">
        <is>
          <t>Renau</t>
        </is>
      </c>
      <c r="D1145" s="38" t="inlineStr">
        <is>
          <t>Y021</t>
        </is>
      </c>
      <c r="E1145" s="38" t="inlineStr">
        <is>
          <t>21 anys</t>
        </is>
      </c>
      <c r="F1145" s="38" t="n">
        <v>21</v>
      </c>
      <c r="G1145" s="38" t="n">
        <v>1</v>
      </c>
      <c r="I1145" s="38" t="inlineStr">
        <is>
          <t>Total de tots els sexes; resposta JSON-stat de l'API d'Idescat</t>
        </is>
      </c>
    </row>
    <row r="1146" ht="15" customHeight="1" s="39">
      <c r="A1146" s="38" t="n">
        <v>2021</v>
      </c>
      <c r="B1146" s="42" t="inlineStr">
        <is>
          <t>431227</t>
        </is>
      </c>
      <c r="C1146" s="38" t="inlineStr">
        <is>
          <t>Renau</t>
        </is>
      </c>
      <c r="D1146" s="38" t="inlineStr">
        <is>
          <t>Y022</t>
        </is>
      </c>
      <c r="E1146" s="38" t="inlineStr">
        <is>
          <t>22 anys</t>
        </is>
      </c>
      <c r="F1146" s="38" t="n">
        <v>22</v>
      </c>
      <c r="G1146" s="38" t="n">
        <v>2</v>
      </c>
      <c r="I1146" s="38" t="inlineStr">
        <is>
          <t>Total de tots els sexes; resposta JSON-stat de l'API d'Idescat</t>
        </is>
      </c>
    </row>
    <row r="1147" ht="15" customHeight="1" s="39">
      <c r="A1147" s="38" t="n">
        <v>2021</v>
      </c>
      <c r="B1147" s="42" t="inlineStr">
        <is>
          <t>431227</t>
        </is>
      </c>
      <c r="C1147" s="38" t="inlineStr">
        <is>
          <t>Renau</t>
        </is>
      </c>
      <c r="D1147" s="38" t="inlineStr">
        <is>
          <t>Y023</t>
        </is>
      </c>
      <c r="E1147" s="38" t="inlineStr">
        <is>
          <t>23 anys</t>
        </is>
      </c>
      <c r="F1147" s="38" t="n">
        <v>23</v>
      </c>
      <c r="G1147" s="38" t="n">
        <v>0</v>
      </c>
      <c r="I1147" s="38" t="inlineStr">
        <is>
          <t>Total de tots els sexes; resposta JSON-stat de l'API d'Idescat</t>
        </is>
      </c>
    </row>
    <row r="1148" ht="15" customHeight="1" s="39">
      <c r="A1148" s="38" t="n">
        <v>2021</v>
      </c>
      <c r="B1148" s="42" t="inlineStr">
        <is>
          <t>431227</t>
        </is>
      </c>
      <c r="C1148" s="38" t="inlineStr">
        <is>
          <t>Renau</t>
        </is>
      </c>
      <c r="D1148" s="38" t="inlineStr">
        <is>
          <t>Y024</t>
        </is>
      </c>
      <c r="E1148" s="38" t="inlineStr">
        <is>
          <t>24 anys</t>
        </is>
      </c>
      <c r="F1148" s="38" t="n">
        <v>24</v>
      </c>
      <c r="G1148" s="38" t="n">
        <v>0</v>
      </c>
      <c r="I1148" s="38" t="inlineStr">
        <is>
          <t>Total de tots els sexes; resposta JSON-stat de l'API d'Idescat</t>
        </is>
      </c>
    </row>
    <row r="1149" ht="15" customHeight="1" s="39">
      <c r="A1149" s="38" t="n">
        <v>2021</v>
      </c>
      <c r="B1149" s="42" t="inlineStr">
        <is>
          <t>431227</t>
        </is>
      </c>
      <c r="C1149" s="38" t="inlineStr">
        <is>
          <t>Renau</t>
        </is>
      </c>
      <c r="D1149" s="38" t="inlineStr">
        <is>
          <t>Y025</t>
        </is>
      </c>
      <c r="E1149" s="38" t="inlineStr">
        <is>
          <t>25 anys</t>
        </is>
      </c>
      <c r="F1149" s="38" t="n">
        <v>25</v>
      </c>
      <c r="G1149" s="38" t="n">
        <v>2</v>
      </c>
      <c r="I1149" s="38" t="inlineStr">
        <is>
          <t>Total de tots els sexes; resposta JSON-stat de l'API d'Idescat</t>
        </is>
      </c>
    </row>
    <row r="1150" ht="15" customHeight="1" s="39">
      <c r="A1150" s="38" t="n">
        <v>2021</v>
      </c>
      <c r="B1150" s="42" t="inlineStr">
        <is>
          <t>431227</t>
        </is>
      </c>
      <c r="C1150" s="38" t="inlineStr">
        <is>
          <t>Renau</t>
        </is>
      </c>
      <c r="D1150" s="38" t="inlineStr">
        <is>
          <t>Y026</t>
        </is>
      </c>
      <c r="E1150" s="38" t="inlineStr">
        <is>
          <t>26 anys</t>
        </is>
      </c>
      <c r="F1150" s="38" t="n">
        <v>26</v>
      </c>
      <c r="G1150" s="38" t="n">
        <v>2</v>
      </c>
      <c r="I1150" s="38" t="inlineStr">
        <is>
          <t>Total de tots els sexes; resposta JSON-stat de l'API d'Idescat</t>
        </is>
      </c>
    </row>
    <row r="1151" ht="15" customHeight="1" s="39">
      <c r="A1151" s="38" t="n">
        <v>2021</v>
      </c>
      <c r="B1151" s="42" t="inlineStr">
        <is>
          <t>431227</t>
        </is>
      </c>
      <c r="C1151" s="38" t="inlineStr">
        <is>
          <t>Renau</t>
        </is>
      </c>
      <c r="D1151" s="38" t="inlineStr">
        <is>
          <t>Y027</t>
        </is>
      </c>
      <c r="E1151" s="38" t="inlineStr">
        <is>
          <t>27 anys</t>
        </is>
      </c>
      <c r="F1151" s="38" t="n">
        <v>27</v>
      </c>
      <c r="G1151" s="38" t="n">
        <v>1</v>
      </c>
      <c r="I1151" s="38" t="inlineStr">
        <is>
          <t>Total de tots els sexes; resposta JSON-stat de l'API d'Idescat</t>
        </is>
      </c>
    </row>
    <row r="1152" ht="15" customHeight="1" s="39">
      <c r="A1152" s="38" t="n">
        <v>2021</v>
      </c>
      <c r="B1152" s="42" t="inlineStr">
        <is>
          <t>431227</t>
        </is>
      </c>
      <c r="C1152" s="38" t="inlineStr">
        <is>
          <t>Renau</t>
        </is>
      </c>
      <c r="D1152" s="38" t="inlineStr">
        <is>
          <t>Y028</t>
        </is>
      </c>
      <c r="E1152" s="38" t="inlineStr">
        <is>
          <t>28 anys</t>
        </is>
      </c>
      <c r="F1152" s="38" t="n">
        <v>28</v>
      </c>
      <c r="G1152" s="38" t="n">
        <v>0</v>
      </c>
      <c r="I1152" s="38" t="inlineStr">
        <is>
          <t>Total de tots els sexes; resposta JSON-stat de l'API d'Idescat</t>
        </is>
      </c>
    </row>
    <row r="1153" ht="15" customHeight="1" s="39">
      <c r="A1153" s="38" t="n">
        <v>2021</v>
      </c>
      <c r="B1153" s="42" t="inlineStr">
        <is>
          <t>431227</t>
        </is>
      </c>
      <c r="C1153" s="38" t="inlineStr">
        <is>
          <t>Renau</t>
        </is>
      </c>
      <c r="D1153" s="38" t="inlineStr">
        <is>
          <t>Y029</t>
        </is>
      </c>
      <c r="E1153" s="38" t="inlineStr">
        <is>
          <t>29 anys</t>
        </is>
      </c>
      <c r="F1153" s="38" t="n">
        <v>29</v>
      </c>
      <c r="G1153" s="38" t="n">
        <v>2</v>
      </c>
      <c r="I1153" s="38" t="inlineStr">
        <is>
          <t>Total de tots els sexes; resposta JSON-stat de l'API d'Idescat</t>
        </is>
      </c>
    </row>
    <row r="1154" ht="15" customHeight="1" s="39">
      <c r="A1154" s="38" t="n">
        <v>2021</v>
      </c>
      <c r="B1154" s="42" t="inlineStr">
        <is>
          <t>431227</t>
        </is>
      </c>
      <c r="C1154" s="38" t="inlineStr">
        <is>
          <t>Renau</t>
        </is>
      </c>
      <c r="D1154" s="38" t="inlineStr">
        <is>
          <t>Y030</t>
        </is>
      </c>
      <c r="E1154" s="38" t="inlineStr">
        <is>
          <t>30 anys</t>
        </is>
      </c>
      <c r="F1154" s="38" t="n">
        <v>30</v>
      </c>
      <c r="G1154" s="38" t="n">
        <v>2</v>
      </c>
      <c r="I1154" s="38" t="inlineStr">
        <is>
          <t>Total de tots els sexes; resposta JSON-stat de l'API d'Idescat</t>
        </is>
      </c>
    </row>
    <row r="1155" ht="15" customHeight="1" s="39">
      <c r="A1155" s="38" t="n">
        <v>2021</v>
      </c>
      <c r="B1155" s="42" t="inlineStr">
        <is>
          <t>431227</t>
        </is>
      </c>
      <c r="C1155" s="38" t="inlineStr">
        <is>
          <t>Renau</t>
        </is>
      </c>
      <c r="D1155" s="38" t="inlineStr">
        <is>
          <t>Y031</t>
        </is>
      </c>
      <c r="E1155" s="38" t="inlineStr">
        <is>
          <t>31 anys</t>
        </is>
      </c>
      <c r="F1155" s="38" t="n">
        <v>31</v>
      </c>
      <c r="G1155" s="38" t="n">
        <v>2</v>
      </c>
      <c r="I1155" s="38" t="inlineStr">
        <is>
          <t>Total de tots els sexes; resposta JSON-stat de l'API d'Idescat</t>
        </is>
      </c>
    </row>
    <row r="1156" ht="15" customHeight="1" s="39">
      <c r="A1156" s="38" t="n">
        <v>2021</v>
      </c>
      <c r="B1156" s="42" t="inlineStr">
        <is>
          <t>431227</t>
        </is>
      </c>
      <c r="C1156" s="38" t="inlineStr">
        <is>
          <t>Renau</t>
        </is>
      </c>
      <c r="D1156" s="38" t="inlineStr">
        <is>
          <t>Y032</t>
        </is>
      </c>
      <c r="E1156" s="38" t="inlineStr">
        <is>
          <t>32 anys</t>
        </is>
      </c>
      <c r="F1156" s="38" t="n">
        <v>32</v>
      </c>
      <c r="G1156" s="38" t="n">
        <v>3</v>
      </c>
      <c r="I1156" s="38" t="inlineStr">
        <is>
          <t>Total de tots els sexes; resposta JSON-stat de l'API d'Idescat</t>
        </is>
      </c>
    </row>
    <row r="1157" ht="15" customHeight="1" s="39">
      <c r="A1157" s="38" t="n">
        <v>2021</v>
      </c>
      <c r="B1157" s="42" t="inlineStr">
        <is>
          <t>431227</t>
        </is>
      </c>
      <c r="C1157" s="38" t="inlineStr">
        <is>
          <t>Renau</t>
        </is>
      </c>
      <c r="D1157" s="38" t="inlineStr">
        <is>
          <t>Y033</t>
        </is>
      </c>
      <c r="E1157" s="38" t="inlineStr">
        <is>
          <t>33 anys</t>
        </is>
      </c>
      <c r="F1157" s="38" t="n">
        <v>33</v>
      </c>
      <c r="G1157" s="38" t="n">
        <v>2</v>
      </c>
      <c r="I1157" s="38" t="inlineStr">
        <is>
          <t>Total de tots els sexes; resposta JSON-stat de l'API d'Idescat</t>
        </is>
      </c>
    </row>
    <row r="1158" ht="15" customHeight="1" s="39">
      <c r="A1158" s="38" t="n">
        <v>2021</v>
      </c>
      <c r="B1158" s="42" t="inlineStr">
        <is>
          <t>431227</t>
        </is>
      </c>
      <c r="C1158" s="38" t="inlineStr">
        <is>
          <t>Renau</t>
        </is>
      </c>
      <c r="D1158" s="38" t="inlineStr">
        <is>
          <t>Y034</t>
        </is>
      </c>
      <c r="E1158" s="38" t="inlineStr">
        <is>
          <t>34 anys</t>
        </is>
      </c>
      <c r="F1158" s="38" t="n">
        <v>34</v>
      </c>
      <c r="G1158" s="38" t="n">
        <v>1</v>
      </c>
      <c r="I1158" s="38" t="inlineStr">
        <is>
          <t>Total de tots els sexes; resposta JSON-stat de l'API d'Idescat</t>
        </is>
      </c>
    </row>
    <row r="1159" ht="15" customHeight="1" s="39">
      <c r="A1159" s="38" t="n">
        <v>2021</v>
      </c>
      <c r="B1159" s="42" t="inlineStr">
        <is>
          <t>431227</t>
        </is>
      </c>
      <c r="C1159" s="38" t="inlineStr">
        <is>
          <t>Renau</t>
        </is>
      </c>
      <c r="D1159" s="38" t="inlineStr">
        <is>
          <t>Y035</t>
        </is>
      </c>
      <c r="E1159" s="38" t="inlineStr">
        <is>
          <t>35 anys</t>
        </is>
      </c>
      <c r="F1159" s="38" t="n">
        <v>35</v>
      </c>
      <c r="G1159" s="38" t="n">
        <v>3</v>
      </c>
      <c r="I1159" s="38" t="inlineStr">
        <is>
          <t>Total de tots els sexes; resposta JSON-stat de l'API d'Idescat</t>
        </is>
      </c>
    </row>
    <row r="1160" ht="15" customHeight="1" s="39">
      <c r="A1160" s="38" t="n">
        <v>2021</v>
      </c>
      <c r="B1160" s="42" t="inlineStr">
        <is>
          <t>431227</t>
        </is>
      </c>
      <c r="C1160" s="38" t="inlineStr">
        <is>
          <t>Renau</t>
        </is>
      </c>
      <c r="D1160" s="38" t="inlineStr">
        <is>
          <t>Y036</t>
        </is>
      </c>
      <c r="E1160" s="38" t="inlineStr">
        <is>
          <t>36 anys</t>
        </is>
      </c>
      <c r="F1160" s="38" t="n">
        <v>36</v>
      </c>
      <c r="G1160" s="38" t="n">
        <v>2</v>
      </c>
      <c r="I1160" s="38" t="inlineStr">
        <is>
          <t>Total de tots els sexes; resposta JSON-stat de l'API d'Idescat</t>
        </is>
      </c>
    </row>
    <row r="1161" ht="15" customHeight="1" s="39">
      <c r="A1161" s="38" t="n">
        <v>2021</v>
      </c>
      <c r="B1161" s="42" t="inlineStr">
        <is>
          <t>431227</t>
        </is>
      </c>
      <c r="C1161" s="38" t="inlineStr">
        <is>
          <t>Renau</t>
        </is>
      </c>
      <c r="D1161" s="38" t="inlineStr">
        <is>
          <t>Y037</t>
        </is>
      </c>
      <c r="E1161" s="38" t="inlineStr">
        <is>
          <t>37 anys</t>
        </is>
      </c>
      <c r="F1161" s="38" t="n">
        <v>37</v>
      </c>
      <c r="G1161" s="38" t="n">
        <v>1</v>
      </c>
      <c r="I1161" s="38" t="inlineStr">
        <is>
          <t>Total de tots els sexes; resposta JSON-stat de l'API d'Idescat</t>
        </is>
      </c>
    </row>
    <row r="1162" ht="15" customHeight="1" s="39">
      <c r="A1162" s="38" t="n">
        <v>2021</v>
      </c>
      <c r="B1162" s="42" t="inlineStr">
        <is>
          <t>431227</t>
        </is>
      </c>
      <c r="C1162" s="38" t="inlineStr">
        <is>
          <t>Renau</t>
        </is>
      </c>
      <c r="D1162" s="38" t="inlineStr">
        <is>
          <t>Y038</t>
        </is>
      </c>
      <c r="E1162" s="38" t="inlineStr">
        <is>
          <t>38 anys</t>
        </is>
      </c>
      <c r="F1162" s="38" t="n">
        <v>38</v>
      </c>
      <c r="G1162" s="38" t="n">
        <v>1</v>
      </c>
      <c r="I1162" s="38" t="inlineStr">
        <is>
          <t>Total de tots els sexes; resposta JSON-stat de l'API d'Idescat</t>
        </is>
      </c>
    </row>
    <row r="1163" ht="15" customHeight="1" s="39">
      <c r="A1163" s="38" t="n">
        <v>2021</v>
      </c>
      <c r="B1163" s="42" t="inlineStr">
        <is>
          <t>431227</t>
        </is>
      </c>
      <c r="C1163" s="38" t="inlineStr">
        <is>
          <t>Renau</t>
        </is>
      </c>
      <c r="D1163" s="38" t="inlineStr">
        <is>
          <t>Y039</t>
        </is>
      </c>
      <c r="E1163" s="38" t="inlineStr">
        <is>
          <t>39 anys</t>
        </is>
      </c>
      <c r="F1163" s="38" t="n">
        <v>39</v>
      </c>
      <c r="G1163" s="38" t="n">
        <v>4</v>
      </c>
      <c r="I1163" s="38" t="inlineStr">
        <is>
          <t>Total de tots els sexes; resposta JSON-stat de l'API d'Idescat</t>
        </is>
      </c>
    </row>
    <row r="1164" ht="15" customHeight="1" s="39">
      <c r="A1164" s="38" t="n">
        <v>2021</v>
      </c>
      <c r="B1164" s="42" t="inlineStr">
        <is>
          <t>431227</t>
        </is>
      </c>
      <c r="C1164" s="38" t="inlineStr">
        <is>
          <t>Renau</t>
        </is>
      </c>
      <c r="D1164" s="38" t="inlineStr">
        <is>
          <t>Y040</t>
        </is>
      </c>
      <c r="E1164" s="38" t="inlineStr">
        <is>
          <t>40 anys</t>
        </is>
      </c>
      <c r="F1164" s="38" t="n">
        <v>40</v>
      </c>
      <c r="G1164" s="38" t="n">
        <v>4</v>
      </c>
      <c r="I1164" s="38" t="inlineStr">
        <is>
          <t>Total de tots els sexes; resposta JSON-stat de l'API d'Idescat</t>
        </is>
      </c>
    </row>
    <row r="1165" ht="15" customHeight="1" s="39">
      <c r="A1165" s="38" t="n">
        <v>2021</v>
      </c>
      <c r="B1165" s="42" t="inlineStr">
        <is>
          <t>431227</t>
        </is>
      </c>
      <c r="C1165" s="38" t="inlineStr">
        <is>
          <t>Renau</t>
        </is>
      </c>
      <c r="D1165" s="38" t="inlineStr">
        <is>
          <t>Y041</t>
        </is>
      </c>
      <c r="E1165" s="38" t="inlineStr">
        <is>
          <t>41 anys</t>
        </is>
      </c>
      <c r="F1165" s="38" t="n">
        <v>41</v>
      </c>
      <c r="G1165" s="38" t="n">
        <v>4</v>
      </c>
      <c r="I1165" s="38" t="inlineStr">
        <is>
          <t>Total de tots els sexes; resposta JSON-stat de l'API d'Idescat</t>
        </is>
      </c>
    </row>
    <row r="1166" ht="15" customHeight="1" s="39">
      <c r="A1166" s="38" t="n">
        <v>2021</v>
      </c>
      <c r="B1166" s="42" t="inlineStr">
        <is>
          <t>431227</t>
        </is>
      </c>
      <c r="C1166" s="38" t="inlineStr">
        <is>
          <t>Renau</t>
        </is>
      </c>
      <c r="D1166" s="38" t="inlineStr">
        <is>
          <t>Y042</t>
        </is>
      </c>
      <c r="E1166" s="38" t="inlineStr">
        <is>
          <t>42 anys</t>
        </is>
      </c>
      <c r="F1166" s="38" t="n">
        <v>42</v>
      </c>
      <c r="G1166" s="38" t="n">
        <v>5</v>
      </c>
      <c r="I1166" s="38" t="inlineStr">
        <is>
          <t>Total de tots els sexes; resposta JSON-stat de l'API d'Idescat</t>
        </is>
      </c>
    </row>
    <row r="1167" ht="15" customHeight="1" s="39">
      <c r="A1167" s="38" t="n">
        <v>2021</v>
      </c>
      <c r="B1167" s="42" t="inlineStr">
        <is>
          <t>431227</t>
        </is>
      </c>
      <c r="C1167" s="38" t="inlineStr">
        <is>
          <t>Renau</t>
        </is>
      </c>
      <c r="D1167" s="38" t="inlineStr">
        <is>
          <t>Y043</t>
        </is>
      </c>
      <c r="E1167" s="38" t="inlineStr">
        <is>
          <t>43 anys</t>
        </is>
      </c>
      <c r="F1167" s="38" t="n">
        <v>43</v>
      </c>
      <c r="G1167" s="38" t="n">
        <v>3</v>
      </c>
      <c r="I1167" s="38" t="inlineStr">
        <is>
          <t>Total de tots els sexes; resposta JSON-stat de l'API d'Idescat</t>
        </is>
      </c>
    </row>
    <row r="1168" ht="15" customHeight="1" s="39">
      <c r="A1168" s="38" t="n">
        <v>2021</v>
      </c>
      <c r="B1168" s="42" t="inlineStr">
        <is>
          <t>431227</t>
        </is>
      </c>
      <c r="C1168" s="38" t="inlineStr">
        <is>
          <t>Renau</t>
        </is>
      </c>
      <c r="D1168" s="38" t="inlineStr">
        <is>
          <t>Y044</t>
        </is>
      </c>
      <c r="E1168" s="38" t="inlineStr">
        <is>
          <t>44 anys</t>
        </is>
      </c>
      <c r="F1168" s="38" t="n">
        <v>44</v>
      </c>
      <c r="G1168" s="38" t="n">
        <v>5</v>
      </c>
      <c r="I1168" s="38" t="inlineStr">
        <is>
          <t>Total de tots els sexes; resposta JSON-stat de l'API d'Idescat</t>
        </is>
      </c>
    </row>
    <row r="1169" ht="15" customHeight="1" s="39">
      <c r="A1169" s="38" t="n">
        <v>2021</v>
      </c>
      <c r="B1169" s="42" t="inlineStr">
        <is>
          <t>431227</t>
        </is>
      </c>
      <c r="C1169" s="38" t="inlineStr">
        <is>
          <t>Renau</t>
        </is>
      </c>
      <c r="D1169" s="38" t="inlineStr">
        <is>
          <t>Y045</t>
        </is>
      </c>
      <c r="E1169" s="38" t="inlineStr">
        <is>
          <t>45 anys</t>
        </is>
      </c>
      <c r="F1169" s="38" t="n">
        <v>45</v>
      </c>
      <c r="G1169" s="38" t="n">
        <v>4</v>
      </c>
      <c r="I1169" s="38" t="inlineStr">
        <is>
          <t>Total de tots els sexes; resposta JSON-stat de l'API d'Idescat</t>
        </is>
      </c>
    </row>
    <row r="1170" ht="15" customHeight="1" s="39">
      <c r="A1170" s="38" t="n">
        <v>2021</v>
      </c>
      <c r="B1170" s="42" t="inlineStr">
        <is>
          <t>431227</t>
        </is>
      </c>
      <c r="C1170" s="38" t="inlineStr">
        <is>
          <t>Renau</t>
        </is>
      </c>
      <c r="D1170" s="38" t="inlineStr">
        <is>
          <t>Y046</t>
        </is>
      </c>
      <c r="E1170" s="38" t="inlineStr">
        <is>
          <t>46 anys</t>
        </is>
      </c>
      <c r="F1170" s="38" t="n">
        <v>46</v>
      </c>
      <c r="G1170" s="38" t="n">
        <v>3</v>
      </c>
      <c r="I1170" s="38" t="inlineStr">
        <is>
          <t>Total de tots els sexes; resposta JSON-stat de l'API d'Idescat</t>
        </is>
      </c>
    </row>
    <row r="1171" ht="15" customHeight="1" s="39">
      <c r="A1171" s="38" t="n">
        <v>2021</v>
      </c>
      <c r="B1171" s="42" t="inlineStr">
        <is>
          <t>431227</t>
        </is>
      </c>
      <c r="C1171" s="38" t="inlineStr">
        <is>
          <t>Renau</t>
        </is>
      </c>
      <c r="D1171" s="38" t="inlineStr">
        <is>
          <t>Y047</t>
        </is>
      </c>
      <c r="E1171" s="38" t="inlineStr">
        <is>
          <t>47 anys</t>
        </is>
      </c>
      <c r="F1171" s="38" t="n">
        <v>47</v>
      </c>
      <c r="G1171" s="38" t="n">
        <v>2</v>
      </c>
      <c r="I1171" s="38" t="inlineStr">
        <is>
          <t>Total de tots els sexes; resposta JSON-stat de l'API d'Idescat</t>
        </is>
      </c>
    </row>
    <row r="1172" ht="15" customHeight="1" s="39">
      <c r="A1172" s="38" t="n">
        <v>2021</v>
      </c>
      <c r="B1172" s="42" t="inlineStr">
        <is>
          <t>431227</t>
        </is>
      </c>
      <c r="C1172" s="38" t="inlineStr">
        <is>
          <t>Renau</t>
        </is>
      </c>
      <c r="D1172" s="38" t="inlineStr">
        <is>
          <t>Y048</t>
        </is>
      </c>
      <c r="E1172" s="38" t="inlineStr">
        <is>
          <t>48 anys</t>
        </is>
      </c>
      <c r="F1172" s="38" t="n">
        <v>48</v>
      </c>
      <c r="G1172" s="38" t="n">
        <v>2</v>
      </c>
      <c r="I1172" s="38" t="inlineStr">
        <is>
          <t>Total de tots els sexes; resposta JSON-stat de l'API d'Idescat</t>
        </is>
      </c>
    </row>
    <row r="1173" ht="15" customHeight="1" s="39">
      <c r="A1173" s="38" t="n">
        <v>2021</v>
      </c>
      <c r="B1173" s="42" t="inlineStr">
        <is>
          <t>431227</t>
        </is>
      </c>
      <c r="C1173" s="38" t="inlineStr">
        <is>
          <t>Renau</t>
        </is>
      </c>
      <c r="D1173" s="38" t="inlineStr">
        <is>
          <t>Y049</t>
        </is>
      </c>
      <c r="E1173" s="38" t="inlineStr">
        <is>
          <t>49 anys</t>
        </is>
      </c>
      <c r="F1173" s="38" t="n">
        <v>49</v>
      </c>
      <c r="G1173" s="38" t="n">
        <v>7</v>
      </c>
      <c r="I1173" s="38" t="inlineStr">
        <is>
          <t>Total de tots els sexes; resposta JSON-stat de l'API d'Idescat</t>
        </is>
      </c>
    </row>
    <row r="1174" ht="15" customHeight="1" s="39">
      <c r="A1174" s="38" t="n">
        <v>2021</v>
      </c>
      <c r="B1174" s="42" t="inlineStr">
        <is>
          <t>431227</t>
        </is>
      </c>
      <c r="C1174" s="38" t="inlineStr">
        <is>
          <t>Renau</t>
        </is>
      </c>
      <c r="D1174" s="38" t="inlineStr">
        <is>
          <t>Y050</t>
        </is>
      </c>
      <c r="E1174" s="38" t="inlineStr">
        <is>
          <t>50 anys</t>
        </is>
      </c>
      <c r="F1174" s="38" t="n">
        <v>50</v>
      </c>
      <c r="G1174" s="38" t="n">
        <v>1</v>
      </c>
      <c r="I1174" s="38" t="inlineStr">
        <is>
          <t>Total de tots els sexes; resposta JSON-stat de l'API d'Idescat</t>
        </is>
      </c>
    </row>
    <row r="1175" ht="15" customHeight="1" s="39">
      <c r="A1175" s="38" t="n">
        <v>2021</v>
      </c>
      <c r="B1175" s="42" t="inlineStr">
        <is>
          <t>431227</t>
        </is>
      </c>
      <c r="C1175" s="38" t="inlineStr">
        <is>
          <t>Renau</t>
        </is>
      </c>
      <c r="D1175" s="38" t="inlineStr">
        <is>
          <t>Y051</t>
        </is>
      </c>
      <c r="E1175" s="38" t="inlineStr">
        <is>
          <t>51 anys</t>
        </is>
      </c>
      <c r="F1175" s="38" t="n">
        <v>51</v>
      </c>
      <c r="G1175" s="38" t="n">
        <v>2</v>
      </c>
      <c r="I1175" s="38" t="inlineStr">
        <is>
          <t>Total de tots els sexes; resposta JSON-stat de l'API d'Idescat</t>
        </is>
      </c>
    </row>
    <row r="1176" ht="15" customHeight="1" s="39">
      <c r="A1176" s="38" t="n">
        <v>2021</v>
      </c>
      <c r="B1176" s="42" t="inlineStr">
        <is>
          <t>431227</t>
        </is>
      </c>
      <c r="C1176" s="38" t="inlineStr">
        <is>
          <t>Renau</t>
        </is>
      </c>
      <c r="D1176" s="38" t="inlineStr">
        <is>
          <t>Y052</t>
        </is>
      </c>
      <c r="E1176" s="38" t="inlineStr">
        <is>
          <t>52 anys</t>
        </is>
      </c>
      <c r="F1176" s="38" t="n">
        <v>52</v>
      </c>
      <c r="G1176" s="38" t="n">
        <v>3</v>
      </c>
      <c r="I1176" s="38" t="inlineStr">
        <is>
          <t>Total de tots els sexes; resposta JSON-stat de l'API d'Idescat</t>
        </is>
      </c>
    </row>
    <row r="1177" ht="15" customHeight="1" s="39">
      <c r="A1177" s="38" t="n">
        <v>2021</v>
      </c>
      <c r="B1177" s="42" t="inlineStr">
        <is>
          <t>431227</t>
        </is>
      </c>
      <c r="C1177" s="38" t="inlineStr">
        <is>
          <t>Renau</t>
        </is>
      </c>
      <c r="D1177" s="38" t="inlineStr">
        <is>
          <t>Y053</t>
        </is>
      </c>
      <c r="E1177" s="38" t="inlineStr">
        <is>
          <t>53 anys</t>
        </is>
      </c>
      <c r="F1177" s="38" t="n">
        <v>53</v>
      </c>
      <c r="G1177" s="38" t="n">
        <v>6</v>
      </c>
      <c r="I1177" s="38" t="inlineStr">
        <is>
          <t>Total de tots els sexes; resposta JSON-stat de l'API d'Idescat</t>
        </is>
      </c>
    </row>
    <row r="1178" ht="15" customHeight="1" s="39">
      <c r="A1178" s="38" t="n">
        <v>2021</v>
      </c>
      <c r="B1178" s="42" t="inlineStr">
        <is>
          <t>431227</t>
        </is>
      </c>
      <c r="C1178" s="38" t="inlineStr">
        <is>
          <t>Renau</t>
        </is>
      </c>
      <c r="D1178" s="38" t="inlineStr">
        <is>
          <t>Y054</t>
        </is>
      </c>
      <c r="E1178" s="38" t="inlineStr">
        <is>
          <t>54 anys</t>
        </is>
      </c>
      <c r="F1178" s="38" t="n">
        <v>54</v>
      </c>
      <c r="G1178" s="38" t="n">
        <v>1</v>
      </c>
      <c r="I1178" s="38" t="inlineStr">
        <is>
          <t>Total de tots els sexes; resposta JSON-stat de l'API d'Idescat</t>
        </is>
      </c>
    </row>
    <row r="1179" ht="15" customHeight="1" s="39">
      <c r="A1179" s="38" t="n">
        <v>2021</v>
      </c>
      <c r="B1179" s="42" t="inlineStr">
        <is>
          <t>431227</t>
        </is>
      </c>
      <c r="C1179" s="38" t="inlineStr">
        <is>
          <t>Renau</t>
        </is>
      </c>
      <c r="D1179" s="38" t="inlineStr">
        <is>
          <t>Y055</t>
        </is>
      </c>
      <c r="E1179" s="38" t="inlineStr">
        <is>
          <t>55 anys</t>
        </is>
      </c>
      <c r="F1179" s="38" t="n">
        <v>55</v>
      </c>
      <c r="G1179" s="38" t="n">
        <v>2</v>
      </c>
      <c r="I1179" s="38" t="inlineStr">
        <is>
          <t>Total de tots els sexes; resposta JSON-stat de l'API d'Idescat</t>
        </is>
      </c>
    </row>
    <row r="1180" ht="15" customHeight="1" s="39">
      <c r="A1180" s="38" t="n">
        <v>2021</v>
      </c>
      <c r="B1180" s="42" t="inlineStr">
        <is>
          <t>431227</t>
        </is>
      </c>
      <c r="C1180" s="38" t="inlineStr">
        <is>
          <t>Renau</t>
        </is>
      </c>
      <c r="D1180" s="38" t="inlineStr">
        <is>
          <t>Y056</t>
        </is>
      </c>
      <c r="E1180" s="38" t="inlineStr">
        <is>
          <t>56 anys</t>
        </is>
      </c>
      <c r="F1180" s="38" t="n">
        <v>56</v>
      </c>
      <c r="G1180" s="38" t="n">
        <v>4</v>
      </c>
      <c r="I1180" s="38" t="inlineStr">
        <is>
          <t>Total de tots els sexes; resposta JSON-stat de l'API d'Idescat</t>
        </is>
      </c>
    </row>
    <row r="1181" ht="15" customHeight="1" s="39">
      <c r="A1181" s="38" t="n">
        <v>2021</v>
      </c>
      <c r="B1181" s="42" t="inlineStr">
        <is>
          <t>431227</t>
        </is>
      </c>
      <c r="C1181" s="38" t="inlineStr">
        <is>
          <t>Renau</t>
        </is>
      </c>
      <c r="D1181" s="38" t="inlineStr">
        <is>
          <t>Y057</t>
        </is>
      </c>
      <c r="E1181" s="38" t="inlineStr">
        <is>
          <t>57 anys</t>
        </is>
      </c>
      <c r="F1181" s="38" t="n">
        <v>57</v>
      </c>
      <c r="G1181" s="38" t="n">
        <v>3</v>
      </c>
      <c r="I1181" s="38" t="inlineStr">
        <is>
          <t>Total de tots els sexes; resposta JSON-stat de l'API d'Idescat</t>
        </is>
      </c>
    </row>
    <row r="1182" ht="15" customHeight="1" s="39">
      <c r="A1182" s="38" t="n">
        <v>2021</v>
      </c>
      <c r="B1182" s="42" t="inlineStr">
        <is>
          <t>431227</t>
        </is>
      </c>
      <c r="C1182" s="38" t="inlineStr">
        <is>
          <t>Renau</t>
        </is>
      </c>
      <c r="D1182" s="38" t="inlineStr">
        <is>
          <t>Y058</t>
        </is>
      </c>
      <c r="E1182" s="38" t="inlineStr">
        <is>
          <t>58 anys</t>
        </is>
      </c>
      <c r="F1182" s="38" t="n">
        <v>58</v>
      </c>
      <c r="G1182" s="38" t="n">
        <v>2</v>
      </c>
      <c r="I1182" s="38" t="inlineStr">
        <is>
          <t>Total de tots els sexes; resposta JSON-stat de l'API d'Idescat</t>
        </is>
      </c>
    </row>
    <row r="1183" ht="15" customHeight="1" s="39">
      <c r="A1183" s="38" t="n">
        <v>2021</v>
      </c>
      <c r="B1183" s="42" t="inlineStr">
        <is>
          <t>431227</t>
        </is>
      </c>
      <c r="C1183" s="38" t="inlineStr">
        <is>
          <t>Renau</t>
        </is>
      </c>
      <c r="D1183" s="38" t="inlineStr">
        <is>
          <t>Y059</t>
        </is>
      </c>
      <c r="E1183" s="38" t="inlineStr">
        <is>
          <t>59 anys</t>
        </is>
      </c>
      <c r="F1183" s="38" t="n">
        <v>59</v>
      </c>
      <c r="G1183" s="38" t="n">
        <v>2</v>
      </c>
      <c r="I1183" s="38" t="inlineStr">
        <is>
          <t>Total de tots els sexes; resposta JSON-stat de l'API d'Idescat</t>
        </is>
      </c>
    </row>
    <row r="1184" ht="15" customHeight="1" s="39">
      <c r="A1184" s="38" t="n">
        <v>2021</v>
      </c>
      <c r="B1184" s="42" t="inlineStr">
        <is>
          <t>431227</t>
        </is>
      </c>
      <c r="C1184" s="38" t="inlineStr">
        <is>
          <t>Renau</t>
        </is>
      </c>
      <c r="D1184" s="38" t="inlineStr">
        <is>
          <t>Y060</t>
        </is>
      </c>
      <c r="E1184" s="38" t="inlineStr">
        <is>
          <t>60 anys</t>
        </is>
      </c>
      <c r="F1184" s="38" t="n">
        <v>60</v>
      </c>
      <c r="G1184" s="38" t="n">
        <v>0</v>
      </c>
      <c r="I1184" s="38" t="inlineStr">
        <is>
          <t>Total de tots els sexes; resposta JSON-stat de l'API d'Idescat</t>
        </is>
      </c>
    </row>
    <row r="1185" ht="15" customHeight="1" s="39">
      <c r="A1185" s="38" t="n">
        <v>2021</v>
      </c>
      <c r="B1185" s="42" t="inlineStr">
        <is>
          <t>431227</t>
        </is>
      </c>
      <c r="C1185" s="38" t="inlineStr">
        <is>
          <t>Renau</t>
        </is>
      </c>
      <c r="D1185" s="38" t="inlineStr">
        <is>
          <t>Y061</t>
        </is>
      </c>
      <c r="E1185" s="38" t="inlineStr">
        <is>
          <t>61 anys</t>
        </is>
      </c>
      <c r="F1185" s="38" t="n">
        <v>61</v>
      </c>
      <c r="G1185" s="38" t="n">
        <v>2</v>
      </c>
      <c r="I1185" s="38" t="inlineStr">
        <is>
          <t>Total de tots els sexes; resposta JSON-stat de l'API d'Idescat</t>
        </is>
      </c>
    </row>
    <row r="1186" ht="15" customHeight="1" s="39">
      <c r="A1186" s="38" t="n">
        <v>2021</v>
      </c>
      <c r="B1186" s="42" t="inlineStr">
        <is>
          <t>431227</t>
        </is>
      </c>
      <c r="C1186" s="38" t="inlineStr">
        <is>
          <t>Renau</t>
        </is>
      </c>
      <c r="D1186" s="38" t="inlineStr">
        <is>
          <t>Y062</t>
        </is>
      </c>
      <c r="E1186" s="38" t="inlineStr">
        <is>
          <t>62 anys</t>
        </is>
      </c>
      <c r="F1186" s="38" t="n">
        <v>62</v>
      </c>
      <c r="G1186" s="38" t="n">
        <v>1</v>
      </c>
      <c r="I1186" s="38" t="inlineStr">
        <is>
          <t>Total de tots els sexes; resposta JSON-stat de l'API d'Idescat</t>
        </is>
      </c>
    </row>
    <row r="1187" ht="15" customHeight="1" s="39">
      <c r="A1187" s="38" t="n">
        <v>2021</v>
      </c>
      <c r="B1187" s="42" t="inlineStr">
        <is>
          <t>431227</t>
        </is>
      </c>
      <c r="C1187" s="38" t="inlineStr">
        <is>
          <t>Renau</t>
        </is>
      </c>
      <c r="D1187" s="38" t="inlineStr">
        <is>
          <t>Y063</t>
        </is>
      </c>
      <c r="E1187" s="38" t="inlineStr">
        <is>
          <t>63 anys</t>
        </is>
      </c>
      <c r="F1187" s="38" t="n">
        <v>63</v>
      </c>
      <c r="G1187" s="38" t="n">
        <v>2</v>
      </c>
      <c r="I1187" s="38" t="inlineStr">
        <is>
          <t>Total de tots els sexes; resposta JSON-stat de l'API d'Idescat</t>
        </is>
      </c>
    </row>
    <row r="1188" ht="15" customHeight="1" s="39">
      <c r="A1188" s="38" t="n">
        <v>2021</v>
      </c>
      <c r="B1188" s="42" t="inlineStr">
        <is>
          <t>431227</t>
        </is>
      </c>
      <c r="C1188" s="38" t="inlineStr">
        <is>
          <t>Renau</t>
        </is>
      </c>
      <c r="D1188" s="38" t="inlineStr">
        <is>
          <t>Y064</t>
        </is>
      </c>
      <c r="E1188" s="38" t="inlineStr">
        <is>
          <t>64 anys</t>
        </is>
      </c>
      <c r="F1188" s="38" t="n">
        <v>64</v>
      </c>
      <c r="G1188" s="38" t="n">
        <v>2</v>
      </c>
      <c r="I1188" s="38" t="inlineStr">
        <is>
          <t>Total de tots els sexes; resposta JSON-stat de l'API d'Idescat</t>
        </is>
      </c>
    </row>
    <row r="1189" ht="15" customHeight="1" s="39">
      <c r="A1189" s="38" t="n">
        <v>2021</v>
      </c>
      <c r="B1189" s="42" t="inlineStr">
        <is>
          <t>431227</t>
        </is>
      </c>
      <c r="C1189" s="38" t="inlineStr">
        <is>
          <t>Renau</t>
        </is>
      </c>
      <c r="D1189" s="38" t="inlineStr">
        <is>
          <t>Y065</t>
        </is>
      </c>
      <c r="E1189" s="38" t="inlineStr">
        <is>
          <t>65 anys</t>
        </is>
      </c>
      <c r="F1189" s="38" t="n">
        <v>65</v>
      </c>
      <c r="G1189" s="38" t="n">
        <v>0</v>
      </c>
      <c r="I1189" s="38" t="inlineStr">
        <is>
          <t>Total de tots els sexes; resposta JSON-stat de l'API d'Idescat</t>
        </is>
      </c>
    </row>
    <row r="1190" ht="15" customHeight="1" s="39">
      <c r="A1190" s="38" t="n">
        <v>2021</v>
      </c>
      <c r="B1190" s="42" t="inlineStr">
        <is>
          <t>431227</t>
        </is>
      </c>
      <c r="C1190" s="38" t="inlineStr">
        <is>
          <t>Renau</t>
        </is>
      </c>
      <c r="D1190" s="38" t="inlineStr">
        <is>
          <t>Y066</t>
        </is>
      </c>
      <c r="E1190" s="38" t="inlineStr">
        <is>
          <t>66 anys</t>
        </is>
      </c>
      <c r="F1190" s="38" t="n">
        <v>66</v>
      </c>
      <c r="G1190" s="38" t="n">
        <v>1</v>
      </c>
      <c r="I1190" s="38" t="inlineStr">
        <is>
          <t>Total de tots els sexes; resposta JSON-stat de l'API d'Idescat</t>
        </is>
      </c>
    </row>
    <row r="1191" ht="15" customHeight="1" s="39">
      <c r="A1191" s="38" t="n">
        <v>2021</v>
      </c>
      <c r="B1191" s="42" t="inlineStr">
        <is>
          <t>431227</t>
        </is>
      </c>
      <c r="C1191" s="38" t="inlineStr">
        <is>
          <t>Renau</t>
        </is>
      </c>
      <c r="D1191" s="38" t="inlineStr">
        <is>
          <t>Y067</t>
        </is>
      </c>
      <c r="E1191" s="38" t="inlineStr">
        <is>
          <t>67 anys</t>
        </is>
      </c>
      <c r="F1191" s="38" t="n">
        <v>67</v>
      </c>
      <c r="G1191" s="38" t="n">
        <v>2</v>
      </c>
      <c r="I1191" s="38" t="inlineStr">
        <is>
          <t>Total de tots els sexes; resposta JSON-stat de l'API d'Idescat</t>
        </is>
      </c>
    </row>
    <row r="1192" ht="15" customHeight="1" s="39">
      <c r="A1192" s="38" t="n">
        <v>2021</v>
      </c>
      <c r="B1192" s="42" t="inlineStr">
        <is>
          <t>431227</t>
        </is>
      </c>
      <c r="C1192" s="38" t="inlineStr">
        <is>
          <t>Renau</t>
        </is>
      </c>
      <c r="D1192" s="38" t="inlineStr">
        <is>
          <t>Y068</t>
        </is>
      </c>
      <c r="E1192" s="38" t="inlineStr">
        <is>
          <t>68 anys</t>
        </is>
      </c>
      <c r="F1192" s="38" t="n">
        <v>68</v>
      </c>
      <c r="G1192" s="38" t="n">
        <v>0</v>
      </c>
      <c r="I1192" s="38" t="inlineStr">
        <is>
          <t>Total de tots els sexes; resposta JSON-stat de l'API d'Idescat</t>
        </is>
      </c>
    </row>
    <row r="1193" ht="15" customHeight="1" s="39">
      <c r="A1193" s="38" t="n">
        <v>2021</v>
      </c>
      <c r="B1193" s="42" t="inlineStr">
        <is>
          <t>431227</t>
        </is>
      </c>
      <c r="C1193" s="38" t="inlineStr">
        <is>
          <t>Renau</t>
        </is>
      </c>
      <c r="D1193" s="38" t="inlineStr">
        <is>
          <t>Y069</t>
        </is>
      </c>
      <c r="E1193" s="38" t="inlineStr">
        <is>
          <t>69 anys</t>
        </is>
      </c>
      <c r="F1193" s="38" t="n">
        <v>69</v>
      </c>
      <c r="G1193" s="38" t="n">
        <v>0</v>
      </c>
      <c r="I1193" s="38" t="inlineStr">
        <is>
          <t>Total de tots els sexes; resposta JSON-stat de l'API d'Idescat</t>
        </is>
      </c>
    </row>
    <row r="1194" ht="15" customHeight="1" s="39">
      <c r="A1194" s="38" t="n">
        <v>2021</v>
      </c>
      <c r="B1194" s="42" t="inlineStr">
        <is>
          <t>431227</t>
        </is>
      </c>
      <c r="C1194" s="38" t="inlineStr">
        <is>
          <t>Renau</t>
        </is>
      </c>
      <c r="D1194" s="38" t="inlineStr">
        <is>
          <t>Y070</t>
        </is>
      </c>
      <c r="E1194" s="38" t="inlineStr">
        <is>
          <t>70 anys</t>
        </is>
      </c>
      <c r="F1194" s="38" t="n">
        <v>70</v>
      </c>
      <c r="G1194" s="38" t="n">
        <v>0</v>
      </c>
      <c r="I1194" s="38" t="inlineStr">
        <is>
          <t>Total de tots els sexes; resposta JSON-stat de l'API d'Idescat</t>
        </is>
      </c>
    </row>
    <row r="1195" ht="15" customHeight="1" s="39">
      <c r="A1195" s="38" t="n">
        <v>2021</v>
      </c>
      <c r="B1195" s="42" t="inlineStr">
        <is>
          <t>431227</t>
        </is>
      </c>
      <c r="C1195" s="38" t="inlineStr">
        <is>
          <t>Renau</t>
        </is>
      </c>
      <c r="D1195" s="38" t="inlineStr">
        <is>
          <t>Y071</t>
        </is>
      </c>
      <c r="E1195" s="38" t="inlineStr">
        <is>
          <t>71 anys</t>
        </is>
      </c>
      <c r="F1195" s="38" t="n">
        <v>71</v>
      </c>
      <c r="G1195" s="38" t="n">
        <v>3</v>
      </c>
      <c r="I1195" s="38" t="inlineStr">
        <is>
          <t>Total de tots els sexes; resposta JSON-stat de l'API d'Idescat</t>
        </is>
      </c>
    </row>
    <row r="1196" ht="15" customHeight="1" s="39">
      <c r="A1196" s="38" t="n">
        <v>2021</v>
      </c>
      <c r="B1196" s="42" t="inlineStr">
        <is>
          <t>431227</t>
        </is>
      </c>
      <c r="C1196" s="38" t="inlineStr">
        <is>
          <t>Renau</t>
        </is>
      </c>
      <c r="D1196" s="38" t="inlineStr">
        <is>
          <t>Y072</t>
        </is>
      </c>
      <c r="E1196" s="38" t="inlineStr">
        <is>
          <t>72 anys</t>
        </is>
      </c>
      <c r="F1196" s="38" t="n">
        <v>72</v>
      </c>
      <c r="G1196" s="38" t="n">
        <v>2</v>
      </c>
      <c r="I1196" s="38" t="inlineStr">
        <is>
          <t>Total de tots els sexes; resposta JSON-stat de l'API d'Idescat</t>
        </is>
      </c>
    </row>
    <row r="1197" ht="15" customHeight="1" s="39">
      <c r="A1197" s="38" t="n">
        <v>2021</v>
      </c>
      <c r="B1197" s="42" t="inlineStr">
        <is>
          <t>431227</t>
        </is>
      </c>
      <c r="C1197" s="38" t="inlineStr">
        <is>
          <t>Renau</t>
        </is>
      </c>
      <c r="D1197" s="38" t="inlineStr">
        <is>
          <t>Y073</t>
        </is>
      </c>
      <c r="E1197" s="38" t="inlineStr">
        <is>
          <t>73 anys</t>
        </is>
      </c>
      <c r="F1197" s="38" t="n">
        <v>73</v>
      </c>
      <c r="G1197" s="38" t="n">
        <v>0</v>
      </c>
      <c r="I1197" s="38" t="inlineStr">
        <is>
          <t>Total de tots els sexes; resposta JSON-stat de l'API d'Idescat</t>
        </is>
      </c>
    </row>
    <row r="1198" ht="15" customHeight="1" s="39">
      <c r="A1198" s="38" t="n">
        <v>2021</v>
      </c>
      <c r="B1198" s="42" t="inlineStr">
        <is>
          <t>431227</t>
        </is>
      </c>
      <c r="C1198" s="38" t="inlineStr">
        <is>
          <t>Renau</t>
        </is>
      </c>
      <c r="D1198" s="38" t="inlineStr">
        <is>
          <t>Y074</t>
        </is>
      </c>
      <c r="E1198" s="38" t="inlineStr">
        <is>
          <t>74 anys</t>
        </is>
      </c>
      <c r="F1198" s="38" t="n">
        <v>74</v>
      </c>
      <c r="G1198" s="38" t="n">
        <v>0</v>
      </c>
      <c r="I1198" s="38" t="inlineStr">
        <is>
          <t>Total de tots els sexes; resposta JSON-stat de l'API d'Idescat</t>
        </is>
      </c>
    </row>
    <row r="1199" ht="15" customHeight="1" s="39">
      <c r="A1199" s="38" t="n">
        <v>2021</v>
      </c>
      <c r="B1199" s="42" t="inlineStr">
        <is>
          <t>431227</t>
        </is>
      </c>
      <c r="C1199" s="38" t="inlineStr">
        <is>
          <t>Renau</t>
        </is>
      </c>
      <c r="D1199" s="38" t="inlineStr">
        <is>
          <t>Y075</t>
        </is>
      </c>
      <c r="E1199" s="38" t="inlineStr">
        <is>
          <t>75 anys</t>
        </is>
      </c>
      <c r="F1199" s="38" t="n">
        <v>75</v>
      </c>
      <c r="G1199" s="38" t="n">
        <v>1</v>
      </c>
      <c r="I1199" s="38" t="inlineStr">
        <is>
          <t>Total de tots els sexes; resposta JSON-stat de l'API d'Idescat</t>
        </is>
      </c>
    </row>
    <row r="1200" ht="15" customHeight="1" s="39">
      <c r="A1200" s="38" t="n">
        <v>2021</v>
      </c>
      <c r="B1200" s="42" t="inlineStr">
        <is>
          <t>431227</t>
        </is>
      </c>
      <c r="C1200" s="38" t="inlineStr">
        <is>
          <t>Renau</t>
        </is>
      </c>
      <c r="D1200" s="38" t="inlineStr">
        <is>
          <t>Y076</t>
        </is>
      </c>
      <c r="E1200" s="38" t="inlineStr">
        <is>
          <t>76 anys</t>
        </is>
      </c>
      <c r="F1200" s="38" t="n">
        <v>76</v>
      </c>
      <c r="G1200" s="38" t="n">
        <v>0</v>
      </c>
      <c r="I1200" s="38" t="inlineStr">
        <is>
          <t>Total de tots els sexes; resposta JSON-stat de l'API d'Idescat</t>
        </is>
      </c>
    </row>
    <row r="1201" ht="15" customHeight="1" s="39">
      <c r="A1201" s="38" t="n">
        <v>2021</v>
      </c>
      <c r="B1201" s="42" t="inlineStr">
        <is>
          <t>431227</t>
        </is>
      </c>
      <c r="C1201" s="38" t="inlineStr">
        <is>
          <t>Renau</t>
        </is>
      </c>
      <c r="D1201" s="38" t="inlineStr">
        <is>
          <t>Y077</t>
        </is>
      </c>
      <c r="E1201" s="38" t="inlineStr">
        <is>
          <t>77 anys</t>
        </is>
      </c>
      <c r="F1201" s="38" t="n">
        <v>77</v>
      </c>
      <c r="G1201" s="38" t="n">
        <v>0</v>
      </c>
      <c r="I1201" s="38" t="inlineStr">
        <is>
          <t>Total de tots els sexes; resposta JSON-stat de l'API d'Idescat</t>
        </is>
      </c>
    </row>
    <row r="1202" ht="15" customHeight="1" s="39">
      <c r="A1202" s="38" t="n">
        <v>2021</v>
      </c>
      <c r="B1202" s="42" t="inlineStr">
        <is>
          <t>431227</t>
        </is>
      </c>
      <c r="C1202" s="38" t="inlineStr">
        <is>
          <t>Renau</t>
        </is>
      </c>
      <c r="D1202" s="38" t="inlineStr">
        <is>
          <t>Y078</t>
        </is>
      </c>
      <c r="E1202" s="38" t="inlineStr">
        <is>
          <t>78 anys</t>
        </is>
      </c>
      <c r="F1202" s="38" t="n">
        <v>78</v>
      </c>
      <c r="G1202" s="38" t="n">
        <v>0</v>
      </c>
      <c r="I1202" s="38" t="inlineStr">
        <is>
          <t>Total de tots els sexes; resposta JSON-stat de l'API d'Idescat</t>
        </is>
      </c>
    </row>
    <row r="1203" ht="15" customHeight="1" s="39">
      <c r="A1203" s="38" t="n">
        <v>2021</v>
      </c>
      <c r="B1203" s="42" t="inlineStr">
        <is>
          <t>431227</t>
        </is>
      </c>
      <c r="C1203" s="38" t="inlineStr">
        <is>
          <t>Renau</t>
        </is>
      </c>
      <c r="D1203" s="38" t="inlineStr">
        <is>
          <t>Y079</t>
        </is>
      </c>
      <c r="E1203" s="38" t="inlineStr">
        <is>
          <t>79 anys</t>
        </is>
      </c>
      <c r="F1203" s="38" t="n">
        <v>79</v>
      </c>
      <c r="G1203" s="38" t="n">
        <v>0</v>
      </c>
      <c r="I1203" s="38" t="inlineStr">
        <is>
          <t>Total de tots els sexes; resposta JSON-stat de l'API d'Idescat</t>
        </is>
      </c>
    </row>
    <row r="1204" ht="15" customHeight="1" s="39">
      <c r="A1204" s="38" t="n">
        <v>2021</v>
      </c>
      <c r="B1204" s="42" t="inlineStr">
        <is>
          <t>431227</t>
        </is>
      </c>
      <c r="C1204" s="38" t="inlineStr">
        <is>
          <t>Renau</t>
        </is>
      </c>
      <c r="D1204" s="38" t="inlineStr">
        <is>
          <t>Y080</t>
        </is>
      </c>
      <c r="E1204" s="38" t="inlineStr">
        <is>
          <t>80 anys</t>
        </is>
      </c>
      <c r="F1204" s="38" t="n">
        <v>80</v>
      </c>
      <c r="G1204" s="38" t="n">
        <v>0</v>
      </c>
      <c r="I1204" s="38" t="inlineStr">
        <is>
          <t>Total de tots els sexes; resposta JSON-stat de l'API d'Idescat</t>
        </is>
      </c>
    </row>
    <row r="1205" ht="15" customHeight="1" s="39">
      <c r="A1205" s="38" t="n">
        <v>2021</v>
      </c>
      <c r="B1205" s="42" t="inlineStr">
        <is>
          <t>431227</t>
        </is>
      </c>
      <c r="C1205" s="38" t="inlineStr">
        <is>
          <t>Renau</t>
        </is>
      </c>
      <c r="D1205" s="38" t="inlineStr">
        <is>
          <t>Y081</t>
        </is>
      </c>
      <c r="E1205" s="38" t="inlineStr">
        <is>
          <t>81 anys</t>
        </is>
      </c>
      <c r="F1205" s="38" t="n">
        <v>81</v>
      </c>
      <c r="G1205" s="38" t="n">
        <v>0</v>
      </c>
      <c r="I1205" s="38" t="inlineStr">
        <is>
          <t>Total de tots els sexes; resposta JSON-stat de l'API d'Idescat</t>
        </is>
      </c>
    </row>
    <row r="1206" ht="15" customHeight="1" s="39">
      <c r="A1206" s="38" t="n">
        <v>2021</v>
      </c>
      <c r="B1206" s="42" t="inlineStr">
        <is>
          <t>431227</t>
        </is>
      </c>
      <c r="C1206" s="38" t="inlineStr">
        <is>
          <t>Renau</t>
        </is>
      </c>
      <c r="D1206" s="38" t="inlineStr">
        <is>
          <t>Y082</t>
        </is>
      </c>
      <c r="E1206" s="38" t="inlineStr">
        <is>
          <t>82 anys</t>
        </is>
      </c>
      <c r="F1206" s="38" t="n">
        <v>82</v>
      </c>
      <c r="G1206" s="38" t="n">
        <v>0</v>
      </c>
      <c r="I1206" s="38" t="inlineStr">
        <is>
          <t>Total de tots els sexes; resposta JSON-stat de l'API d'Idescat</t>
        </is>
      </c>
    </row>
    <row r="1207" ht="15" customHeight="1" s="39">
      <c r="A1207" s="38" t="n">
        <v>2021</v>
      </c>
      <c r="B1207" s="42" t="inlineStr">
        <is>
          <t>431227</t>
        </is>
      </c>
      <c r="C1207" s="38" t="inlineStr">
        <is>
          <t>Renau</t>
        </is>
      </c>
      <c r="D1207" s="38" t="inlineStr">
        <is>
          <t>Y083</t>
        </is>
      </c>
      <c r="E1207" s="38" t="inlineStr">
        <is>
          <t>83 anys</t>
        </is>
      </c>
      <c r="F1207" s="38" t="n">
        <v>83</v>
      </c>
      <c r="G1207" s="38" t="n">
        <v>1</v>
      </c>
      <c r="I1207" s="38" t="inlineStr">
        <is>
          <t>Total de tots els sexes; resposta JSON-stat de l'API d'Idescat</t>
        </is>
      </c>
    </row>
    <row r="1208" ht="15" customHeight="1" s="39">
      <c r="A1208" s="38" t="n">
        <v>2021</v>
      </c>
      <c r="B1208" s="42" t="inlineStr">
        <is>
          <t>431227</t>
        </is>
      </c>
      <c r="C1208" s="38" t="inlineStr">
        <is>
          <t>Renau</t>
        </is>
      </c>
      <c r="D1208" s="38" t="inlineStr">
        <is>
          <t>Y084</t>
        </is>
      </c>
      <c r="E1208" s="38" t="inlineStr">
        <is>
          <t>84 anys</t>
        </is>
      </c>
      <c r="F1208" s="38" t="n">
        <v>84</v>
      </c>
      <c r="G1208" s="38" t="n">
        <v>1</v>
      </c>
      <c r="I1208" s="38" t="inlineStr">
        <is>
          <t>Total de tots els sexes; resposta JSON-stat de l'API d'Idescat</t>
        </is>
      </c>
    </row>
    <row r="1209" ht="15" customHeight="1" s="39">
      <c r="A1209" s="38" t="n">
        <v>2021</v>
      </c>
      <c r="B1209" s="42" t="inlineStr">
        <is>
          <t>431227</t>
        </is>
      </c>
      <c r="C1209" s="38" t="inlineStr">
        <is>
          <t>Renau</t>
        </is>
      </c>
      <c r="D1209" s="38" t="inlineStr">
        <is>
          <t>Y085</t>
        </is>
      </c>
      <c r="E1209" s="38" t="inlineStr">
        <is>
          <t>85 anys</t>
        </is>
      </c>
      <c r="F1209" s="38" t="n">
        <v>85</v>
      </c>
      <c r="G1209" s="38" t="n">
        <v>1</v>
      </c>
      <c r="I1209" s="38" t="inlineStr">
        <is>
          <t>Total de tots els sexes; resposta JSON-stat de l'API d'Idescat</t>
        </is>
      </c>
    </row>
    <row r="1210" ht="15" customHeight="1" s="39">
      <c r="A1210" s="38" t="n">
        <v>2021</v>
      </c>
      <c r="B1210" s="42" t="inlineStr">
        <is>
          <t>431227</t>
        </is>
      </c>
      <c r="C1210" s="38" t="inlineStr">
        <is>
          <t>Renau</t>
        </is>
      </c>
      <c r="D1210" s="38" t="inlineStr">
        <is>
          <t>Y086</t>
        </is>
      </c>
      <c r="E1210" s="38" t="inlineStr">
        <is>
          <t>86 anys</t>
        </is>
      </c>
      <c r="F1210" s="38" t="n">
        <v>86</v>
      </c>
      <c r="G1210" s="38" t="n">
        <v>0</v>
      </c>
      <c r="I1210" s="38" t="inlineStr">
        <is>
          <t>Total de tots els sexes; resposta JSON-stat de l'API d'Idescat</t>
        </is>
      </c>
    </row>
    <row r="1211" ht="15" customHeight="1" s="39">
      <c r="A1211" s="38" t="n">
        <v>2021</v>
      </c>
      <c r="B1211" s="42" t="inlineStr">
        <is>
          <t>431227</t>
        </is>
      </c>
      <c r="C1211" s="38" t="inlineStr">
        <is>
          <t>Renau</t>
        </is>
      </c>
      <c r="D1211" s="38" t="inlineStr">
        <is>
          <t>Y087</t>
        </is>
      </c>
      <c r="E1211" s="38" t="inlineStr">
        <is>
          <t>87 anys</t>
        </is>
      </c>
      <c r="F1211" s="38" t="n">
        <v>87</v>
      </c>
      <c r="G1211" s="38" t="n">
        <v>1</v>
      </c>
      <c r="I1211" s="38" t="inlineStr">
        <is>
          <t>Total de tots els sexes; resposta JSON-stat de l'API d'Idescat</t>
        </is>
      </c>
    </row>
    <row r="1212" ht="15" customHeight="1" s="39">
      <c r="A1212" s="38" t="n">
        <v>2021</v>
      </c>
      <c r="B1212" s="42" t="inlineStr">
        <is>
          <t>431227</t>
        </is>
      </c>
      <c r="C1212" s="38" t="inlineStr">
        <is>
          <t>Renau</t>
        </is>
      </c>
      <c r="D1212" s="38" t="inlineStr">
        <is>
          <t>Y088</t>
        </is>
      </c>
      <c r="E1212" s="38" t="inlineStr">
        <is>
          <t>88 anys</t>
        </is>
      </c>
      <c r="F1212" s="38" t="n">
        <v>88</v>
      </c>
      <c r="G1212" s="38" t="n">
        <v>0</v>
      </c>
      <c r="I1212" s="38" t="inlineStr">
        <is>
          <t>Total de tots els sexes; resposta JSON-stat de l'API d'Idescat</t>
        </is>
      </c>
    </row>
    <row r="1213" ht="15" customHeight="1" s="39">
      <c r="A1213" s="38" t="n">
        <v>2021</v>
      </c>
      <c r="B1213" s="42" t="inlineStr">
        <is>
          <t>431227</t>
        </is>
      </c>
      <c r="C1213" s="38" t="inlineStr">
        <is>
          <t>Renau</t>
        </is>
      </c>
      <c r="D1213" s="38" t="inlineStr">
        <is>
          <t>Y089</t>
        </is>
      </c>
      <c r="E1213" s="38" t="inlineStr">
        <is>
          <t>89 anys</t>
        </is>
      </c>
      <c r="F1213" s="38" t="n">
        <v>89</v>
      </c>
      <c r="G1213" s="38" t="n">
        <v>0</v>
      </c>
      <c r="I1213" s="38" t="inlineStr">
        <is>
          <t>Total de tots els sexes; resposta JSON-stat de l'API d'Idescat</t>
        </is>
      </c>
    </row>
    <row r="1214" ht="15" customHeight="1" s="39">
      <c r="A1214" s="38" t="n">
        <v>2021</v>
      </c>
      <c r="B1214" s="42" t="inlineStr">
        <is>
          <t>431227</t>
        </is>
      </c>
      <c r="C1214" s="38" t="inlineStr">
        <is>
          <t>Renau</t>
        </is>
      </c>
      <c r="D1214" s="38" t="inlineStr">
        <is>
          <t>Y090</t>
        </is>
      </c>
      <c r="E1214" s="38" t="inlineStr">
        <is>
          <t>90 anys</t>
        </is>
      </c>
      <c r="F1214" s="38" t="n">
        <v>90</v>
      </c>
      <c r="G1214" s="38" t="n">
        <v>0</v>
      </c>
      <c r="I1214" s="38" t="inlineStr">
        <is>
          <t>Total de tots els sexes; resposta JSON-stat de l'API d'Idescat</t>
        </is>
      </c>
    </row>
    <row r="1215" ht="15" customHeight="1" s="39">
      <c r="A1215" s="38" t="n">
        <v>2021</v>
      </c>
      <c r="B1215" s="42" t="inlineStr">
        <is>
          <t>431227</t>
        </is>
      </c>
      <c r="C1215" s="38" t="inlineStr">
        <is>
          <t>Renau</t>
        </is>
      </c>
      <c r="D1215" s="38" t="inlineStr">
        <is>
          <t>Y091</t>
        </is>
      </c>
      <c r="E1215" s="38" t="inlineStr">
        <is>
          <t>91 anys</t>
        </is>
      </c>
      <c r="F1215" s="38" t="n">
        <v>91</v>
      </c>
      <c r="G1215" s="38" t="n">
        <v>0</v>
      </c>
      <c r="I1215" s="38" t="inlineStr">
        <is>
          <t>Total de tots els sexes; resposta JSON-stat de l'API d'Idescat</t>
        </is>
      </c>
    </row>
    <row r="1216" ht="15" customHeight="1" s="39">
      <c r="A1216" s="38" t="n">
        <v>2021</v>
      </c>
      <c r="B1216" s="42" t="inlineStr">
        <is>
          <t>431227</t>
        </is>
      </c>
      <c r="C1216" s="38" t="inlineStr">
        <is>
          <t>Renau</t>
        </is>
      </c>
      <c r="D1216" s="38" t="inlineStr">
        <is>
          <t>Y092</t>
        </is>
      </c>
      <c r="E1216" s="38" t="inlineStr">
        <is>
          <t>92 anys</t>
        </is>
      </c>
      <c r="F1216" s="38" t="n">
        <v>92</v>
      </c>
      <c r="G1216" s="38" t="n">
        <v>0</v>
      </c>
      <c r="I1216" s="38" t="inlineStr">
        <is>
          <t>Total de tots els sexes; resposta JSON-stat de l'API d'Idescat</t>
        </is>
      </c>
    </row>
    <row r="1217" ht="15" customHeight="1" s="39">
      <c r="A1217" s="38" t="n">
        <v>2021</v>
      </c>
      <c r="B1217" s="42" t="inlineStr">
        <is>
          <t>431227</t>
        </is>
      </c>
      <c r="C1217" s="38" t="inlineStr">
        <is>
          <t>Renau</t>
        </is>
      </c>
      <c r="D1217" s="38" t="inlineStr">
        <is>
          <t>Y093</t>
        </is>
      </c>
      <c r="E1217" s="38" t="inlineStr">
        <is>
          <t>93 anys</t>
        </is>
      </c>
      <c r="F1217" s="38" t="n">
        <v>93</v>
      </c>
      <c r="G1217" s="38" t="n">
        <v>0</v>
      </c>
      <c r="I1217" s="38" t="inlineStr">
        <is>
          <t>Total de tots els sexes; resposta JSON-stat de l'API d'Idescat</t>
        </is>
      </c>
    </row>
    <row r="1218" ht="15" customHeight="1" s="39">
      <c r="A1218" s="38" t="n">
        <v>2021</v>
      </c>
      <c r="B1218" s="42" t="inlineStr">
        <is>
          <t>431227</t>
        </is>
      </c>
      <c r="C1218" s="38" t="inlineStr">
        <is>
          <t>Renau</t>
        </is>
      </c>
      <c r="D1218" s="38" t="inlineStr">
        <is>
          <t>Y094</t>
        </is>
      </c>
      <c r="E1218" s="38" t="inlineStr">
        <is>
          <t>94 anys</t>
        </is>
      </c>
      <c r="F1218" s="38" t="n">
        <v>94</v>
      </c>
      <c r="G1218" s="38" t="n">
        <v>0</v>
      </c>
      <c r="I1218" s="38" t="inlineStr">
        <is>
          <t>Total de tots els sexes; resposta JSON-stat de l'API d'Idescat</t>
        </is>
      </c>
    </row>
    <row r="1219" ht="15" customHeight="1" s="39">
      <c r="A1219" s="38" t="n">
        <v>2021</v>
      </c>
      <c r="B1219" s="42" t="inlineStr">
        <is>
          <t>431227</t>
        </is>
      </c>
      <c r="C1219" s="38" t="inlineStr">
        <is>
          <t>Renau</t>
        </is>
      </c>
      <c r="D1219" s="38" t="inlineStr">
        <is>
          <t>Y095</t>
        </is>
      </c>
      <c r="E1219" s="38" t="inlineStr">
        <is>
          <t>95 anys</t>
        </is>
      </c>
      <c r="F1219" s="38" t="n">
        <v>95</v>
      </c>
      <c r="G1219" s="38" t="n">
        <v>0</v>
      </c>
      <c r="I1219" s="38" t="inlineStr">
        <is>
          <t>Total de tots els sexes; resposta JSON-stat de l'API d'Idescat</t>
        </is>
      </c>
    </row>
    <row r="1220" ht="15" customHeight="1" s="39">
      <c r="A1220" s="38" t="n">
        <v>2021</v>
      </c>
      <c r="B1220" s="42" t="inlineStr">
        <is>
          <t>431227</t>
        </is>
      </c>
      <c r="C1220" s="38" t="inlineStr">
        <is>
          <t>Renau</t>
        </is>
      </c>
      <c r="D1220" s="38" t="inlineStr">
        <is>
          <t>Y096</t>
        </is>
      </c>
      <c r="E1220" s="38" t="inlineStr">
        <is>
          <t>96 anys</t>
        </is>
      </c>
      <c r="F1220" s="38" t="n">
        <v>96</v>
      </c>
      <c r="G1220" s="38" t="n">
        <v>0</v>
      </c>
      <c r="I1220" s="38" t="inlineStr">
        <is>
          <t>Total de tots els sexes; resposta JSON-stat de l'API d'Idescat</t>
        </is>
      </c>
    </row>
    <row r="1221" ht="15" customHeight="1" s="39">
      <c r="A1221" s="38" t="n">
        <v>2021</v>
      </c>
      <c r="B1221" s="42" t="inlineStr">
        <is>
          <t>431227</t>
        </is>
      </c>
      <c r="C1221" s="38" t="inlineStr">
        <is>
          <t>Renau</t>
        </is>
      </c>
      <c r="D1221" s="38" t="inlineStr">
        <is>
          <t>Y097</t>
        </is>
      </c>
      <c r="E1221" s="38" t="inlineStr">
        <is>
          <t>97 anys</t>
        </is>
      </c>
      <c r="F1221" s="38" t="n">
        <v>97</v>
      </c>
      <c r="G1221" s="38" t="n">
        <v>0</v>
      </c>
      <c r="I1221" s="38" t="inlineStr">
        <is>
          <t>Total de tots els sexes; resposta JSON-stat de l'API d'Idescat</t>
        </is>
      </c>
    </row>
    <row r="1222" ht="15" customHeight="1" s="39">
      <c r="A1222" s="38" t="n">
        <v>2021</v>
      </c>
      <c r="B1222" s="42" t="inlineStr">
        <is>
          <t>431227</t>
        </is>
      </c>
      <c r="C1222" s="38" t="inlineStr">
        <is>
          <t>Renau</t>
        </is>
      </c>
      <c r="D1222" s="38" t="inlineStr">
        <is>
          <t>Y098</t>
        </is>
      </c>
      <c r="E1222" s="38" t="inlineStr">
        <is>
          <t>98 anys</t>
        </is>
      </c>
      <c r="F1222" s="38" t="n">
        <v>98</v>
      </c>
      <c r="G1222" s="38" t="n">
        <v>0</v>
      </c>
      <c r="I1222" s="38" t="inlineStr">
        <is>
          <t>Total de tots els sexes; resposta JSON-stat de l'API d'Idescat</t>
        </is>
      </c>
    </row>
    <row r="1223" ht="15" customHeight="1" s="39">
      <c r="A1223" s="38" t="n">
        <v>2021</v>
      </c>
      <c r="B1223" s="42" t="inlineStr">
        <is>
          <t>431227</t>
        </is>
      </c>
      <c r="C1223" s="38" t="inlineStr">
        <is>
          <t>Renau</t>
        </is>
      </c>
      <c r="D1223" s="38" t="inlineStr">
        <is>
          <t>Y099</t>
        </is>
      </c>
      <c r="E1223" s="38" t="inlineStr">
        <is>
          <t>99 anys</t>
        </is>
      </c>
      <c r="F1223" s="38" t="n">
        <v>99</v>
      </c>
      <c r="G1223" s="38" t="n">
        <v>0</v>
      </c>
      <c r="I1223" s="38" t="inlineStr">
        <is>
          <t>Total de tots els sexes; resposta JSON-stat de l'API d'Idescat</t>
        </is>
      </c>
    </row>
    <row r="1224" ht="15" customHeight="1" s="39">
      <c r="A1224" s="38" t="n">
        <v>2021</v>
      </c>
      <c r="B1224" s="42" t="inlineStr">
        <is>
          <t>431227</t>
        </is>
      </c>
      <c r="C1224" s="38" t="inlineStr">
        <is>
          <t>Renau</t>
        </is>
      </c>
      <c r="D1224" s="38" t="inlineStr">
        <is>
          <t>Y_GE100</t>
        </is>
      </c>
      <c r="E1224" s="38" t="inlineStr">
        <is>
          <t>100 anys o més</t>
        </is>
      </c>
      <c r="F1224" s="38" t="n">
        <v>100</v>
      </c>
      <c r="G1224" s="38" t="n">
        <v>0</v>
      </c>
      <c r="I1224" s="38" t="inlineStr">
        <is>
          <t>Total de tots els sexes; resposta JSON-stat de l'API d'Idescat</t>
        </is>
      </c>
    </row>
    <row r="1225" ht="15" customHeight="1" s="39">
      <c r="A1225" s="38" t="n">
        <v>2021</v>
      </c>
      <c r="B1225" s="42" t="inlineStr">
        <is>
          <t>431227</t>
        </is>
      </c>
      <c r="C1225" s="38" t="inlineStr">
        <is>
          <t>Renau</t>
        </is>
      </c>
      <c r="D1225" s="38" t="inlineStr">
        <is>
          <t>TOTAL</t>
        </is>
      </c>
      <c r="E1225" s="38" t="inlineStr">
        <is>
          <t>total</t>
        </is>
      </c>
      <c r="G1225" s="38" t="n">
        <v>156</v>
      </c>
      <c r="I1225" s="38" t="inlineStr">
        <is>
          <t>Total de tots els sexes; resposta JSON-stat de l'API d'Idescat</t>
        </is>
      </c>
    </row>
    <row r="1226" ht="15" customHeight="1" s="39">
      <c r="A1226" s="38" t="n">
        <v>2021</v>
      </c>
      <c r="B1226" s="42" t="inlineStr">
        <is>
          <t>431264</t>
        </is>
      </c>
      <c r="C1226" s="38" t="inlineStr">
        <is>
          <t>Riera de Gaià, la</t>
        </is>
      </c>
      <c r="D1226" s="38" t="inlineStr">
        <is>
          <t>Y000</t>
        </is>
      </c>
      <c r="E1226" s="38" t="inlineStr">
        <is>
          <t>0 anys</t>
        </is>
      </c>
      <c r="F1226" s="38" t="n">
        <v>0</v>
      </c>
      <c r="G1226" s="38" t="n">
        <v>15</v>
      </c>
      <c r="I1226" s="38" t="inlineStr">
        <is>
          <t>Total de tots els sexes; resposta JSON-stat de l'API d'Idescat</t>
        </is>
      </c>
    </row>
    <row r="1227" ht="15" customHeight="1" s="39">
      <c r="A1227" s="38" t="n">
        <v>2021</v>
      </c>
      <c r="B1227" s="42" t="inlineStr">
        <is>
          <t>431264</t>
        </is>
      </c>
      <c r="C1227" s="38" t="inlineStr">
        <is>
          <t>Riera de Gaià, la</t>
        </is>
      </c>
      <c r="D1227" s="38" t="inlineStr">
        <is>
          <t>Y001</t>
        </is>
      </c>
      <c r="E1227" s="38" t="inlineStr">
        <is>
          <t>1 any</t>
        </is>
      </c>
      <c r="F1227" s="38" t="n">
        <v>1</v>
      </c>
      <c r="G1227" s="38" t="n">
        <v>14</v>
      </c>
      <c r="I1227" s="38" t="inlineStr">
        <is>
          <t>Total de tots els sexes; resposta JSON-stat de l'API d'Idescat</t>
        </is>
      </c>
    </row>
    <row r="1228" ht="15" customHeight="1" s="39">
      <c r="A1228" s="38" t="n">
        <v>2021</v>
      </c>
      <c r="B1228" s="42" t="inlineStr">
        <is>
          <t>431264</t>
        </is>
      </c>
      <c r="C1228" s="38" t="inlineStr">
        <is>
          <t>Riera de Gaià, la</t>
        </is>
      </c>
      <c r="D1228" s="38" t="inlineStr">
        <is>
          <t>Y002</t>
        </is>
      </c>
      <c r="E1228" s="38" t="inlineStr">
        <is>
          <t>2 anys</t>
        </is>
      </c>
      <c r="F1228" s="38" t="n">
        <v>2</v>
      </c>
      <c r="G1228" s="38" t="n">
        <v>13</v>
      </c>
      <c r="I1228" s="38" t="inlineStr">
        <is>
          <t>Total de tots els sexes; resposta JSON-stat de l'API d'Idescat</t>
        </is>
      </c>
    </row>
    <row r="1229" ht="15" customHeight="1" s="39">
      <c r="A1229" s="38" t="n">
        <v>2021</v>
      </c>
      <c r="B1229" s="42" t="inlineStr">
        <is>
          <t>431264</t>
        </is>
      </c>
      <c r="C1229" s="38" t="inlineStr">
        <is>
          <t>Riera de Gaià, la</t>
        </is>
      </c>
      <c r="D1229" s="38" t="inlineStr">
        <is>
          <t>Y003</t>
        </is>
      </c>
      <c r="E1229" s="38" t="inlineStr">
        <is>
          <t>3 anys</t>
        </is>
      </c>
      <c r="F1229" s="38" t="n">
        <v>3</v>
      </c>
      <c r="G1229" s="38" t="n">
        <v>17</v>
      </c>
      <c r="I1229" s="38" t="inlineStr">
        <is>
          <t>Total de tots els sexes; resposta JSON-stat de l'API d'Idescat</t>
        </is>
      </c>
    </row>
    <row r="1230" ht="15" customHeight="1" s="39">
      <c r="A1230" s="38" t="n">
        <v>2021</v>
      </c>
      <c r="B1230" s="42" t="inlineStr">
        <is>
          <t>431264</t>
        </is>
      </c>
      <c r="C1230" s="38" t="inlineStr">
        <is>
          <t>Riera de Gaià, la</t>
        </is>
      </c>
      <c r="D1230" s="38" t="inlineStr">
        <is>
          <t>Y004</t>
        </is>
      </c>
      <c r="E1230" s="38" t="inlineStr">
        <is>
          <t>4 anys</t>
        </is>
      </c>
      <c r="F1230" s="38" t="n">
        <v>4</v>
      </c>
      <c r="G1230" s="38" t="n">
        <v>17</v>
      </c>
      <c r="I1230" s="38" t="inlineStr">
        <is>
          <t>Total de tots els sexes; resposta JSON-stat de l'API d'Idescat</t>
        </is>
      </c>
    </row>
    <row r="1231" ht="15" customHeight="1" s="39">
      <c r="A1231" s="38" t="n">
        <v>2021</v>
      </c>
      <c r="B1231" s="42" t="inlineStr">
        <is>
          <t>431264</t>
        </is>
      </c>
      <c r="C1231" s="38" t="inlineStr">
        <is>
          <t>Riera de Gaià, la</t>
        </is>
      </c>
      <c r="D1231" s="38" t="inlineStr">
        <is>
          <t>Y005</t>
        </is>
      </c>
      <c r="E1231" s="38" t="inlineStr">
        <is>
          <t>5 anys</t>
        </is>
      </c>
      <c r="F1231" s="38" t="n">
        <v>5</v>
      </c>
      <c r="G1231" s="38" t="n">
        <v>21</v>
      </c>
      <c r="I1231" s="38" t="inlineStr">
        <is>
          <t>Total de tots els sexes; resposta JSON-stat de l'API d'Idescat</t>
        </is>
      </c>
    </row>
    <row r="1232" ht="15" customHeight="1" s="39">
      <c r="A1232" s="38" t="n">
        <v>2021</v>
      </c>
      <c r="B1232" s="42" t="inlineStr">
        <is>
          <t>431264</t>
        </is>
      </c>
      <c r="C1232" s="38" t="inlineStr">
        <is>
          <t>Riera de Gaià, la</t>
        </is>
      </c>
      <c r="D1232" s="38" t="inlineStr">
        <is>
          <t>Y006</t>
        </is>
      </c>
      <c r="E1232" s="38" t="inlineStr">
        <is>
          <t>6 anys</t>
        </is>
      </c>
      <c r="F1232" s="38" t="n">
        <v>6</v>
      </c>
      <c r="G1232" s="38" t="n">
        <v>23</v>
      </c>
      <c r="I1232" s="38" t="inlineStr">
        <is>
          <t>Total de tots els sexes; resposta JSON-stat de l'API d'Idescat</t>
        </is>
      </c>
    </row>
    <row r="1233" ht="15" customHeight="1" s="39">
      <c r="A1233" s="38" t="n">
        <v>2021</v>
      </c>
      <c r="B1233" s="42" t="inlineStr">
        <is>
          <t>431264</t>
        </is>
      </c>
      <c r="C1233" s="38" t="inlineStr">
        <is>
          <t>Riera de Gaià, la</t>
        </is>
      </c>
      <c r="D1233" s="38" t="inlineStr">
        <is>
          <t>Y007</t>
        </is>
      </c>
      <c r="E1233" s="38" t="inlineStr">
        <is>
          <t>7 anys</t>
        </is>
      </c>
      <c r="F1233" s="38" t="n">
        <v>7</v>
      </c>
      <c r="G1233" s="38" t="n">
        <v>21</v>
      </c>
      <c r="I1233" s="38" t="inlineStr">
        <is>
          <t>Total de tots els sexes; resposta JSON-stat de l'API d'Idescat</t>
        </is>
      </c>
    </row>
    <row r="1234" ht="15" customHeight="1" s="39">
      <c r="A1234" s="38" t="n">
        <v>2021</v>
      </c>
      <c r="B1234" s="42" t="inlineStr">
        <is>
          <t>431264</t>
        </is>
      </c>
      <c r="C1234" s="38" t="inlineStr">
        <is>
          <t>Riera de Gaià, la</t>
        </is>
      </c>
      <c r="D1234" s="38" t="inlineStr">
        <is>
          <t>Y008</t>
        </is>
      </c>
      <c r="E1234" s="38" t="inlineStr">
        <is>
          <t>8 anys</t>
        </is>
      </c>
      <c r="F1234" s="38" t="n">
        <v>8</v>
      </c>
      <c r="G1234" s="38" t="n">
        <v>23</v>
      </c>
      <c r="I1234" s="38" t="inlineStr">
        <is>
          <t>Total de tots els sexes; resposta JSON-stat de l'API d'Idescat</t>
        </is>
      </c>
    </row>
    <row r="1235" ht="15" customHeight="1" s="39">
      <c r="A1235" s="38" t="n">
        <v>2021</v>
      </c>
      <c r="B1235" s="42" t="inlineStr">
        <is>
          <t>431264</t>
        </is>
      </c>
      <c r="C1235" s="38" t="inlineStr">
        <is>
          <t>Riera de Gaià, la</t>
        </is>
      </c>
      <c r="D1235" s="38" t="inlineStr">
        <is>
          <t>Y009</t>
        </is>
      </c>
      <c r="E1235" s="38" t="inlineStr">
        <is>
          <t>9 anys</t>
        </is>
      </c>
      <c r="F1235" s="38" t="n">
        <v>9</v>
      </c>
      <c r="G1235" s="38" t="n">
        <v>25</v>
      </c>
      <c r="I1235" s="38" t="inlineStr">
        <is>
          <t>Total de tots els sexes; resposta JSON-stat de l'API d'Idescat</t>
        </is>
      </c>
    </row>
    <row r="1236" ht="15" customHeight="1" s="39">
      <c r="A1236" s="38" t="n">
        <v>2021</v>
      </c>
      <c r="B1236" s="42" t="inlineStr">
        <is>
          <t>431264</t>
        </is>
      </c>
      <c r="C1236" s="38" t="inlineStr">
        <is>
          <t>Riera de Gaià, la</t>
        </is>
      </c>
      <c r="D1236" s="38" t="inlineStr">
        <is>
          <t>Y010</t>
        </is>
      </c>
      <c r="E1236" s="38" t="inlineStr">
        <is>
          <t>10 anys</t>
        </is>
      </c>
      <c r="F1236" s="38" t="n">
        <v>10</v>
      </c>
      <c r="G1236" s="38" t="n">
        <v>32</v>
      </c>
      <c r="I1236" s="38" t="inlineStr">
        <is>
          <t>Total de tots els sexes; resposta JSON-stat de l'API d'Idescat</t>
        </is>
      </c>
    </row>
    <row r="1237" ht="15" customHeight="1" s="39">
      <c r="A1237" s="38" t="n">
        <v>2021</v>
      </c>
      <c r="B1237" s="42" t="inlineStr">
        <is>
          <t>431264</t>
        </is>
      </c>
      <c r="C1237" s="38" t="inlineStr">
        <is>
          <t>Riera de Gaià, la</t>
        </is>
      </c>
      <c r="D1237" s="38" t="inlineStr">
        <is>
          <t>Y011</t>
        </is>
      </c>
      <c r="E1237" s="38" t="inlineStr">
        <is>
          <t>11 anys</t>
        </is>
      </c>
      <c r="F1237" s="38" t="n">
        <v>11</v>
      </c>
      <c r="G1237" s="38" t="n">
        <v>32</v>
      </c>
      <c r="I1237" s="38" t="inlineStr">
        <is>
          <t>Total de tots els sexes; resposta JSON-stat de l'API d'Idescat</t>
        </is>
      </c>
    </row>
    <row r="1238" ht="15" customHeight="1" s="39">
      <c r="A1238" s="38" t="n">
        <v>2021</v>
      </c>
      <c r="B1238" s="42" t="inlineStr">
        <is>
          <t>431264</t>
        </is>
      </c>
      <c r="C1238" s="38" t="inlineStr">
        <is>
          <t>Riera de Gaià, la</t>
        </is>
      </c>
      <c r="D1238" s="38" t="inlineStr">
        <is>
          <t>Y012</t>
        </is>
      </c>
      <c r="E1238" s="38" t="inlineStr">
        <is>
          <t>12 anys</t>
        </is>
      </c>
      <c r="F1238" s="38" t="n">
        <v>12</v>
      </c>
      <c r="G1238" s="38" t="n">
        <v>21</v>
      </c>
      <c r="I1238" s="38" t="inlineStr">
        <is>
          <t>Total de tots els sexes; resposta JSON-stat de l'API d'Idescat</t>
        </is>
      </c>
    </row>
    <row r="1239" ht="15" customHeight="1" s="39">
      <c r="A1239" s="38" t="n">
        <v>2021</v>
      </c>
      <c r="B1239" s="42" t="inlineStr">
        <is>
          <t>431264</t>
        </is>
      </c>
      <c r="C1239" s="38" t="inlineStr">
        <is>
          <t>Riera de Gaià, la</t>
        </is>
      </c>
      <c r="D1239" s="38" t="inlineStr">
        <is>
          <t>Y013</t>
        </is>
      </c>
      <c r="E1239" s="38" t="inlineStr">
        <is>
          <t>13 anys</t>
        </is>
      </c>
      <c r="F1239" s="38" t="n">
        <v>13</v>
      </c>
      <c r="G1239" s="38" t="n">
        <v>27</v>
      </c>
      <c r="I1239" s="38" t="inlineStr">
        <is>
          <t>Total de tots els sexes; resposta JSON-stat de l'API d'Idescat</t>
        </is>
      </c>
    </row>
    <row r="1240" ht="15" customHeight="1" s="39">
      <c r="A1240" s="38" t="n">
        <v>2021</v>
      </c>
      <c r="B1240" s="42" t="inlineStr">
        <is>
          <t>431264</t>
        </is>
      </c>
      <c r="C1240" s="38" t="inlineStr">
        <is>
          <t>Riera de Gaià, la</t>
        </is>
      </c>
      <c r="D1240" s="38" t="inlineStr">
        <is>
          <t>Y014</t>
        </is>
      </c>
      <c r="E1240" s="38" t="inlineStr">
        <is>
          <t>14 anys</t>
        </is>
      </c>
      <c r="F1240" s="38" t="n">
        <v>14</v>
      </c>
      <c r="G1240" s="38" t="n">
        <v>38</v>
      </c>
      <c r="I1240" s="38" t="inlineStr">
        <is>
          <t>Total de tots els sexes; resposta JSON-stat de l'API d'Idescat</t>
        </is>
      </c>
    </row>
    <row r="1241" ht="15" customHeight="1" s="39">
      <c r="A1241" s="38" t="n">
        <v>2021</v>
      </c>
      <c r="B1241" s="42" t="inlineStr">
        <is>
          <t>431264</t>
        </is>
      </c>
      <c r="C1241" s="38" t="inlineStr">
        <is>
          <t>Riera de Gaià, la</t>
        </is>
      </c>
      <c r="D1241" s="38" t="inlineStr">
        <is>
          <t>Y015</t>
        </is>
      </c>
      <c r="E1241" s="38" t="inlineStr">
        <is>
          <t>15 anys</t>
        </is>
      </c>
      <c r="F1241" s="38" t="n">
        <v>15</v>
      </c>
      <c r="G1241" s="38" t="n">
        <v>28</v>
      </c>
      <c r="I1241" s="38" t="inlineStr">
        <is>
          <t>Total de tots els sexes; resposta JSON-stat de l'API d'Idescat</t>
        </is>
      </c>
    </row>
    <row r="1242" ht="15" customHeight="1" s="39">
      <c r="A1242" s="38" t="n">
        <v>2021</v>
      </c>
      <c r="B1242" s="42" t="inlineStr">
        <is>
          <t>431264</t>
        </is>
      </c>
      <c r="C1242" s="38" t="inlineStr">
        <is>
          <t>Riera de Gaià, la</t>
        </is>
      </c>
      <c r="D1242" s="38" t="inlineStr">
        <is>
          <t>Y016</t>
        </is>
      </c>
      <c r="E1242" s="38" t="inlineStr">
        <is>
          <t>16 anys</t>
        </is>
      </c>
      <c r="F1242" s="38" t="n">
        <v>16</v>
      </c>
      <c r="G1242" s="38" t="n">
        <v>32</v>
      </c>
      <c r="I1242" s="38" t="inlineStr">
        <is>
          <t>Total de tots els sexes; resposta JSON-stat de l'API d'Idescat</t>
        </is>
      </c>
    </row>
    <row r="1243" ht="15" customHeight="1" s="39">
      <c r="A1243" s="38" t="n">
        <v>2021</v>
      </c>
      <c r="B1243" s="42" t="inlineStr">
        <is>
          <t>431264</t>
        </is>
      </c>
      <c r="C1243" s="38" t="inlineStr">
        <is>
          <t>Riera de Gaià, la</t>
        </is>
      </c>
      <c r="D1243" s="38" t="inlineStr">
        <is>
          <t>Y017</t>
        </is>
      </c>
      <c r="E1243" s="38" t="inlineStr">
        <is>
          <t>17 anys</t>
        </is>
      </c>
      <c r="F1243" s="38" t="n">
        <v>17</v>
      </c>
      <c r="G1243" s="38" t="n">
        <v>30</v>
      </c>
      <c r="I1243" s="38" t="inlineStr">
        <is>
          <t>Total de tots els sexes; resposta JSON-stat de l'API d'Idescat</t>
        </is>
      </c>
    </row>
    <row r="1244" ht="15" customHeight="1" s="39">
      <c r="A1244" s="38" t="n">
        <v>2021</v>
      </c>
      <c r="B1244" s="42" t="inlineStr">
        <is>
          <t>431264</t>
        </is>
      </c>
      <c r="C1244" s="38" t="inlineStr">
        <is>
          <t>Riera de Gaià, la</t>
        </is>
      </c>
      <c r="D1244" s="38" t="inlineStr">
        <is>
          <t>Y018</t>
        </is>
      </c>
      <c r="E1244" s="38" t="inlineStr">
        <is>
          <t>18 anys</t>
        </is>
      </c>
      <c r="F1244" s="38" t="n">
        <v>18</v>
      </c>
      <c r="G1244" s="38" t="n">
        <v>12</v>
      </c>
      <c r="I1244" s="38" t="inlineStr">
        <is>
          <t>Total de tots els sexes; resposta JSON-stat de l'API d'Idescat</t>
        </is>
      </c>
    </row>
    <row r="1245" ht="15" customHeight="1" s="39">
      <c r="A1245" s="38" t="n">
        <v>2021</v>
      </c>
      <c r="B1245" s="42" t="inlineStr">
        <is>
          <t>431264</t>
        </is>
      </c>
      <c r="C1245" s="38" t="inlineStr">
        <is>
          <t>Riera de Gaià, la</t>
        </is>
      </c>
      <c r="D1245" s="38" t="inlineStr">
        <is>
          <t>Y019</t>
        </is>
      </c>
      <c r="E1245" s="38" t="inlineStr">
        <is>
          <t>19 anys</t>
        </is>
      </c>
      <c r="F1245" s="38" t="n">
        <v>19</v>
      </c>
      <c r="G1245" s="38" t="n">
        <v>23</v>
      </c>
      <c r="I1245" s="38" t="inlineStr">
        <is>
          <t>Total de tots els sexes; resposta JSON-stat de l'API d'Idescat</t>
        </is>
      </c>
    </row>
    <row r="1246" ht="15" customHeight="1" s="39">
      <c r="A1246" s="38" t="n">
        <v>2021</v>
      </c>
      <c r="B1246" s="42" t="inlineStr">
        <is>
          <t>431264</t>
        </is>
      </c>
      <c r="C1246" s="38" t="inlineStr">
        <is>
          <t>Riera de Gaià, la</t>
        </is>
      </c>
      <c r="D1246" s="38" t="inlineStr">
        <is>
          <t>Y020</t>
        </is>
      </c>
      <c r="E1246" s="38" t="inlineStr">
        <is>
          <t>20 anys</t>
        </is>
      </c>
      <c r="F1246" s="38" t="n">
        <v>20</v>
      </c>
      <c r="G1246" s="38" t="n">
        <v>22</v>
      </c>
      <c r="I1246" s="38" t="inlineStr">
        <is>
          <t>Total de tots els sexes; resposta JSON-stat de l'API d'Idescat</t>
        </is>
      </c>
    </row>
    <row r="1247" ht="15" customHeight="1" s="39">
      <c r="A1247" s="38" t="n">
        <v>2021</v>
      </c>
      <c r="B1247" s="42" t="inlineStr">
        <is>
          <t>431264</t>
        </is>
      </c>
      <c r="C1247" s="38" t="inlineStr">
        <is>
          <t>Riera de Gaià, la</t>
        </is>
      </c>
      <c r="D1247" s="38" t="inlineStr">
        <is>
          <t>Y021</t>
        </is>
      </c>
      <c r="E1247" s="38" t="inlineStr">
        <is>
          <t>21 anys</t>
        </is>
      </c>
      <c r="F1247" s="38" t="n">
        <v>21</v>
      </c>
      <c r="G1247" s="38" t="n">
        <v>9</v>
      </c>
      <c r="I1247" s="38" t="inlineStr">
        <is>
          <t>Total de tots els sexes; resposta JSON-stat de l'API d'Idescat</t>
        </is>
      </c>
    </row>
    <row r="1248" ht="15" customHeight="1" s="39">
      <c r="A1248" s="38" t="n">
        <v>2021</v>
      </c>
      <c r="B1248" s="42" t="inlineStr">
        <is>
          <t>431264</t>
        </is>
      </c>
      <c r="C1248" s="38" t="inlineStr">
        <is>
          <t>Riera de Gaià, la</t>
        </is>
      </c>
      <c r="D1248" s="38" t="inlineStr">
        <is>
          <t>Y022</t>
        </is>
      </c>
      <c r="E1248" s="38" t="inlineStr">
        <is>
          <t>22 anys</t>
        </is>
      </c>
      <c r="F1248" s="38" t="n">
        <v>22</v>
      </c>
      <c r="G1248" s="38" t="n">
        <v>10</v>
      </c>
      <c r="I1248" s="38" t="inlineStr">
        <is>
          <t>Total de tots els sexes; resposta JSON-stat de l'API d'Idescat</t>
        </is>
      </c>
    </row>
    <row r="1249" ht="15" customHeight="1" s="39">
      <c r="A1249" s="38" t="n">
        <v>2021</v>
      </c>
      <c r="B1249" s="42" t="inlineStr">
        <is>
          <t>431264</t>
        </is>
      </c>
      <c r="C1249" s="38" t="inlineStr">
        <is>
          <t>Riera de Gaià, la</t>
        </is>
      </c>
      <c r="D1249" s="38" t="inlineStr">
        <is>
          <t>Y023</t>
        </is>
      </c>
      <c r="E1249" s="38" t="inlineStr">
        <is>
          <t>23 anys</t>
        </is>
      </c>
      <c r="F1249" s="38" t="n">
        <v>23</v>
      </c>
      <c r="G1249" s="38" t="n">
        <v>12</v>
      </c>
      <c r="I1249" s="38" t="inlineStr">
        <is>
          <t>Total de tots els sexes; resposta JSON-stat de l'API d'Idescat</t>
        </is>
      </c>
    </row>
    <row r="1250" ht="15" customHeight="1" s="39">
      <c r="A1250" s="38" t="n">
        <v>2021</v>
      </c>
      <c r="B1250" s="42" t="inlineStr">
        <is>
          <t>431264</t>
        </is>
      </c>
      <c r="C1250" s="38" t="inlineStr">
        <is>
          <t>Riera de Gaià, la</t>
        </is>
      </c>
      <c r="D1250" s="38" t="inlineStr">
        <is>
          <t>Y024</t>
        </is>
      </c>
      <c r="E1250" s="38" t="inlineStr">
        <is>
          <t>24 anys</t>
        </is>
      </c>
      <c r="F1250" s="38" t="n">
        <v>24</v>
      </c>
      <c r="G1250" s="38" t="n">
        <v>11</v>
      </c>
      <c r="I1250" s="38" t="inlineStr">
        <is>
          <t>Total de tots els sexes; resposta JSON-stat de l'API d'Idescat</t>
        </is>
      </c>
    </row>
    <row r="1251" ht="15" customHeight="1" s="39">
      <c r="A1251" s="38" t="n">
        <v>2021</v>
      </c>
      <c r="B1251" s="42" t="inlineStr">
        <is>
          <t>431264</t>
        </is>
      </c>
      <c r="C1251" s="38" t="inlineStr">
        <is>
          <t>Riera de Gaià, la</t>
        </is>
      </c>
      <c r="D1251" s="38" t="inlineStr">
        <is>
          <t>Y025</t>
        </is>
      </c>
      <c r="E1251" s="38" t="inlineStr">
        <is>
          <t>25 anys</t>
        </is>
      </c>
      <c r="F1251" s="38" t="n">
        <v>25</v>
      </c>
      <c r="G1251" s="38" t="n">
        <v>12</v>
      </c>
      <c r="I1251" s="38" t="inlineStr">
        <is>
          <t>Total de tots els sexes; resposta JSON-stat de l'API d'Idescat</t>
        </is>
      </c>
    </row>
    <row r="1252" ht="15" customHeight="1" s="39">
      <c r="A1252" s="38" t="n">
        <v>2021</v>
      </c>
      <c r="B1252" s="42" t="inlineStr">
        <is>
          <t>431264</t>
        </is>
      </c>
      <c r="C1252" s="38" t="inlineStr">
        <is>
          <t>Riera de Gaià, la</t>
        </is>
      </c>
      <c r="D1252" s="38" t="inlineStr">
        <is>
          <t>Y026</t>
        </is>
      </c>
      <c r="E1252" s="38" t="inlineStr">
        <is>
          <t>26 anys</t>
        </is>
      </c>
      <c r="F1252" s="38" t="n">
        <v>26</v>
      </c>
      <c r="G1252" s="38" t="n">
        <v>13</v>
      </c>
      <c r="I1252" s="38" t="inlineStr">
        <is>
          <t>Total de tots els sexes; resposta JSON-stat de l'API d'Idescat</t>
        </is>
      </c>
    </row>
    <row r="1253" ht="15" customHeight="1" s="39">
      <c r="A1253" s="38" t="n">
        <v>2021</v>
      </c>
      <c r="B1253" s="42" t="inlineStr">
        <is>
          <t>431264</t>
        </is>
      </c>
      <c r="C1253" s="38" t="inlineStr">
        <is>
          <t>Riera de Gaià, la</t>
        </is>
      </c>
      <c r="D1253" s="38" t="inlineStr">
        <is>
          <t>Y027</t>
        </is>
      </c>
      <c r="E1253" s="38" t="inlineStr">
        <is>
          <t>27 anys</t>
        </is>
      </c>
      <c r="F1253" s="38" t="n">
        <v>27</v>
      </c>
      <c r="G1253" s="38" t="n">
        <v>14</v>
      </c>
      <c r="I1253" s="38" t="inlineStr">
        <is>
          <t>Total de tots els sexes; resposta JSON-stat de l'API d'Idescat</t>
        </is>
      </c>
    </row>
    <row r="1254" ht="15" customHeight="1" s="39">
      <c r="A1254" s="38" t="n">
        <v>2021</v>
      </c>
      <c r="B1254" s="42" t="inlineStr">
        <is>
          <t>431264</t>
        </is>
      </c>
      <c r="C1254" s="38" t="inlineStr">
        <is>
          <t>Riera de Gaià, la</t>
        </is>
      </c>
      <c r="D1254" s="38" t="inlineStr">
        <is>
          <t>Y028</t>
        </is>
      </c>
      <c r="E1254" s="38" t="inlineStr">
        <is>
          <t>28 anys</t>
        </is>
      </c>
      <c r="F1254" s="38" t="n">
        <v>28</v>
      </c>
      <c r="G1254" s="38" t="n">
        <v>10</v>
      </c>
      <c r="I1254" s="38" t="inlineStr">
        <is>
          <t>Total de tots els sexes; resposta JSON-stat de l'API d'Idescat</t>
        </is>
      </c>
    </row>
    <row r="1255" ht="15" customHeight="1" s="39">
      <c r="A1255" s="38" t="n">
        <v>2021</v>
      </c>
      <c r="B1255" s="42" t="inlineStr">
        <is>
          <t>431264</t>
        </is>
      </c>
      <c r="C1255" s="38" t="inlineStr">
        <is>
          <t>Riera de Gaià, la</t>
        </is>
      </c>
      <c r="D1255" s="38" t="inlineStr">
        <is>
          <t>Y029</t>
        </is>
      </c>
      <c r="E1255" s="38" t="inlineStr">
        <is>
          <t>29 anys</t>
        </is>
      </c>
      <c r="F1255" s="38" t="n">
        <v>29</v>
      </c>
      <c r="G1255" s="38" t="n">
        <v>13</v>
      </c>
      <c r="I1255" s="38" t="inlineStr">
        <is>
          <t>Total de tots els sexes; resposta JSON-stat de l'API d'Idescat</t>
        </is>
      </c>
    </row>
    <row r="1256" ht="15" customHeight="1" s="39">
      <c r="A1256" s="38" t="n">
        <v>2021</v>
      </c>
      <c r="B1256" s="42" t="inlineStr">
        <is>
          <t>431264</t>
        </is>
      </c>
      <c r="C1256" s="38" t="inlineStr">
        <is>
          <t>Riera de Gaià, la</t>
        </is>
      </c>
      <c r="D1256" s="38" t="inlineStr">
        <is>
          <t>Y030</t>
        </is>
      </c>
      <c r="E1256" s="38" t="inlineStr">
        <is>
          <t>30 anys</t>
        </is>
      </c>
      <c r="F1256" s="38" t="n">
        <v>30</v>
      </c>
      <c r="G1256" s="38" t="n">
        <v>11</v>
      </c>
      <c r="I1256" s="38" t="inlineStr">
        <is>
          <t>Total de tots els sexes; resposta JSON-stat de l'API d'Idescat</t>
        </is>
      </c>
    </row>
    <row r="1257" ht="15" customHeight="1" s="39">
      <c r="A1257" s="38" t="n">
        <v>2021</v>
      </c>
      <c r="B1257" s="42" t="inlineStr">
        <is>
          <t>431264</t>
        </is>
      </c>
      <c r="C1257" s="38" t="inlineStr">
        <is>
          <t>Riera de Gaià, la</t>
        </is>
      </c>
      <c r="D1257" s="38" t="inlineStr">
        <is>
          <t>Y031</t>
        </is>
      </c>
      <c r="E1257" s="38" t="inlineStr">
        <is>
          <t>31 anys</t>
        </is>
      </c>
      <c r="F1257" s="38" t="n">
        <v>31</v>
      </c>
      <c r="G1257" s="38" t="n">
        <v>10</v>
      </c>
      <c r="I1257" s="38" t="inlineStr">
        <is>
          <t>Total de tots els sexes; resposta JSON-stat de l'API d'Idescat</t>
        </is>
      </c>
    </row>
    <row r="1258" ht="15" customHeight="1" s="39">
      <c r="A1258" s="38" t="n">
        <v>2021</v>
      </c>
      <c r="B1258" s="42" t="inlineStr">
        <is>
          <t>431264</t>
        </is>
      </c>
      <c r="C1258" s="38" t="inlineStr">
        <is>
          <t>Riera de Gaià, la</t>
        </is>
      </c>
      <c r="D1258" s="38" t="inlineStr">
        <is>
          <t>Y032</t>
        </is>
      </c>
      <c r="E1258" s="38" t="inlineStr">
        <is>
          <t>32 anys</t>
        </is>
      </c>
      <c r="F1258" s="38" t="n">
        <v>32</v>
      </c>
      <c r="G1258" s="38" t="n">
        <v>13</v>
      </c>
      <c r="I1258" s="38" t="inlineStr">
        <is>
          <t>Total de tots els sexes; resposta JSON-stat de l'API d'Idescat</t>
        </is>
      </c>
    </row>
    <row r="1259" ht="15" customHeight="1" s="39">
      <c r="A1259" s="38" t="n">
        <v>2021</v>
      </c>
      <c r="B1259" s="42" t="inlineStr">
        <is>
          <t>431264</t>
        </is>
      </c>
      <c r="C1259" s="38" t="inlineStr">
        <is>
          <t>Riera de Gaià, la</t>
        </is>
      </c>
      <c r="D1259" s="38" t="inlineStr">
        <is>
          <t>Y033</t>
        </is>
      </c>
      <c r="E1259" s="38" t="inlineStr">
        <is>
          <t>33 anys</t>
        </is>
      </c>
      <c r="F1259" s="38" t="n">
        <v>33</v>
      </c>
      <c r="G1259" s="38" t="n">
        <v>24</v>
      </c>
      <c r="I1259" s="38" t="inlineStr">
        <is>
          <t>Total de tots els sexes; resposta JSON-stat de l'API d'Idescat</t>
        </is>
      </c>
    </row>
    <row r="1260" ht="15" customHeight="1" s="39">
      <c r="A1260" s="38" t="n">
        <v>2021</v>
      </c>
      <c r="B1260" s="42" t="inlineStr">
        <is>
          <t>431264</t>
        </is>
      </c>
      <c r="C1260" s="38" t="inlineStr">
        <is>
          <t>Riera de Gaià, la</t>
        </is>
      </c>
      <c r="D1260" s="38" t="inlineStr">
        <is>
          <t>Y034</t>
        </is>
      </c>
      <c r="E1260" s="38" t="inlineStr">
        <is>
          <t>34 anys</t>
        </is>
      </c>
      <c r="F1260" s="38" t="n">
        <v>34</v>
      </c>
      <c r="G1260" s="38" t="n">
        <v>21</v>
      </c>
      <c r="I1260" s="38" t="inlineStr">
        <is>
          <t>Total de tots els sexes; resposta JSON-stat de l'API d'Idescat</t>
        </is>
      </c>
    </row>
    <row r="1261" ht="15" customHeight="1" s="39">
      <c r="A1261" s="38" t="n">
        <v>2021</v>
      </c>
      <c r="B1261" s="42" t="inlineStr">
        <is>
          <t>431264</t>
        </is>
      </c>
      <c r="C1261" s="38" t="inlineStr">
        <is>
          <t>Riera de Gaià, la</t>
        </is>
      </c>
      <c r="D1261" s="38" t="inlineStr">
        <is>
          <t>Y035</t>
        </is>
      </c>
      <c r="E1261" s="38" t="inlineStr">
        <is>
          <t>35 anys</t>
        </is>
      </c>
      <c r="F1261" s="38" t="n">
        <v>35</v>
      </c>
      <c r="G1261" s="38" t="n">
        <v>19</v>
      </c>
      <c r="I1261" s="38" t="inlineStr">
        <is>
          <t>Total de tots els sexes; resposta JSON-stat de l'API d'Idescat</t>
        </is>
      </c>
    </row>
    <row r="1262" ht="15" customHeight="1" s="39">
      <c r="A1262" s="38" t="n">
        <v>2021</v>
      </c>
      <c r="B1262" s="42" t="inlineStr">
        <is>
          <t>431264</t>
        </is>
      </c>
      <c r="C1262" s="38" t="inlineStr">
        <is>
          <t>Riera de Gaià, la</t>
        </is>
      </c>
      <c r="D1262" s="38" t="inlineStr">
        <is>
          <t>Y036</t>
        </is>
      </c>
      <c r="E1262" s="38" t="inlineStr">
        <is>
          <t>36 anys</t>
        </is>
      </c>
      <c r="F1262" s="38" t="n">
        <v>36</v>
      </c>
      <c r="G1262" s="38" t="n">
        <v>15</v>
      </c>
      <c r="I1262" s="38" t="inlineStr">
        <is>
          <t>Total de tots els sexes; resposta JSON-stat de l'API d'Idescat</t>
        </is>
      </c>
    </row>
    <row r="1263" ht="15" customHeight="1" s="39">
      <c r="A1263" s="38" t="n">
        <v>2021</v>
      </c>
      <c r="B1263" s="42" t="inlineStr">
        <is>
          <t>431264</t>
        </is>
      </c>
      <c r="C1263" s="38" t="inlineStr">
        <is>
          <t>Riera de Gaià, la</t>
        </is>
      </c>
      <c r="D1263" s="38" t="inlineStr">
        <is>
          <t>Y037</t>
        </is>
      </c>
      <c r="E1263" s="38" t="inlineStr">
        <is>
          <t>37 anys</t>
        </is>
      </c>
      <c r="F1263" s="38" t="n">
        <v>37</v>
      </c>
      <c r="G1263" s="38" t="n">
        <v>22</v>
      </c>
      <c r="I1263" s="38" t="inlineStr">
        <is>
          <t>Total de tots els sexes; resposta JSON-stat de l'API d'Idescat</t>
        </is>
      </c>
    </row>
    <row r="1264" ht="15" customHeight="1" s="39">
      <c r="A1264" s="38" t="n">
        <v>2021</v>
      </c>
      <c r="B1264" s="42" t="inlineStr">
        <is>
          <t>431264</t>
        </is>
      </c>
      <c r="C1264" s="38" t="inlineStr">
        <is>
          <t>Riera de Gaià, la</t>
        </is>
      </c>
      <c r="D1264" s="38" t="inlineStr">
        <is>
          <t>Y038</t>
        </is>
      </c>
      <c r="E1264" s="38" t="inlineStr">
        <is>
          <t>38 anys</t>
        </is>
      </c>
      <c r="F1264" s="38" t="n">
        <v>38</v>
      </c>
      <c r="G1264" s="38" t="n">
        <v>21</v>
      </c>
      <c r="I1264" s="38" t="inlineStr">
        <is>
          <t>Total de tots els sexes; resposta JSON-stat de l'API d'Idescat</t>
        </is>
      </c>
    </row>
    <row r="1265" ht="15" customHeight="1" s="39">
      <c r="A1265" s="38" t="n">
        <v>2021</v>
      </c>
      <c r="B1265" s="42" t="inlineStr">
        <is>
          <t>431264</t>
        </is>
      </c>
      <c r="C1265" s="38" t="inlineStr">
        <is>
          <t>Riera de Gaià, la</t>
        </is>
      </c>
      <c r="D1265" s="38" t="inlineStr">
        <is>
          <t>Y039</t>
        </is>
      </c>
      <c r="E1265" s="38" t="inlineStr">
        <is>
          <t>39 anys</t>
        </is>
      </c>
      <c r="F1265" s="38" t="n">
        <v>39</v>
      </c>
      <c r="G1265" s="38" t="n">
        <v>22</v>
      </c>
      <c r="I1265" s="38" t="inlineStr">
        <is>
          <t>Total de tots els sexes; resposta JSON-stat de l'API d'Idescat</t>
        </is>
      </c>
    </row>
    <row r="1266" ht="15" customHeight="1" s="39">
      <c r="A1266" s="38" t="n">
        <v>2021</v>
      </c>
      <c r="B1266" s="42" t="inlineStr">
        <is>
          <t>431264</t>
        </is>
      </c>
      <c r="C1266" s="38" t="inlineStr">
        <is>
          <t>Riera de Gaià, la</t>
        </is>
      </c>
      <c r="D1266" s="38" t="inlineStr">
        <is>
          <t>Y040</t>
        </is>
      </c>
      <c r="E1266" s="38" t="inlineStr">
        <is>
          <t>40 anys</t>
        </is>
      </c>
      <c r="F1266" s="38" t="n">
        <v>40</v>
      </c>
      <c r="G1266" s="38" t="n">
        <v>25</v>
      </c>
      <c r="I1266" s="38" t="inlineStr">
        <is>
          <t>Total de tots els sexes; resposta JSON-stat de l'API d'Idescat</t>
        </is>
      </c>
    </row>
    <row r="1267" ht="15" customHeight="1" s="39">
      <c r="A1267" s="38" t="n">
        <v>2021</v>
      </c>
      <c r="B1267" s="42" t="inlineStr">
        <is>
          <t>431264</t>
        </is>
      </c>
      <c r="C1267" s="38" t="inlineStr">
        <is>
          <t>Riera de Gaià, la</t>
        </is>
      </c>
      <c r="D1267" s="38" t="inlineStr">
        <is>
          <t>Y041</t>
        </is>
      </c>
      <c r="E1267" s="38" t="inlineStr">
        <is>
          <t>41 anys</t>
        </is>
      </c>
      <c r="F1267" s="38" t="n">
        <v>41</v>
      </c>
      <c r="G1267" s="38" t="n">
        <v>30</v>
      </c>
      <c r="I1267" s="38" t="inlineStr">
        <is>
          <t>Total de tots els sexes; resposta JSON-stat de l'API d'Idescat</t>
        </is>
      </c>
    </row>
    <row r="1268" ht="15" customHeight="1" s="39">
      <c r="A1268" s="38" t="n">
        <v>2021</v>
      </c>
      <c r="B1268" s="42" t="inlineStr">
        <is>
          <t>431264</t>
        </is>
      </c>
      <c r="C1268" s="38" t="inlineStr">
        <is>
          <t>Riera de Gaià, la</t>
        </is>
      </c>
      <c r="D1268" s="38" t="inlineStr">
        <is>
          <t>Y042</t>
        </is>
      </c>
      <c r="E1268" s="38" t="inlineStr">
        <is>
          <t>42 anys</t>
        </is>
      </c>
      <c r="F1268" s="38" t="n">
        <v>42</v>
      </c>
      <c r="G1268" s="38" t="n">
        <v>29</v>
      </c>
      <c r="I1268" s="38" t="inlineStr">
        <is>
          <t>Total de tots els sexes; resposta JSON-stat de l'API d'Idescat</t>
        </is>
      </c>
    </row>
    <row r="1269" ht="15" customHeight="1" s="39">
      <c r="A1269" s="38" t="n">
        <v>2021</v>
      </c>
      <c r="B1269" s="42" t="inlineStr">
        <is>
          <t>431264</t>
        </is>
      </c>
      <c r="C1269" s="38" t="inlineStr">
        <is>
          <t>Riera de Gaià, la</t>
        </is>
      </c>
      <c r="D1269" s="38" t="inlineStr">
        <is>
          <t>Y043</t>
        </is>
      </c>
      <c r="E1269" s="38" t="inlineStr">
        <is>
          <t>43 anys</t>
        </is>
      </c>
      <c r="F1269" s="38" t="n">
        <v>43</v>
      </c>
      <c r="G1269" s="38" t="n">
        <v>37</v>
      </c>
      <c r="I1269" s="38" t="inlineStr">
        <is>
          <t>Total de tots els sexes; resposta JSON-stat de l'API d'Idescat</t>
        </is>
      </c>
    </row>
    <row r="1270" ht="15" customHeight="1" s="39">
      <c r="A1270" s="38" t="n">
        <v>2021</v>
      </c>
      <c r="B1270" s="42" t="inlineStr">
        <is>
          <t>431264</t>
        </is>
      </c>
      <c r="C1270" s="38" t="inlineStr">
        <is>
          <t>Riera de Gaià, la</t>
        </is>
      </c>
      <c r="D1270" s="38" t="inlineStr">
        <is>
          <t>Y044</t>
        </is>
      </c>
      <c r="E1270" s="38" t="inlineStr">
        <is>
          <t>44 anys</t>
        </is>
      </c>
      <c r="F1270" s="38" t="n">
        <v>44</v>
      </c>
      <c r="G1270" s="38" t="n">
        <v>36</v>
      </c>
      <c r="I1270" s="38" t="inlineStr">
        <is>
          <t>Total de tots els sexes; resposta JSON-stat de l'API d'Idescat</t>
        </is>
      </c>
    </row>
    <row r="1271" ht="15" customHeight="1" s="39">
      <c r="A1271" s="38" t="n">
        <v>2021</v>
      </c>
      <c r="B1271" s="42" t="inlineStr">
        <is>
          <t>431264</t>
        </is>
      </c>
      <c r="C1271" s="38" t="inlineStr">
        <is>
          <t>Riera de Gaià, la</t>
        </is>
      </c>
      <c r="D1271" s="38" t="inlineStr">
        <is>
          <t>Y045</t>
        </is>
      </c>
      <c r="E1271" s="38" t="inlineStr">
        <is>
          <t>45 anys</t>
        </is>
      </c>
      <c r="F1271" s="38" t="n">
        <v>45</v>
      </c>
      <c r="G1271" s="38" t="n">
        <v>44</v>
      </c>
      <c r="I1271" s="38" t="inlineStr">
        <is>
          <t>Total de tots els sexes; resposta JSON-stat de l'API d'Idescat</t>
        </is>
      </c>
    </row>
    <row r="1272" ht="15" customHeight="1" s="39">
      <c r="A1272" s="38" t="n">
        <v>2021</v>
      </c>
      <c r="B1272" s="42" t="inlineStr">
        <is>
          <t>431264</t>
        </is>
      </c>
      <c r="C1272" s="38" t="inlineStr">
        <is>
          <t>Riera de Gaià, la</t>
        </is>
      </c>
      <c r="D1272" s="38" t="inlineStr">
        <is>
          <t>Y046</t>
        </is>
      </c>
      <c r="E1272" s="38" t="inlineStr">
        <is>
          <t>46 anys</t>
        </is>
      </c>
      <c r="F1272" s="38" t="n">
        <v>46</v>
      </c>
      <c r="G1272" s="38" t="n">
        <v>48</v>
      </c>
      <c r="I1272" s="38" t="inlineStr">
        <is>
          <t>Total de tots els sexes; resposta JSON-stat de l'API d'Idescat</t>
        </is>
      </c>
    </row>
    <row r="1273" ht="15" customHeight="1" s="39">
      <c r="A1273" s="38" t="n">
        <v>2021</v>
      </c>
      <c r="B1273" s="42" t="inlineStr">
        <is>
          <t>431264</t>
        </is>
      </c>
      <c r="C1273" s="38" t="inlineStr">
        <is>
          <t>Riera de Gaià, la</t>
        </is>
      </c>
      <c r="D1273" s="38" t="inlineStr">
        <is>
          <t>Y047</t>
        </is>
      </c>
      <c r="E1273" s="38" t="inlineStr">
        <is>
          <t>47 anys</t>
        </is>
      </c>
      <c r="F1273" s="38" t="n">
        <v>47</v>
      </c>
      <c r="G1273" s="38" t="n">
        <v>42</v>
      </c>
      <c r="I1273" s="38" t="inlineStr">
        <is>
          <t>Total de tots els sexes; resposta JSON-stat de l'API d'Idescat</t>
        </is>
      </c>
    </row>
    <row r="1274" ht="15" customHeight="1" s="39">
      <c r="A1274" s="38" t="n">
        <v>2021</v>
      </c>
      <c r="B1274" s="42" t="inlineStr">
        <is>
          <t>431264</t>
        </is>
      </c>
      <c r="C1274" s="38" t="inlineStr">
        <is>
          <t>Riera de Gaià, la</t>
        </is>
      </c>
      <c r="D1274" s="38" t="inlineStr">
        <is>
          <t>Y048</t>
        </is>
      </c>
      <c r="E1274" s="38" t="inlineStr">
        <is>
          <t>48 anys</t>
        </is>
      </c>
      <c r="F1274" s="38" t="n">
        <v>48</v>
      </c>
      <c r="G1274" s="38" t="n">
        <v>31</v>
      </c>
      <c r="I1274" s="38" t="inlineStr">
        <is>
          <t>Total de tots els sexes; resposta JSON-stat de l'API d'Idescat</t>
        </is>
      </c>
    </row>
    <row r="1275" ht="15" customHeight="1" s="39">
      <c r="A1275" s="38" t="n">
        <v>2021</v>
      </c>
      <c r="B1275" s="42" t="inlineStr">
        <is>
          <t>431264</t>
        </is>
      </c>
      <c r="C1275" s="38" t="inlineStr">
        <is>
          <t>Riera de Gaià, la</t>
        </is>
      </c>
      <c r="D1275" s="38" t="inlineStr">
        <is>
          <t>Y049</t>
        </is>
      </c>
      <c r="E1275" s="38" t="inlineStr">
        <is>
          <t>49 anys</t>
        </is>
      </c>
      <c r="F1275" s="38" t="n">
        <v>49</v>
      </c>
      <c r="G1275" s="38" t="n">
        <v>40</v>
      </c>
      <c r="I1275" s="38" t="inlineStr">
        <is>
          <t>Total de tots els sexes; resposta JSON-stat de l'API d'Idescat</t>
        </is>
      </c>
    </row>
    <row r="1276" ht="15" customHeight="1" s="39">
      <c r="A1276" s="38" t="n">
        <v>2021</v>
      </c>
      <c r="B1276" s="42" t="inlineStr">
        <is>
          <t>431264</t>
        </is>
      </c>
      <c r="C1276" s="38" t="inlineStr">
        <is>
          <t>Riera de Gaià, la</t>
        </is>
      </c>
      <c r="D1276" s="38" t="inlineStr">
        <is>
          <t>Y050</t>
        </is>
      </c>
      <c r="E1276" s="38" t="inlineStr">
        <is>
          <t>50 anys</t>
        </is>
      </c>
      <c r="F1276" s="38" t="n">
        <v>50</v>
      </c>
      <c r="G1276" s="38" t="n">
        <v>36</v>
      </c>
      <c r="I1276" s="38" t="inlineStr">
        <is>
          <t>Total de tots els sexes; resposta JSON-stat de l'API d'Idescat</t>
        </is>
      </c>
    </row>
    <row r="1277" ht="15" customHeight="1" s="39">
      <c r="A1277" s="38" t="n">
        <v>2021</v>
      </c>
      <c r="B1277" s="42" t="inlineStr">
        <is>
          <t>431264</t>
        </is>
      </c>
      <c r="C1277" s="38" t="inlineStr">
        <is>
          <t>Riera de Gaià, la</t>
        </is>
      </c>
      <c r="D1277" s="38" t="inlineStr">
        <is>
          <t>Y051</t>
        </is>
      </c>
      <c r="E1277" s="38" t="inlineStr">
        <is>
          <t>51 anys</t>
        </is>
      </c>
      <c r="F1277" s="38" t="n">
        <v>51</v>
      </c>
      <c r="G1277" s="38" t="n">
        <v>34</v>
      </c>
      <c r="I1277" s="38" t="inlineStr">
        <is>
          <t>Total de tots els sexes; resposta JSON-stat de l'API d'Idescat</t>
        </is>
      </c>
    </row>
    <row r="1278" ht="15" customHeight="1" s="39">
      <c r="A1278" s="38" t="n">
        <v>2021</v>
      </c>
      <c r="B1278" s="42" t="inlineStr">
        <is>
          <t>431264</t>
        </is>
      </c>
      <c r="C1278" s="38" t="inlineStr">
        <is>
          <t>Riera de Gaià, la</t>
        </is>
      </c>
      <c r="D1278" s="38" t="inlineStr">
        <is>
          <t>Y052</t>
        </is>
      </c>
      <c r="E1278" s="38" t="inlineStr">
        <is>
          <t>52 anys</t>
        </is>
      </c>
      <c r="F1278" s="38" t="n">
        <v>52</v>
      </c>
      <c r="G1278" s="38" t="n">
        <v>24</v>
      </c>
      <c r="I1278" s="38" t="inlineStr">
        <is>
          <t>Total de tots els sexes; resposta JSON-stat de l'API d'Idescat</t>
        </is>
      </c>
    </row>
    <row r="1279" ht="15" customHeight="1" s="39">
      <c r="A1279" s="38" t="n">
        <v>2021</v>
      </c>
      <c r="B1279" s="42" t="inlineStr">
        <is>
          <t>431264</t>
        </is>
      </c>
      <c r="C1279" s="38" t="inlineStr">
        <is>
          <t>Riera de Gaià, la</t>
        </is>
      </c>
      <c r="D1279" s="38" t="inlineStr">
        <is>
          <t>Y053</t>
        </is>
      </c>
      <c r="E1279" s="38" t="inlineStr">
        <is>
          <t>53 anys</t>
        </is>
      </c>
      <c r="F1279" s="38" t="n">
        <v>53</v>
      </c>
      <c r="G1279" s="38" t="n">
        <v>25</v>
      </c>
      <c r="I1279" s="38" t="inlineStr">
        <is>
          <t>Total de tots els sexes; resposta JSON-stat de l'API d'Idescat</t>
        </is>
      </c>
    </row>
    <row r="1280" ht="15" customHeight="1" s="39">
      <c r="A1280" s="38" t="n">
        <v>2021</v>
      </c>
      <c r="B1280" s="42" t="inlineStr">
        <is>
          <t>431264</t>
        </is>
      </c>
      <c r="C1280" s="38" t="inlineStr">
        <is>
          <t>Riera de Gaià, la</t>
        </is>
      </c>
      <c r="D1280" s="38" t="inlineStr">
        <is>
          <t>Y054</t>
        </is>
      </c>
      <c r="E1280" s="38" t="inlineStr">
        <is>
          <t>54 anys</t>
        </is>
      </c>
      <c r="F1280" s="38" t="n">
        <v>54</v>
      </c>
      <c r="G1280" s="38" t="n">
        <v>29</v>
      </c>
      <c r="I1280" s="38" t="inlineStr">
        <is>
          <t>Total de tots els sexes; resposta JSON-stat de l'API d'Idescat</t>
        </is>
      </c>
    </row>
    <row r="1281" ht="15" customHeight="1" s="39">
      <c r="A1281" s="38" t="n">
        <v>2021</v>
      </c>
      <c r="B1281" s="42" t="inlineStr">
        <is>
          <t>431264</t>
        </is>
      </c>
      <c r="C1281" s="38" t="inlineStr">
        <is>
          <t>Riera de Gaià, la</t>
        </is>
      </c>
      <c r="D1281" s="38" t="inlineStr">
        <is>
          <t>Y055</t>
        </is>
      </c>
      <c r="E1281" s="38" t="inlineStr">
        <is>
          <t>55 anys</t>
        </is>
      </c>
      <c r="F1281" s="38" t="n">
        <v>55</v>
      </c>
      <c r="G1281" s="38" t="n">
        <v>20</v>
      </c>
      <c r="I1281" s="38" t="inlineStr">
        <is>
          <t>Total de tots els sexes; resposta JSON-stat de l'API d'Idescat</t>
        </is>
      </c>
    </row>
    <row r="1282" ht="15" customHeight="1" s="39">
      <c r="A1282" s="38" t="n">
        <v>2021</v>
      </c>
      <c r="B1282" s="42" t="inlineStr">
        <is>
          <t>431264</t>
        </is>
      </c>
      <c r="C1282" s="38" t="inlineStr">
        <is>
          <t>Riera de Gaià, la</t>
        </is>
      </c>
      <c r="D1282" s="38" t="inlineStr">
        <is>
          <t>Y056</t>
        </is>
      </c>
      <c r="E1282" s="38" t="inlineStr">
        <is>
          <t>56 anys</t>
        </is>
      </c>
      <c r="F1282" s="38" t="n">
        <v>56</v>
      </c>
      <c r="G1282" s="38" t="n">
        <v>21</v>
      </c>
      <c r="I1282" s="38" t="inlineStr">
        <is>
          <t>Total de tots els sexes; resposta JSON-stat de l'API d'Idescat</t>
        </is>
      </c>
    </row>
    <row r="1283" ht="15" customHeight="1" s="39">
      <c r="A1283" s="38" t="n">
        <v>2021</v>
      </c>
      <c r="B1283" s="42" t="inlineStr">
        <is>
          <t>431264</t>
        </is>
      </c>
      <c r="C1283" s="38" t="inlineStr">
        <is>
          <t>Riera de Gaià, la</t>
        </is>
      </c>
      <c r="D1283" s="38" t="inlineStr">
        <is>
          <t>Y057</t>
        </is>
      </c>
      <c r="E1283" s="38" t="inlineStr">
        <is>
          <t>57 anys</t>
        </is>
      </c>
      <c r="F1283" s="38" t="n">
        <v>57</v>
      </c>
      <c r="G1283" s="38" t="n">
        <v>23</v>
      </c>
      <c r="I1283" s="38" t="inlineStr">
        <is>
          <t>Total de tots els sexes; resposta JSON-stat de l'API d'Idescat</t>
        </is>
      </c>
    </row>
    <row r="1284" ht="15" customHeight="1" s="39">
      <c r="A1284" s="38" t="n">
        <v>2021</v>
      </c>
      <c r="B1284" s="42" t="inlineStr">
        <is>
          <t>431264</t>
        </is>
      </c>
      <c r="C1284" s="38" t="inlineStr">
        <is>
          <t>Riera de Gaià, la</t>
        </is>
      </c>
      <c r="D1284" s="38" t="inlineStr">
        <is>
          <t>Y058</t>
        </is>
      </c>
      <c r="E1284" s="38" t="inlineStr">
        <is>
          <t>58 anys</t>
        </is>
      </c>
      <c r="F1284" s="38" t="n">
        <v>58</v>
      </c>
      <c r="G1284" s="38" t="n">
        <v>12</v>
      </c>
      <c r="I1284" s="38" t="inlineStr">
        <is>
          <t>Total de tots els sexes; resposta JSON-stat de l'API d'Idescat</t>
        </is>
      </c>
    </row>
    <row r="1285" ht="15" customHeight="1" s="39">
      <c r="A1285" s="38" t="n">
        <v>2021</v>
      </c>
      <c r="B1285" s="42" t="inlineStr">
        <is>
          <t>431264</t>
        </is>
      </c>
      <c r="C1285" s="38" t="inlineStr">
        <is>
          <t>Riera de Gaià, la</t>
        </is>
      </c>
      <c r="D1285" s="38" t="inlineStr">
        <is>
          <t>Y059</t>
        </is>
      </c>
      <c r="E1285" s="38" t="inlineStr">
        <is>
          <t>59 anys</t>
        </is>
      </c>
      <c r="F1285" s="38" t="n">
        <v>59</v>
      </c>
      <c r="G1285" s="38" t="n">
        <v>23</v>
      </c>
      <c r="I1285" s="38" t="inlineStr">
        <is>
          <t>Total de tots els sexes; resposta JSON-stat de l'API d'Idescat</t>
        </is>
      </c>
    </row>
    <row r="1286" ht="15" customHeight="1" s="39">
      <c r="A1286" s="38" t="n">
        <v>2021</v>
      </c>
      <c r="B1286" s="42" t="inlineStr">
        <is>
          <t>431264</t>
        </is>
      </c>
      <c r="C1286" s="38" t="inlineStr">
        <is>
          <t>Riera de Gaià, la</t>
        </is>
      </c>
      <c r="D1286" s="38" t="inlineStr">
        <is>
          <t>Y060</t>
        </is>
      </c>
      <c r="E1286" s="38" t="inlineStr">
        <is>
          <t>60 anys</t>
        </is>
      </c>
      <c r="F1286" s="38" t="n">
        <v>60</v>
      </c>
      <c r="G1286" s="38" t="n">
        <v>22</v>
      </c>
      <c r="I1286" s="38" t="inlineStr">
        <is>
          <t>Total de tots els sexes; resposta JSON-stat de l'API d'Idescat</t>
        </is>
      </c>
    </row>
    <row r="1287" ht="15" customHeight="1" s="39">
      <c r="A1287" s="38" t="n">
        <v>2021</v>
      </c>
      <c r="B1287" s="42" t="inlineStr">
        <is>
          <t>431264</t>
        </is>
      </c>
      <c r="C1287" s="38" t="inlineStr">
        <is>
          <t>Riera de Gaià, la</t>
        </is>
      </c>
      <c r="D1287" s="38" t="inlineStr">
        <is>
          <t>Y061</t>
        </is>
      </c>
      <c r="E1287" s="38" t="inlineStr">
        <is>
          <t>61 anys</t>
        </is>
      </c>
      <c r="F1287" s="38" t="n">
        <v>61</v>
      </c>
      <c r="G1287" s="38" t="n">
        <v>19</v>
      </c>
      <c r="I1287" s="38" t="inlineStr">
        <is>
          <t>Total de tots els sexes; resposta JSON-stat de l'API d'Idescat</t>
        </is>
      </c>
    </row>
    <row r="1288" ht="15" customHeight="1" s="39">
      <c r="A1288" s="38" t="n">
        <v>2021</v>
      </c>
      <c r="B1288" s="42" t="inlineStr">
        <is>
          <t>431264</t>
        </is>
      </c>
      <c r="C1288" s="38" t="inlineStr">
        <is>
          <t>Riera de Gaià, la</t>
        </is>
      </c>
      <c r="D1288" s="38" t="inlineStr">
        <is>
          <t>Y062</t>
        </is>
      </c>
      <c r="E1288" s="38" t="inlineStr">
        <is>
          <t>62 anys</t>
        </is>
      </c>
      <c r="F1288" s="38" t="n">
        <v>62</v>
      </c>
      <c r="G1288" s="38" t="n">
        <v>23</v>
      </c>
      <c r="I1288" s="38" t="inlineStr">
        <is>
          <t>Total de tots els sexes; resposta JSON-stat de l'API d'Idescat</t>
        </is>
      </c>
    </row>
    <row r="1289" ht="15" customHeight="1" s="39">
      <c r="A1289" s="38" t="n">
        <v>2021</v>
      </c>
      <c r="B1289" s="42" t="inlineStr">
        <is>
          <t>431264</t>
        </is>
      </c>
      <c r="C1289" s="38" t="inlineStr">
        <is>
          <t>Riera de Gaià, la</t>
        </is>
      </c>
      <c r="D1289" s="38" t="inlineStr">
        <is>
          <t>Y063</t>
        </is>
      </c>
      <c r="E1289" s="38" t="inlineStr">
        <is>
          <t>63 anys</t>
        </is>
      </c>
      <c r="F1289" s="38" t="n">
        <v>63</v>
      </c>
      <c r="G1289" s="38" t="n">
        <v>12</v>
      </c>
      <c r="I1289" s="38" t="inlineStr">
        <is>
          <t>Total de tots els sexes; resposta JSON-stat de l'API d'Idescat</t>
        </is>
      </c>
    </row>
    <row r="1290" ht="15" customHeight="1" s="39">
      <c r="A1290" s="38" t="n">
        <v>2021</v>
      </c>
      <c r="B1290" s="42" t="inlineStr">
        <is>
          <t>431264</t>
        </is>
      </c>
      <c r="C1290" s="38" t="inlineStr">
        <is>
          <t>Riera de Gaià, la</t>
        </is>
      </c>
      <c r="D1290" s="38" t="inlineStr">
        <is>
          <t>Y064</t>
        </is>
      </c>
      <c r="E1290" s="38" t="inlineStr">
        <is>
          <t>64 anys</t>
        </is>
      </c>
      <c r="F1290" s="38" t="n">
        <v>64</v>
      </c>
      <c r="G1290" s="38" t="n">
        <v>21</v>
      </c>
      <c r="I1290" s="38" t="inlineStr">
        <is>
          <t>Total de tots els sexes; resposta JSON-stat de l'API d'Idescat</t>
        </is>
      </c>
    </row>
    <row r="1291" ht="15" customHeight="1" s="39">
      <c r="A1291" s="38" t="n">
        <v>2021</v>
      </c>
      <c r="B1291" s="42" t="inlineStr">
        <is>
          <t>431264</t>
        </is>
      </c>
      <c r="C1291" s="38" t="inlineStr">
        <is>
          <t>Riera de Gaià, la</t>
        </is>
      </c>
      <c r="D1291" s="38" t="inlineStr">
        <is>
          <t>Y065</t>
        </is>
      </c>
      <c r="E1291" s="38" t="inlineStr">
        <is>
          <t>65 anys</t>
        </is>
      </c>
      <c r="F1291" s="38" t="n">
        <v>65</v>
      </c>
      <c r="G1291" s="38" t="n">
        <v>16</v>
      </c>
      <c r="I1291" s="38" t="inlineStr">
        <is>
          <t>Total de tots els sexes; resposta JSON-stat de l'API d'Idescat</t>
        </is>
      </c>
    </row>
    <row r="1292" ht="15" customHeight="1" s="39">
      <c r="A1292" s="38" t="n">
        <v>2021</v>
      </c>
      <c r="B1292" s="42" t="inlineStr">
        <is>
          <t>431264</t>
        </is>
      </c>
      <c r="C1292" s="38" t="inlineStr">
        <is>
          <t>Riera de Gaià, la</t>
        </is>
      </c>
      <c r="D1292" s="38" t="inlineStr">
        <is>
          <t>Y066</t>
        </is>
      </c>
      <c r="E1292" s="38" t="inlineStr">
        <is>
          <t>66 anys</t>
        </is>
      </c>
      <c r="F1292" s="38" t="n">
        <v>66</v>
      </c>
      <c r="G1292" s="38" t="n">
        <v>19</v>
      </c>
      <c r="I1292" s="38" t="inlineStr">
        <is>
          <t>Total de tots els sexes; resposta JSON-stat de l'API d'Idescat</t>
        </is>
      </c>
    </row>
    <row r="1293" ht="15" customHeight="1" s="39">
      <c r="A1293" s="38" t="n">
        <v>2021</v>
      </c>
      <c r="B1293" s="42" t="inlineStr">
        <is>
          <t>431264</t>
        </is>
      </c>
      <c r="C1293" s="38" t="inlineStr">
        <is>
          <t>Riera de Gaià, la</t>
        </is>
      </c>
      <c r="D1293" s="38" t="inlineStr">
        <is>
          <t>Y067</t>
        </is>
      </c>
      <c r="E1293" s="38" t="inlineStr">
        <is>
          <t>67 anys</t>
        </is>
      </c>
      <c r="F1293" s="38" t="n">
        <v>67</v>
      </c>
      <c r="G1293" s="38" t="n">
        <v>13</v>
      </c>
      <c r="I1293" s="38" t="inlineStr">
        <is>
          <t>Total de tots els sexes; resposta JSON-stat de l'API d'Idescat</t>
        </is>
      </c>
    </row>
    <row r="1294" ht="15" customHeight="1" s="39">
      <c r="A1294" s="38" t="n">
        <v>2021</v>
      </c>
      <c r="B1294" s="42" t="inlineStr">
        <is>
          <t>431264</t>
        </is>
      </c>
      <c r="C1294" s="38" t="inlineStr">
        <is>
          <t>Riera de Gaià, la</t>
        </is>
      </c>
      <c r="D1294" s="38" t="inlineStr">
        <is>
          <t>Y068</t>
        </is>
      </c>
      <c r="E1294" s="38" t="inlineStr">
        <is>
          <t>68 anys</t>
        </is>
      </c>
      <c r="F1294" s="38" t="n">
        <v>68</v>
      </c>
      <c r="G1294" s="38" t="n">
        <v>12</v>
      </c>
      <c r="I1294" s="38" t="inlineStr">
        <is>
          <t>Total de tots els sexes; resposta JSON-stat de l'API d'Idescat</t>
        </is>
      </c>
    </row>
    <row r="1295" ht="15" customHeight="1" s="39">
      <c r="A1295" s="38" t="n">
        <v>2021</v>
      </c>
      <c r="B1295" s="42" t="inlineStr">
        <is>
          <t>431264</t>
        </is>
      </c>
      <c r="C1295" s="38" t="inlineStr">
        <is>
          <t>Riera de Gaià, la</t>
        </is>
      </c>
      <c r="D1295" s="38" t="inlineStr">
        <is>
          <t>Y069</t>
        </is>
      </c>
      <c r="E1295" s="38" t="inlineStr">
        <is>
          <t>69 anys</t>
        </is>
      </c>
      <c r="F1295" s="38" t="n">
        <v>69</v>
      </c>
      <c r="G1295" s="38" t="n">
        <v>17</v>
      </c>
      <c r="I1295" s="38" t="inlineStr">
        <is>
          <t>Total de tots els sexes; resposta JSON-stat de l'API d'Idescat</t>
        </is>
      </c>
    </row>
    <row r="1296" ht="15" customHeight="1" s="39">
      <c r="A1296" s="38" t="n">
        <v>2021</v>
      </c>
      <c r="B1296" s="42" t="inlineStr">
        <is>
          <t>431264</t>
        </is>
      </c>
      <c r="C1296" s="38" t="inlineStr">
        <is>
          <t>Riera de Gaià, la</t>
        </is>
      </c>
      <c r="D1296" s="38" t="inlineStr">
        <is>
          <t>Y070</t>
        </is>
      </c>
      <c r="E1296" s="38" t="inlineStr">
        <is>
          <t>70 anys</t>
        </is>
      </c>
      <c r="F1296" s="38" t="n">
        <v>70</v>
      </c>
      <c r="G1296" s="38" t="n">
        <v>9</v>
      </c>
      <c r="I1296" s="38" t="inlineStr">
        <is>
          <t>Total de tots els sexes; resposta JSON-stat de l'API d'Idescat</t>
        </is>
      </c>
    </row>
    <row r="1297" ht="15" customHeight="1" s="39">
      <c r="A1297" s="38" t="n">
        <v>2021</v>
      </c>
      <c r="B1297" s="42" t="inlineStr">
        <is>
          <t>431264</t>
        </is>
      </c>
      <c r="C1297" s="38" t="inlineStr">
        <is>
          <t>Riera de Gaià, la</t>
        </is>
      </c>
      <c r="D1297" s="38" t="inlineStr">
        <is>
          <t>Y071</t>
        </is>
      </c>
      <c r="E1297" s="38" t="inlineStr">
        <is>
          <t>71 anys</t>
        </is>
      </c>
      <c r="F1297" s="38" t="n">
        <v>71</v>
      </c>
      <c r="G1297" s="38" t="n">
        <v>7</v>
      </c>
      <c r="I1297" s="38" t="inlineStr">
        <is>
          <t>Total de tots els sexes; resposta JSON-stat de l'API d'Idescat</t>
        </is>
      </c>
    </row>
    <row r="1298" ht="15" customHeight="1" s="39">
      <c r="A1298" s="38" t="n">
        <v>2021</v>
      </c>
      <c r="B1298" s="42" t="inlineStr">
        <is>
          <t>431264</t>
        </is>
      </c>
      <c r="C1298" s="38" t="inlineStr">
        <is>
          <t>Riera de Gaià, la</t>
        </is>
      </c>
      <c r="D1298" s="38" t="inlineStr">
        <is>
          <t>Y072</t>
        </is>
      </c>
      <c r="E1298" s="38" t="inlineStr">
        <is>
          <t>72 anys</t>
        </is>
      </c>
      <c r="F1298" s="38" t="n">
        <v>72</v>
      </c>
      <c r="G1298" s="38" t="n">
        <v>20</v>
      </c>
      <c r="I1298" s="38" t="inlineStr">
        <is>
          <t>Total de tots els sexes; resposta JSON-stat de l'API d'Idescat</t>
        </is>
      </c>
    </row>
    <row r="1299" ht="15" customHeight="1" s="39">
      <c r="A1299" s="38" t="n">
        <v>2021</v>
      </c>
      <c r="B1299" s="42" t="inlineStr">
        <is>
          <t>431264</t>
        </is>
      </c>
      <c r="C1299" s="38" t="inlineStr">
        <is>
          <t>Riera de Gaià, la</t>
        </is>
      </c>
      <c r="D1299" s="38" t="inlineStr">
        <is>
          <t>Y073</t>
        </is>
      </c>
      <c r="E1299" s="38" t="inlineStr">
        <is>
          <t>73 anys</t>
        </is>
      </c>
      <c r="F1299" s="38" t="n">
        <v>73</v>
      </c>
      <c r="G1299" s="38" t="n">
        <v>12</v>
      </c>
      <c r="I1299" s="38" t="inlineStr">
        <is>
          <t>Total de tots els sexes; resposta JSON-stat de l'API d'Idescat</t>
        </is>
      </c>
    </row>
    <row r="1300" ht="15" customHeight="1" s="39">
      <c r="A1300" s="38" t="n">
        <v>2021</v>
      </c>
      <c r="B1300" s="42" t="inlineStr">
        <is>
          <t>431264</t>
        </is>
      </c>
      <c r="C1300" s="38" t="inlineStr">
        <is>
          <t>Riera de Gaià, la</t>
        </is>
      </c>
      <c r="D1300" s="38" t="inlineStr">
        <is>
          <t>Y074</t>
        </is>
      </c>
      <c r="E1300" s="38" t="inlineStr">
        <is>
          <t>74 anys</t>
        </is>
      </c>
      <c r="F1300" s="38" t="n">
        <v>74</v>
      </c>
      <c r="G1300" s="38" t="n">
        <v>11</v>
      </c>
      <c r="I1300" s="38" t="inlineStr">
        <is>
          <t>Total de tots els sexes; resposta JSON-stat de l'API d'Idescat</t>
        </is>
      </c>
    </row>
    <row r="1301" ht="15" customHeight="1" s="39">
      <c r="A1301" s="38" t="n">
        <v>2021</v>
      </c>
      <c r="B1301" s="42" t="inlineStr">
        <is>
          <t>431264</t>
        </is>
      </c>
      <c r="C1301" s="38" t="inlineStr">
        <is>
          <t>Riera de Gaià, la</t>
        </is>
      </c>
      <c r="D1301" s="38" t="inlineStr">
        <is>
          <t>Y075</t>
        </is>
      </c>
      <c r="E1301" s="38" t="inlineStr">
        <is>
          <t>75 anys</t>
        </is>
      </c>
      <c r="F1301" s="38" t="n">
        <v>75</v>
      </c>
      <c r="G1301" s="38" t="n">
        <v>13</v>
      </c>
      <c r="I1301" s="38" t="inlineStr">
        <is>
          <t>Total de tots els sexes; resposta JSON-stat de l'API d'Idescat</t>
        </is>
      </c>
    </row>
    <row r="1302" ht="15" customHeight="1" s="39">
      <c r="A1302" s="38" t="n">
        <v>2021</v>
      </c>
      <c r="B1302" s="42" t="inlineStr">
        <is>
          <t>431264</t>
        </is>
      </c>
      <c r="C1302" s="38" t="inlineStr">
        <is>
          <t>Riera de Gaià, la</t>
        </is>
      </c>
      <c r="D1302" s="38" t="inlineStr">
        <is>
          <t>Y076</t>
        </is>
      </c>
      <c r="E1302" s="38" t="inlineStr">
        <is>
          <t>76 anys</t>
        </is>
      </c>
      <c r="F1302" s="38" t="n">
        <v>76</v>
      </c>
      <c r="G1302" s="38" t="n">
        <v>8</v>
      </c>
      <c r="I1302" s="38" t="inlineStr">
        <is>
          <t>Total de tots els sexes; resposta JSON-stat de l'API d'Idescat</t>
        </is>
      </c>
    </row>
    <row r="1303" ht="15" customHeight="1" s="39">
      <c r="A1303" s="38" t="n">
        <v>2021</v>
      </c>
      <c r="B1303" s="42" t="inlineStr">
        <is>
          <t>431264</t>
        </is>
      </c>
      <c r="C1303" s="38" t="inlineStr">
        <is>
          <t>Riera de Gaià, la</t>
        </is>
      </c>
      <c r="D1303" s="38" t="inlineStr">
        <is>
          <t>Y077</t>
        </is>
      </c>
      <c r="E1303" s="38" t="inlineStr">
        <is>
          <t>77 anys</t>
        </is>
      </c>
      <c r="F1303" s="38" t="n">
        <v>77</v>
      </c>
      <c r="G1303" s="38" t="n">
        <v>12</v>
      </c>
      <c r="I1303" s="38" t="inlineStr">
        <is>
          <t>Total de tots els sexes; resposta JSON-stat de l'API d'Idescat</t>
        </is>
      </c>
    </row>
    <row r="1304" ht="15" customHeight="1" s="39">
      <c r="A1304" s="38" t="n">
        <v>2021</v>
      </c>
      <c r="B1304" s="42" t="inlineStr">
        <is>
          <t>431264</t>
        </is>
      </c>
      <c r="C1304" s="38" t="inlineStr">
        <is>
          <t>Riera de Gaià, la</t>
        </is>
      </c>
      <c r="D1304" s="38" t="inlineStr">
        <is>
          <t>Y078</t>
        </is>
      </c>
      <c r="E1304" s="38" t="inlineStr">
        <is>
          <t>78 anys</t>
        </is>
      </c>
      <c r="F1304" s="38" t="n">
        <v>78</v>
      </c>
      <c r="G1304" s="38" t="n">
        <v>10</v>
      </c>
      <c r="I1304" s="38" t="inlineStr">
        <is>
          <t>Total de tots els sexes; resposta JSON-stat de l'API d'Idescat</t>
        </is>
      </c>
    </row>
    <row r="1305" ht="15" customHeight="1" s="39">
      <c r="A1305" s="38" t="n">
        <v>2021</v>
      </c>
      <c r="B1305" s="42" t="inlineStr">
        <is>
          <t>431264</t>
        </is>
      </c>
      <c r="C1305" s="38" t="inlineStr">
        <is>
          <t>Riera de Gaià, la</t>
        </is>
      </c>
      <c r="D1305" s="38" t="inlineStr">
        <is>
          <t>Y079</t>
        </is>
      </c>
      <c r="E1305" s="38" t="inlineStr">
        <is>
          <t>79 anys</t>
        </is>
      </c>
      <c r="F1305" s="38" t="n">
        <v>79</v>
      </c>
      <c r="G1305" s="38" t="n">
        <v>10</v>
      </c>
      <c r="I1305" s="38" t="inlineStr">
        <is>
          <t>Total de tots els sexes; resposta JSON-stat de l'API d'Idescat</t>
        </is>
      </c>
    </row>
    <row r="1306" ht="15" customHeight="1" s="39">
      <c r="A1306" s="38" t="n">
        <v>2021</v>
      </c>
      <c r="B1306" s="42" t="inlineStr">
        <is>
          <t>431264</t>
        </is>
      </c>
      <c r="C1306" s="38" t="inlineStr">
        <is>
          <t>Riera de Gaià, la</t>
        </is>
      </c>
      <c r="D1306" s="38" t="inlineStr">
        <is>
          <t>Y080</t>
        </is>
      </c>
      <c r="E1306" s="38" t="inlineStr">
        <is>
          <t>80 anys</t>
        </is>
      </c>
      <c r="F1306" s="38" t="n">
        <v>80</v>
      </c>
      <c r="G1306" s="38" t="n">
        <v>7</v>
      </c>
      <c r="I1306" s="38" t="inlineStr">
        <is>
          <t>Total de tots els sexes; resposta JSON-stat de l'API d'Idescat</t>
        </is>
      </c>
    </row>
    <row r="1307" ht="15" customHeight="1" s="39">
      <c r="A1307" s="38" t="n">
        <v>2021</v>
      </c>
      <c r="B1307" s="42" t="inlineStr">
        <is>
          <t>431264</t>
        </is>
      </c>
      <c r="C1307" s="38" t="inlineStr">
        <is>
          <t>Riera de Gaià, la</t>
        </is>
      </c>
      <c r="D1307" s="38" t="inlineStr">
        <is>
          <t>Y081</t>
        </is>
      </c>
      <c r="E1307" s="38" t="inlineStr">
        <is>
          <t>81 anys</t>
        </is>
      </c>
      <c r="F1307" s="38" t="n">
        <v>81</v>
      </c>
      <c r="G1307" s="38" t="n">
        <v>3</v>
      </c>
      <c r="I1307" s="38" t="inlineStr">
        <is>
          <t>Total de tots els sexes; resposta JSON-stat de l'API d'Idescat</t>
        </is>
      </c>
    </row>
    <row r="1308" ht="15" customHeight="1" s="39">
      <c r="A1308" s="38" t="n">
        <v>2021</v>
      </c>
      <c r="B1308" s="42" t="inlineStr">
        <is>
          <t>431264</t>
        </is>
      </c>
      <c r="C1308" s="38" t="inlineStr">
        <is>
          <t>Riera de Gaià, la</t>
        </is>
      </c>
      <c r="D1308" s="38" t="inlineStr">
        <is>
          <t>Y082</t>
        </is>
      </c>
      <c r="E1308" s="38" t="inlineStr">
        <is>
          <t>82 anys</t>
        </is>
      </c>
      <c r="F1308" s="38" t="n">
        <v>82</v>
      </c>
      <c r="G1308" s="38" t="n">
        <v>3</v>
      </c>
      <c r="I1308" s="38" t="inlineStr">
        <is>
          <t>Total de tots els sexes; resposta JSON-stat de l'API d'Idescat</t>
        </is>
      </c>
    </row>
    <row r="1309" ht="15" customHeight="1" s="39">
      <c r="A1309" s="38" t="n">
        <v>2021</v>
      </c>
      <c r="B1309" s="42" t="inlineStr">
        <is>
          <t>431264</t>
        </is>
      </c>
      <c r="C1309" s="38" t="inlineStr">
        <is>
          <t>Riera de Gaià, la</t>
        </is>
      </c>
      <c r="D1309" s="38" t="inlineStr">
        <is>
          <t>Y083</t>
        </is>
      </c>
      <c r="E1309" s="38" t="inlineStr">
        <is>
          <t>83 anys</t>
        </is>
      </c>
      <c r="F1309" s="38" t="n">
        <v>83</v>
      </c>
      <c r="G1309" s="38" t="n">
        <v>10</v>
      </c>
      <c r="I1309" s="38" t="inlineStr">
        <is>
          <t>Total de tots els sexes; resposta JSON-stat de l'API d'Idescat</t>
        </is>
      </c>
    </row>
    <row r="1310" ht="15" customHeight="1" s="39">
      <c r="A1310" s="38" t="n">
        <v>2021</v>
      </c>
      <c r="B1310" s="42" t="inlineStr">
        <is>
          <t>431264</t>
        </is>
      </c>
      <c r="C1310" s="38" t="inlineStr">
        <is>
          <t>Riera de Gaià, la</t>
        </is>
      </c>
      <c r="D1310" s="38" t="inlineStr">
        <is>
          <t>Y084</t>
        </is>
      </c>
      <c r="E1310" s="38" t="inlineStr">
        <is>
          <t>84 anys</t>
        </is>
      </c>
      <c r="F1310" s="38" t="n">
        <v>84</v>
      </c>
      <c r="G1310" s="38" t="n">
        <v>6</v>
      </c>
      <c r="I1310" s="38" t="inlineStr">
        <is>
          <t>Total de tots els sexes; resposta JSON-stat de l'API d'Idescat</t>
        </is>
      </c>
    </row>
    <row r="1311" ht="15" customHeight="1" s="39">
      <c r="A1311" s="38" t="n">
        <v>2021</v>
      </c>
      <c r="B1311" s="42" t="inlineStr">
        <is>
          <t>431264</t>
        </is>
      </c>
      <c r="C1311" s="38" t="inlineStr">
        <is>
          <t>Riera de Gaià, la</t>
        </is>
      </c>
      <c r="D1311" s="38" t="inlineStr">
        <is>
          <t>Y085</t>
        </is>
      </c>
      <c r="E1311" s="38" t="inlineStr">
        <is>
          <t>85 anys</t>
        </is>
      </c>
      <c r="F1311" s="38" t="n">
        <v>85</v>
      </c>
      <c r="G1311" s="38" t="n">
        <v>8</v>
      </c>
      <c r="I1311" s="38" t="inlineStr">
        <is>
          <t>Total de tots els sexes; resposta JSON-stat de l'API d'Idescat</t>
        </is>
      </c>
    </row>
    <row r="1312" ht="15" customHeight="1" s="39">
      <c r="A1312" s="38" t="n">
        <v>2021</v>
      </c>
      <c r="B1312" s="42" t="inlineStr">
        <is>
          <t>431264</t>
        </is>
      </c>
      <c r="C1312" s="38" t="inlineStr">
        <is>
          <t>Riera de Gaià, la</t>
        </is>
      </c>
      <c r="D1312" s="38" t="inlineStr">
        <is>
          <t>Y086</t>
        </is>
      </c>
      <c r="E1312" s="38" t="inlineStr">
        <is>
          <t>86 anys</t>
        </is>
      </c>
      <c r="F1312" s="38" t="n">
        <v>86</v>
      </c>
      <c r="G1312" s="38" t="n">
        <v>6</v>
      </c>
      <c r="I1312" s="38" t="inlineStr">
        <is>
          <t>Total de tots els sexes; resposta JSON-stat de l'API d'Idescat</t>
        </is>
      </c>
    </row>
    <row r="1313" ht="15" customHeight="1" s="39">
      <c r="A1313" s="38" t="n">
        <v>2021</v>
      </c>
      <c r="B1313" s="42" t="inlineStr">
        <is>
          <t>431264</t>
        </is>
      </c>
      <c r="C1313" s="38" t="inlineStr">
        <is>
          <t>Riera de Gaià, la</t>
        </is>
      </c>
      <c r="D1313" s="38" t="inlineStr">
        <is>
          <t>Y087</t>
        </is>
      </c>
      <c r="E1313" s="38" t="inlineStr">
        <is>
          <t>87 anys</t>
        </is>
      </c>
      <c r="F1313" s="38" t="n">
        <v>87</v>
      </c>
      <c r="G1313" s="38" t="n">
        <v>8</v>
      </c>
      <c r="I1313" s="38" t="inlineStr">
        <is>
          <t>Total de tots els sexes; resposta JSON-stat de l'API d'Idescat</t>
        </is>
      </c>
    </row>
    <row r="1314" ht="15" customHeight="1" s="39">
      <c r="A1314" s="38" t="n">
        <v>2021</v>
      </c>
      <c r="B1314" s="42" t="inlineStr">
        <is>
          <t>431264</t>
        </is>
      </c>
      <c r="C1314" s="38" t="inlineStr">
        <is>
          <t>Riera de Gaià, la</t>
        </is>
      </c>
      <c r="D1314" s="38" t="inlineStr">
        <is>
          <t>Y088</t>
        </is>
      </c>
      <c r="E1314" s="38" t="inlineStr">
        <is>
          <t>88 anys</t>
        </is>
      </c>
      <c r="F1314" s="38" t="n">
        <v>88</v>
      </c>
      <c r="G1314" s="38" t="n">
        <v>7</v>
      </c>
      <c r="I1314" s="38" t="inlineStr">
        <is>
          <t>Total de tots els sexes; resposta JSON-stat de l'API d'Idescat</t>
        </is>
      </c>
    </row>
    <row r="1315" ht="15" customHeight="1" s="39">
      <c r="A1315" s="38" t="n">
        <v>2021</v>
      </c>
      <c r="B1315" s="42" t="inlineStr">
        <is>
          <t>431264</t>
        </is>
      </c>
      <c r="C1315" s="38" t="inlineStr">
        <is>
          <t>Riera de Gaià, la</t>
        </is>
      </c>
      <c r="D1315" s="38" t="inlineStr">
        <is>
          <t>Y089</t>
        </is>
      </c>
      <c r="E1315" s="38" t="inlineStr">
        <is>
          <t>89 anys</t>
        </is>
      </c>
      <c r="F1315" s="38" t="n">
        <v>89</v>
      </c>
      <c r="G1315" s="38" t="n">
        <v>4</v>
      </c>
      <c r="I1315" s="38" t="inlineStr">
        <is>
          <t>Total de tots els sexes; resposta JSON-stat de l'API d'Idescat</t>
        </is>
      </c>
    </row>
    <row r="1316" ht="15" customHeight="1" s="39">
      <c r="A1316" s="38" t="n">
        <v>2021</v>
      </c>
      <c r="B1316" s="42" t="inlineStr">
        <is>
          <t>431264</t>
        </is>
      </c>
      <c r="C1316" s="38" t="inlineStr">
        <is>
          <t>Riera de Gaià, la</t>
        </is>
      </c>
      <c r="D1316" s="38" t="inlineStr">
        <is>
          <t>Y090</t>
        </is>
      </c>
      <c r="E1316" s="38" t="inlineStr">
        <is>
          <t>90 anys</t>
        </is>
      </c>
      <c r="F1316" s="38" t="n">
        <v>90</v>
      </c>
      <c r="G1316" s="38" t="n">
        <v>6</v>
      </c>
      <c r="I1316" s="38" t="inlineStr">
        <is>
          <t>Total de tots els sexes; resposta JSON-stat de l'API d'Idescat</t>
        </is>
      </c>
    </row>
    <row r="1317" ht="15" customHeight="1" s="39">
      <c r="A1317" s="38" t="n">
        <v>2021</v>
      </c>
      <c r="B1317" s="42" t="inlineStr">
        <is>
          <t>431264</t>
        </is>
      </c>
      <c r="C1317" s="38" t="inlineStr">
        <is>
          <t>Riera de Gaià, la</t>
        </is>
      </c>
      <c r="D1317" s="38" t="inlineStr">
        <is>
          <t>Y091</t>
        </is>
      </c>
      <c r="E1317" s="38" t="inlineStr">
        <is>
          <t>91 anys</t>
        </is>
      </c>
      <c r="F1317" s="38" t="n">
        <v>91</v>
      </c>
      <c r="G1317" s="38" t="n">
        <v>6</v>
      </c>
      <c r="I1317" s="38" t="inlineStr">
        <is>
          <t>Total de tots els sexes; resposta JSON-stat de l'API d'Idescat</t>
        </is>
      </c>
    </row>
    <row r="1318" ht="15" customHeight="1" s="39">
      <c r="A1318" s="38" t="n">
        <v>2021</v>
      </c>
      <c r="B1318" s="42" t="inlineStr">
        <is>
          <t>431264</t>
        </is>
      </c>
      <c r="C1318" s="38" t="inlineStr">
        <is>
          <t>Riera de Gaià, la</t>
        </is>
      </c>
      <c r="D1318" s="38" t="inlineStr">
        <is>
          <t>Y092</t>
        </is>
      </c>
      <c r="E1318" s="38" t="inlineStr">
        <is>
          <t>92 anys</t>
        </is>
      </c>
      <c r="F1318" s="38" t="n">
        <v>92</v>
      </c>
      <c r="G1318" s="38" t="n">
        <v>0</v>
      </c>
      <c r="I1318" s="38" t="inlineStr">
        <is>
          <t>Total de tots els sexes; resposta JSON-stat de l'API d'Idescat</t>
        </is>
      </c>
    </row>
    <row r="1319" ht="15" customHeight="1" s="39">
      <c r="A1319" s="38" t="n">
        <v>2021</v>
      </c>
      <c r="B1319" s="42" t="inlineStr">
        <is>
          <t>431264</t>
        </is>
      </c>
      <c r="C1319" s="38" t="inlineStr">
        <is>
          <t>Riera de Gaià, la</t>
        </is>
      </c>
      <c r="D1319" s="38" t="inlineStr">
        <is>
          <t>Y093</t>
        </is>
      </c>
      <c r="E1319" s="38" t="inlineStr">
        <is>
          <t>93 anys</t>
        </is>
      </c>
      <c r="F1319" s="38" t="n">
        <v>93</v>
      </c>
      <c r="G1319" s="38" t="n">
        <v>4</v>
      </c>
      <c r="I1319" s="38" t="inlineStr">
        <is>
          <t>Total de tots els sexes; resposta JSON-stat de l'API d'Idescat</t>
        </is>
      </c>
    </row>
    <row r="1320" ht="15" customHeight="1" s="39">
      <c r="A1320" s="38" t="n">
        <v>2021</v>
      </c>
      <c r="B1320" s="42" t="inlineStr">
        <is>
          <t>431264</t>
        </is>
      </c>
      <c r="C1320" s="38" t="inlineStr">
        <is>
          <t>Riera de Gaià, la</t>
        </is>
      </c>
      <c r="D1320" s="38" t="inlineStr">
        <is>
          <t>Y094</t>
        </is>
      </c>
      <c r="E1320" s="38" t="inlineStr">
        <is>
          <t>94 anys</t>
        </is>
      </c>
      <c r="F1320" s="38" t="n">
        <v>94</v>
      </c>
      <c r="G1320" s="38" t="n">
        <v>0</v>
      </c>
      <c r="I1320" s="38" t="inlineStr">
        <is>
          <t>Total de tots els sexes; resposta JSON-stat de l'API d'Idescat</t>
        </is>
      </c>
    </row>
    <row r="1321" ht="15" customHeight="1" s="39">
      <c r="A1321" s="38" t="n">
        <v>2021</v>
      </c>
      <c r="B1321" s="42" t="inlineStr">
        <is>
          <t>431264</t>
        </is>
      </c>
      <c r="C1321" s="38" t="inlineStr">
        <is>
          <t>Riera de Gaià, la</t>
        </is>
      </c>
      <c r="D1321" s="38" t="inlineStr">
        <is>
          <t>Y095</t>
        </is>
      </c>
      <c r="E1321" s="38" t="inlineStr">
        <is>
          <t>95 anys</t>
        </is>
      </c>
      <c r="F1321" s="38" t="n">
        <v>95</v>
      </c>
      <c r="G1321" s="38" t="n">
        <v>2</v>
      </c>
      <c r="I1321" s="38" t="inlineStr">
        <is>
          <t>Total de tots els sexes; resposta JSON-stat de l'API d'Idescat</t>
        </is>
      </c>
    </row>
    <row r="1322" ht="15" customHeight="1" s="39">
      <c r="A1322" s="38" t="n">
        <v>2021</v>
      </c>
      <c r="B1322" s="42" t="inlineStr">
        <is>
          <t>431264</t>
        </is>
      </c>
      <c r="C1322" s="38" t="inlineStr">
        <is>
          <t>Riera de Gaià, la</t>
        </is>
      </c>
      <c r="D1322" s="38" t="inlineStr">
        <is>
          <t>Y096</t>
        </is>
      </c>
      <c r="E1322" s="38" t="inlineStr">
        <is>
          <t>96 anys</t>
        </is>
      </c>
      <c r="F1322" s="38" t="n">
        <v>96</v>
      </c>
      <c r="G1322" s="38" t="n">
        <v>0</v>
      </c>
      <c r="I1322" s="38" t="inlineStr">
        <is>
          <t>Total de tots els sexes; resposta JSON-stat de l'API d'Idescat</t>
        </is>
      </c>
    </row>
    <row r="1323" ht="15" customHeight="1" s="39">
      <c r="A1323" s="38" t="n">
        <v>2021</v>
      </c>
      <c r="B1323" s="42" t="inlineStr">
        <is>
          <t>431264</t>
        </is>
      </c>
      <c r="C1323" s="38" t="inlineStr">
        <is>
          <t>Riera de Gaià, la</t>
        </is>
      </c>
      <c r="D1323" s="38" t="inlineStr">
        <is>
          <t>Y097</t>
        </is>
      </c>
      <c r="E1323" s="38" t="inlineStr">
        <is>
          <t>97 anys</t>
        </is>
      </c>
      <c r="F1323" s="38" t="n">
        <v>97</v>
      </c>
      <c r="G1323" s="38" t="n">
        <v>1</v>
      </c>
      <c r="I1323" s="38" t="inlineStr">
        <is>
          <t>Total de tots els sexes; resposta JSON-stat de l'API d'Idescat</t>
        </is>
      </c>
    </row>
    <row r="1324" ht="15" customHeight="1" s="39">
      <c r="A1324" s="38" t="n">
        <v>2021</v>
      </c>
      <c r="B1324" s="42" t="inlineStr">
        <is>
          <t>431264</t>
        </is>
      </c>
      <c r="C1324" s="38" t="inlineStr">
        <is>
          <t>Riera de Gaià, la</t>
        </is>
      </c>
      <c r="D1324" s="38" t="inlineStr">
        <is>
          <t>Y098</t>
        </is>
      </c>
      <c r="E1324" s="38" t="inlineStr">
        <is>
          <t>98 anys</t>
        </is>
      </c>
      <c r="F1324" s="38" t="n">
        <v>98</v>
      </c>
      <c r="G1324" s="38" t="n">
        <v>0</v>
      </c>
      <c r="I1324" s="38" t="inlineStr">
        <is>
          <t>Total de tots els sexes; resposta JSON-stat de l'API d'Idescat</t>
        </is>
      </c>
    </row>
    <row r="1325" ht="15" customHeight="1" s="39">
      <c r="A1325" s="38" t="n">
        <v>2021</v>
      </c>
      <c r="B1325" s="42" t="inlineStr">
        <is>
          <t>431264</t>
        </is>
      </c>
      <c r="C1325" s="38" t="inlineStr">
        <is>
          <t>Riera de Gaià, la</t>
        </is>
      </c>
      <c r="D1325" s="38" t="inlineStr">
        <is>
          <t>Y099</t>
        </is>
      </c>
      <c r="E1325" s="38" t="inlineStr">
        <is>
          <t>99 anys</t>
        </is>
      </c>
      <c r="F1325" s="38" t="n">
        <v>99</v>
      </c>
      <c r="G1325" s="38" t="n">
        <v>1</v>
      </c>
      <c r="I1325" s="38" t="inlineStr">
        <is>
          <t>Total de tots els sexes; resposta JSON-stat de l'API d'Idescat</t>
        </is>
      </c>
    </row>
    <row r="1326" ht="15" customHeight="1" s="39">
      <c r="A1326" s="38" t="n">
        <v>2021</v>
      </c>
      <c r="B1326" s="42" t="inlineStr">
        <is>
          <t>431264</t>
        </is>
      </c>
      <c r="C1326" s="38" t="inlineStr">
        <is>
          <t>Riera de Gaià, la</t>
        </is>
      </c>
      <c r="D1326" s="38" t="inlineStr">
        <is>
          <t>Y_GE100</t>
        </is>
      </c>
      <c r="E1326" s="38" t="inlineStr">
        <is>
          <t>100 anys o més</t>
        </is>
      </c>
      <c r="F1326" s="38" t="n">
        <v>100</v>
      </c>
      <c r="G1326" s="38" t="n">
        <v>0</v>
      </c>
      <c r="I1326" s="38" t="inlineStr">
        <is>
          <t>Total de tots els sexes; resposta JSON-stat de l'API d'Idescat</t>
        </is>
      </c>
    </row>
    <row r="1327" ht="15" customHeight="1" s="39">
      <c r="A1327" s="38" t="n">
        <v>2021</v>
      </c>
      <c r="B1327" s="42" t="inlineStr">
        <is>
          <t>431264</t>
        </is>
      </c>
      <c r="C1327" s="38" t="inlineStr">
        <is>
          <t>Riera de Gaià, la</t>
        </is>
      </c>
      <c r="D1327" s="38" t="inlineStr">
        <is>
          <t>TOTAL</t>
        </is>
      </c>
      <c r="E1327" s="38" t="inlineStr">
        <is>
          <t>total</t>
        </is>
      </c>
      <c r="G1327" s="38" t="n">
        <v>1745</v>
      </c>
      <c r="I1327" s="38" t="inlineStr">
        <is>
          <t>Total de tots els sexes; resposta JSON-stat de l'API d'Idescat</t>
        </is>
      </c>
    </row>
    <row r="1328" ht="15" customHeight="1" s="39">
      <c r="A1328" s="38" t="n">
        <v>2021</v>
      </c>
      <c r="B1328" s="42" t="inlineStr">
        <is>
          <t>431310</t>
        </is>
      </c>
      <c r="C1328" s="38" t="inlineStr">
        <is>
          <t>Roda de Berà</t>
        </is>
      </c>
      <c r="D1328" s="38" t="inlineStr">
        <is>
          <t>Y000</t>
        </is>
      </c>
      <c r="E1328" s="38" t="inlineStr">
        <is>
          <t>0 anys</t>
        </is>
      </c>
      <c r="F1328" s="38" t="n">
        <v>0</v>
      </c>
      <c r="G1328" s="38" t="n">
        <v>64</v>
      </c>
      <c r="I1328" s="38" t="inlineStr">
        <is>
          <t>Total de tots els sexes; resposta JSON-stat de l'API d'Idescat</t>
        </is>
      </c>
    </row>
    <row r="1329" ht="15" customHeight="1" s="39">
      <c r="A1329" s="38" t="n">
        <v>2021</v>
      </c>
      <c r="B1329" s="42" t="inlineStr">
        <is>
          <t>431310</t>
        </is>
      </c>
      <c r="C1329" s="38" t="inlineStr">
        <is>
          <t>Roda de Berà</t>
        </is>
      </c>
      <c r="D1329" s="38" t="inlineStr">
        <is>
          <t>Y001</t>
        </is>
      </c>
      <c r="E1329" s="38" t="inlineStr">
        <is>
          <t>1 any</t>
        </is>
      </c>
      <c r="F1329" s="38" t="n">
        <v>1</v>
      </c>
      <c r="G1329" s="38" t="n">
        <v>69</v>
      </c>
      <c r="I1329" s="38" t="inlineStr">
        <is>
          <t>Total de tots els sexes; resposta JSON-stat de l'API d'Idescat</t>
        </is>
      </c>
    </row>
    <row r="1330" ht="15" customHeight="1" s="39">
      <c r="A1330" s="38" t="n">
        <v>2021</v>
      </c>
      <c r="B1330" s="42" t="inlineStr">
        <is>
          <t>431310</t>
        </is>
      </c>
      <c r="C1330" s="38" t="inlineStr">
        <is>
          <t>Roda de Berà</t>
        </is>
      </c>
      <c r="D1330" s="38" t="inlineStr">
        <is>
          <t>Y002</t>
        </is>
      </c>
      <c r="E1330" s="38" t="inlineStr">
        <is>
          <t>2 anys</t>
        </is>
      </c>
      <c r="F1330" s="38" t="n">
        <v>2</v>
      </c>
      <c r="G1330" s="38" t="n">
        <v>55</v>
      </c>
      <c r="I1330" s="38" t="inlineStr">
        <is>
          <t>Total de tots els sexes; resposta JSON-stat de l'API d'Idescat</t>
        </is>
      </c>
    </row>
    <row r="1331" ht="15" customHeight="1" s="39">
      <c r="A1331" s="38" t="n">
        <v>2021</v>
      </c>
      <c r="B1331" s="42" t="inlineStr">
        <is>
          <t>431310</t>
        </is>
      </c>
      <c r="C1331" s="38" t="inlineStr">
        <is>
          <t>Roda de Berà</t>
        </is>
      </c>
      <c r="D1331" s="38" t="inlineStr">
        <is>
          <t>Y003</t>
        </is>
      </c>
      <c r="E1331" s="38" t="inlineStr">
        <is>
          <t>3 anys</t>
        </is>
      </c>
      <c r="F1331" s="38" t="n">
        <v>3</v>
      </c>
      <c r="G1331" s="38" t="n">
        <v>75</v>
      </c>
      <c r="I1331" s="38" t="inlineStr">
        <is>
          <t>Total de tots els sexes; resposta JSON-stat de l'API d'Idescat</t>
        </is>
      </c>
    </row>
    <row r="1332" ht="15" customHeight="1" s="39">
      <c r="A1332" s="38" t="n">
        <v>2021</v>
      </c>
      <c r="B1332" s="42" t="inlineStr">
        <is>
          <t>431310</t>
        </is>
      </c>
      <c r="C1332" s="38" t="inlineStr">
        <is>
          <t>Roda de Berà</t>
        </is>
      </c>
      <c r="D1332" s="38" t="inlineStr">
        <is>
          <t>Y004</t>
        </is>
      </c>
      <c r="E1332" s="38" t="inlineStr">
        <is>
          <t>4 anys</t>
        </is>
      </c>
      <c r="F1332" s="38" t="n">
        <v>4</v>
      </c>
      <c r="G1332" s="38" t="n">
        <v>64</v>
      </c>
      <c r="I1332" s="38" t="inlineStr">
        <is>
          <t>Total de tots els sexes; resposta JSON-stat de l'API d'Idescat</t>
        </is>
      </c>
    </row>
    <row r="1333" ht="15" customHeight="1" s="39">
      <c r="A1333" s="38" t="n">
        <v>2021</v>
      </c>
      <c r="B1333" s="42" t="inlineStr">
        <is>
          <t>431310</t>
        </is>
      </c>
      <c r="C1333" s="38" t="inlineStr">
        <is>
          <t>Roda de Berà</t>
        </is>
      </c>
      <c r="D1333" s="38" t="inlineStr">
        <is>
          <t>Y005</t>
        </is>
      </c>
      <c r="E1333" s="38" t="inlineStr">
        <is>
          <t>5 anys</t>
        </is>
      </c>
      <c r="F1333" s="38" t="n">
        <v>5</v>
      </c>
      <c r="G1333" s="38" t="n">
        <v>82</v>
      </c>
      <c r="I1333" s="38" t="inlineStr">
        <is>
          <t>Total de tots els sexes; resposta JSON-stat de l'API d'Idescat</t>
        </is>
      </c>
    </row>
    <row r="1334" ht="15" customHeight="1" s="39">
      <c r="A1334" s="38" t="n">
        <v>2021</v>
      </c>
      <c r="B1334" s="42" t="inlineStr">
        <is>
          <t>431310</t>
        </is>
      </c>
      <c r="C1334" s="38" t="inlineStr">
        <is>
          <t>Roda de Berà</t>
        </is>
      </c>
      <c r="D1334" s="38" t="inlineStr">
        <is>
          <t>Y006</t>
        </is>
      </c>
      <c r="E1334" s="38" t="inlineStr">
        <is>
          <t>6 anys</t>
        </is>
      </c>
      <c r="F1334" s="38" t="n">
        <v>6</v>
      </c>
      <c r="G1334" s="38" t="n">
        <v>69</v>
      </c>
      <c r="I1334" s="38" t="inlineStr">
        <is>
          <t>Total de tots els sexes; resposta JSON-stat de l'API d'Idescat</t>
        </is>
      </c>
    </row>
    <row r="1335" ht="15" customHeight="1" s="39">
      <c r="A1335" s="38" t="n">
        <v>2021</v>
      </c>
      <c r="B1335" s="42" t="inlineStr">
        <is>
          <t>431310</t>
        </is>
      </c>
      <c r="C1335" s="38" t="inlineStr">
        <is>
          <t>Roda de Berà</t>
        </is>
      </c>
      <c r="D1335" s="38" t="inlineStr">
        <is>
          <t>Y007</t>
        </is>
      </c>
      <c r="E1335" s="38" t="inlineStr">
        <is>
          <t>7 anys</t>
        </is>
      </c>
      <c r="F1335" s="38" t="n">
        <v>7</v>
      </c>
      <c r="G1335" s="38" t="n">
        <v>82</v>
      </c>
      <c r="I1335" s="38" t="inlineStr">
        <is>
          <t>Total de tots els sexes; resposta JSON-stat de l'API d'Idescat</t>
        </is>
      </c>
    </row>
    <row r="1336" ht="15" customHeight="1" s="39">
      <c r="A1336" s="38" t="n">
        <v>2021</v>
      </c>
      <c r="B1336" s="42" t="inlineStr">
        <is>
          <t>431310</t>
        </is>
      </c>
      <c r="C1336" s="38" t="inlineStr">
        <is>
          <t>Roda de Berà</t>
        </is>
      </c>
      <c r="D1336" s="38" t="inlineStr">
        <is>
          <t>Y008</t>
        </is>
      </c>
      <c r="E1336" s="38" t="inlineStr">
        <is>
          <t>8 anys</t>
        </is>
      </c>
      <c r="F1336" s="38" t="n">
        <v>8</v>
      </c>
      <c r="G1336" s="38" t="n">
        <v>60</v>
      </c>
      <c r="I1336" s="38" t="inlineStr">
        <is>
          <t>Total de tots els sexes; resposta JSON-stat de l'API d'Idescat</t>
        </is>
      </c>
    </row>
    <row r="1337" ht="15" customHeight="1" s="39">
      <c r="A1337" s="38" t="n">
        <v>2021</v>
      </c>
      <c r="B1337" s="42" t="inlineStr">
        <is>
          <t>431310</t>
        </is>
      </c>
      <c r="C1337" s="38" t="inlineStr">
        <is>
          <t>Roda de Berà</t>
        </is>
      </c>
      <c r="D1337" s="38" t="inlineStr">
        <is>
          <t>Y009</t>
        </is>
      </c>
      <c r="E1337" s="38" t="inlineStr">
        <is>
          <t>9 anys</t>
        </is>
      </c>
      <c r="F1337" s="38" t="n">
        <v>9</v>
      </c>
      <c r="G1337" s="38" t="n">
        <v>62</v>
      </c>
      <c r="I1337" s="38" t="inlineStr">
        <is>
          <t>Total de tots els sexes; resposta JSON-stat de l'API d'Idescat</t>
        </is>
      </c>
    </row>
    <row r="1338" ht="15" customHeight="1" s="39">
      <c r="A1338" s="38" t="n">
        <v>2021</v>
      </c>
      <c r="B1338" s="42" t="inlineStr">
        <is>
          <t>431310</t>
        </is>
      </c>
      <c r="C1338" s="38" t="inlineStr">
        <is>
          <t>Roda de Berà</t>
        </is>
      </c>
      <c r="D1338" s="38" t="inlineStr">
        <is>
          <t>Y010</t>
        </is>
      </c>
      <c r="E1338" s="38" t="inlineStr">
        <is>
          <t>10 anys</t>
        </is>
      </c>
      <c r="F1338" s="38" t="n">
        <v>10</v>
      </c>
      <c r="G1338" s="38" t="n">
        <v>85</v>
      </c>
      <c r="I1338" s="38" t="inlineStr">
        <is>
          <t>Total de tots els sexes; resposta JSON-stat de l'API d'Idescat</t>
        </is>
      </c>
    </row>
    <row r="1339" ht="15" customHeight="1" s="39">
      <c r="A1339" s="38" t="n">
        <v>2021</v>
      </c>
      <c r="B1339" s="42" t="inlineStr">
        <is>
          <t>431310</t>
        </is>
      </c>
      <c r="C1339" s="38" t="inlineStr">
        <is>
          <t>Roda de Berà</t>
        </is>
      </c>
      <c r="D1339" s="38" t="inlineStr">
        <is>
          <t>Y011</t>
        </is>
      </c>
      <c r="E1339" s="38" t="inlineStr">
        <is>
          <t>11 anys</t>
        </is>
      </c>
      <c r="F1339" s="38" t="n">
        <v>11</v>
      </c>
      <c r="G1339" s="38" t="n">
        <v>75</v>
      </c>
      <c r="I1339" s="38" t="inlineStr">
        <is>
          <t>Total de tots els sexes; resposta JSON-stat de l'API d'Idescat</t>
        </is>
      </c>
    </row>
    <row r="1340" ht="15" customHeight="1" s="39">
      <c r="A1340" s="38" t="n">
        <v>2021</v>
      </c>
      <c r="B1340" s="42" t="inlineStr">
        <is>
          <t>431310</t>
        </is>
      </c>
      <c r="C1340" s="38" t="inlineStr">
        <is>
          <t>Roda de Berà</t>
        </is>
      </c>
      <c r="D1340" s="38" t="inlineStr">
        <is>
          <t>Y012</t>
        </is>
      </c>
      <c r="E1340" s="38" t="inlineStr">
        <is>
          <t>12 anys</t>
        </is>
      </c>
      <c r="F1340" s="38" t="n">
        <v>12</v>
      </c>
      <c r="G1340" s="38" t="n">
        <v>78</v>
      </c>
      <c r="I1340" s="38" t="inlineStr">
        <is>
          <t>Total de tots els sexes; resposta JSON-stat de l'API d'Idescat</t>
        </is>
      </c>
    </row>
    <row r="1341" ht="15" customHeight="1" s="39">
      <c r="A1341" s="38" t="n">
        <v>2021</v>
      </c>
      <c r="B1341" s="42" t="inlineStr">
        <is>
          <t>431310</t>
        </is>
      </c>
      <c r="C1341" s="38" t="inlineStr">
        <is>
          <t>Roda de Berà</t>
        </is>
      </c>
      <c r="D1341" s="38" t="inlineStr">
        <is>
          <t>Y013</t>
        </is>
      </c>
      <c r="E1341" s="38" t="inlineStr">
        <is>
          <t>13 anys</t>
        </is>
      </c>
      <c r="F1341" s="38" t="n">
        <v>13</v>
      </c>
      <c r="G1341" s="38" t="n">
        <v>79</v>
      </c>
      <c r="I1341" s="38" t="inlineStr">
        <is>
          <t>Total de tots els sexes; resposta JSON-stat de l'API d'Idescat</t>
        </is>
      </c>
    </row>
    <row r="1342" ht="15" customHeight="1" s="39">
      <c r="A1342" s="38" t="n">
        <v>2021</v>
      </c>
      <c r="B1342" s="42" t="inlineStr">
        <is>
          <t>431310</t>
        </is>
      </c>
      <c r="C1342" s="38" t="inlineStr">
        <is>
          <t>Roda de Berà</t>
        </is>
      </c>
      <c r="D1342" s="38" t="inlineStr">
        <is>
          <t>Y014</t>
        </is>
      </c>
      <c r="E1342" s="38" t="inlineStr">
        <is>
          <t>14 anys</t>
        </is>
      </c>
      <c r="F1342" s="38" t="n">
        <v>14</v>
      </c>
      <c r="G1342" s="38" t="n">
        <v>75</v>
      </c>
      <c r="I1342" s="38" t="inlineStr">
        <is>
          <t>Total de tots els sexes; resposta JSON-stat de l'API d'Idescat</t>
        </is>
      </c>
    </row>
    <row r="1343" ht="15" customHeight="1" s="39">
      <c r="A1343" s="38" t="n">
        <v>2021</v>
      </c>
      <c r="B1343" s="42" t="inlineStr">
        <is>
          <t>431310</t>
        </is>
      </c>
      <c r="C1343" s="38" t="inlineStr">
        <is>
          <t>Roda de Berà</t>
        </is>
      </c>
      <c r="D1343" s="38" t="inlineStr">
        <is>
          <t>Y015</t>
        </is>
      </c>
      <c r="E1343" s="38" t="inlineStr">
        <is>
          <t>15 anys</t>
        </is>
      </c>
      <c r="F1343" s="38" t="n">
        <v>15</v>
      </c>
      <c r="G1343" s="38" t="n">
        <v>70</v>
      </c>
      <c r="I1343" s="38" t="inlineStr">
        <is>
          <t>Total de tots els sexes; resposta JSON-stat de l'API d'Idescat</t>
        </is>
      </c>
    </row>
    <row r="1344" ht="15" customHeight="1" s="39">
      <c r="A1344" s="38" t="n">
        <v>2021</v>
      </c>
      <c r="B1344" s="42" t="inlineStr">
        <is>
          <t>431310</t>
        </is>
      </c>
      <c r="C1344" s="38" t="inlineStr">
        <is>
          <t>Roda de Berà</t>
        </is>
      </c>
      <c r="D1344" s="38" t="inlineStr">
        <is>
          <t>Y016</t>
        </is>
      </c>
      <c r="E1344" s="38" t="inlineStr">
        <is>
          <t>16 anys</t>
        </is>
      </c>
      <c r="F1344" s="38" t="n">
        <v>16</v>
      </c>
      <c r="G1344" s="38" t="n">
        <v>72</v>
      </c>
      <c r="I1344" s="38" t="inlineStr">
        <is>
          <t>Total de tots els sexes; resposta JSON-stat de l'API d'Idescat</t>
        </is>
      </c>
    </row>
    <row r="1345" ht="15" customHeight="1" s="39">
      <c r="A1345" s="38" t="n">
        <v>2021</v>
      </c>
      <c r="B1345" s="42" t="inlineStr">
        <is>
          <t>431310</t>
        </is>
      </c>
      <c r="C1345" s="38" t="inlineStr">
        <is>
          <t>Roda de Berà</t>
        </is>
      </c>
      <c r="D1345" s="38" t="inlineStr">
        <is>
          <t>Y017</t>
        </is>
      </c>
      <c r="E1345" s="38" t="inlineStr">
        <is>
          <t>17 anys</t>
        </is>
      </c>
      <c r="F1345" s="38" t="n">
        <v>17</v>
      </c>
      <c r="G1345" s="38" t="n">
        <v>68</v>
      </c>
      <c r="I1345" s="38" t="inlineStr">
        <is>
          <t>Total de tots els sexes; resposta JSON-stat de l'API d'Idescat</t>
        </is>
      </c>
    </row>
    <row r="1346" ht="15" customHeight="1" s="39">
      <c r="A1346" s="38" t="n">
        <v>2021</v>
      </c>
      <c r="B1346" s="42" t="inlineStr">
        <is>
          <t>431310</t>
        </is>
      </c>
      <c r="C1346" s="38" t="inlineStr">
        <is>
          <t>Roda de Berà</t>
        </is>
      </c>
      <c r="D1346" s="38" t="inlineStr">
        <is>
          <t>Y018</t>
        </is>
      </c>
      <c r="E1346" s="38" t="inlineStr">
        <is>
          <t>18 anys</t>
        </is>
      </c>
      <c r="F1346" s="38" t="n">
        <v>18</v>
      </c>
      <c r="G1346" s="38" t="n">
        <v>82</v>
      </c>
      <c r="I1346" s="38" t="inlineStr">
        <is>
          <t>Total de tots els sexes; resposta JSON-stat de l'API d'Idescat</t>
        </is>
      </c>
    </row>
    <row r="1347" ht="15" customHeight="1" s="39">
      <c r="A1347" s="38" t="n">
        <v>2021</v>
      </c>
      <c r="B1347" s="42" t="inlineStr">
        <is>
          <t>431310</t>
        </is>
      </c>
      <c r="C1347" s="38" t="inlineStr">
        <is>
          <t>Roda de Berà</t>
        </is>
      </c>
      <c r="D1347" s="38" t="inlineStr">
        <is>
          <t>Y019</t>
        </is>
      </c>
      <c r="E1347" s="38" t="inlineStr">
        <is>
          <t>19 anys</t>
        </is>
      </c>
      <c r="F1347" s="38" t="n">
        <v>19</v>
      </c>
      <c r="G1347" s="38" t="n">
        <v>68</v>
      </c>
      <c r="I1347" s="38" t="inlineStr">
        <is>
          <t>Total de tots els sexes; resposta JSON-stat de l'API d'Idescat</t>
        </is>
      </c>
    </row>
    <row r="1348" ht="15" customHeight="1" s="39">
      <c r="A1348" s="38" t="n">
        <v>2021</v>
      </c>
      <c r="B1348" s="42" t="inlineStr">
        <is>
          <t>431310</t>
        </is>
      </c>
      <c r="C1348" s="38" t="inlineStr">
        <is>
          <t>Roda de Berà</t>
        </is>
      </c>
      <c r="D1348" s="38" t="inlineStr">
        <is>
          <t>Y020</t>
        </is>
      </c>
      <c r="E1348" s="38" t="inlineStr">
        <is>
          <t>20 anys</t>
        </is>
      </c>
      <c r="F1348" s="38" t="n">
        <v>20</v>
      </c>
      <c r="G1348" s="38" t="n">
        <v>72</v>
      </c>
      <c r="I1348" s="38" t="inlineStr">
        <is>
          <t>Total de tots els sexes; resposta JSON-stat de l'API d'Idescat</t>
        </is>
      </c>
    </row>
    <row r="1349" ht="15" customHeight="1" s="39">
      <c r="A1349" s="38" t="n">
        <v>2021</v>
      </c>
      <c r="B1349" s="42" t="inlineStr">
        <is>
          <t>431310</t>
        </is>
      </c>
      <c r="C1349" s="38" t="inlineStr">
        <is>
          <t>Roda de Berà</t>
        </is>
      </c>
      <c r="D1349" s="38" t="inlineStr">
        <is>
          <t>Y021</t>
        </is>
      </c>
      <c r="E1349" s="38" t="inlineStr">
        <is>
          <t>21 anys</t>
        </is>
      </c>
      <c r="F1349" s="38" t="n">
        <v>21</v>
      </c>
      <c r="G1349" s="38" t="n">
        <v>62</v>
      </c>
      <c r="I1349" s="38" t="inlineStr">
        <is>
          <t>Total de tots els sexes; resposta JSON-stat de l'API d'Idescat</t>
        </is>
      </c>
    </row>
    <row r="1350" ht="15" customHeight="1" s="39">
      <c r="A1350" s="38" t="n">
        <v>2021</v>
      </c>
      <c r="B1350" s="42" t="inlineStr">
        <is>
          <t>431310</t>
        </is>
      </c>
      <c r="C1350" s="38" t="inlineStr">
        <is>
          <t>Roda de Berà</t>
        </is>
      </c>
      <c r="D1350" s="38" t="inlineStr">
        <is>
          <t>Y022</t>
        </is>
      </c>
      <c r="E1350" s="38" t="inlineStr">
        <is>
          <t>22 anys</t>
        </is>
      </c>
      <c r="F1350" s="38" t="n">
        <v>22</v>
      </c>
      <c r="G1350" s="38" t="n">
        <v>65</v>
      </c>
      <c r="I1350" s="38" t="inlineStr">
        <is>
          <t>Total de tots els sexes; resposta JSON-stat de l'API d'Idescat</t>
        </is>
      </c>
    </row>
    <row r="1351" ht="15" customHeight="1" s="39">
      <c r="A1351" s="38" t="n">
        <v>2021</v>
      </c>
      <c r="B1351" s="42" t="inlineStr">
        <is>
          <t>431310</t>
        </is>
      </c>
      <c r="C1351" s="38" t="inlineStr">
        <is>
          <t>Roda de Berà</t>
        </is>
      </c>
      <c r="D1351" s="38" t="inlineStr">
        <is>
          <t>Y023</t>
        </is>
      </c>
      <c r="E1351" s="38" t="inlineStr">
        <is>
          <t>23 anys</t>
        </is>
      </c>
      <c r="F1351" s="38" t="n">
        <v>23</v>
      </c>
      <c r="G1351" s="38" t="n">
        <v>58</v>
      </c>
      <c r="I1351" s="38" t="inlineStr">
        <is>
          <t>Total de tots els sexes; resposta JSON-stat de l'API d'Idescat</t>
        </is>
      </c>
    </row>
    <row r="1352" ht="15" customHeight="1" s="39">
      <c r="A1352" s="38" t="n">
        <v>2021</v>
      </c>
      <c r="B1352" s="42" t="inlineStr">
        <is>
          <t>431310</t>
        </is>
      </c>
      <c r="C1352" s="38" t="inlineStr">
        <is>
          <t>Roda de Berà</t>
        </is>
      </c>
      <c r="D1352" s="38" t="inlineStr">
        <is>
          <t>Y024</t>
        </is>
      </c>
      <c r="E1352" s="38" t="inlineStr">
        <is>
          <t>24 anys</t>
        </is>
      </c>
      <c r="F1352" s="38" t="n">
        <v>24</v>
      </c>
      <c r="G1352" s="38" t="n">
        <v>58</v>
      </c>
      <c r="I1352" s="38" t="inlineStr">
        <is>
          <t>Total de tots els sexes; resposta JSON-stat de l'API d'Idescat</t>
        </is>
      </c>
    </row>
    <row r="1353" ht="15" customHeight="1" s="39">
      <c r="A1353" s="38" t="n">
        <v>2021</v>
      </c>
      <c r="B1353" s="42" t="inlineStr">
        <is>
          <t>431310</t>
        </is>
      </c>
      <c r="C1353" s="38" t="inlineStr">
        <is>
          <t>Roda de Berà</t>
        </is>
      </c>
      <c r="D1353" s="38" t="inlineStr">
        <is>
          <t>Y025</t>
        </is>
      </c>
      <c r="E1353" s="38" t="inlineStr">
        <is>
          <t>25 anys</t>
        </is>
      </c>
      <c r="F1353" s="38" t="n">
        <v>25</v>
      </c>
      <c r="G1353" s="38" t="n">
        <v>48</v>
      </c>
      <c r="I1353" s="38" t="inlineStr">
        <is>
          <t>Total de tots els sexes; resposta JSON-stat de l'API d'Idescat</t>
        </is>
      </c>
    </row>
    <row r="1354" ht="15" customHeight="1" s="39">
      <c r="A1354" s="38" t="n">
        <v>2021</v>
      </c>
      <c r="B1354" s="42" t="inlineStr">
        <is>
          <t>431310</t>
        </is>
      </c>
      <c r="C1354" s="38" t="inlineStr">
        <is>
          <t>Roda de Berà</t>
        </is>
      </c>
      <c r="D1354" s="38" t="inlineStr">
        <is>
          <t>Y026</t>
        </is>
      </c>
      <c r="E1354" s="38" t="inlineStr">
        <is>
          <t>26 anys</t>
        </is>
      </c>
      <c r="F1354" s="38" t="n">
        <v>26</v>
      </c>
      <c r="G1354" s="38" t="n">
        <v>70</v>
      </c>
      <c r="I1354" s="38" t="inlineStr">
        <is>
          <t>Total de tots els sexes; resposta JSON-stat de l'API d'Idescat</t>
        </is>
      </c>
    </row>
    <row r="1355" ht="15" customHeight="1" s="39">
      <c r="A1355" s="38" t="n">
        <v>2021</v>
      </c>
      <c r="B1355" s="42" t="inlineStr">
        <is>
          <t>431310</t>
        </is>
      </c>
      <c r="C1355" s="38" t="inlineStr">
        <is>
          <t>Roda de Berà</t>
        </is>
      </c>
      <c r="D1355" s="38" t="inlineStr">
        <is>
          <t>Y027</t>
        </is>
      </c>
      <c r="E1355" s="38" t="inlineStr">
        <is>
          <t>27 anys</t>
        </is>
      </c>
      <c r="F1355" s="38" t="n">
        <v>27</v>
      </c>
      <c r="G1355" s="38" t="n">
        <v>63</v>
      </c>
      <c r="I1355" s="38" t="inlineStr">
        <is>
          <t>Total de tots els sexes; resposta JSON-stat de l'API d'Idescat</t>
        </is>
      </c>
    </row>
    <row r="1356" ht="15" customHeight="1" s="39">
      <c r="A1356" s="38" t="n">
        <v>2021</v>
      </c>
      <c r="B1356" s="42" t="inlineStr">
        <is>
          <t>431310</t>
        </is>
      </c>
      <c r="C1356" s="38" t="inlineStr">
        <is>
          <t>Roda de Berà</t>
        </is>
      </c>
      <c r="D1356" s="38" t="inlineStr">
        <is>
          <t>Y028</t>
        </is>
      </c>
      <c r="E1356" s="38" t="inlineStr">
        <is>
          <t>28 anys</t>
        </is>
      </c>
      <c r="F1356" s="38" t="n">
        <v>28</v>
      </c>
      <c r="G1356" s="38" t="n">
        <v>69</v>
      </c>
      <c r="I1356" s="38" t="inlineStr">
        <is>
          <t>Total de tots els sexes; resposta JSON-stat de l'API d'Idescat</t>
        </is>
      </c>
    </row>
    <row r="1357" ht="15" customHeight="1" s="39">
      <c r="A1357" s="38" t="n">
        <v>2021</v>
      </c>
      <c r="B1357" s="42" t="inlineStr">
        <is>
          <t>431310</t>
        </is>
      </c>
      <c r="C1357" s="38" t="inlineStr">
        <is>
          <t>Roda de Berà</t>
        </is>
      </c>
      <c r="D1357" s="38" t="inlineStr">
        <is>
          <t>Y029</t>
        </is>
      </c>
      <c r="E1357" s="38" t="inlineStr">
        <is>
          <t>29 anys</t>
        </is>
      </c>
      <c r="F1357" s="38" t="n">
        <v>29</v>
      </c>
      <c r="G1357" s="38" t="n">
        <v>54</v>
      </c>
      <c r="I1357" s="38" t="inlineStr">
        <is>
          <t>Total de tots els sexes; resposta JSON-stat de l'API d'Idescat</t>
        </is>
      </c>
    </row>
    <row r="1358" ht="15" customHeight="1" s="39">
      <c r="A1358" s="38" t="n">
        <v>2021</v>
      </c>
      <c r="B1358" s="42" t="inlineStr">
        <is>
          <t>431310</t>
        </is>
      </c>
      <c r="C1358" s="38" t="inlineStr">
        <is>
          <t>Roda de Berà</t>
        </is>
      </c>
      <c r="D1358" s="38" t="inlineStr">
        <is>
          <t>Y030</t>
        </is>
      </c>
      <c r="E1358" s="38" t="inlineStr">
        <is>
          <t>30 anys</t>
        </is>
      </c>
      <c r="F1358" s="38" t="n">
        <v>30</v>
      </c>
      <c r="G1358" s="38" t="n">
        <v>72</v>
      </c>
      <c r="I1358" s="38" t="inlineStr">
        <is>
          <t>Total de tots els sexes; resposta JSON-stat de l'API d'Idescat</t>
        </is>
      </c>
    </row>
    <row r="1359" ht="15" customHeight="1" s="39">
      <c r="A1359" s="38" t="n">
        <v>2021</v>
      </c>
      <c r="B1359" s="42" t="inlineStr">
        <is>
          <t>431310</t>
        </is>
      </c>
      <c r="C1359" s="38" t="inlineStr">
        <is>
          <t>Roda de Berà</t>
        </is>
      </c>
      <c r="D1359" s="38" t="inlineStr">
        <is>
          <t>Y031</t>
        </is>
      </c>
      <c r="E1359" s="38" t="inlineStr">
        <is>
          <t>31 anys</t>
        </is>
      </c>
      <c r="F1359" s="38" t="n">
        <v>31</v>
      </c>
      <c r="G1359" s="38" t="n">
        <v>75</v>
      </c>
      <c r="I1359" s="38" t="inlineStr">
        <is>
          <t>Total de tots els sexes; resposta JSON-stat de l'API d'Idescat</t>
        </is>
      </c>
    </row>
    <row r="1360" ht="15" customHeight="1" s="39">
      <c r="A1360" s="38" t="n">
        <v>2021</v>
      </c>
      <c r="B1360" s="42" t="inlineStr">
        <is>
          <t>431310</t>
        </is>
      </c>
      <c r="C1360" s="38" t="inlineStr">
        <is>
          <t>Roda de Berà</t>
        </is>
      </c>
      <c r="D1360" s="38" t="inlineStr">
        <is>
          <t>Y032</t>
        </is>
      </c>
      <c r="E1360" s="38" t="inlineStr">
        <is>
          <t>32 anys</t>
        </is>
      </c>
      <c r="F1360" s="38" t="n">
        <v>32</v>
      </c>
      <c r="G1360" s="38" t="n">
        <v>86</v>
      </c>
      <c r="I1360" s="38" t="inlineStr">
        <is>
          <t>Total de tots els sexes; resposta JSON-stat de l'API d'Idescat</t>
        </is>
      </c>
    </row>
    <row r="1361" ht="15" customHeight="1" s="39">
      <c r="A1361" s="38" t="n">
        <v>2021</v>
      </c>
      <c r="B1361" s="42" t="inlineStr">
        <is>
          <t>431310</t>
        </is>
      </c>
      <c r="C1361" s="38" t="inlineStr">
        <is>
          <t>Roda de Berà</t>
        </is>
      </c>
      <c r="D1361" s="38" t="inlineStr">
        <is>
          <t>Y033</t>
        </is>
      </c>
      <c r="E1361" s="38" t="inlineStr">
        <is>
          <t>33 anys</t>
        </is>
      </c>
      <c r="F1361" s="38" t="n">
        <v>33</v>
      </c>
      <c r="G1361" s="38" t="n">
        <v>78</v>
      </c>
      <c r="I1361" s="38" t="inlineStr">
        <is>
          <t>Total de tots els sexes; resposta JSON-stat de l'API d'Idescat</t>
        </is>
      </c>
    </row>
    <row r="1362" ht="15" customHeight="1" s="39">
      <c r="A1362" s="38" t="n">
        <v>2021</v>
      </c>
      <c r="B1362" s="42" t="inlineStr">
        <is>
          <t>431310</t>
        </is>
      </c>
      <c r="C1362" s="38" t="inlineStr">
        <is>
          <t>Roda de Berà</t>
        </is>
      </c>
      <c r="D1362" s="38" t="inlineStr">
        <is>
          <t>Y034</t>
        </is>
      </c>
      <c r="E1362" s="38" t="inlineStr">
        <is>
          <t>34 anys</t>
        </is>
      </c>
      <c r="F1362" s="38" t="n">
        <v>34</v>
      </c>
      <c r="G1362" s="38" t="n">
        <v>84</v>
      </c>
      <c r="I1362" s="38" t="inlineStr">
        <is>
          <t>Total de tots els sexes; resposta JSON-stat de l'API d'Idescat</t>
        </is>
      </c>
    </row>
    <row r="1363" ht="15" customHeight="1" s="39">
      <c r="A1363" s="38" t="n">
        <v>2021</v>
      </c>
      <c r="B1363" s="42" t="inlineStr">
        <is>
          <t>431310</t>
        </is>
      </c>
      <c r="C1363" s="38" t="inlineStr">
        <is>
          <t>Roda de Berà</t>
        </is>
      </c>
      <c r="D1363" s="38" t="inlineStr">
        <is>
          <t>Y035</t>
        </is>
      </c>
      <c r="E1363" s="38" t="inlineStr">
        <is>
          <t>35 anys</t>
        </is>
      </c>
      <c r="F1363" s="38" t="n">
        <v>35</v>
      </c>
      <c r="G1363" s="38" t="n">
        <v>95</v>
      </c>
      <c r="I1363" s="38" t="inlineStr">
        <is>
          <t>Total de tots els sexes; resposta JSON-stat de l'API d'Idescat</t>
        </is>
      </c>
    </row>
    <row r="1364" ht="15" customHeight="1" s="39">
      <c r="A1364" s="38" t="n">
        <v>2021</v>
      </c>
      <c r="B1364" s="42" t="inlineStr">
        <is>
          <t>431310</t>
        </is>
      </c>
      <c r="C1364" s="38" t="inlineStr">
        <is>
          <t>Roda de Berà</t>
        </is>
      </c>
      <c r="D1364" s="38" t="inlineStr">
        <is>
          <t>Y036</t>
        </is>
      </c>
      <c r="E1364" s="38" t="inlineStr">
        <is>
          <t>36 anys</t>
        </is>
      </c>
      <c r="F1364" s="38" t="n">
        <v>36</v>
      </c>
      <c r="G1364" s="38" t="n">
        <v>89</v>
      </c>
      <c r="I1364" s="38" t="inlineStr">
        <is>
          <t>Total de tots els sexes; resposta JSON-stat de l'API d'Idescat</t>
        </is>
      </c>
    </row>
    <row r="1365" ht="15" customHeight="1" s="39">
      <c r="A1365" s="38" t="n">
        <v>2021</v>
      </c>
      <c r="B1365" s="42" t="inlineStr">
        <is>
          <t>431310</t>
        </is>
      </c>
      <c r="C1365" s="38" t="inlineStr">
        <is>
          <t>Roda de Berà</t>
        </is>
      </c>
      <c r="D1365" s="38" t="inlineStr">
        <is>
          <t>Y037</t>
        </is>
      </c>
      <c r="E1365" s="38" t="inlineStr">
        <is>
          <t>37 anys</t>
        </is>
      </c>
      <c r="F1365" s="38" t="n">
        <v>37</v>
      </c>
      <c r="G1365" s="38" t="n">
        <v>89</v>
      </c>
      <c r="I1365" s="38" t="inlineStr">
        <is>
          <t>Total de tots els sexes; resposta JSON-stat de l'API d'Idescat</t>
        </is>
      </c>
    </row>
    <row r="1366" ht="15" customHeight="1" s="39">
      <c r="A1366" s="38" t="n">
        <v>2021</v>
      </c>
      <c r="B1366" s="42" t="inlineStr">
        <is>
          <t>431310</t>
        </is>
      </c>
      <c r="C1366" s="38" t="inlineStr">
        <is>
          <t>Roda de Berà</t>
        </is>
      </c>
      <c r="D1366" s="38" t="inlineStr">
        <is>
          <t>Y038</t>
        </is>
      </c>
      <c r="E1366" s="38" t="inlineStr">
        <is>
          <t>38 anys</t>
        </is>
      </c>
      <c r="F1366" s="38" t="n">
        <v>38</v>
      </c>
      <c r="G1366" s="38" t="n">
        <v>117</v>
      </c>
      <c r="I1366" s="38" t="inlineStr">
        <is>
          <t>Total de tots els sexes; resposta JSON-stat de l'API d'Idescat</t>
        </is>
      </c>
    </row>
    <row r="1367" ht="15" customHeight="1" s="39">
      <c r="A1367" s="38" t="n">
        <v>2021</v>
      </c>
      <c r="B1367" s="42" t="inlineStr">
        <is>
          <t>431310</t>
        </is>
      </c>
      <c r="C1367" s="38" t="inlineStr">
        <is>
          <t>Roda de Berà</t>
        </is>
      </c>
      <c r="D1367" s="38" t="inlineStr">
        <is>
          <t>Y039</t>
        </is>
      </c>
      <c r="E1367" s="38" t="inlineStr">
        <is>
          <t>39 anys</t>
        </is>
      </c>
      <c r="F1367" s="38" t="n">
        <v>39</v>
      </c>
      <c r="G1367" s="38" t="n">
        <v>114</v>
      </c>
      <c r="I1367" s="38" t="inlineStr">
        <is>
          <t>Total de tots els sexes; resposta JSON-stat de l'API d'Idescat</t>
        </is>
      </c>
    </row>
    <row r="1368" ht="15" customHeight="1" s="39">
      <c r="A1368" s="38" t="n">
        <v>2021</v>
      </c>
      <c r="B1368" s="42" t="inlineStr">
        <is>
          <t>431310</t>
        </is>
      </c>
      <c r="C1368" s="38" t="inlineStr">
        <is>
          <t>Roda de Berà</t>
        </is>
      </c>
      <c r="D1368" s="38" t="inlineStr">
        <is>
          <t>Y040</t>
        </is>
      </c>
      <c r="E1368" s="38" t="inlineStr">
        <is>
          <t>40 anys</t>
        </is>
      </c>
      <c r="F1368" s="38" t="n">
        <v>40</v>
      </c>
      <c r="G1368" s="38" t="n">
        <v>100</v>
      </c>
      <c r="I1368" s="38" t="inlineStr">
        <is>
          <t>Total de tots els sexes; resposta JSON-stat de l'API d'Idescat</t>
        </is>
      </c>
    </row>
    <row r="1369" ht="15" customHeight="1" s="39">
      <c r="A1369" s="38" t="n">
        <v>2021</v>
      </c>
      <c r="B1369" s="42" t="inlineStr">
        <is>
          <t>431310</t>
        </is>
      </c>
      <c r="C1369" s="38" t="inlineStr">
        <is>
          <t>Roda de Berà</t>
        </is>
      </c>
      <c r="D1369" s="38" t="inlineStr">
        <is>
          <t>Y041</t>
        </is>
      </c>
      <c r="E1369" s="38" t="inlineStr">
        <is>
          <t>41 anys</t>
        </is>
      </c>
      <c r="F1369" s="38" t="n">
        <v>41</v>
      </c>
      <c r="G1369" s="38" t="n">
        <v>108</v>
      </c>
      <c r="I1369" s="38" t="inlineStr">
        <is>
          <t>Total de tots els sexes; resposta JSON-stat de l'API d'Idescat</t>
        </is>
      </c>
    </row>
    <row r="1370" ht="15" customHeight="1" s="39">
      <c r="A1370" s="38" t="n">
        <v>2021</v>
      </c>
      <c r="B1370" s="42" t="inlineStr">
        <is>
          <t>431310</t>
        </is>
      </c>
      <c r="C1370" s="38" t="inlineStr">
        <is>
          <t>Roda de Berà</t>
        </is>
      </c>
      <c r="D1370" s="38" t="inlineStr">
        <is>
          <t>Y042</t>
        </is>
      </c>
      <c r="E1370" s="38" t="inlineStr">
        <is>
          <t>42 anys</t>
        </is>
      </c>
      <c r="F1370" s="38" t="n">
        <v>42</v>
      </c>
      <c r="G1370" s="38" t="n">
        <v>119</v>
      </c>
      <c r="I1370" s="38" t="inlineStr">
        <is>
          <t>Total de tots els sexes; resposta JSON-stat de l'API d'Idescat</t>
        </is>
      </c>
    </row>
    <row r="1371" ht="15" customHeight="1" s="39">
      <c r="A1371" s="38" t="n">
        <v>2021</v>
      </c>
      <c r="B1371" s="42" t="inlineStr">
        <is>
          <t>431310</t>
        </is>
      </c>
      <c r="C1371" s="38" t="inlineStr">
        <is>
          <t>Roda de Berà</t>
        </is>
      </c>
      <c r="D1371" s="38" t="inlineStr">
        <is>
          <t>Y043</t>
        </is>
      </c>
      <c r="E1371" s="38" t="inlineStr">
        <is>
          <t>43 anys</t>
        </is>
      </c>
      <c r="F1371" s="38" t="n">
        <v>43</v>
      </c>
      <c r="G1371" s="38" t="n">
        <v>138</v>
      </c>
      <c r="I1371" s="38" t="inlineStr">
        <is>
          <t>Total de tots els sexes; resposta JSON-stat de l'API d'Idescat</t>
        </is>
      </c>
    </row>
    <row r="1372" ht="15" customHeight="1" s="39">
      <c r="A1372" s="38" t="n">
        <v>2021</v>
      </c>
      <c r="B1372" s="42" t="inlineStr">
        <is>
          <t>431310</t>
        </is>
      </c>
      <c r="C1372" s="38" t="inlineStr">
        <is>
          <t>Roda de Berà</t>
        </is>
      </c>
      <c r="D1372" s="38" t="inlineStr">
        <is>
          <t>Y044</t>
        </is>
      </c>
      <c r="E1372" s="38" t="inlineStr">
        <is>
          <t>44 anys</t>
        </is>
      </c>
      <c r="F1372" s="38" t="n">
        <v>44</v>
      </c>
      <c r="G1372" s="38" t="n">
        <v>133</v>
      </c>
      <c r="I1372" s="38" t="inlineStr">
        <is>
          <t>Total de tots els sexes; resposta JSON-stat de l'API d'Idescat</t>
        </is>
      </c>
    </row>
    <row r="1373" ht="15" customHeight="1" s="39">
      <c r="A1373" s="38" t="n">
        <v>2021</v>
      </c>
      <c r="B1373" s="42" t="inlineStr">
        <is>
          <t>431310</t>
        </is>
      </c>
      <c r="C1373" s="38" t="inlineStr">
        <is>
          <t>Roda de Berà</t>
        </is>
      </c>
      <c r="D1373" s="38" t="inlineStr">
        <is>
          <t>Y045</t>
        </is>
      </c>
      <c r="E1373" s="38" t="inlineStr">
        <is>
          <t>45 anys</t>
        </is>
      </c>
      <c r="F1373" s="38" t="n">
        <v>45</v>
      </c>
      <c r="G1373" s="38" t="n">
        <v>140</v>
      </c>
      <c r="I1373" s="38" t="inlineStr">
        <is>
          <t>Total de tots els sexes; resposta JSON-stat de l'API d'Idescat</t>
        </is>
      </c>
    </row>
    <row r="1374" ht="15" customHeight="1" s="39">
      <c r="A1374" s="38" t="n">
        <v>2021</v>
      </c>
      <c r="B1374" s="42" t="inlineStr">
        <is>
          <t>431310</t>
        </is>
      </c>
      <c r="C1374" s="38" t="inlineStr">
        <is>
          <t>Roda de Berà</t>
        </is>
      </c>
      <c r="D1374" s="38" t="inlineStr">
        <is>
          <t>Y046</t>
        </is>
      </c>
      <c r="E1374" s="38" t="inlineStr">
        <is>
          <t>46 anys</t>
        </is>
      </c>
      <c r="F1374" s="38" t="n">
        <v>46</v>
      </c>
      <c r="G1374" s="38" t="n">
        <v>137</v>
      </c>
      <c r="I1374" s="38" t="inlineStr">
        <is>
          <t>Total de tots els sexes; resposta JSON-stat de l'API d'Idescat</t>
        </is>
      </c>
    </row>
    <row r="1375" ht="15" customHeight="1" s="39">
      <c r="A1375" s="38" t="n">
        <v>2021</v>
      </c>
      <c r="B1375" s="42" t="inlineStr">
        <is>
          <t>431310</t>
        </is>
      </c>
      <c r="C1375" s="38" t="inlineStr">
        <is>
          <t>Roda de Berà</t>
        </is>
      </c>
      <c r="D1375" s="38" t="inlineStr">
        <is>
          <t>Y047</t>
        </is>
      </c>
      <c r="E1375" s="38" t="inlineStr">
        <is>
          <t>47 anys</t>
        </is>
      </c>
      <c r="F1375" s="38" t="n">
        <v>47</v>
      </c>
      <c r="G1375" s="38" t="n">
        <v>138</v>
      </c>
      <c r="I1375" s="38" t="inlineStr">
        <is>
          <t>Total de tots els sexes; resposta JSON-stat de l'API d'Idescat</t>
        </is>
      </c>
    </row>
    <row r="1376" ht="15" customHeight="1" s="39">
      <c r="A1376" s="38" t="n">
        <v>2021</v>
      </c>
      <c r="B1376" s="42" t="inlineStr">
        <is>
          <t>431310</t>
        </is>
      </c>
      <c r="C1376" s="38" t="inlineStr">
        <is>
          <t>Roda de Berà</t>
        </is>
      </c>
      <c r="D1376" s="38" t="inlineStr">
        <is>
          <t>Y048</t>
        </is>
      </c>
      <c r="E1376" s="38" t="inlineStr">
        <is>
          <t>48 anys</t>
        </is>
      </c>
      <c r="F1376" s="38" t="n">
        <v>48</v>
      </c>
      <c r="G1376" s="38" t="n">
        <v>123</v>
      </c>
      <c r="I1376" s="38" t="inlineStr">
        <is>
          <t>Total de tots els sexes; resposta JSON-stat de l'API d'Idescat</t>
        </is>
      </c>
    </row>
    <row r="1377" ht="15" customHeight="1" s="39">
      <c r="A1377" s="38" t="n">
        <v>2021</v>
      </c>
      <c r="B1377" s="42" t="inlineStr">
        <is>
          <t>431310</t>
        </is>
      </c>
      <c r="C1377" s="38" t="inlineStr">
        <is>
          <t>Roda de Berà</t>
        </is>
      </c>
      <c r="D1377" s="38" t="inlineStr">
        <is>
          <t>Y049</t>
        </is>
      </c>
      <c r="E1377" s="38" t="inlineStr">
        <is>
          <t>49 anys</t>
        </is>
      </c>
      <c r="F1377" s="38" t="n">
        <v>49</v>
      </c>
      <c r="G1377" s="38" t="n">
        <v>132</v>
      </c>
      <c r="I1377" s="38" t="inlineStr">
        <is>
          <t>Total de tots els sexes; resposta JSON-stat de l'API d'Idescat</t>
        </is>
      </c>
    </row>
    <row r="1378" ht="15" customHeight="1" s="39">
      <c r="A1378" s="38" t="n">
        <v>2021</v>
      </c>
      <c r="B1378" s="42" t="inlineStr">
        <is>
          <t>431310</t>
        </is>
      </c>
      <c r="C1378" s="38" t="inlineStr">
        <is>
          <t>Roda de Berà</t>
        </is>
      </c>
      <c r="D1378" s="38" t="inlineStr">
        <is>
          <t>Y050</t>
        </is>
      </c>
      <c r="E1378" s="38" t="inlineStr">
        <is>
          <t>50 anys</t>
        </is>
      </c>
      <c r="F1378" s="38" t="n">
        <v>50</v>
      </c>
      <c r="G1378" s="38" t="n">
        <v>116</v>
      </c>
      <c r="I1378" s="38" t="inlineStr">
        <is>
          <t>Total de tots els sexes; resposta JSON-stat de l'API d'Idescat</t>
        </is>
      </c>
    </row>
    <row r="1379" ht="15" customHeight="1" s="39">
      <c r="A1379" s="38" t="n">
        <v>2021</v>
      </c>
      <c r="B1379" s="42" t="inlineStr">
        <is>
          <t>431310</t>
        </is>
      </c>
      <c r="C1379" s="38" t="inlineStr">
        <is>
          <t>Roda de Berà</t>
        </is>
      </c>
      <c r="D1379" s="38" t="inlineStr">
        <is>
          <t>Y051</t>
        </is>
      </c>
      <c r="E1379" s="38" t="inlineStr">
        <is>
          <t>51 anys</t>
        </is>
      </c>
      <c r="F1379" s="38" t="n">
        <v>51</v>
      </c>
      <c r="G1379" s="38" t="n">
        <v>98</v>
      </c>
      <c r="I1379" s="38" t="inlineStr">
        <is>
          <t>Total de tots els sexes; resposta JSON-stat de l'API d'Idescat</t>
        </is>
      </c>
    </row>
    <row r="1380" ht="15" customHeight="1" s="39">
      <c r="A1380" s="38" t="n">
        <v>2021</v>
      </c>
      <c r="B1380" s="42" t="inlineStr">
        <is>
          <t>431310</t>
        </is>
      </c>
      <c r="C1380" s="38" t="inlineStr">
        <is>
          <t>Roda de Berà</t>
        </is>
      </c>
      <c r="D1380" s="38" t="inlineStr">
        <is>
          <t>Y052</t>
        </is>
      </c>
      <c r="E1380" s="38" t="inlineStr">
        <is>
          <t>52 anys</t>
        </is>
      </c>
      <c r="F1380" s="38" t="n">
        <v>52</v>
      </c>
      <c r="G1380" s="38" t="n">
        <v>93</v>
      </c>
      <c r="I1380" s="38" t="inlineStr">
        <is>
          <t>Total de tots els sexes; resposta JSON-stat de l'API d'Idescat</t>
        </is>
      </c>
    </row>
    <row r="1381" ht="15" customHeight="1" s="39">
      <c r="A1381" s="38" t="n">
        <v>2021</v>
      </c>
      <c r="B1381" s="42" t="inlineStr">
        <is>
          <t>431310</t>
        </is>
      </c>
      <c r="C1381" s="38" t="inlineStr">
        <is>
          <t>Roda de Berà</t>
        </is>
      </c>
      <c r="D1381" s="38" t="inlineStr">
        <is>
          <t>Y053</t>
        </is>
      </c>
      <c r="E1381" s="38" t="inlineStr">
        <is>
          <t>53 anys</t>
        </is>
      </c>
      <c r="F1381" s="38" t="n">
        <v>53</v>
      </c>
      <c r="G1381" s="38" t="n">
        <v>116</v>
      </c>
      <c r="I1381" s="38" t="inlineStr">
        <is>
          <t>Total de tots els sexes; resposta JSON-stat de l'API d'Idescat</t>
        </is>
      </c>
    </row>
    <row r="1382" ht="15" customHeight="1" s="39">
      <c r="A1382" s="38" t="n">
        <v>2021</v>
      </c>
      <c r="B1382" s="42" t="inlineStr">
        <is>
          <t>431310</t>
        </is>
      </c>
      <c r="C1382" s="38" t="inlineStr">
        <is>
          <t>Roda de Berà</t>
        </is>
      </c>
      <c r="D1382" s="38" t="inlineStr">
        <is>
          <t>Y054</t>
        </is>
      </c>
      <c r="E1382" s="38" t="inlineStr">
        <is>
          <t>54 anys</t>
        </is>
      </c>
      <c r="F1382" s="38" t="n">
        <v>54</v>
      </c>
      <c r="G1382" s="38" t="n">
        <v>98</v>
      </c>
      <c r="I1382" s="38" t="inlineStr">
        <is>
          <t>Total de tots els sexes; resposta JSON-stat de l'API d'Idescat</t>
        </is>
      </c>
    </row>
    <row r="1383" ht="15" customHeight="1" s="39">
      <c r="A1383" s="38" t="n">
        <v>2021</v>
      </c>
      <c r="B1383" s="42" t="inlineStr">
        <is>
          <t>431310</t>
        </is>
      </c>
      <c r="C1383" s="38" t="inlineStr">
        <is>
          <t>Roda de Berà</t>
        </is>
      </c>
      <c r="D1383" s="38" t="inlineStr">
        <is>
          <t>Y055</t>
        </is>
      </c>
      <c r="E1383" s="38" t="inlineStr">
        <is>
          <t>55 anys</t>
        </is>
      </c>
      <c r="F1383" s="38" t="n">
        <v>55</v>
      </c>
      <c r="G1383" s="38" t="n">
        <v>86</v>
      </c>
      <c r="I1383" s="38" t="inlineStr">
        <is>
          <t>Total de tots els sexes; resposta JSON-stat de l'API d'Idescat</t>
        </is>
      </c>
    </row>
    <row r="1384" ht="15" customHeight="1" s="39">
      <c r="A1384" s="38" t="n">
        <v>2021</v>
      </c>
      <c r="B1384" s="42" t="inlineStr">
        <is>
          <t>431310</t>
        </is>
      </c>
      <c r="C1384" s="38" t="inlineStr">
        <is>
          <t>Roda de Berà</t>
        </is>
      </c>
      <c r="D1384" s="38" t="inlineStr">
        <is>
          <t>Y056</t>
        </is>
      </c>
      <c r="E1384" s="38" t="inlineStr">
        <is>
          <t>56 anys</t>
        </is>
      </c>
      <c r="F1384" s="38" t="n">
        <v>56</v>
      </c>
      <c r="G1384" s="38" t="n">
        <v>79</v>
      </c>
      <c r="I1384" s="38" t="inlineStr">
        <is>
          <t>Total de tots els sexes; resposta JSON-stat de l'API d'Idescat</t>
        </is>
      </c>
    </row>
    <row r="1385" ht="15" customHeight="1" s="39">
      <c r="A1385" s="38" t="n">
        <v>2021</v>
      </c>
      <c r="B1385" s="42" t="inlineStr">
        <is>
          <t>431310</t>
        </is>
      </c>
      <c r="C1385" s="38" t="inlineStr">
        <is>
          <t>Roda de Berà</t>
        </is>
      </c>
      <c r="D1385" s="38" t="inlineStr">
        <is>
          <t>Y057</t>
        </is>
      </c>
      <c r="E1385" s="38" t="inlineStr">
        <is>
          <t>57 anys</t>
        </is>
      </c>
      <c r="F1385" s="38" t="n">
        <v>57</v>
      </c>
      <c r="G1385" s="38" t="n">
        <v>71</v>
      </c>
      <c r="I1385" s="38" t="inlineStr">
        <is>
          <t>Total de tots els sexes; resposta JSON-stat de l'API d'Idescat</t>
        </is>
      </c>
    </row>
    <row r="1386" ht="15" customHeight="1" s="39">
      <c r="A1386" s="38" t="n">
        <v>2021</v>
      </c>
      <c r="B1386" s="42" t="inlineStr">
        <is>
          <t>431310</t>
        </is>
      </c>
      <c r="C1386" s="38" t="inlineStr">
        <is>
          <t>Roda de Berà</t>
        </is>
      </c>
      <c r="D1386" s="38" t="inlineStr">
        <is>
          <t>Y058</t>
        </is>
      </c>
      <c r="E1386" s="38" t="inlineStr">
        <is>
          <t>58 anys</t>
        </is>
      </c>
      <c r="F1386" s="38" t="n">
        <v>58</v>
      </c>
      <c r="G1386" s="38" t="n">
        <v>86</v>
      </c>
      <c r="I1386" s="38" t="inlineStr">
        <is>
          <t>Total de tots els sexes; resposta JSON-stat de l'API d'Idescat</t>
        </is>
      </c>
    </row>
    <row r="1387" ht="15" customHeight="1" s="39">
      <c r="A1387" s="38" t="n">
        <v>2021</v>
      </c>
      <c r="B1387" s="42" t="inlineStr">
        <is>
          <t>431310</t>
        </is>
      </c>
      <c r="C1387" s="38" t="inlineStr">
        <is>
          <t>Roda de Berà</t>
        </is>
      </c>
      <c r="D1387" s="38" t="inlineStr">
        <is>
          <t>Y059</t>
        </is>
      </c>
      <c r="E1387" s="38" t="inlineStr">
        <is>
          <t>59 anys</t>
        </is>
      </c>
      <c r="F1387" s="38" t="n">
        <v>59</v>
      </c>
      <c r="G1387" s="38" t="n">
        <v>76</v>
      </c>
      <c r="I1387" s="38" t="inlineStr">
        <is>
          <t>Total de tots els sexes; resposta JSON-stat de l'API d'Idescat</t>
        </is>
      </c>
    </row>
    <row r="1388" ht="15" customHeight="1" s="39">
      <c r="A1388" s="38" t="n">
        <v>2021</v>
      </c>
      <c r="B1388" s="42" t="inlineStr">
        <is>
          <t>431310</t>
        </is>
      </c>
      <c r="C1388" s="38" t="inlineStr">
        <is>
          <t>Roda de Berà</t>
        </is>
      </c>
      <c r="D1388" s="38" t="inlineStr">
        <is>
          <t>Y060</t>
        </is>
      </c>
      <c r="E1388" s="38" t="inlineStr">
        <is>
          <t>60 anys</t>
        </is>
      </c>
      <c r="F1388" s="38" t="n">
        <v>60</v>
      </c>
      <c r="G1388" s="38" t="n">
        <v>98</v>
      </c>
      <c r="I1388" s="38" t="inlineStr">
        <is>
          <t>Total de tots els sexes; resposta JSON-stat de l'API d'Idescat</t>
        </is>
      </c>
    </row>
    <row r="1389" ht="15" customHeight="1" s="39">
      <c r="A1389" s="38" t="n">
        <v>2021</v>
      </c>
      <c r="B1389" s="42" t="inlineStr">
        <is>
          <t>431310</t>
        </is>
      </c>
      <c r="C1389" s="38" t="inlineStr">
        <is>
          <t>Roda de Berà</t>
        </is>
      </c>
      <c r="D1389" s="38" t="inlineStr">
        <is>
          <t>Y061</t>
        </is>
      </c>
      <c r="E1389" s="38" t="inlineStr">
        <is>
          <t>61 anys</t>
        </is>
      </c>
      <c r="F1389" s="38" t="n">
        <v>61</v>
      </c>
      <c r="G1389" s="38" t="n">
        <v>112</v>
      </c>
      <c r="I1389" s="38" t="inlineStr">
        <is>
          <t>Total de tots els sexes; resposta JSON-stat de l'API d'Idescat</t>
        </is>
      </c>
    </row>
    <row r="1390" ht="15" customHeight="1" s="39">
      <c r="A1390" s="38" t="n">
        <v>2021</v>
      </c>
      <c r="B1390" s="42" t="inlineStr">
        <is>
          <t>431310</t>
        </is>
      </c>
      <c r="C1390" s="38" t="inlineStr">
        <is>
          <t>Roda de Berà</t>
        </is>
      </c>
      <c r="D1390" s="38" t="inlineStr">
        <is>
          <t>Y062</t>
        </is>
      </c>
      <c r="E1390" s="38" t="inlineStr">
        <is>
          <t>62 anys</t>
        </is>
      </c>
      <c r="F1390" s="38" t="n">
        <v>62</v>
      </c>
      <c r="G1390" s="38" t="n">
        <v>103</v>
      </c>
      <c r="I1390" s="38" t="inlineStr">
        <is>
          <t>Total de tots els sexes; resposta JSON-stat de l'API d'Idescat</t>
        </is>
      </c>
    </row>
    <row r="1391" ht="15" customHeight="1" s="39">
      <c r="A1391" s="38" t="n">
        <v>2021</v>
      </c>
      <c r="B1391" s="42" t="inlineStr">
        <is>
          <t>431310</t>
        </is>
      </c>
      <c r="C1391" s="38" t="inlineStr">
        <is>
          <t>Roda de Berà</t>
        </is>
      </c>
      <c r="D1391" s="38" t="inlineStr">
        <is>
          <t>Y063</t>
        </is>
      </c>
      <c r="E1391" s="38" t="inlineStr">
        <is>
          <t>63 anys</t>
        </is>
      </c>
      <c r="F1391" s="38" t="n">
        <v>63</v>
      </c>
      <c r="G1391" s="38" t="n">
        <v>84</v>
      </c>
      <c r="I1391" s="38" t="inlineStr">
        <is>
          <t>Total de tots els sexes; resposta JSON-stat de l'API d'Idescat</t>
        </is>
      </c>
    </row>
    <row r="1392" ht="15" customHeight="1" s="39">
      <c r="A1392" s="38" t="n">
        <v>2021</v>
      </c>
      <c r="B1392" s="42" t="inlineStr">
        <is>
          <t>431310</t>
        </is>
      </c>
      <c r="C1392" s="38" t="inlineStr">
        <is>
          <t>Roda de Berà</t>
        </is>
      </c>
      <c r="D1392" s="38" t="inlineStr">
        <is>
          <t>Y064</t>
        </is>
      </c>
      <c r="E1392" s="38" t="inlineStr">
        <is>
          <t>64 anys</t>
        </is>
      </c>
      <c r="F1392" s="38" t="n">
        <v>64</v>
      </c>
      <c r="G1392" s="38" t="n">
        <v>77</v>
      </c>
      <c r="I1392" s="38" t="inlineStr">
        <is>
          <t>Total de tots els sexes; resposta JSON-stat de l'API d'Idescat</t>
        </is>
      </c>
    </row>
    <row r="1393" ht="15" customHeight="1" s="39">
      <c r="A1393" s="38" t="n">
        <v>2021</v>
      </c>
      <c r="B1393" s="42" t="inlineStr">
        <is>
          <t>431310</t>
        </is>
      </c>
      <c r="C1393" s="38" t="inlineStr">
        <is>
          <t>Roda de Berà</t>
        </is>
      </c>
      <c r="D1393" s="38" t="inlineStr">
        <is>
          <t>Y065</t>
        </is>
      </c>
      <c r="E1393" s="38" t="inlineStr">
        <is>
          <t>65 anys</t>
        </is>
      </c>
      <c r="F1393" s="38" t="n">
        <v>65</v>
      </c>
      <c r="G1393" s="38" t="n">
        <v>98</v>
      </c>
      <c r="I1393" s="38" t="inlineStr">
        <is>
          <t>Total de tots els sexes; resposta JSON-stat de l'API d'Idescat</t>
        </is>
      </c>
    </row>
    <row r="1394" ht="15" customHeight="1" s="39">
      <c r="A1394" s="38" t="n">
        <v>2021</v>
      </c>
      <c r="B1394" s="42" t="inlineStr">
        <is>
          <t>431310</t>
        </is>
      </c>
      <c r="C1394" s="38" t="inlineStr">
        <is>
          <t>Roda de Berà</t>
        </is>
      </c>
      <c r="D1394" s="38" t="inlineStr">
        <is>
          <t>Y066</t>
        </is>
      </c>
      <c r="E1394" s="38" t="inlineStr">
        <is>
          <t>66 anys</t>
        </is>
      </c>
      <c r="F1394" s="38" t="n">
        <v>66</v>
      </c>
      <c r="G1394" s="38" t="n">
        <v>82</v>
      </c>
      <c r="I1394" s="38" t="inlineStr">
        <is>
          <t>Total de tots els sexes; resposta JSON-stat de l'API d'Idescat</t>
        </is>
      </c>
    </row>
    <row r="1395" ht="15" customHeight="1" s="39">
      <c r="A1395" s="38" t="n">
        <v>2021</v>
      </c>
      <c r="B1395" s="42" t="inlineStr">
        <is>
          <t>431310</t>
        </is>
      </c>
      <c r="C1395" s="38" t="inlineStr">
        <is>
          <t>Roda de Berà</t>
        </is>
      </c>
      <c r="D1395" s="38" t="inlineStr">
        <is>
          <t>Y067</t>
        </is>
      </c>
      <c r="E1395" s="38" t="inlineStr">
        <is>
          <t>67 anys</t>
        </is>
      </c>
      <c r="F1395" s="38" t="n">
        <v>67</v>
      </c>
      <c r="G1395" s="38" t="n">
        <v>90</v>
      </c>
      <c r="I1395" s="38" t="inlineStr">
        <is>
          <t>Total de tots els sexes; resposta JSON-stat de l'API d'Idescat</t>
        </is>
      </c>
    </row>
    <row r="1396" ht="15" customHeight="1" s="39">
      <c r="A1396" s="38" t="n">
        <v>2021</v>
      </c>
      <c r="B1396" s="42" t="inlineStr">
        <is>
          <t>431310</t>
        </is>
      </c>
      <c r="C1396" s="38" t="inlineStr">
        <is>
          <t>Roda de Berà</t>
        </is>
      </c>
      <c r="D1396" s="38" t="inlineStr">
        <is>
          <t>Y068</t>
        </is>
      </c>
      <c r="E1396" s="38" t="inlineStr">
        <is>
          <t>68 anys</t>
        </is>
      </c>
      <c r="F1396" s="38" t="n">
        <v>68</v>
      </c>
      <c r="G1396" s="38" t="n">
        <v>84</v>
      </c>
      <c r="I1396" s="38" t="inlineStr">
        <is>
          <t>Total de tots els sexes; resposta JSON-stat de l'API d'Idescat</t>
        </is>
      </c>
    </row>
    <row r="1397" ht="15" customHeight="1" s="39">
      <c r="A1397" s="38" t="n">
        <v>2021</v>
      </c>
      <c r="B1397" s="42" t="inlineStr">
        <is>
          <t>431310</t>
        </is>
      </c>
      <c r="C1397" s="38" t="inlineStr">
        <is>
          <t>Roda de Berà</t>
        </is>
      </c>
      <c r="D1397" s="38" t="inlineStr">
        <is>
          <t>Y069</t>
        </is>
      </c>
      <c r="E1397" s="38" t="inlineStr">
        <is>
          <t>69 anys</t>
        </is>
      </c>
      <c r="F1397" s="38" t="n">
        <v>69</v>
      </c>
      <c r="G1397" s="38" t="n">
        <v>90</v>
      </c>
      <c r="I1397" s="38" t="inlineStr">
        <is>
          <t>Total de tots els sexes; resposta JSON-stat de l'API d'Idescat</t>
        </is>
      </c>
    </row>
    <row r="1398" ht="15" customHeight="1" s="39">
      <c r="A1398" s="38" t="n">
        <v>2021</v>
      </c>
      <c r="B1398" s="42" t="inlineStr">
        <is>
          <t>431310</t>
        </is>
      </c>
      <c r="C1398" s="38" t="inlineStr">
        <is>
          <t>Roda de Berà</t>
        </is>
      </c>
      <c r="D1398" s="38" t="inlineStr">
        <is>
          <t>Y070</t>
        </is>
      </c>
      <c r="E1398" s="38" t="inlineStr">
        <is>
          <t>70 anys</t>
        </is>
      </c>
      <c r="F1398" s="38" t="n">
        <v>70</v>
      </c>
      <c r="G1398" s="38" t="n">
        <v>91</v>
      </c>
      <c r="I1398" s="38" t="inlineStr">
        <is>
          <t>Total de tots els sexes; resposta JSON-stat de l'API d'Idescat</t>
        </is>
      </c>
    </row>
    <row r="1399" ht="15" customHeight="1" s="39">
      <c r="A1399" s="38" t="n">
        <v>2021</v>
      </c>
      <c r="B1399" s="42" t="inlineStr">
        <is>
          <t>431310</t>
        </is>
      </c>
      <c r="C1399" s="38" t="inlineStr">
        <is>
          <t>Roda de Berà</t>
        </is>
      </c>
      <c r="D1399" s="38" t="inlineStr">
        <is>
          <t>Y071</t>
        </is>
      </c>
      <c r="E1399" s="38" t="inlineStr">
        <is>
          <t>71 anys</t>
        </is>
      </c>
      <c r="F1399" s="38" t="n">
        <v>71</v>
      </c>
      <c r="G1399" s="38" t="n">
        <v>90</v>
      </c>
      <c r="I1399" s="38" t="inlineStr">
        <is>
          <t>Total de tots els sexes; resposta JSON-stat de l'API d'Idescat</t>
        </is>
      </c>
    </row>
    <row r="1400" ht="15" customHeight="1" s="39">
      <c r="A1400" s="38" t="n">
        <v>2021</v>
      </c>
      <c r="B1400" s="42" t="inlineStr">
        <is>
          <t>431310</t>
        </is>
      </c>
      <c r="C1400" s="38" t="inlineStr">
        <is>
          <t>Roda de Berà</t>
        </is>
      </c>
      <c r="D1400" s="38" t="inlineStr">
        <is>
          <t>Y072</t>
        </is>
      </c>
      <c r="E1400" s="38" t="inlineStr">
        <is>
          <t>72 anys</t>
        </is>
      </c>
      <c r="F1400" s="38" t="n">
        <v>72</v>
      </c>
      <c r="G1400" s="38" t="n">
        <v>81</v>
      </c>
      <c r="I1400" s="38" t="inlineStr">
        <is>
          <t>Total de tots els sexes; resposta JSON-stat de l'API d'Idescat</t>
        </is>
      </c>
    </row>
    <row r="1401" ht="15" customHeight="1" s="39">
      <c r="A1401" s="38" t="n">
        <v>2021</v>
      </c>
      <c r="B1401" s="42" t="inlineStr">
        <is>
          <t>431310</t>
        </is>
      </c>
      <c r="C1401" s="38" t="inlineStr">
        <is>
          <t>Roda de Berà</t>
        </is>
      </c>
      <c r="D1401" s="38" t="inlineStr">
        <is>
          <t>Y073</t>
        </is>
      </c>
      <c r="E1401" s="38" t="inlineStr">
        <is>
          <t>73 anys</t>
        </is>
      </c>
      <c r="F1401" s="38" t="n">
        <v>73</v>
      </c>
      <c r="G1401" s="38" t="n">
        <v>86</v>
      </c>
      <c r="I1401" s="38" t="inlineStr">
        <is>
          <t>Total de tots els sexes; resposta JSON-stat de l'API d'Idescat</t>
        </is>
      </c>
    </row>
    <row r="1402" ht="15" customHeight="1" s="39">
      <c r="A1402" s="38" t="n">
        <v>2021</v>
      </c>
      <c r="B1402" s="42" t="inlineStr">
        <is>
          <t>431310</t>
        </is>
      </c>
      <c r="C1402" s="38" t="inlineStr">
        <is>
          <t>Roda de Berà</t>
        </is>
      </c>
      <c r="D1402" s="38" t="inlineStr">
        <is>
          <t>Y074</t>
        </is>
      </c>
      <c r="E1402" s="38" t="inlineStr">
        <is>
          <t>74 anys</t>
        </is>
      </c>
      <c r="F1402" s="38" t="n">
        <v>74</v>
      </c>
      <c r="G1402" s="38" t="n">
        <v>79</v>
      </c>
      <c r="I1402" s="38" t="inlineStr">
        <is>
          <t>Total de tots els sexes; resposta JSON-stat de l'API d'Idescat</t>
        </is>
      </c>
    </row>
    <row r="1403" ht="15" customHeight="1" s="39">
      <c r="A1403" s="38" t="n">
        <v>2021</v>
      </c>
      <c r="B1403" s="42" t="inlineStr">
        <is>
          <t>431310</t>
        </is>
      </c>
      <c r="C1403" s="38" t="inlineStr">
        <is>
          <t>Roda de Berà</t>
        </is>
      </c>
      <c r="D1403" s="38" t="inlineStr">
        <is>
          <t>Y075</t>
        </is>
      </c>
      <c r="E1403" s="38" t="inlineStr">
        <is>
          <t>75 anys</t>
        </is>
      </c>
      <c r="F1403" s="38" t="n">
        <v>75</v>
      </c>
      <c r="G1403" s="38" t="n">
        <v>58</v>
      </c>
      <c r="I1403" s="38" t="inlineStr">
        <is>
          <t>Total de tots els sexes; resposta JSON-stat de l'API d'Idescat</t>
        </is>
      </c>
    </row>
    <row r="1404" ht="15" customHeight="1" s="39">
      <c r="A1404" s="38" t="n">
        <v>2021</v>
      </c>
      <c r="B1404" s="42" t="inlineStr">
        <is>
          <t>431310</t>
        </is>
      </c>
      <c r="C1404" s="38" t="inlineStr">
        <is>
          <t>Roda de Berà</t>
        </is>
      </c>
      <c r="D1404" s="38" t="inlineStr">
        <is>
          <t>Y076</t>
        </is>
      </c>
      <c r="E1404" s="38" t="inlineStr">
        <is>
          <t>76 anys</t>
        </is>
      </c>
      <c r="F1404" s="38" t="n">
        <v>76</v>
      </c>
      <c r="G1404" s="38" t="n">
        <v>75</v>
      </c>
      <c r="I1404" s="38" t="inlineStr">
        <is>
          <t>Total de tots els sexes; resposta JSON-stat de l'API d'Idescat</t>
        </is>
      </c>
    </row>
    <row r="1405" ht="15" customHeight="1" s="39">
      <c r="A1405" s="38" t="n">
        <v>2021</v>
      </c>
      <c r="B1405" s="42" t="inlineStr">
        <is>
          <t>431310</t>
        </is>
      </c>
      <c r="C1405" s="38" t="inlineStr">
        <is>
          <t>Roda de Berà</t>
        </is>
      </c>
      <c r="D1405" s="38" t="inlineStr">
        <is>
          <t>Y077</t>
        </is>
      </c>
      <c r="E1405" s="38" t="inlineStr">
        <is>
          <t>77 anys</t>
        </is>
      </c>
      <c r="F1405" s="38" t="n">
        <v>77</v>
      </c>
      <c r="G1405" s="38" t="n">
        <v>69</v>
      </c>
      <c r="I1405" s="38" t="inlineStr">
        <is>
          <t>Total de tots els sexes; resposta JSON-stat de l'API d'Idescat</t>
        </is>
      </c>
    </row>
    <row r="1406" ht="15" customHeight="1" s="39">
      <c r="A1406" s="38" t="n">
        <v>2021</v>
      </c>
      <c r="B1406" s="42" t="inlineStr">
        <is>
          <t>431310</t>
        </is>
      </c>
      <c r="C1406" s="38" t="inlineStr">
        <is>
          <t>Roda de Berà</t>
        </is>
      </c>
      <c r="D1406" s="38" t="inlineStr">
        <is>
          <t>Y078</t>
        </is>
      </c>
      <c r="E1406" s="38" t="inlineStr">
        <is>
          <t>78 anys</t>
        </is>
      </c>
      <c r="F1406" s="38" t="n">
        <v>78</v>
      </c>
      <c r="G1406" s="38" t="n">
        <v>31</v>
      </c>
      <c r="I1406" s="38" t="inlineStr">
        <is>
          <t>Total de tots els sexes; resposta JSON-stat de l'API d'Idescat</t>
        </is>
      </c>
    </row>
    <row r="1407" ht="15" customHeight="1" s="39">
      <c r="A1407" s="38" t="n">
        <v>2021</v>
      </c>
      <c r="B1407" s="42" t="inlineStr">
        <is>
          <t>431310</t>
        </is>
      </c>
      <c r="C1407" s="38" t="inlineStr">
        <is>
          <t>Roda de Berà</t>
        </is>
      </c>
      <c r="D1407" s="38" t="inlineStr">
        <is>
          <t>Y079</t>
        </is>
      </c>
      <c r="E1407" s="38" t="inlineStr">
        <is>
          <t>79 anys</t>
        </is>
      </c>
      <c r="F1407" s="38" t="n">
        <v>79</v>
      </c>
      <c r="G1407" s="38" t="n">
        <v>36</v>
      </c>
      <c r="I1407" s="38" t="inlineStr">
        <is>
          <t>Total de tots els sexes; resposta JSON-stat de l'API d'Idescat</t>
        </is>
      </c>
    </row>
    <row r="1408" ht="15" customHeight="1" s="39">
      <c r="A1408" s="38" t="n">
        <v>2021</v>
      </c>
      <c r="B1408" s="42" t="inlineStr">
        <is>
          <t>431310</t>
        </is>
      </c>
      <c r="C1408" s="38" t="inlineStr">
        <is>
          <t>Roda de Berà</t>
        </is>
      </c>
      <c r="D1408" s="38" t="inlineStr">
        <is>
          <t>Y080</t>
        </is>
      </c>
      <c r="E1408" s="38" t="inlineStr">
        <is>
          <t>80 anys</t>
        </is>
      </c>
      <c r="F1408" s="38" t="n">
        <v>80</v>
      </c>
      <c r="G1408" s="38" t="n">
        <v>61</v>
      </c>
      <c r="I1408" s="38" t="inlineStr">
        <is>
          <t>Total de tots els sexes; resposta JSON-stat de l'API d'Idescat</t>
        </is>
      </c>
    </row>
    <row r="1409" ht="15" customHeight="1" s="39">
      <c r="A1409" s="38" t="n">
        <v>2021</v>
      </c>
      <c r="B1409" s="42" t="inlineStr">
        <is>
          <t>431310</t>
        </is>
      </c>
      <c r="C1409" s="38" t="inlineStr">
        <is>
          <t>Roda de Berà</t>
        </is>
      </c>
      <c r="D1409" s="38" t="inlineStr">
        <is>
          <t>Y081</t>
        </is>
      </c>
      <c r="E1409" s="38" t="inlineStr">
        <is>
          <t>81 anys</t>
        </is>
      </c>
      <c r="F1409" s="38" t="n">
        <v>81</v>
      </c>
      <c r="G1409" s="38" t="n">
        <v>35</v>
      </c>
      <c r="I1409" s="38" t="inlineStr">
        <is>
          <t>Total de tots els sexes; resposta JSON-stat de l'API d'Idescat</t>
        </is>
      </c>
    </row>
    <row r="1410" ht="15" customHeight="1" s="39">
      <c r="A1410" s="38" t="n">
        <v>2021</v>
      </c>
      <c r="B1410" s="42" t="inlineStr">
        <is>
          <t>431310</t>
        </is>
      </c>
      <c r="C1410" s="38" t="inlineStr">
        <is>
          <t>Roda de Berà</t>
        </is>
      </c>
      <c r="D1410" s="38" t="inlineStr">
        <is>
          <t>Y082</t>
        </is>
      </c>
      <c r="E1410" s="38" t="inlineStr">
        <is>
          <t>82 anys</t>
        </is>
      </c>
      <c r="F1410" s="38" t="n">
        <v>82</v>
      </c>
      <c r="G1410" s="38" t="n">
        <v>26</v>
      </c>
      <c r="I1410" s="38" t="inlineStr">
        <is>
          <t>Total de tots els sexes; resposta JSON-stat de l'API d'Idescat</t>
        </is>
      </c>
    </row>
    <row r="1411" ht="15" customHeight="1" s="39">
      <c r="A1411" s="38" t="n">
        <v>2021</v>
      </c>
      <c r="B1411" s="42" t="inlineStr">
        <is>
          <t>431310</t>
        </is>
      </c>
      <c r="C1411" s="38" t="inlineStr">
        <is>
          <t>Roda de Berà</t>
        </is>
      </c>
      <c r="D1411" s="38" t="inlineStr">
        <is>
          <t>Y083</t>
        </is>
      </c>
      <c r="E1411" s="38" t="inlineStr">
        <is>
          <t>83 anys</t>
        </is>
      </c>
      <c r="F1411" s="38" t="n">
        <v>83</v>
      </c>
      <c r="G1411" s="38" t="n">
        <v>33</v>
      </c>
      <c r="I1411" s="38" t="inlineStr">
        <is>
          <t>Total de tots els sexes; resposta JSON-stat de l'API d'Idescat</t>
        </is>
      </c>
    </row>
    <row r="1412" ht="15" customHeight="1" s="39">
      <c r="A1412" s="38" t="n">
        <v>2021</v>
      </c>
      <c r="B1412" s="42" t="inlineStr">
        <is>
          <t>431310</t>
        </is>
      </c>
      <c r="C1412" s="38" t="inlineStr">
        <is>
          <t>Roda de Berà</t>
        </is>
      </c>
      <c r="D1412" s="38" t="inlineStr">
        <is>
          <t>Y084</t>
        </is>
      </c>
      <c r="E1412" s="38" t="inlineStr">
        <is>
          <t>84 anys</t>
        </is>
      </c>
      <c r="F1412" s="38" t="n">
        <v>84</v>
      </c>
      <c r="G1412" s="38" t="n">
        <v>32</v>
      </c>
      <c r="I1412" s="38" t="inlineStr">
        <is>
          <t>Total de tots els sexes; resposta JSON-stat de l'API d'Idescat</t>
        </is>
      </c>
    </row>
    <row r="1413" ht="15" customHeight="1" s="39">
      <c r="A1413" s="38" t="n">
        <v>2021</v>
      </c>
      <c r="B1413" s="42" t="inlineStr">
        <is>
          <t>431310</t>
        </is>
      </c>
      <c r="C1413" s="38" t="inlineStr">
        <is>
          <t>Roda de Berà</t>
        </is>
      </c>
      <c r="D1413" s="38" t="inlineStr">
        <is>
          <t>Y085</t>
        </is>
      </c>
      <c r="E1413" s="38" t="inlineStr">
        <is>
          <t>85 anys</t>
        </is>
      </c>
      <c r="F1413" s="38" t="n">
        <v>85</v>
      </c>
      <c r="G1413" s="38" t="n">
        <v>38</v>
      </c>
      <c r="I1413" s="38" t="inlineStr">
        <is>
          <t>Total de tots els sexes; resposta JSON-stat de l'API d'Idescat</t>
        </is>
      </c>
    </row>
    <row r="1414" ht="15" customHeight="1" s="39">
      <c r="A1414" s="38" t="n">
        <v>2021</v>
      </c>
      <c r="B1414" s="42" t="inlineStr">
        <is>
          <t>431310</t>
        </is>
      </c>
      <c r="C1414" s="38" t="inlineStr">
        <is>
          <t>Roda de Berà</t>
        </is>
      </c>
      <c r="D1414" s="38" t="inlineStr">
        <is>
          <t>Y086</t>
        </is>
      </c>
      <c r="E1414" s="38" t="inlineStr">
        <is>
          <t>86 anys</t>
        </is>
      </c>
      <c r="F1414" s="38" t="n">
        <v>86</v>
      </c>
      <c r="G1414" s="38" t="n">
        <v>23</v>
      </c>
      <c r="I1414" s="38" t="inlineStr">
        <is>
          <t>Total de tots els sexes; resposta JSON-stat de l'API d'Idescat</t>
        </is>
      </c>
    </row>
    <row r="1415" ht="15" customHeight="1" s="39">
      <c r="A1415" s="38" t="n">
        <v>2021</v>
      </c>
      <c r="B1415" s="42" t="inlineStr">
        <is>
          <t>431310</t>
        </is>
      </c>
      <c r="C1415" s="38" t="inlineStr">
        <is>
          <t>Roda de Berà</t>
        </is>
      </c>
      <c r="D1415" s="38" t="inlineStr">
        <is>
          <t>Y087</t>
        </is>
      </c>
      <c r="E1415" s="38" t="inlineStr">
        <is>
          <t>87 anys</t>
        </is>
      </c>
      <c r="F1415" s="38" t="n">
        <v>87</v>
      </c>
      <c r="G1415" s="38" t="n">
        <v>30</v>
      </c>
      <c r="I1415" s="38" t="inlineStr">
        <is>
          <t>Total de tots els sexes; resposta JSON-stat de l'API d'Idescat</t>
        </is>
      </c>
    </row>
    <row r="1416" ht="15" customHeight="1" s="39">
      <c r="A1416" s="38" t="n">
        <v>2021</v>
      </c>
      <c r="B1416" s="42" t="inlineStr">
        <is>
          <t>431310</t>
        </is>
      </c>
      <c r="C1416" s="38" t="inlineStr">
        <is>
          <t>Roda de Berà</t>
        </is>
      </c>
      <c r="D1416" s="38" t="inlineStr">
        <is>
          <t>Y088</t>
        </is>
      </c>
      <c r="E1416" s="38" t="inlineStr">
        <is>
          <t>88 anys</t>
        </is>
      </c>
      <c r="F1416" s="38" t="n">
        <v>88</v>
      </c>
      <c r="G1416" s="38" t="n">
        <v>25</v>
      </c>
      <c r="I1416" s="38" t="inlineStr">
        <is>
          <t>Total de tots els sexes; resposta JSON-stat de l'API d'Idescat</t>
        </is>
      </c>
    </row>
    <row r="1417" ht="15" customHeight="1" s="39">
      <c r="A1417" s="38" t="n">
        <v>2021</v>
      </c>
      <c r="B1417" s="42" t="inlineStr">
        <is>
          <t>431310</t>
        </is>
      </c>
      <c r="C1417" s="38" t="inlineStr">
        <is>
          <t>Roda de Berà</t>
        </is>
      </c>
      <c r="D1417" s="38" t="inlineStr">
        <is>
          <t>Y089</t>
        </is>
      </c>
      <c r="E1417" s="38" t="inlineStr">
        <is>
          <t>89 anys</t>
        </is>
      </c>
      <c r="F1417" s="38" t="n">
        <v>89</v>
      </c>
      <c r="G1417" s="38" t="n">
        <v>24</v>
      </c>
      <c r="I1417" s="38" t="inlineStr">
        <is>
          <t>Total de tots els sexes; resposta JSON-stat de l'API d'Idescat</t>
        </is>
      </c>
    </row>
    <row r="1418" ht="15" customHeight="1" s="39">
      <c r="A1418" s="38" t="n">
        <v>2021</v>
      </c>
      <c r="B1418" s="42" t="inlineStr">
        <is>
          <t>431310</t>
        </is>
      </c>
      <c r="C1418" s="38" t="inlineStr">
        <is>
          <t>Roda de Berà</t>
        </is>
      </c>
      <c r="D1418" s="38" t="inlineStr">
        <is>
          <t>Y090</t>
        </is>
      </c>
      <c r="E1418" s="38" t="inlineStr">
        <is>
          <t>90 anys</t>
        </is>
      </c>
      <c r="F1418" s="38" t="n">
        <v>90</v>
      </c>
      <c r="G1418" s="38" t="n">
        <v>24</v>
      </c>
      <c r="I1418" s="38" t="inlineStr">
        <is>
          <t>Total de tots els sexes; resposta JSON-stat de l'API d'Idescat</t>
        </is>
      </c>
    </row>
    <row r="1419" ht="15" customHeight="1" s="39">
      <c r="A1419" s="38" t="n">
        <v>2021</v>
      </c>
      <c r="B1419" s="42" t="inlineStr">
        <is>
          <t>431310</t>
        </is>
      </c>
      <c r="C1419" s="38" t="inlineStr">
        <is>
          <t>Roda de Berà</t>
        </is>
      </c>
      <c r="D1419" s="38" t="inlineStr">
        <is>
          <t>Y091</t>
        </is>
      </c>
      <c r="E1419" s="38" t="inlineStr">
        <is>
          <t>91 anys</t>
        </is>
      </c>
      <c r="F1419" s="38" t="n">
        <v>91</v>
      </c>
      <c r="G1419" s="38" t="n">
        <v>9</v>
      </c>
      <c r="I1419" s="38" t="inlineStr">
        <is>
          <t>Total de tots els sexes; resposta JSON-stat de l'API d'Idescat</t>
        </is>
      </c>
    </row>
    <row r="1420" ht="15" customHeight="1" s="39">
      <c r="A1420" s="38" t="n">
        <v>2021</v>
      </c>
      <c r="B1420" s="42" t="inlineStr">
        <is>
          <t>431310</t>
        </is>
      </c>
      <c r="C1420" s="38" t="inlineStr">
        <is>
          <t>Roda de Berà</t>
        </is>
      </c>
      <c r="D1420" s="38" t="inlineStr">
        <is>
          <t>Y092</t>
        </is>
      </c>
      <c r="E1420" s="38" t="inlineStr">
        <is>
          <t>92 anys</t>
        </is>
      </c>
      <c r="F1420" s="38" t="n">
        <v>92</v>
      </c>
      <c r="G1420" s="38" t="n">
        <v>12</v>
      </c>
      <c r="I1420" s="38" t="inlineStr">
        <is>
          <t>Total de tots els sexes; resposta JSON-stat de l'API d'Idescat</t>
        </is>
      </c>
    </row>
    <row r="1421" ht="15" customHeight="1" s="39">
      <c r="A1421" s="38" t="n">
        <v>2021</v>
      </c>
      <c r="B1421" s="42" t="inlineStr">
        <is>
          <t>431310</t>
        </is>
      </c>
      <c r="C1421" s="38" t="inlineStr">
        <is>
          <t>Roda de Berà</t>
        </is>
      </c>
      <c r="D1421" s="38" t="inlineStr">
        <is>
          <t>Y093</t>
        </is>
      </c>
      <c r="E1421" s="38" t="inlineStr">
        <is>
          <t>93 anys</t>
        </is>
      </c>
      <c r="F1421" s="38" t="n">
        <v>93</v>
      </c>
      <c r="G1421" s="38" t="n">
        <v>2</v>
      </c>
      <c r="I1421" s="38" t="inlineStr">
        <is>
          <t>Total de tots els sexes; resposta JSON-stat de l'API d'Idescat</t>
        </is>
      </c>
    </row>
    <row r="1422" ht="15" customHeight="1" s="39">
      <c r="A1422" s="38" t="n">
        <v>2021</v>
      </c>
      <c r="B1422" s="42" t="inlineStr">
        <is>
          <t>431310</t>
        </is>
      </c>
      <c r="C1422" s="38" t="inlineStr">
        <is>
          <t>Roda de Berà</t>
        </is>
      </c>
      <c r="D1422" s="38" t="inlineStr">
        <is>
          <t>Y094</t>
        </is>
      </c>
      <c r="E1422" s="38" t="inlineStr">
        <is>
          <t>94 anys</t>
        </is>
      </c>
      <c r="F1422" s="38" t="n">
        <v>94</v>
      </c>
      <c r="G1422" s="38" t="n">
        <v>11</v>
      </c>
      <c r="I1422" s="38" t="inlineStr">
        <is>
          <t>Total de tots els sexes; resposta JSON-stat de l'API d'Idescat</t>
        </is>
      </c>
    </row>
    <row r="1423" ht="15" customHeight="1" s="39">
      <c r="A1423" s="38" t="n">
        <v>2021</v>
      </c>
      <c r="B1423" s="42" t="inlineStr">
        <is>
          <t>431310</t>
        </is>
      </c>
      <c r="C1423" s="38" t="inlineStr">
        <is>
          <t>Roda de Berà</t>
        </is>
      </c>
      <c r="D1423" s="38" t="inlineStr">
        <is>
          <t>Y095</t>
        </is>
      </c>
      <c r="E1423" s="38" t="inlineStr">
        <is>
          <t>95 anys</t>
        </is>
      </c>
      <c r="F1423" s="38" t="n">
        <v>95</v>
      </c>
      <c r="G1423" s="38" t="n">
        <v>5</v>
      </c>
      <c r="I1423" s="38" t="inlineStr">
        <is>
          <t>Total de tots els sexes; resposta JSON-stat de l'API d'Idescat</t>
        </is>
      </c>
    </row>
    <row r="1424" ht="15" customHeight="1" s="39">
      <c r="A1424" s="38" t="n">
        <v>2021</v>
      </c>
      <c r="B1424" s="42" t="inlineStr">
        <is>
          <t>431310</t>
        </is>
      </c>
      <c r="C1424" s="38" t="inlineStr">
        <is>
          <t>Roda de Berà</t>
        </is>
      </c>
      <c r="D1424" s="38" t="inlineStr">
        <is>
          <t>Y096</t>
        </is>
      </c>
      <c r="E1424" s="38" t="inlineStr">
        <is>
          <t>96 anys</t>
        </is>
      </c>
      <c r="F1424" s="38" t="n">
        <v>96</v>
      </c>
      <c r="G1424" s="38" t="n">
        <v>2</v>
      </c>
      <c r="I1424" s="38" t="inlineStr">
        <is>
          <t>Total de tots els sexes; resposta JSON-stat de l'API d'Idescat</t>
        </is>
      </c>
    </row>
    <row r="1425" ht="15" customHeight="1" s="39">
      <c r="A1425" s="38" t="n">
        <v>2021</v>
      </c>
      <c r="B1425" s="42" t="inlineStr">
        <is>
          <t>431310</t>
        </is>
      </c>
      <c r="C1425" s="38" t="inlineStr">
        <is>
          <t>Roda de Berà</t>
        </is>
      </c>
      <c r="D1425" s="38" t="inlineStr">
        <is>
          <t>Y097</t>
        </is>
      </c>
      <c r="E1425" s="38" t="inlineStr">
        <is>
          <t>97 anys</t>
        </is>
      </c>
      <c r="F1425" s="38" t="n">
        <v>97</v>
      </c>
      <c r="G1425" s="38" t="n">
        <v>3</v>
      </c>
      <c r="I1425" s="38" t="inlineStr">
        <is>
          <t>Total de tots els sexes; resposta JSON-stat de l'API d'Idescat</t>
        </is>
      </c>
    </row>
    <row r="1426" ht="15" customHeight="1" s="39">
      <c r="A1426" s="38" t="n">
        <v>2021</v>
      </c>
      <c r="B1426" s="42" t="inlineStr">
        <is>
          <t>431310</t>
        </is>
      </c>
      <c r="C1426" s="38" t="inlineStr">
        <is>
          <t>Roda de Berà</t>
        </is>
      </c>
      <c r="D1426" s="38" t="inlineStr">
        <is>
          <t>Y098</t>
        </is>
      </c>
      <c r="E1426" s="38" t="inlineStr">
        <is>
          <t>98 anys</t>
        </is>
      </c>
      <c r="F1426" s="38" t="n">
        <v>98</v>
      </c>
      <c r="G1426" s="38" t="n">
        <v>1</v>
      </c>
      <c r="I1426" s="38" t="inlineStr">
        <is>
          <t>Total de tots els sexes; resposta JSON-stat de l'API d'Idescat</t>
        </is>
      </c>
    </row>
    <row r="1427" ht="15" customHeight="1" s="39">
      <c r="A1427" s="38" t="n">
        <v>2021</v>
      </c>
      <c r="B1427" s="42" t="inlineStr">
        <is>
          <t>431310</t>
        </is>
      </c>
      <c r="C1427" s="38" t="inlineStr">
        <is>
          <t>Roda de Berà</t>
        </is>
      </c>
      <c r="D1427" s="38" t="inlineStr">
        <is>
          <t>Y099</t>
        </is>
      </c>
      <c r="E1427" s="38" t="inlineStr">
        <is>
          <t>99 anys</t>
        </is>
      </c>
      <c r="F1427" s="38" t="n">
        <v>99</v>
      </c>
      <c r="G1427" s="38" t="n">
        <v>1</v>
      </c>
      <c r="I1427" s="38" t="inlineStr">
        <is>
          <t>Total de tots els sexes; resposta JSON-stat de l'API d'Idescat</t>
        </is>
      </c>
    </row>
    <row r="1428" ht="15" customHeight="1" s="39">
      <c r="A1428" s="38" t="n">
        <v>2021</v>
      </c>
      <c r="B1428" s="42" t="inlineStr">
        <is>
          <t>431310</t>
        </is>
      </c>
      <c r="C1428" s="38" t="inlineStr">
        <is>
          <t>Roda de Berà</t>
        </is>
      </c>
      <c r="D1428" s="38" t="inlineStr">
        <is>
          <t>Y_GE100</t>
        </is>
      </c>
      <c r="E1428" s="38" t="inlineStr">
        <is>
          <t>100 anys o més</t>
        </is>
      </c>
      <c r="F1428" s="38" t="n">
        <v>100</v>
      </c>
      <c r="G1428" s="38" t="n">
        <v>4</v>
      </c>
      <c r="I1428" s="38" t="inlineStr">
        <is>
          <t>Total de tots els sexes; resposta JSON-stat de l'API d'Idescat</t>
        </is>
      </c>
    </row>
    <row r="1429" ht="15" customHeight="1" s="39">
      <c r="A1429" s="38" t="n">
        <v>2021</v>
      </c>
      <c r="B1429" s="42" t="inlineStr">
        <is>
          <t>431310</t>
        </is>
      </c>
      <c r="C1429" s="38" t="inlineStr">
        <is>
          <t>Roda de Berà</t>
        </is>
      </c>
      <c r="D1429" s="38" t="inlineStr">
        <is>
          <t>TOTAL</t>
        </is>
      </c>
      <c r="E1429" s="38" t="inlineStr">
        <is>
          <t>total</t>
        </is>
      </c>
      <c r="G1429" s="38" t="n">
        <v>7154</v>
      </c>
      <c r="I1429" s="38" t="inlineStr">
        <is>
          <t>Total de tots els sexes; resposta JSON-stat de l'API d'Idescat</t>
        </is>
      </c>
    </row>
    <row r="1430" ht="15" customHeight="1" s="39">
      <c r="A1430" s="38" t="n">
        <v>2021</v>
      </c>
      <c r="B1430" s="42" t="inlineStr">
        <is>
          <t>431359</t>
        </is>
      </c>
      <c r="C1430" s="38" t="inlineStr">
        <is>
          <t>Salomó</t>
        </is>
      </c>
      <c r="D1430" s="38" t="inlineStr">
        <is>
          <t>Y000</t>
        </is>
      </c>
      <c r="E1430" s="38" t="inlineStr">
        <is>
          <t>0 anys</t>
        </is>
      </c>
      <c r="F1430" s="38" t="n">
        <v>0</v>
      </c>
      <c r="G1430" s="38" t="n">
        <v>4</v>
      </c>
      <c r="I1430" s="38" t="inlineStr">
        <is>
          <t>Total de tots els sexes; resposta JSON-stat de l'API d'Idescat</t>
        </is>
      </c>
    </row>
    <row r="1431" ht="15" customHeight="1" s="39">
      <c r="A1431" s="38" t="n">
        <v>2021</v>
      </c>
      <c r="B1431" s="42" t="inlineStr">
        <is>
          <t>431359</t>
        </is>
      </c>
      <c r="C1431" s="38" t="inlineStr">
        <is>
          <t>Salomó</t>
        </is>
      </c>
      <c r="D1431" s="38" t="inlineStr">
        <is>
          <t>Y001</t>
        </is>
      </c>
      <c r="E1431" s="38" t="inlineStr">
        <is>
          <t>1 any</t>
        </is>
      </c>
      <c r="F1431" s="38" t="n">
        <v>1</v>
      </c>
      <c r="G1431" s="38" t="n">
        <v>3</v>
      </c>
      <c r="I1431" s="38" t="inlineStr">
        <is>
          <t>Total de tots els sexes; resposta JSON-stat de l'API d'Idescat</t>
        </is>
      </c>
    </row>
    <row r="1432" ht="15" customHeight="1" s="39">
      <c r="A1432" s="38" t="n">
        <v>2021</v>
      </c>
      <c r="B1432" s="42" t="inlineStr">
        <is>
          <t>431359</t>
        </is>
      </c>
      <c r="C1432" s="38" t="inlineStr">
        <is>
          <t>Salomó</t>
        </is>
      </c>
      <c r="D1432" s="38" t="inlineStr">
        <is>
          <t>Y002</t>
        </is>
      </c>
      <c r="E1432" s="38" t="inlineStr">
        <is>
          <t>2 anys</t>
        </is>
      </c>
      <c r="F1432" s="38" t="n">
        <v>2</v>
      </c>
      <c r="G1432" s="38" t="n">
        <v>7</v>
      </c>
      <c r="I1432" s="38" t="inlineStr">
        <is>
          <t>Total de tots els sexes; resposta JSON-stat de l'API d'Idescat</t>
        </is>
      </c>
    </row>
    <row r="1433" ht="15" customHeight="1" s="39">
      <c r="A1433" s="38" t="n">
        <v>2021</v>
      </c>
      <c r="B1433" s="42" t="inlineStr">
        <is>
          <t>431359</t>
        </is>
      </c>
      <c r="C1433" s="38" t="inlineStr">
        <is>
          <t>Salomó</t>
        </is>
      </c>
      <c r="D1433" s="38" t="inlineStr">
        <is>
          <t>Y003</t>
        </is>
      </c>
      <c r="E1433" s="38" t="inlineStr">
        <is>
          <t>3 anys</t>
        </is>
      </c>
      <c r="F1433" s="38" t="n">
        <v>3</v>
      </c>
      <c r="G1433" s="38" t="n">
        <v>3</v>
      </c>
      <c r="I1433" s="38" t="inlineStr">
        <is>
          <t>Total de tots els sexes; resposta JSON-stat de l'API d'Idescat</t>
        </is>
      </c>
    </row>
    <row r="1434" ht="15" customHeight="1" s="39">
      <c r="A1434" s="38" t="n">
        <v>2021</v>
      </c>
      <c r="B1434" s="42" t="inlineStr">
        <is>
          <t>431359</t>
        </is>
      </c>
      <c r="C1434" s="38" t="inlineStr">
        <is>
          <t>Salomó</t>
        </is>
      </c>
      <c r="D1434" s="38" t="inlineStr">
        <is>
          <t>Y004</t>
        </is>
      </c>
      <c r="E1434" s="38" t="inlineStr">
        <is>
          <t>4 anys</t>
        </is>
      </c>
      <c r="F1434" s="38" t="n">
        <v>4</v>
      </c>
      <c r="G1434" s="38" t="n">
        <v>11</v>
      </c>
      <c r="I1434" s="38" t="inlineStr">
        <is>
          <t>Total de tots els sexes; resposta JSON-stat de l'API d'Idescat</t>
        </is>
      </c>
    </row>
    <row r="1435" ht="15" customHeight="1" s="39">
      <c r="A1435" s="38" t="n">
        <v>2021</v>
      </c>
      <c r="B1435" s="42" t="inlineStr">
        <is>
          <t>431359</t>
        </is>
      </c>
      <c r="C1435" s="38" t="inlineStr">
        <is>
          <t>Salomó</t>
        </is>
      </c>
      <c r="D1435" s="38" t="inlineStr">
        <is>
          <t>Y005</t>
        </is>
      </c>
      <c r="E1435" s="38" t="inlineStr">
        <is>
          <t>5 anys</t>
        </is>
      </c>
      <c r="F1435" s="38" t="n">
        <v>5</v>
      </c>
      <c r="G1435" s="38" t="n">
        <v>8</v>
      </c>
      <c r="I1435" s="38" t="inlineStr">
        <is>
          <t>Total de tots els sexes; resposta JSON-stat de l'API d'Idescat</t>
        </is>
      </c>
    </row>
    <row r="1436" ht="15" customHeight="1" s="39">
      <c r="A1436" s="38" t="n">
        <v>2021</v>
      </c>
      <c r="B1436" s="42" t="inlineStr">
        <is>
          <t>431359</t>
        </is>
      </c>
      <c r="C1436" s="38" t="inlineStr">
        <is>
          <t>Salomó</t>
        </is>
      </c>
      <c r="D1436" s="38" t="inlineStr">
        <is>
          <t>Y006</t>
        </is>
      </c>
      <c r="E1436" s="38" t="inlineStr">
        <is>
          <t>6 anys</t>
        </is>
      </c>
      <c r="F1436" s="38" t="n">
        <v>6</v>
      </c>
      <c r="G1436" s="38" t="n">
        <v>5</v>
      </c>
      <c r="I1436" s="38" t="inlineStr">
        <is>
          <t>Total de tots els sexes; resposta JSON-stat de l'API d'Idescat</t>
        </is>
      </c>
    </row>
    <row r="1437" ht="15" customHeight="1" s="39">
      <c r="A1437" s="38" t="n">
        <v>2021</v>
      </c>
      <c r="B1437" s="42" t="inlineStr">
        <is>
          <t>431359</t>
        </is>
      </c>
      <c r="C1437" s="38" t="inlineStr">
        <is>
          <t>Salomó</t>
        </is>
      </c>
      <c r="D1437" s="38" t="inlineStr">
        <is>
          <t>Y007</t>
        </is>
      </c>
      <c r="E1437" s="38" t="inlineStr">
        <is>
          <t>7 anys</t>
        </is>
      </c>
      <c r="F1437" s="38" t="n">
        <v>7</v>
      </c>
      <c r="G1437" s="38" t="n">
        <v>7</v>
      </c>
      <c r="I1437" s="38" t="inlineStr">
        <is>
          <t>Total de tots els sexes; resposta JSON-stat de l'API d'Idescat</t>
        </is>
      </c>
    </row>
    <row r="1438" ht="15" customHeight="1" s="39">
      <c r="A1438" s="38" t="n">
        <v>2021</v>
      </c>
      <c r="B1438" s="42" t="inlineStr">
        <is>
          <t>431359</t>
        </is>
      </c>
      <c r="C1438" s="38" t="inlineStr">
        <is>
          <t>Salomó</t>
        </is>
      </c>
      <c r="D1438" s="38" t="inlineStr">
        <is>
          <t>Y008</t>
        </is>
      </c>
      <c r="E1438" s="38" t="inlineStr">
        <is>
          <t>8 anys</t>
        </is>
      </c>
      <c r="F1438" s="38" t="n">
        <v>8</v>
      </c>
      <c r="G1438" s="38" t="n">
        <v>4</v>
      </c>
      <c r="I1438" s="38" t="inlineStr">
        <is>
          <t>Total de tots els sexes; resposta JSON-stat de l'API d'Idescat</t>
        </is>
      </c>
    </row>
    <row r="1439" ht="15" customHeight="1" s="39">
      <c r="A1439" s="38" t="n">
        <v>2021</v>
      </c>
      <c r="B1439" s="42" t="inlineStr">
        <is>
          <t>431359</t>
        </is>
      </c>
      <c r="C1439" s="38" t="inlineStr">
        <is>
          <t>Salomó</t>
        </is>
      </c>
      <c r="D1439" s="38" t="inlineStr">
        <is>
          <t>Y009</t>
        </is>
      </c>
      <c r="E1439" s="38" t="inlineStr">
        <is>
          <t>9 anys</t>
        </is>
      </c>
      <c r="F1439" s="38" t="n">
        <v>9</v>
      </c>
      <c r="G1439" s="38" t="n">
        <v>3</v>
      </c>
      <c r="I1439" s="38" t="inlineStr">
        <is>
          <t>Total de tots els sexes; resposta JSON-stat de l'API d'Idescat</t>
        </is>
      </c>
    </row>
    <row r="1440" ht="15" customHeight="1" s="39">
      <c r="A1440" s="38" t="n">
        <v>2021</v>
      </c>
      <c r="B1440" s="42" t="inlineStr">
        <is>
          <t>431359</t>
        </is>
      </c>
      <c r="C1440" s="38" t="inlineStr">
        <is>
          <t>Salomó</t>
        </is>
      </c>
      <c r="D1440" s="38" t="inlineStr">
        <is>
          <t>Y010</t>
        </is>
      </c>
      <c r="E1440" s="38" t="inlineStr">
        <is>
          <t>10 anys</t>
        </is>
      </c>
      <c r="F1440" s="38" t="n">
        <v>10</v>
      </c>
      <c r="G1440" s="38" t="n">
        <v>5</v>
      </c>
      <c r="I1440" s="38" t="inlineStr">
        <is>
          <t>Total de tots els sexes; resposta JSON-stat de l'API d'Idescat</t>
        </is>
      </c>
    </row>
    <row r="1441" ht="15" customHeight="1" s="39">
      <c r="A1441" s="38" t="n">
        <v>2021</v>
      </c>
      <c r="B1441" s="42" t="inlineStr">
        <is>
          <t>431359</t>
        </is>
      </c>
      <c r="C1441" s="38" t="inlineStr">
        <is>
          <t>Salomó</t>
        </is>
      </c>
      <c r="D1441" s="38" t="inlineStr">
        <is>
          <t>Y011</t>
        </is>
      </c>
      <c r="E1441" s="38" t="inlineStr">
        <is>
          <t>11 anys</t>
        </is>
      </c>
      <c r="F1441" s="38" t="n">
        <v>11</v>
      </c>
      <c r="G1441" s="38" t="n">
        <v>8</v>
      </c>
      <c r="I1441" s="38" t="inlineStr">
        <is>
          <t>Total de tots els sexes; resposta JSON-stat de l'API d'Idescat</t>
        </is>
      </c>
    </row>
    <row r="1442" ht="15" customHeight="1" s="39">
      <c r="A1442" s="38" t="n">
        <v>2021</v>
      </c>
      <c r="B1442" s="42" t="inlineStr">
        <is>
          <t>431359</t>
        </is>
      </c>
      <c r="C1442" s="38" t="inlineStr">
        <is>
          <t>Salomó</t>
        </is>
      </c>
      <c r="D1442" s="38" t="inlineStr">
        <is>
          <t>Y012</t>
        </is>
      </c>
      <c r="E1442" s="38" t="inlineStr">
        <is>
          <t>12 anys</t>
        </is>
      </c>
      <c r="F1442" s="38" t="n">
        <v>12</v>
      </c>
      <c r="G1442" s="38" t="n">
        <v>8</v>
      </c>
      <c r="I1442" s="38" t="inlineStr">
        <is>
          <t>Total de tots els sexes; resposta JSON-stat de l'API d'Idescat</t>
        </is>
      </c>
    </row>
    <row r="1443" ht="15" customHeight="1" s="39">
      <c r="A1443" s="38" t="n">
        <v>2021</v>
      </c>
      <c r="B1443" s="42" t="inlineStr">
        <is>
          <t>431359</t>
        </is>
      </c>
      <c r="C1443" s="38" t="inlineStr">
        <is>
          <t>Salomó</t>
        </is>
      </c>
      <c r="D1443" s="38" t="inlineStr">
        <is>
          <t>Y013</t>
        </is>
      </c>
      <c r="E1443" s="38" t="inlineStr">
        <is>
          <t>13 anys</t>
        </is>
      </c>
      <c r="F1443" s="38" t="n">
        <v>13</v>
      </c>
      <c r="G1443" s="38" t="n">
        <v>7</v>
      </c>
      <c r="I1443" s="38" t="inlineStr">
        <is>
          <t>Total de tots els sexes; resposta JSON-stat de l'API d'Idescat</t>
        </is>
      </c>
    </row>
    <row r="1444" ht="15" customHeight="1" s="39">
      <c r="A1444" s="38" t="n">
        <v>2021</v>
      </c>
      <c r="B1444" s="42" t="inlineStr">
        <is>
          <t>431359</t>
        </is>
      </c>
      <c r="C1444" s="38" t="inlineStr">
        <is>
          <t>Salomó</t>
        </is>
      </c>
      <c r="D1444" s="38" t="inlineStr">
        <is>
          <t>Y014</t>
        </is>
      </c>
      <c r="E1444" s="38" t="inlineStr">
        <is>
          <t>14 anys</t>
        </is>
      </c>
      <c r="F1444" s="38" t="n">
        <v>14</v>
      </c>
      <c r="G1444" s="38" t="n">
        <v>6</v>
      </c>
      <c r="I1444" s="38" t="inlineStr">
        <is>
          <t>Total de tots els sexes; resposta JSON-stat de l'API d'Idescat</t>
        </is>
      </c>
    </row>
    <row r="1445" ht="15" customHeight="1" s="39">
      <c r="A1445" s="38" t="n">
        <v>2021</v>
      </c>
      <c r="B1445" s="42" t="inlineStr">
        <is>
          <t>431359</t>
        </is>
      </c>
      <c r="C1445" s="38" t="inlineStr">
        <is>
          <t>Salomó</t>
        </is>
      </c>
      <c r="D1445" s="38" t="inlineStr">
        <is>
          <t>Y015</t>
        </is>
      </c>
      <c r="E1445" s="38" t="inlineStr">
        <is>
          <t>15 anys</t>
        </is>
      </c>
      <c r="F1445" s="38" t="n">
        <v>15</v>
      </c>
      <c r="G1445" s="38" t="n">
        <v>6</v>
      </c>
      <c r="I1445" s="38" t="inlineStr">
        <is>
          <t>Total de tots els sexes; resposta JSON-stat de l'API d'Idescat</t>
        </is>
      </c>
    </row>
    <row r="1446" ht="15" customHeight="1" s="39">
      <c r="A1446" s="38" t="n">
        <v>2021</v>
      </c>
      <c r="B1446" s="42" t="inlineStr">
        <is>
          <t>431359</t>
        </is>
      </c>
      <c r="C1446" s="38" t="inlineStr">
        <is>
          <t>Salomó</t>
        </is>
      </c>
      <c r="D1446" s="38" t="inlineStr">
        <is>
          <t>Y016</t>
        </is>
      </c>
      <c r="E1446" s="38" t="inlineStr">
        <is>
          <t>16 anys</t>
        </is>
      </c>
      <c r="F1446" s="38" t="n">
        <v>16</v>
      </c>
      <c r="G1446" s="38" t="n">
        <v>6</v>
      </c>
      <c r="I1446" s="38" t="inlineStr">
        <is>
          <t>Total de tots els sexes; resposta JSON-stat de l'API d'Idescat</t>
        </is>
      </c>
    </row>
    <row r="1447" ht="15" customHeight="1" s="39">
      <c r="A1447" s="38" t="n">
        <v>2021</v>
      </c>
      <c r="B1447" s="42" t="inlineStr">
        <is>
          <t>431359</t>
        </is>
      </c>
      <c r="C1447" s="38" t="inlineStr">
        <is>
          <t>Salomó</t>
        </is>
      </c>
      <c r="D1447" s="38" t="inlineStr">
        <is>
          <t>Y017</t>
        </is>
      </c>
      <c r="E1447" s="38" t="inlineStr">
        <is>
          <t>17 anys</t>
        </is>
      </c>
      <c r="F1447" s="38" t="n">
        <v>17</v>
      </c>
      <c r="G1447" s="38" t="n">
        <v>9</v>
      </c>
      <c r="I1447" s="38" t="inlineStr">
        <is>
          <t>Total de tots els sexes; resposta JSON-stat de l'API d'Idescat</t>
        </is>
      </c>
    </row>
    <row r="1448" ht="15" customHeight="1" s="39">
      <c r="A1448" s="38" t="n">
        <v>2021</v>
      </c>
      <c r="B1448" s="42" t="inlineStr">
        <is>
          <t>431359</t>
        </is>
      </c>
      <c r="C1448" s="38" t="inlineStr">
        <is>
          <t>Salomó</t>
        </is>
      </c>
      <c r="D1448" s="38" t="inlineStr">
        <is>
          <t>Y018</t>
        </is>
      </c>
      <c r="E1448" s="38" t="inlineStr">
        <is>
          <t>18 anys</t>
        </is>
      </c>
      <c r="F1448" s="38" t="n">
        <v>18</v>
      </c>
      <c r="G1448" s="38" t="n">
        <v>7</v>
      </c>
      <c r="I1448" s="38" t="inlineStr">
        <is>
          <t>Total de tots els sexes; resposta JSON-stat de l'API d'Idescat</t>
        </is>
      </c>
    </row>
    <row r="1449" ht="15" customHeight="1" s="39">
      <c r="A1449" s="38" t="n">
        <v>2021</v>
      </c>
      <c r="B1449" s="42" t="inlineStr">
        <is>
          <t>431359</t>
        </is>
      </c>
      <c r="C1449" s="38" t="inlineStr">
        <is>
          <t>Salomó</t>
        </is>
      </c>
      <c r="D1449" s="38" t="inlineStr">
        <is>
          <t>Y019</t>
        </is>
      </c>
      <c r="E1449" s="38" t="inlineStr">
        <is>
          <t>19 anys</t>
        </is>
      </c>
      <c r="F1449" s="38" t="n">
        <v>19</v>
      </c>
      <c r="G1449" s="38" t="n">
        <v>7</v>
      </c>
      <c r="I1449" s="38" t="inlineStr">
        <is>
          <t>Total de tots els sexes; resposta JSON-stat de l'API d'Idescat</t>
        </is>
      </c>
    </row>
    <row r="1450" ht="15" customHeight="1" s="39">
      <c r="A1450" s="38" t="n">
        <v>2021</v>
      </c>
      <c r="B1450" s="42" t="inlineStr">
        <is>
          <t>431359</t>
        </is>
      </c>
      <c r="C1450" s="38" t="inlineStr">
        <is>
          <t>Salomó</t>
        </is>
      </c>
      <c r="D1450" s="38" t="inlineStr">
        <is>
          <t>Y020</t>
        </is>
      </c>
      <c r="E1450" s="38" t="inlineStr">
        <is>
          <t>20 anys</t>
        </is>
      </c>
      <c r="F1450" s="38" t="n">
        <v>20</v>
      </c>
      <c r="G1450" s="38" t="n">
        <v>4</v>
      </c>
      <c r="I1450" s="38" t="inlineStr">
        <is>
          <t>Total de tots els sexes; resposta JSON-stat de l'API d'Idescat</t>
        </is>
      </c>
    </row>
    <row r="1451" ht="15" customHeight="1" s="39">
      <c r="A1451" s="38" t="n">
        <v>2021</v>
      </c>
      <c r="B1451" s="42" t="inlineStr">
        <is>
          <t>431359</t>
        </is>
      </c>
      <c r="C1451" s="38" t="inlineStr">
        <is>
          <t>Salomó</t>
        </is>
      </c>
      <c r="D1451" s="38" t="inlineStr">
        <is>
          <t>Y021</t>
        </is>
      </c>
      <c r="E1451" s="38" t="inlineStr">
        <is>
          <t>21 anys</t>
        </is>
      </c>
      <c r="F1451" s="38" t="n">
        <v>21</v>
      </c>
      <c r="G1451" s="38" t="n">
        <v>4</v>
      </c>
      <c r="I1451" s="38" t="inlineStr">
        <is>
          <t>Total de tots els sexes; resposta JSON-stat de l'API d'Idescat</t>
        </is>
      </c>
    </row>
    <row r="1452" ht="15" customHeight="1" s="39">
      <c r="A1452" s="38" t="n">
        <v>2021</v>
      </c>
      <c r="B1452" s="42" t="inlineStr">
        <is>
          <t>431359</t>
        </is>
      </c>
      <c r="C1452" s="38" t="inlineStr">
        <is>
          <t>Salomó</t>
        </is>
      </c>
      <c r="D1452" s="38" t="inlineStr">
        <is>
          <t>Y022</t>
        </is>
      </c>
      <c r="E1452" s="38" t="inlineStr">
        <is>
          <t>22 anys</t>
        </is>
      </c>
      <c r="F1452" s="38" t="n">
        <v>22</v>
      </c>
      <c r="G1452" s="38" t="n">
        <v>4</v>
      </c>
      <c r="I1452" s="38" t="inlineStr">
        <is>
          <t>Total de tots els sexes; resposta JSON-stat de l'API d'Idescat</t>
        </is>
      </c>
    </row>
    <row r="1453" ht="15" customHeight="1" s="39">
      <c r="A1453" s="38" t="n">
        <v>2021</v>
      </c>
      <c r="B1453" s="42" t="inlineStr">
        <is>
          <t>431359</t>
        </is>
      </c>
      <c r="C1453" s="38" t="inlineStr">
        <is>
          <t>Salomó</t>
        </is>
      </c>
      <c r="D1453" s="38" t="inlineStr">
        <is>
          <t>Y023</t>
        </is>
      </c>
      <c r="E1453" s="38" t="inlineStr">
        <is>
          <t>23 anys</t>
        </is>
      </c>
      <c r="F1453" s="38" t="n">
        <v>23</v>
      </c>
      <c r="G1453" s="38" t="n">
        <v>6</v>
      </c>
      <c r="I1453" s="38" t="inlineStr">
        <is>
          <t>Total de tots els sexes; resposta JSON-stat de l'API d'Idescat</t>
        </is>
      </c>
    </row>
    <row r="1454" ht="15" customHeight="1" s="39">
      <c r="A1454" s="38" t="n">
        <v>2021</v>
      </c>
      <c r="B1454" s="42" t="inlineStr">
        <is>
          <t>431359</t>
        </is>
      </c>
      <c r="C1454" s="38" t="inlineStr">
        <is>
          <t>Salomó</t>
        </is>
      </c>
      <c r="D1454" s="38" t="inlineStr">
        <is>
          <t>Y024</t>
        </is>
      </c>
      <c r="E1454" s="38" t="inlineStr">
        <is>
          <t>24 anys</t>
        </is>
      </c>
      <c r="F1454" s="38" t="n">
        <v>24</v>
      </c>
      <c r="G1454" s="38" t="n">
        <v>5</v>
      </c>
      <c r="I1454" s="38" t="inlineStr">
        <is>
          <t>Total de tots els sexes; resposta JSON-stat de l'API d'Idescat</t>
        </is>
      </c>
    </row>
    <row r="1455" ht="15" customHeight="1" s="39">
      <c r="A1455" s="38" t="n">
        <v>2021</v>
      </c>
      <c r="B1455" s="42" t="inlineStr">
        <is>
          <t>431359</t>
        </is>
      </c>
      <c r="C1455" s="38" t="inlineStr">
        <is>
          <t>Salomó</t>
        </is>
      </c>
      <c r="D1455" s="38" t="inlineStr">
        <is>
          <t>Y025</t>
        </is>
      </c>
      <c r="E1455" s="38" t="inlineStr">
        <is>
          <t>25 anys</t>
        </is>
      </c>
      <c r="F1455" s="38" t="n">
        <v>25</v>
      </c>
      <c r="G1455" s="38" t="n">
        <v>6</v>
      </c>
      <c r="I1455" s="38" t="inlineStr">
        <is>
          <t>Total de tots els sexes; resposta JSON-stat de l'API d'Idescat</t>
        </is>
      </c>
    </row>
    <row r="1456" ht="15" customHeight="1" s="39">
      <c r="A1456" s="38" t="n">
        <v>2021</v>
      </c>
      <c r="B1456" s="42" t="inlineStr">
        <is>
          <t>431359</t>
        </is>
      </c>
      <c r="C1456" s="38" t="inlineStr">
        <is>
          <t>Salomó</t>
        </is>
      </c>
      <c r="D1456" s="38" t="inlineStr">
        <is>
          <t>Y026</t>
        </is>
      </c>
      <c r="E1456" s="38" t="inlineStr">
        <is>
          <t>26 anys</t>
        </is>
      </c>
      <c r="F1456" s="38" t="n">
        <v>26</v>
      </c>
      <c r="G1456" s="38" t="n">
        <v>7</v>
      </c>
      <c r="I1456" s="38" t="inlineStr">
        <is>
          <t>Total de tots els sexes; resposta JSON-stat de l'API d'Idescat</t>
        </is>
      </c>
    </row>
    <row r="1457" ht="15" customHeight="1" s="39">
      <c r="A1457" s="38" t="n">
        <v>2021</v>
      </c>
      <c r="B1457" s="42" t="inlineStr">
        <is>
          <t>431359</t>
        </is>
      </c>
      <c r="C1457" s="38" t="inlineStr">
        <is>
          <t>Salomó</t>
        </is>
      </c>
      <c r="D1457" s="38" t="inlineStr">
        <is>
          <t>Y027</t>
        </is>
      </c>
      <c r="E1457" s="38" t="inlineStr">
        <is>
          <t>27 anys</t>
        </is>
      </c>
      <c r="F1457" s="38" t="n">
        <v>27</v>
      </c>
      <c r="G1457" s="38" t="n">
        <v>2</v>
      </c>
      <c r="I1457" s="38" t="inlineStr">
        <is>
          <t>Total de tots els sexes; resposta JSON-stat de l'API d'Idescat</t>
        </is>
      </c>
    </row>
    <row r="1458" ht="15" customHeight="1" s="39">
      <c r="A1458" s="38" t="n">
        <v>2021</v>
      </c>
      <c r="B1458" s="42" t="inlineStr">
        <is>
          <t>431359</t>
        </is>
      </c>
      <c r="C1458" s="38" t="inlineStr">
        <is>
          <t>Salomó</t>
        </is>
      </c>
      <c r="D1458" s="38" t="inlineStr">
        <is>
          <t>Y028</t>
        </is>
      </c>
      <c r="E1458" s="38" t="inlineStr">
        <is>
          <t>28 anys</t>
        </is>
      </c>
      <c r="F1458" s="38" t="n">
        <v>28</v>
      </c>
      <c r="G1458" s="38" t="n">
        <v>5</v>
      </c>
      <c r="I1458" s="38" t="inlineStr">
        <is>
          <t>Total de tots els sexes; resposta JSON-stat de l'API d'Idescat</t>
        </is>
      </c>
    </row>
    <row r="1459" ht="15" customHeight="1" s="39">
      <c r="A1459" s="38" t="n">
        <v>2021</v>
      </c>
      <c r="B1459" s="42" t="inlineStr">
        <is>
          <t>431359</t>
        </is>
      </c>
      <c r="C1459" s="38" t="inlineStr">
        <is>
          <t>Salomó</t>
        </is>
      </c>
      <c r="D1459" s="38" t="inlineStr">
        <is>
          <t>Y029</t>
        </is>
      </c>
      <c r="E1459" s="38" t="inlineStr">
        <is>
          <t>29 anys</t>
        </is>
      </c>
      <c r="F1459" s="38" t="n">
        <v>29</v>
      </c>
      <c r="G1459" s="38" t="n">
        <v>5</v>
      </c>
      <c r="I1459" s="38" t="inlineStr">
        <is>
          <t>Total de tots els sexes; resposta JSON-stat de l'API d'Idescat</t>
        </is>
      </c>
    </row>
    <row r="1460" ht="15" customHeight="1" s="39">
      <c r="A1460" s="38" t="n">
        <v>2021</v>
      </c>
      <c r="B1460" s="42" t="inlineStr">
        <is>
          <t>431359</t>
        </is>
      </c>
      <c r="C1460" s="38" t="inlineStr">
        <is>
          <t>Salomó</t>
        </is>
      </c>
      <c r="D1460" s="38" t="inlineStr">
        <is>
          <t>Y030</t>
        </is>
      </c>
      <c r="E1460" s="38" t="inlineStr">
        <is>
          <t>30 anys</t>
        </is>
      </c>
      <c r="F1460" s="38" t="n">
        <v>30</v>
      </c>
      <c r="G1460" s="38" t="n">
        <v>7</v>
      </c>
      <c r="I1460" s="38" t="inlineStr">
        <is>
          <t>Total de tots els sexes; resposta JSON-stat de l'API d'Idescat</t>
        </is>
      </c>
    </row>
    <row r="1461" ht="15" customHeight="1" s="39">
      <c r="A1461" s="38" t="n">
        <v>2021</v>
      </c>
      <c r="B1461" s="42" t="inlineStr">
        <is>
          <t>431359</t>
        </is>
      </c>
      <c r="C1461" s="38" t="inlineStr">
        <is>
          <t>Salomó</t>
        </is>
      </c>
      <c r="D1461" s="38" t="inlineStr">
        <is>
          <t>Y031</t>
        </is>
      </c>
      <c r="E1461" s="38" t="inlineStr">
        <is>
          <t>31 anys</t>
        </is>
      </c>
      <c r="F1461" s="38" t="n">
        <v>31</v>
      </c>
      <c r="G1461" s="38" t="n">
        <v>5</v>
      </c>
      <c r="I1461" s="38" t="inlineStr">
        <is>
          <t>Total de tots els sexes; resposta JSON-stat de l'API d'Idescat</t>
        </is>
      </c>
    </row>
    <row r="1462" ht="15" customHeight="1" s="39">
      <c r="A1462" s="38" t="n">
        <v>2021</v>
      </c>
      <c r="B1462" s="42" t="inlineStr">
        <is>
          <t>431359</t>
        </is>
      </c>
      <c r="C1462" s="38" t="inlineStr">
        <is>
          <t>Salomó</t>
        </is>
      </c>
      <c r="D1462" s="38" t="inlineStr">
        <is>
          <t>Y032</t>
        </is>
      </c>
      <c r="E1462" s="38" t="inlineStr">
        <is>
          <t>32 anys</t>
        </is>
      </c>
      <c r="F1462" s="38" t="n">
        <v>32</v>
      </c>
      <c r="G1462" s="38" t="n">
        <v>4</v>
      </c>
      <c r="I1462" s="38" t="inlineStr">
        <is>
          <t>Total de tots els sexes; resposta JSON-stat de l'API d'Idescat</t>
        </is>
      </c>
    </row>
    <row r="1463" ht="15" customHeight="1" s="39">
      <c r="A1463" s="38" t="n">
        <v>2021</v>
      </c>
      <c r="B1463" s="42" t="inlineStr">
        <is>
          <t>431359</t>
        </is>
      </c>
      <c r="C1463" s="38" t="inlineStr">
        <is>
          <t>Salomó</t>
        </is>
      </c>
      <c r="D1463" s="38" t="inlineStr">
        <is>
          <t>Y033</t>
        </is>
      </c>
      <c r="E1463" s="38" t="inlineStr">
        <is>
          <t>33 anys</t>
        </is>
      </c>
      <c r="F1463" s="38" t="n">
        <v>33</v>
      </c>
      <c r="G1463" s="38" t="n">
        <v>7</v>
      </c>
      <c r="I1463" s="38" t="inlineStr">
        <is>
          <t>Total de tots els sexes; resposta JSON-stat de l'API d'Idescat</t>
        </is>
      </c>
    </row>
    <row r="1464" ht="15" customHeight="1" s="39">
      <c r="A1464" s="38" t="n">
        <v>2021</v>
      </c>
      <c r="B1464" s="42" t="inlineStr">
        <is>
          <t>431359</t>
        </is>
      </c>
      <c r="C1464" s="38" t="inlineStr">
        <is>
          <t>Salomó</t>
        </is>
      </c>
      <c r="D1464" s="38" t="inlineStr">
        <is>
          <t>Y034</t>
        </is>
      </c>
      <c r="E1464" s="38" t="inlineStr">
        <is>
          <t>34 anys</t>
        </is>
      </c>
      <c r="F1464" s="38" t="n">
        <v>34</v>
      </c>
      <c r="G1464" s="38" t="n">
        <v>1</v>
      </c>
      <c r="I1464" s="38" t="inlineStr">
        <is>
          <t>Total de tots els sexes; resposta JSON-stat de l'API d'Idescat</t>
        </is>
      </c>
    </row>
    <row r="1465" ht="15" customHeight="1" s="39">
      <c r="A1465" s="38" t="n">
        <v>2021</v>
      </c>
      <c r="B1465" s="42" t="inlineStr">
        <is>
          <t>431359</t>
        </is>
      </c>
      <c r="C1465" s="38" t="inlineStr">
        <is>
          <t>Salomó</t>
        </is>
      </c>
      <c r="D1465" s="38" t="inlineStr">
        <is>
          <t>Y035</t>
        </is>
      </c>
      <c r="E1465" s="38" t="inlineStr">
        <is>
          <t>35 anys</t>
        </is>
      </c>
      <c r="F1465" s="38" t="n">
        <v>35</v>
      </c>
      <c r="G1465" s="38" t="n">
        <v>6</v>
      </c>
      <c r="I1465" s="38" t="inlineStr">
        <is>
          <t>Total de tots els sexes; resposta JSON-stat de l'API d'Idescat</t>
        </is>
      </c>
    </row>
    <row r="1466" ht="15" customHeight="1" s="39">
      <c r="A1466" s="38" t="n">
        <v>2021</v>
      </c>
      <c r="B1466" s="42" t="inlineStr">
        <is>
          <t>431359</t>
        </is>
      </c>
      <c r="C1466" s="38" t="inlineStr">
        <is>
          <t>Salomó</t>
        </is>
      </c>
      <c r="D1466" s="38" t="inlineStr">
        <is>
          <t>Y036</t>
        </is>
      </c>
      <c r="E1466" s="38" t="inlineStr">
        <is>
          <t>36 anys</t>
        </is>
      </c>
      <c r="F1466" s="38" t="n">
        <v>36</v>
      </c>
      <c r="G1466" s="38" t="n">
        <v>7</v>
      </c>
      <c r="I1466" s="38" t="inlineStr">
        <is>
          <t>Total de tots els sexes; resposta JSON-stat de l'API d'Idescat</t>
        </is>
      </c>
    </row>
    <row r="1467" ht="15" customHeight="1" s="39">
      <c r="A1467" s="38" t="n">
        <v>2021</v>
      </c>
      <c r="B1467" s="42" t="inlineStr">
        <is>
          <t>431359</t>
        </is>
      </c>
      <c r="C1467" s="38" t="inlineStr">
        <is>
          <t>Salomó</t>
        </is>
      </c>
      <c r="D1467" s="38" t="inlineStr">
        <is>
          <t>Y037</t>
        </is>
      </c>
      <c r="E1467" s="38" t="inlineStr">
        <is>
          <t>37 anys</t>
        </is>
      </c>
      <c r="F1467" s="38" t="n">
        <v>37</v>
      </c>
      <c r="G1467" s="38" t="n">
        <v>10</v>
      </c>
      <c r="I1467" s="38" t="inlineStr">
        <is>
          <t>Total de tots els sexes; resposta JSON-stat de l'API d'Idescat</t>
        </is>
      </c>
    </row>
    <row r="1468" ht="15" customHeight="1" s="39">
      <c r="A1468" s="38" t="n">
        <v>2021</v>
      </c>
      <c r="B1468" s="42" t="inlineStr">
        <is>
          <t>431359</t>
        </is>
      </c>
      <c r="C1468" s="38" t="inlineStr">
        <is>
          <t>Salomó</t>
        </is>
      </c>
      <c r="D1468" s="38" t="inlineStr">
        <is>
          <t>Y038</t>
        </is>
      </c>
      <c r="E1468" s="38" t="inlineStr">
        <is>
          <t>38 anys</t>
        </is>
      </c>
      <c r="F1468" s="38" t="n">
        <v>38</v>
      </c>
      <c r="G1468" s="38" t="n">
        <v>13</v>
      </c>
      <c r="I1468" s="38" t="inlineStr">
        <is>
          <t>Total de tots els sexes; resposta JSON-stat de l'API d'Idescat</t>
        </is>
      </c>
    </row>
    <row r="1469" ht="15" customHeight="1" s="39">
      <c r="A1469" s="38" t="n">
        <v>2021</v>
      </c>
      <c r="B1469" s="42" t="inlineStr">
        <is>
          <t>431359</t>
        </is>
      </c>
      <c r="C1469" s="38" t="inlineStr">
        <is>
          <t>Salomó</t>
        </is>
      </c>
      <c r="D1469" s="38" t="inlineStr">
        <is>
          <t>Y039</t>
        </is>
      </c>
      <c r="E1469" s="38" t="inlineStr">
        <is>
          <t>39 anys</t>
        </is>
      </c>
      <c r="F1469" s="38" t="n">
        <v>39</v>
      </c>
      <c r="G1469" s="38" t="n">
        <v>6</v>
      </c>
      <c r="I1469" s="38" t="inlineStr">
        <is>
          <t>Total de tots els sexes; resposta JSON-stat de l'API d'Idescat</t>
        </is>
      </c>
    </row>
    <row r="1470" ht="15" customHeight="1" s="39">
      <c r="A1470" s="38" t="n">
        <v>2021</v>
      </c>
      <c r="B1470" s="42" t="inlineStr">
        <is>
          <t>431359</t>
        </is>
      </c>
      <c r="C1470" s="38" t="inlineStr">
        <is>
          <t>Salomó</t>
        </is>
      </c>
      <c r="D1470" s="38" t="inlineStr">
        <is>
          <t>Y040</t>
        </is>
      </c>
      <c r="E1470" s="38" t="inlineStr">
        <is>
          <t>40 anys</t>
        </is>
      </c>
      <c r="F1470" s="38" t="n">
        <v>40</v>
      </c>
      <c r="G1470" s="38" t="n">
        <v>9</v>
      </c>
      <c r="I1470" s="38" t="inlineStr">
        <is>
          <t>Total de tots els sexes; resposta JSON-stat de l'API d'Idescat</t>
        </is>
      </c>
    </row>
    <row r="1471" ht="15" customHeight="1" s="39">
      <c r="A1471" s="38" t="n">
        <v>2021</v>
      </c>
      <c r="B1471" s="42" t="inlineStr">
        <is>
          <t>431359</t>
        </is>
      </c>
      <c r="C1471" s="38" t="inlineStr">
        <is>
          <t>Salomó</t>
        </is>
      </c>
      <c r="D1471" s="38" t="inlineStr">
        <is>
          <t>Y041</t>
        </is>
      </c>
      <c r="E1471" s="38" t="inlineStr">
        <is>
          <t>41 anys</t>
        </is>
      </c>
      <c r="F1471" s="38" t="n">
        <v>41</v>
      </c>
      <c r="G1471" s="38" t="n">
        <v>6</v>
      </c>
      <c r="I1471" s="38" t="inlineStr">
        <is>
          <t>Total de tots els sexes; resposta JSON-stat de l'API d'Idescat</t>
        </is>
      </c>
    </row>
    <row r="1472" ht="15" customHeight="1" s="39">
      <c r="A1472" s="38" t="n">
        <v>2021</v>
      </c>
      <c r="B1472" s="42" t="inlineStr">
        <is>
          <t>431359</t>
        </is>
      </c>
      <c r="C1472" s="38" t="inlineStr">
        <is>
          <t>Salomó</t>
        </is>
      </c>
      <c r="D1472" s="38" t="inlineStr">
        <is>
          <t>Y042</t>
        </is>
      </c>
      <c r="E1472" s="38" t="inlineStr">
        <is>
          <t>42 anys</t>
        </is>
      </c>
      <c r="F1472" s="38" t="n">
        <v>42</v>
      </c>
      <c r="G1472" s="38" t="n">
        <v>10</v>
      </c>
      <c r="I1472" s="38" t="inlineStr">
        <is>
          <t>Total de tots els sexes; resposta JSON-stat de l'API d'Idescat</t>
        </is>
      </c>
    </row>
    <row r="1473" ht="15" customHeight="1" s="39">
      <c r="A1473" s="38" t="n">
        <v>2021</v>
      </c>
      <c r="B1473" s="42" t="inlineStr">
        <is>
          <t>431359</t>
        </is>
      </c>
      <c r="C1473" s="38" t="inlineStr">
        <is>
          <t>Salomó</t>
        </is>
      </c>
      <c r="D1473" s="38" t="inlineStr">
        <is>
          <t>Y043</t>
        </is>
      </c>
      <c r="E1473" s="38" t="inlineStr">
        <is>
          <t>43 anys</t>
        </is>
      </c>
      <c r="F1473" s="38" t="n">
        <v>43</v>
      </c>
      <c r="G1473" s="38" t="n">
        <v>12</v>
      </c>
      <c r="I1473" s="38" t="inlineStr">
        <is>
          <t>Total de tots els sexes; resposta JSON-stat de l'API d'Idescat</t>
        </is>
      </c>
    </row>
    <row r="1474" ht="15" customHeight="1" s="39">
      <c r="A1474" s="38" t="n">
        <v>2021</v>
      </c>
      <c r="B1474" s="42" t="inlineStr">
        <is>
          <t>431359</t>
        </is>
      </c>
      <c r="C1474" s="38" t="inlineStr">
        <is>
          <t>Salomó</t>
        </is>
      </c>
      <c r="D1474" s="38" t="inlineStr">
        <is>
          <t>Y044</t>
        </is>
      </c>
      <c r="E1474" s="38" t="inlineStr">
        <is>
          <t>44 anys</t>
        </is>
      </c>
      <c r="F1474" s="38" t="n">
        <v>44</v>
      </c>
      <c r="G1474" s="38" t="n">
        <v>11</v>
      </c>
      <c r="I1474" s="38" t="inlineStr">
        <is>
          <t>Total de tots els sexes; resposta JSON-stat de l'API d'Idescat</t>
        </is>
      </c>
    </row>
    <row r="1475" ht="15" customHeight="1" s="39">
      <c r="A1475" s="38" t="n">
        <v>2021</v>
      </c>
      <c r="B1475" s="42" t="inlineStr">
        <is>
          <t>431359</t>
        </is>
      </c>
      <c r="C1475" s="38" t="inlineStr">
        <is>
          <t>Salomó</t>
        </is>
      </c>
      <c r="D1475" s="38" t="inlineStr">
        <is>
          <t>Y045</t>
        </is>
      </c>
      <c r="E1475" s="38" t="inlineStr">
        <is>
          <t>45 anys</t>
        </is>
      </c>
      <c r="F1475" s="38" t="n">
        <v>45</v>
      </c>
      <c r="G1475" s="38" t="n">
        <v>7</v>
      </c>
      <c r="I1475" s="38" t="inlineStr">
        <is>
          <t>Total de tots els sexes; resposta JSON-stat de l'API d'Idescat</t>
        </is>
      </c>
    </row>
    <row r="1476" ht="15" customHeight="1" s="39">
      <c r="A1476" s="38" t="n">
        <v>2021</v>
      </c>
      <c r="B1476" s="42" t="inlineStr">
        <is>
          <t>431359</t>
        </is>
      </c>
      <c r="C1476" s="38" t="inlineStr">
        <is>
          <t>Salomó</t>
        </is>
      </c>
      <c r="D1476" s="38" t="inlineStr">
        <is>
          <t>Y046</t>
        </is>
      </c>
      <c r="E1476" s="38" t="inlineStr">
        <is>
          <t>46 anys</t>
        </is>
      </c>
      <c r="F1476" s="38" t="n">
        <v>46</v>
      </c>
      <c r="G1476" s="38" t="n">
        <v>8</v>
      </c>
      <c r="I1476" s="38" t="inlineStr">
        <is>
          <t>Total de tots els sexes; resposta JSON-stat de l'API d'Idescat</t>
        </is>
      </c>
    </row>
    <row r="1477" ht="15" customHeight="1" s="39">
      <c r="A1477" s="38" t="n">
        <v>2021</v>
      </c>
      <c r="B1477" s="42" t="inlineStr">
        <is>
          <t>431359</t>
        </is>
      </c>
      <c r="C1477" s="38" t="inlineStr">
        <is>
          <t>Salomó</t>
        </is>
      </c>
      <c r="D1477" s="38" t="inlineStr">
        <is>
          <t>Y047</t>
        </is>
      </c>
      <c r="E1477" s="38" t="inlineStr">
        <is>
          <t>47 anys</t>
        </is>
      </c>
      <c r="F1477" s="38" t="n">
        <v>47</v>
      </c>
      <c r="G1477" s="38" t="n">
        <v>5</v>
      </c>
      <c r="I1477" s="38" t="inlineStr">
        <is>
          <t>Total de tots els sexes; resposta JSON-stat de l'API d'Idescat</t>
        </is>
      </c>
    </row>
    <row r="1478" ht="15" customHeight="1" s="39">
      <c r="A1478" s="38" t="n">
        <v>2021</v>
      </c>
      <c r="B1478" s="42" t="inlineStr">
        <is>
          <t>431359</t>
        </is>
      </c>
      <c r="C1478" s="38" t="inlineStr">
        <is>
          <t>Salomó</t>
        </is>
      </c>
      <c r="D1478" s="38" t="inlineStr">
        <is>
          <t>Y048</t>
        </is>
      </c>
      <c r="E1478" s="38" t="inlineStr">
        <is>
          <t>48 anys</t>
        </is>
      </c>
      <c r="F1478" s="38" t="n">
        <v>48</v>
      </c>
      <c r="G1478" s="38" t="n">
        <v>3</v>
      </c>
      <c r="I1478" s="38" t="inlineStr">
        <is>
          <t>Total de tots els sexes; resposta JSON-stat de l'API d'Idescat</t>
        </is>
      </c>
    </row>
    <row r="1479" ht="15" customHeight="1" s="39">
      <c r="A1479" s="38" t="n">
        <v>2021</v>
      </c>
      <c r="B1479" s="42" t="inlineStr">
        <is>
          <t>431359</t>
        </is>
      </c>
      <c r="C1479" s="38" t="inlineStr">
        <is>
          <t>Salomó</t>
        </is>
      </c>
      <c r="D1479" s="38" t="inlineStr">
        <is>
          <t>Y049</t>
        </is>
      </c>
      <c r="E1479" s="38" t="inlineStr">
        <is>
          <t>49 anys</t>
        </is>
      </c>
      <c r="F1479" s="38" t="n">
        <v>49</v>
      </c>
      <c r="G1479" s="38" t="n">
        <v>6</v>
      </c>
      <c r="I1479" s="38" t="inlineStr">
        <is>
          <t>Total de tots els sexes; resposta JSON-stat de l'API d'Idescat</t>
        </is>
      </c>
    </row>
    <row r="1480" ht="15" customHeight="1" s="39">
      <c r="A1480" s="38" t="n">
        <v>2021</v>
      </c>
      <c r="B1480" s="42" t="inlineStr">
        <is>
          <t>431359</t>
        </is>
      </c>
      <c r="C1480" s="38" t="inlineStr">
        <is>
          <t>Salomó</t>
        </is>
      </c>
      <c r="D1480" s="38" t="inlineStr">
        <is>
          <t>Y050</t>
        </is>
      </c>
      <c r="E1480" s="38" t="inlineStr">
        <is>
          <t>50 anys</t>
        </is>
      </c>
      <c r="F1480" s="38" t="n">
        <v>50</v>
      </c>
      <c r="G1480" s="38" t="n">
        <v>7</v>
      </c>
      <c r="I1480" s="38" t="inlineStr">
        <is>
          <t>Total de tots els sexes; resposta JSON-stat de l'API d'Idescat</t>
        </is>
      </c>
    </row>
    <row r="1481" ht="15" customHeight="1" s="39">
      <c r="A1481" s="38" t="n">
        <v>2021</v>
      </c>
      <c r="B1481" s="42" t="inlineStr">
        <is>
          <t>431359</t>
        </is>
      </c>
      <c r="C1481" s="38" t="inlineStr">
        <is>
          <t>Salomó</t>
        </is>
      </c>
      <c r="D1481" s="38" t="inlineStr">
        <is>
          <t>Y051</t>
        </is>
      </c>
      <c r="E1481" s="38" t="inlineStr">
        <is>
          <t>51 anys</t>
        </is>
      </c>
      <c r="F1481" s="38" t="n">
        <v>51</v>
      </c>
      <c r="G1481" s="38" t="n">
        <v>8</v>
      </c>
      <c r="I1481" s="38" t="inlineStr">
        <is>
          <t>Total de tots els sexes; resposta JSON-stat de l'API d'Idescat</t>
        </is>
      </c>
    </row>
    <row r="1482" ht="15" customHeight="1" s="39">
      <c r="A1482" s="38" t="n">
        <v>2021</v>
      </c>
      <c r="B1482" s="42" t="inlineStr">
        <is>
          <t>431359</t>
        </is>
      </c>
      <c r="C1482" s="38" t="inlineStr">
        <is>
          <t>Salomó</t>
        </is>
      </c>
      <c r="D1482" s="38" t="inlineStr">
        <is>
          <t>Y052</t>
        </is>
      </c>
      <c r="E1482" s="38" t="inlineStr">
        <is>
          <t>52 anys</t>
        </is>
      </c>
      <c r="F1482" s="38" t="n">
        <v>52</v>
      </c>
      <c r="G1482" s="38" t="n">
        <v>9</v>
      </c>
      <c r="I1482" s="38" t="inlineStr">
        <is>
          <t>Total de tots els sexes; resposta JSON-stat de l'API d'Idescat</t>
        </is>
      </c>
    </row>
    <row r="1483" ht="15" customHeight="1" s="39">
      <c r="A1483" s="38" t="n">
        <v>2021</v>
      </c>
      <c r="B1483" s="42" t="inlineStr">
        <is>
          <t>431359</t>
        </is>
      </c>
      <c r="C1483" s="38" t="inlineStr">
        <is>
          <t>Salomó</t>
        </is>
      </c>
      <c r="D1483" s="38" t="inlineStr">
        <is>
          <t>Y053</t>
        </is>
      </c>
      <c r="E1483" s="38" t="inlineStr">
        <is>
          <t>53 anys</t>
        </is>
      </c>
      <c r="F1483" s="38" t="n">
        <v>53</v>
      </c>
      <c r="G1483" s="38" t="n">
        <v>12</v>
      </c>
      <c r="I1483" s="38" t="inlineStr">
        <is>
          <t>Total de tots els sexes; resposta JSON-stat de l'API d'Idescat</t>
        </is>
      </c>
    </row>
    <row r="1484" ht="15" customHeight="1" s="39">
      <c r="A1484" s="38" t="n">
        <v>2021</v>
      </c>
      <c r="B1484" s="42" t="inlineStr">
        <is>
          <t>431359</t>
        </is>
      </c>
      <c r="C1484" s="38" t="inlineStr">
        <is>
          <t>Salomó</t>
        </is>
      </c>
      <c r="D1484" s="38" t="inlineStr">
        <is>
          <t>Y054</t>
        </is>
      </c>
      <c r="E1484" s="38" t="inlineStr">
        <is>
          <t>54 anys</t>
        </is>
      </c>
      <c r="F1484" s="38" t="n">
        <v>54</v>
      </c>
      <c r="G1484" s="38" t="n">
        <v>11</v>
      </c>
      <c r="I1484" s="38" t="inlineStr">
        <is>
          <t>Total de tots els sexes; resposta JSON-stat de l'API d'Idescat</t>
        </is>
      </c>
    </row>
    <row r="1485" ht="15" customHeight="1" s="39">
      <c r="A1485" s="38" t="n">
        <v>2021</v>
      </c>
      <c r="B1485" s="42" t="inlineStr">
        <is>
          <t>431359</t>
        </is>
      </c>
      <c r="C1485" s="38" t="inlineStr">
        <is>
          <t>Salomó</t>
        </is>
      </c>
      <c r="D1485" s="38" t="inlineStr">
        <is>
          <t>Y055</t>
        </is>
      </c>
      <c r="E1485" s="38" t="inlineStr">
        <is>
          <t>55 anys</t>
        </is>
      </c>
      <c r="F1485" s="38" t="n">
        <v>55</v>
      </c>
      <c r="G1485" s="38" t="n">
        <v>6</v>
      </c>
      <c r="I1485" s="38" t="inlineStr">
        <is>
          <t>Total de tots els sexes; resposta JSON-stat de l'API d'Idescat</t>
        </is>
      </c>
    </row>
    <row r="1486" ht="15" customHeight="1" s="39">
      <c r="A1486" s="38" t="n">
        <v>2021</v>
      </c>
      <c r="B1486" s="42" t="inlineStr">
        <is>
          <t>431359</t>
        </is>
      </c>
      <c r="C1486" s="38" t="inlineStr">
        <is>
          <t>Salomó</t>
        </is>
      </c>
      <c r="D1486" s="38" t="inlineStr">
        <is>
          <t>Y056</t>
        </is>
      </c>
      <c r="E1486" s="38" t="inlineStr">
        <is>
          <t>56 anys</t>
        </is>
      </c>
      <c r="F1486" s="38" t="n">
        <v>56</v>
      </c>
      <c r="G1486" s="38" t="n">
        <v>4</v>
      </c>
      <c r="I1486" s="38" t="inlineStr">
        <is>
          <t>Total de tots els sexes; resposta JSON-stat de l'API d'Idescat</t>
        </is>
      </c>
    </row>
    <row r="1487" ht="15" customHeight="1" s="39">
      <c r="A1487" s="38" t="n">
        <v>2021</v>
      </c>
      <c r="B1487" s="42" t="inlineStr">
        <is>
          <t>431359</t>
        </is>
      </c>
      <c r="C1487" s="38" t="inlineStr">
        <is>
          <t>Salomó</t>
        </is>
      </c>
      <c r="D1487" s="38" t="inlineStr">
        <is>
          <t>Y057</t>
        </is>
      </c>
      <c r="E1487" s="38" t="inlineStr">
        <is>
          <t>57 anys</t>
        </is>
      </c>
      <c r="F1487" s="38" t="n">
        <v>57</v>
      </c>
      <c r="G1487" s="38" t="n">
        <v>7</v>
      </c>
      <c r="I1487" s="38" t="inlineStr">
        <is>
          <t>Total de tots els sexes; resposta JSON-stat de l'API d'Idescat</t>
        </is>
      </c>
    </row>
    <row r="1488" ht="15" customHeight="1" s="39">
      <c r="A1488" s="38" t="n">
        <v>2021</v>
      </c>
      <c r="B1488" s="42" t="inlineStr">
        <is>
          <t>431359</t>
        </is>
      </c>
      <c r="C1488" s="38" t="inlineStr">
        <is>
          <t>Salomó</t>
        </is>
      </c>
      <c r="D1488" s="38" t="inlineStr">
        <is>
          <t>Y058</t>
        </is>
      </c>
      <c r="E1488" s="38" t="inlineStr">
        <is>
          <t>58 anys</t>
        </is>
      </c>
      <c r="F1488" s="38" t="n">
        <v>58</v>
      </c>
      <c r="G1488" s="38" t="n">
        <v>9</v>
      </c>
      <c r="I1488" s="38" t="inlineStr">
        <is>
          <t>Total de tots els sexes; resposta JSON-stat de l'API d'Idescat</t>
        </is>
      </c>
    </row>
    <row r="1489" ht="15" customHeight="1" s="39">
      <c r="A1489" s="38" t="n">
        <v>2021</v>
      </c>
      <c r="B1489" s="42" t="inlineStr">
        <is>
          <t>431359</t>
        </is>
      </c>
      <c r="C1489" s="38" t="inlineStr">
        <is>
          <t>Salomó</t>
        </is>
      </c>
      <c r="D1489" s="38" t="inlineStr">
        <is>
          <t>Y059</t>
        </is>
      </c>
      <c r="E1489" s="38" t="inlineStr">
        <is>
          <t>59 anys</t>
        </is>
      </c>
      <c r="F1489" s="38" t="n">
        <v>59</v>
      </c>
      <c r="G1489" s="38" t="n">
        <v>12</v>
      </c>
      <c r="I1489" s="38" t="inlineStr">
        <is>
          <t>Total de tots els sexes; resposta JSON-stat de l'API d'Idescat</t>
        </is>
      </c>
    </row>
    <row r="1490" ht="15" customHeight="1" s="39">
      <c r="A1490" s="38" t="n">
        <v>2021</v>
      </c>
      <c r="B1490" s="42" t="inlineStr">
        <is>
          <t>431359</t>
        </is>
      </c>
      <c r="C1490" s="38" t="inlineStr">
        <is>
          <t>Salomó</t>
        </is>
      </c>
      <c r="D1490" s="38" t="inlineStr">
        <is>
          <t>Y060</t>
        </is>
      </c>
      <c r="E1490" s="38" t="inlineStr">
        <is>
          <t>60 anys</t>
        </is>
      </c>
      <c r="F1490" s="38" t="n">
        <v>60</v>
      </c>
      <c r="G1490" s="38" t="n">
        <v>7</v>
      </c>
      <c r="I1490" s="38" t="inlineStr">
        <is>
          <t>Total de tots els sexes; resposta JSON-stat de l'API d'Idescat</t>
        </is>
      </c>
    </row>
    <row r="1491" ht="15" customHeight="1" s="39">
      <c r="A1491" s="38" t="n">
        <v>2021</v>
      </c>
      <c r="B1491" s="42" t="inlineStr">
        <is>
          <t>431359</t>
        </is>
      </c>
      <c r="C1491" s="38" t="inlineStr">
        <is>
          <t>Salomó</t>
        </is>
      </c>
      <c r="D1491" s="38" t="inlineStr">
        <is>
          <t>Y061</t>
        </is>
      </c>
      <c r="E1491" s="38" t="inlineStr">
        <is>
          <t>61 anys</t>
        </is>
      </c>
      <c r="F1491" s="38" t="n">
        <v>61</v>
      </c>
      <c r="G1491" s="38" t="n">
        <v>5</v>
      </c>
      <c r="I1491" s="38" t="inlineStr">
        <is>
          <t>Total de tots els sexes; resposta JSON-stat de l'API d'Idescat</t>
        </is>
      </c>
    </row>
    <row r="1492" ht="15" customHeight="1" s="39">
      <c r="A1492" s="38" t="n">
        <v>2021</v>
      </c>
      <c r="B1492" s="42" t="inlineStr">
        <is>
          <t>431359</t>
        </is>
      </c>
      <c r="C1492" s="38" t="inlineStr">
        <is>
          <t>Salomó</t>
        </is>
      </c>
      <c r="D1492" s="38" t="inlineStr">
        <is>
          <t>Y062</t>
        </is>
      </c>
      <c r="E1492" s="38" t="inlineStr">
        <is>
          <t>62 anys</t>
        </is>
      </c>
      <c r="F1492" s="38" t="n">
        <v>62</v>
      </c>
      <c r="G1492" s="38" t="n">
        <v>6</v>
      </c>
      <c r="I1492" s="38" t="inlineStr">
        <is>
          <t>Total de tots els sexes; resposta JSON-stat de l'API d'Idescat</t>
        </is>
      </c>
    </row>
    <row r="1493" ht="15" customHeight="1" s="39">
      <c r="A1493" s="38" t="n">
        <v>2021</v>
      </c>
      <c r="B1493" s="42" t="inlineStr">
        <is>
          <t>431359</t>
        </is>
      </c>
      <c r="C1493" s="38" t="inlineStr">
        <is>
          <t>Salomó</t>
        </is>
      </c>
      <c r="D1493" s="38" t="inlineStr">
        <is>
          <t>Y063</t>
        </is>
      </c>
      <c r="E1493" s="38" t="inlineStr">
        <is>
          <t>63 anys</t>
        </is>
      </c>
      <c r="F1493" s="38" t="n">
        <v>63</v>
      </c>
      <c r="G1493" s="38" t="n">
        <v>7</v>
      </c>
      <c r="I1493" s="38" t="inlineStr">
        <is>
          <t>Total de tots els sexes; resposta JSON-stat de l'API d'Idescat</t>
        </is>
      </c>
    </row>
    <row r="1494" ht="15" customHeight="1" s="39">
      <c r="A1494" s="38" t="n">
        <v>2021</v>
      </c>
      <c r="B1494" s="42" t="inlineStr">
        <is>
          <t>431359</t>
        </is>
      </c>
      <c r="C1494" s="38" t="inlineStr">
        <is>
          <t>Salomó</t>
        </is>
      </c>
      <c r="D1494" s="38" t="inlineStr">
        <is>
          <t>Y064</t>
        </is>
      </c>
      <c r="E1494" s="38" t="inlineStr">
        <is>
          <t>64 anys</t>
        </is>
      </c>
      <c r="F1494" s="38" t="n">
        <v>64</v>
      </c>
      <c r="G1494" s="38" t="n">
        <v>10</v>
      </c>
      <c r="I1494" s="38" t="inlineStr">
        <is>
          <t>Total de tots els sexes; resposta JSON-stat de l'API d'Idescat</t>
        </is>
      </c>
    </row>
    <row r="1495" ht="15" customHeight="1" s="39">
      <c r="A1495" s="38" t="n">
        <v>2021</v>
      </c>
      <c r="B1495" s="42" t="inlineStr">
        <is>
          <t>431359</t>
        </is>
      </c>
      <c r="C1495" s="38" t="inlineStr">
        <is>
          <t>Salomó</t>
        </is>
      </c>
      <c r="D1495" s="38" t="inlineStr">
        <is>
          <t>Y065</t>
        </is>
      </c>
      <c r="E1495" s="38" t="inlineStr">
        <is>
          <t>65 anys</t>
        </is>
      </c>
      <c r="F1495" s="38" t="n">
        <v>65</v>
      </c>
      <c r="G1495" s="38" t="n">
        <v>3</v>
      </c>
      <c r="I1495" s="38" t="inlineStr">
        <is>
          <t>Total de tots els sexes; resposta JSON-stat de l'API d'Idescat</t>
        </is>
      </c>
    </row>
    <row r="1496" ht="15" customHeight="1" s="39">
      <c r="A1496" s="38" t="n">
        <v>2021</v>
      </c>
      <c r="B1496" s="42" t="inlineStr">
        <is>
          <t>431359</t>
        </is>
      </c>
      <c r="C1496" s="38" t="inlineStr">
        <is>
          <t>Salomó</t>
        </is>
      </c>
      <c r="D1496" s="38" t="inlineStr">
        <is>
          <t>Y066</t>
        </is>
      </c>
      <c r="E1496" s="38" t="inlineStr">
        <is>
          <t>66 anys</t>
        </is>
      </c>
      <c r="F1496" s="38" t="n">
        <v>66</v>
      </c>
      <c r="G1496" s="38" t="n">
        <v>9</v>
      </c>
      <c r="I1496" s="38" t="inlineStr">
        <is>
          <t>Total de tots els sexes; resposta JSON-stat de l'API d'Idescat</t>
        </is>
      </c>
    </row>
    <row r="1497" ht="15" customHeight="1" s="39">
      <c r="A1497" s="38" t="n">
        <v>2021</v>
      </c>
      <c r="B1497" s="42" t="inlineStr">
        <is>
          <t>431359</t>
        </is>
      </c>
      <c r="C1497" s="38" t="inlineStr">
        <is>
          <t>Salomó</t>
        </is>
      </c>
      <c r="D1497" s="38" t="inlineStr">
        <is>
          <t>Y067</t>
        </is>
      </c>
      <c r="E1497" s="38" t="inlineStr">
        <is>
          <t>67 anys</t>
        </is>
      </c>
      <c r="F1497" s="38" t="n">
        <v>67</v>
      </c>
      <c r="G1497" s="38" t="n">
        <v>1</v>
      </c>
      <c r="I1497" s="38" t="inlineStr">
        <is>
          <t>Total de tots els sexes; resposta JSON-stat de l'API d'Idescat</t>
        </is>
      </c>
    </row>
    <row r="1498" ht="15" customHeight="1" s="39">
      <c r="A1498" s="38" t="n">
        <v>2021</v>
      </c>
      <c r="B1498" s="42" t="inlineStr">
        <is>
          <t>431359</t>
        </is>
      </c>
      <c r="C1498" s="38" t="inlineStr">
        <is>
          <t>Salomó</t>
        </is>
      </c>
      <c r="D1498" s="38" t="inlineStr">
        <is>
          <t>Y068</t>
        </is>
      </c>
      <c r="E1498" s="38" t="inlineStr">
        <is>
          <t>68 anys</t>
        </is>
      </c>
      <c r="F1498" s="38" t="n">
        <v>68</v>
      </c>
      <c r="G1498" s="38" t="n">
        <v>4</v>
      </c>
      <c r="I1498" s="38" t="inlineStr">
        <is>
          <t>Total de tots els sexes; resposta JSON-stat de l'API d'Idescat</t>
        </is>
      </c>
    </row>
    <row r="1499" ht="15" customHeight="1" s="39">
      <c r="A1499" s="38" t="n">
        <v>2021</v>
      </c>
      <c r="B1499" s="42" t="inlineStr">
        <is>
          <t>431359</t>
        </is>
      </c>
      <c r="C1499" s="38" t="inlineStr">
        <is>
          <t>Salomó</t>
        </is>
      </c>
      <c r="D1499" s="38" t="inlineStr">
        <is>
          <t>Y069</t>
        </is>
      </c>
      <c r="E1499" s="38" t="inlineStr">
        <is>
          <t>69 anys</t>
        </is>
      </c>
      <c r="F1499" s="38" t="n">
        <v>69</v>
      </c>
      <c r="G1499" s="38" t="n">
        <v>6</v>
      </c>
      <c r="I1499" s="38" t="inlineStr">
        <is>
          <t>Total de tots els sexes; resposta JSON-stat de l'API d'Idescat</t>
        </is>
      </c>
    </row>
    <row r="1500" ht="15" customHeight="1" s="39">
      <c r="A1500" s="38" t="n">
        <v>2021</v>
      </c>
      <c r="B1500" s="42" t="inlineStr">
        <is>
          <t>431359</t>
        </is>
      </c>
      <c r="C1500" s="38" t="inlineStr">
        <is>
          <t>Salomó</t>
        </is>
      </c>
      <c r="D1500" s="38" t="inlineStr">
        <is>
          <t>Y070</t>
        </is>
      </c>
      <c r="E1500" s="38" t="inlineStr">
        <is>
          <t>70 anys</t>
        </is>
      </c>
      <c r="F1500" s="38" t="n">
        <v>70</v>
      </c>
      <c r="G1500" s="38" t="n">
        <v>4</v>
      </c>
      <c r="I1500" s="38" t="inlineStr">
        <is>
          <t>Total de tots els sexes; resposta JSON-stat de l'API d'Idescat</t>
        </is>
      </c>
    </row>
    <row r="1501" ht="15" customHeight="1" s="39">
      <c r="A1501" s="38" t="n">
        <v>2021</v>
      </c>
      <c r="B1501" s="42" t="inlineStr">
        <is>
          <t>431359</t>
        </is>
      </c>
      <c r="C1501" s="38" t="inlineStr">
        <is>
          <t>Salomó</t>
        </is>
      </c>
      <c r="D1501" s="38" t="inlineStr">
        <is>
          <t>Y071</t>
        </is>
      </c>
      <c r="E1501" s="38" t="inlineStr">
        <is>
          <t>71 anys</t>
        </is>
      </c>
      <c r="F1501" s="38" t="n">
        <v>71</v>
      </c>
      <c r="G1501" s="38" t="n">
        <v>3</v>
      </c>
      <c r="I1501" s="38" t="inlineStr">
        <is>
          <t>Total de tots els sexes; resposta JSON-stat de l'API d'Idescat</t>
        </is>
      </c>
    </row>
    <row r="1502" ht="15" customHeight="1" s="39">
      <c r="A1502" s="38" t="n">
        <v>2021</v>
      </c>
      <c r="B1502" s="42" t="inlineStr">
        <is>
          <t>431359</t>
        </is>
      </c>
      <c r="C1502" s="38" t="inlineStr">
        <is>
          <t>Salomó</t>
        </is>
      </c>
      <c r="D1502" s="38" t="inlineStr">
        <is>
          <t>Y072</t>
        </is>
      </c>
      <c r="E1502" s="38" t="inlineStr">
        <is>
          <t>72 anys</t>
        </is>
      </c>
      <c r="F1502" s="38" t="n">
        <v>72</v>
      </c>
      <c r="G1502" s="38" t="n">
        <v>5</v>
      </c>
      <c r="I1502" s="38" t="inlineStr">
        <is>
          <t>Total de tots els sexes; resposta JSON-stat de l'API d'Idescat</t>
        </is>
      </c>
    </row>
    <row r="1503" ht="15" customHeight="1" s="39">
      <c r="A1503" s="38" t="n">
        <v>2021</v>
      </c>
      <c r="B1503" s="42" t="inlineStr">
        <is>
          <t>431359</t>
        </is>
      </c>
      <c r="C1503" s="38" t="inlineStr">
        <is>
          <t>Salomó</t>
        </is>
      </c>
      <c r="D1503" s="38" t="inlineStr">
        <is>
          <t>Y073</t>
        </is>
      </c>
      <c r="E1503" s="38" t="inlineStr">
        <is>
          <t>73 anys</t>
        </is>
      </c>
      <c r="F1503" s="38" t="n">
        <v>73</v>
      </c>
      <c r="G1503" s="38" t="n">
        <v>5</v>
      </c>
      <c r="I1503" s="38" t="inlineStr">
        <is>
          <t>Total de tots els sexes; resposta JSON-stat de l'API d'Idescat</t>
        </is>
      </c>
    </row>
    <row r="1504" ht="15" customHeight="1" s="39">
      <c r="A1504" s="38" t="n">
        <v>2021</v>
      </c>
      <c r="B1504" s="42" t="inlineStr">
        <is>
          <t>431359</t>
        </is>
      </c>
      <c r="C1504" s="38" t="inlineStr">
        <is>
          <t>Salomó</t>
        </is>
      </c>
      <c r="D1504" s="38" t="inlineStr">
        <is>
          <t>Y074</t>
        </is>
      </c>
      <c r="E1504" s="38" t="inlineStr">
        <is>
          <t>74 anys</t>
        </is>
      </c>
      <c r="F1504" s="38" t="n">
        <v>74</v>
      </c>
      <c r="G1504" s="38" t="n">
        <v>10</v>
      </c>
      <c r="I1504" s="38" t="inlineStr">
        <is>
          <t>Total de tots els sexes; resposta JSON-stat de l'API d'Idescat</t>
        </is>
      </c>
    </row>
    <row r="1505" ht="15" customHeight="1" s="39">
      <c r="A1505" s="38" t="n">
        <v>2021</v>
      </c>
      <c r="B1505" s="42" t="inlineStr">
        <is>
          <t>431359</t>
        </is>
      </c>
      <c r="C1505" s="38" t="inlineStr">
        <is>
          <t>Salomó</t>
        </is>
      </c>
      <c r="D1505" s="38" t="inlineStr">
        <is>
          <t>Y075</t>
        </is>
      </c>
      <c r="E1505" s="38" t="inlineStr">
        <is>
          <t>75 anys</t>
        </is>
      </c>
      <c r="F1505" s="38" t="n">
        <v>75</v>
      </c>
      <c r="G1505" s="38" t="n">
        <v>6</v>
      </c>
      <c r="I1505" s="38" t="inlineStr">
        <is>
          <t>Total de tots els sexes; resposta JSON-stat de l'API d'Idescat</t>
        </is>
      </c>
    </row>
    <row r="1506" ht="15" customHeight="1" s="39">
      <c r="A1506" s="38" t="n">
        <v>2021</v>
      </c>
      <c r="B1506" s="42" t="inlineStr">
        <is>
          <t>431359</t>
        </is>
      </c>
      <c r="C1506" s="38" t="inlineStr">
        <is>
          <t>Salomó</t>
        </is>
      </c>
      <c r="D1506" s="38" t="inlineStr">
        <is>
          <t>Y076</t>
        </is>
      </c>
      <c r="E1506" s="38" t="inlineStr">
        <is>
          <t>76 anys</t>
        </is>
      </c>
      <c r="F1506" s="38" t="n">
        <v>76</v>
      </c>
      <c r="G1506" s="38" t="n">
        <v>2</v>
      </c>
      <c r="I1506" s="38" t="inlineStr">
        <is>
          <t>Total de tots els sexes; resposta JSON-stat de l'API d'Idescat</t>
        </is>
      </c>
    </row>
    <row r="1507" ht="15" customHeight="1" s="39">
      <c r="A1507" s="38" t="n">
        <v>2021</v>
      </c>
      <c r="B1507" s="42" t="inlineStr">
        <is>
          <t>431359</t>
        </is>
      </c>
      <c r="C1507" s="38" t="inlineStr">
        <is>
          <t>Salomó</t>
        </is>
      </c>
      <c r="D1507" s="38" t="inlineStr">
        <is>
          <t>Y077</t>
        </is>
      </c>
      <c r="E1507" s="38" t="inlineStr">
        <is>
          <t>77 anys</t>
        </is>
      </c>
      <c r="F1507" s="38" t="n">
        <v>77</v>
      </c>
      <c r="G1507" s="38" t="n">
        <v>1</v>
      </c>
      <c r="I1507" s="38" t="inlineStr">
        <is>
          <t>Total de tots els sexes; resposta JSON-stat de l'API d'Idescat</t>
        </is>
      </c>
    </row>
    <row r="1508" ht="15" customHeight="1" s="39">
      <c r="A1508" s="38" t="n">
        <v>2021</v>
      </c>
      <c r="B1508" s="42" t="inlineStr">
        <is>
          <t>431359</t>
        </is>
      </c>
      <c r="C1508" s="38" t="inlineStr">
        <is>
          <t>Salomó</t>
        </is>
      </c>
      <c r="D1508" s="38" t="inlineStr">
        <is>
          <t>Y078</t>
        </is>
      </c>
      <c r="E1508" s="38" t="inlineStr">
        <is>
          <t>78 anys</t>
        </is>
      </c>
      <c r="F1508" s="38" t="n">
        <v>78</v>
      </c>
      <c r="G1508" s="38" t="n">
        <v>4</v>
      </c>
      <c r="I1508" s="38" t="inlineStr">
        <is>
          <t>Total de tots els sexes; resposta JSON-stat de l'API d'Idescat</t>
        </is>
      </c>
    </row>
    <row r="1509" ht="15" customHeight="1" s="39">
      <c r="A1509" s="38" t="n">
        <v>2021</v>
      </c>
      <c r="B1509" s="42" t="inlineStr">
        <is>
          <t>431359</t>
        </is>
      </c>
      <c r="C1509" s="38" t="inlineStr">
        <is>
          <t>Salomó</t>
        </is>
      </c>
      <c r="D1509" s="38" t="inlineStr">
        <is>
          <t>Y079</t>
        </is>
      </c>
      <c r="E1509" s="38" t="inlineStr">
        <is>
          <t>79 anys</t>
        </is>
      </c>
      <c r="F1509" s="38" t="n">
        <v>79</v>
      </c>
      <c r="G1509" s="38" t="n">
        <v>1</v>
      </c>
      <c r="I1509" s="38" t="inlineStr">
        <is>
          <t>Total de tots els sexes; resposta JSON-stat de l'API d'Idescat</t>
        </is>
      </c>
    </row>
    <row r="1510" ht="15" customHeight="1" s="39">
      <c r="A1510" s="38" t="n">
        <v>2021</v>
      </c>
      <c r="B1510" s="42" t="inlineStr">
        <is>
          <t>431359</t>
        </is>
      </c>
      <c r="C1510" s="38" t="inlineStr">
        <is>
          <t>Salomó</t>
        </is>
      </c>
      <c r="D1510" s="38" t="inlineStr">
        <is>
          <t>Y080</t>
        </is>
      </c>
      <c r="E1510" s="38" t="inlineStr">
        <is>
          <t>80 anys</t>
        </is>
      </c>
      <c r="F1510" s="38" t="n">
        <v>80</v>
      </c>
      <c r="G1510" s="38" t="n">
        <v>3</v>
      </c>
      <c r="I1510" s="38" t="inlineStr">
        <is>
          <t>Total de tots els sexes; resposta JSON-stat de l'API d'Idescat</t>
        </is>
      </c>
    </row>
    <row r="1511" ht="15" customHeight="1" s="39">
      <c r="A1511" s="38" t="n">
        <v>2021</v>
      </c>
      <c r="B1511" s="42" t="inlineStr">
        <is>
          <t>431359</t>
        </is>
      </c>
      <c r="C1511" s="38" t="inlineStr">
        <is>
          <t>Salomó</t>
        </is>
      </c>
      <c r="D1511" s="38" t="inlineStr">
        <is>
          <t>Y081</t>
        </is>
      </c>
      <c r="E1511" s="38" t="inlineStr">
        <is>
          <t>81 anys</t>
        </is>
      </c>
      <c r="F1511" s="38" t="n">
        <v>81</v>
      </c>
      <c r="G1511" s="38" t="n">
        <v>2</v>
      </c>
      <c r="I1511" s="38" t="inlineStr">
        <is>
          <t>Total de tots els sexes; resposta JSON-stat de l'API d'Idescat</t>
        </is>
      </c>
    </row>
    <row r="1512" ht="15" customHeight="1" s="39">
      <c r="A1512" s="38" t="n">
        <v>2021</v>
      </c>
      <c r="B1512" s="42" t="inlineStr">
        <is>
          <t>431359</t>
        </is>
      </c>
      <c r="C1512" s="38" t="inlineStr">
        <is>
          <t>Salomó</t>
        </is>
      </c>
      <c r="D1512" s="38" t="inlineStr">
        <is>
          <t>Y082</t>
        </is>
      </c>
      <c r="E1512" s="38" t="inlineStr">
        <is>
          <t>82 anys</t>
        </is>
      </c>
      <c r="F1512" s="38" t="n">
        <v>82</v>
      </c>
      <c r="G1512" s="38" t="n">
        <v>2</v>
      </c>
      <c r="I1512" s="38" t="inlineStr">
        <is>
          <t>Total de tots els sexes; resposta JSON-stat de l'API d'Idescat</t>
        </is>
      </c>
    </row>
    <row r="1513" ht="15" customHeight="1" s="39">
      <c r="A1513" s="38" t="n">
        <v>2021</v>
      </c>
      <c r="B1513" s="42" t="inlineStr">
        <is>
          <t>431359</t>
        </is>
      </c>
      <c r="C1513" s="38" t="inlineStr">
        <is>
          <t>Salomó</t>
        </is>
      </c>
      <c r="D1513" s="38" t="inlineStr">
        <is>
          <t>Y083</t>
        </is>
      </c>
      <c r="E1513" s="38" t="inlineStr">
        <is>
          <t>83 anys</t>
        </is>
      </c>
      <c r="F1513" s="38" t="n">
        <v>83</v>
      </c>
      <c r="G1513" s="38" t="n">
        <v>5</v>
      </c>
      <c r="I1513" s="38" t="inlineStr">
        <is>
          <t>Total de tots els sexes; resposta JSON-stat de l'API d'Idescat</t>
        </is>
      </c>
    </row>
    <row r="1514" ht="15" customHeight="1" s="39">
      <c r="A1514" s="38" t="n">
        <v>2021</v>
      </c>
      <c r="B1514" s="42" t="inlineStr">
        <is>
          <t>431359</t>
        </is>
      </c>
      <c r="C1514" s="38" t="inlineStr">
        <is>
          <t>Salomó</t>
        </is>
      </c>
      <c r="D1514" s="38" t="inlineStr">
        <is>
          <t>Y084</t>
        </is>
      </c>
      <c r="E1514" s="38" t="inlineStr">
        <is>
          <t>84 anys</t>
        </is>
      </c>
      <c r="F1514" s="38" t="n">
        <v>84</v>
      </c>
      <c r="G1514" s="38" t="n">
        <v>6</v>
      </c>
      <c r="I1514" s="38" t="inlineStr">
        <is>
          <t>Total de tots els sexes; resposta JSON-stat de l'API d'Idescat</t>
        </is>
      </c>
    </row>
    <row r="1515" ht="15" customHeight="1" s="39">
      <c r="A1515" s="38" t="n">
        <v>2021</v>
      </c>
      <c r="B1515" s="42" t="inlineStr">
        <is>
          <t>431359</t>
        </is>
      </c>
      <c r="C1515" s="38" t="inlineStr">
        <is>
          <t>Salomó</t>
        </is>
      </c>
      <c r="D1515" s="38" t="inlineStr">
        <is>
          <t>Y085</t>
        </is>
      </c>
      <c r="E1515" s="38" t="inlineStr">
        <is>
          <t>85 anys</t>
        </is>
      </c>
      <c r="F1515" s="38" t="n">
        <v>85</v>
      </c>
      <c r="G1515" s="38" t="n">
        <v>1</v>
      </c>
      <c r="I1515" s="38" t="inlineStr">
        <is>
          <t>Total de tots els sexes; resposta JSON-stat de l'API d'Idescat</t>
        </is>
      </c>
    </row>
    <row r="1516" ht="15" customHeight="1" s="39">
      <c r="A1516" s="38" t="n">
        <v>2021</v>
      </c>
      <c r="B1516" s="42" t="inlineStr">
        <is>
          <t>431359</t>
        </is>
      </c>
      <c r="C1516" s="38" t="inlineStr">
        <is>
          <t>Salomó</t>
        </is>
      </c>
      <c r="D1516" s="38" t="inlineStr">
        <is>
          <t>Y086</t>
        </is>
      </c>
      <c r="E1516" s="38" t="inlineStr">
        <is>
          <t>86 anys</t>
        </is>
      </c>
      <c r="F1516" s="38" t="n">
        <v>86</v>
      </c>
      <c r="G1516" s="38" t="n">
        <v>4</v>
      </c>
      <c r="I1516" s="38" t="inlineStr">
        <is>
          <t>Total de tots els sexes; resposta JSON-stat de l'API d'Idescat</t>
        </is>
      </c>
    </row>
    <row r="1517" ht="15" customHeight="1" s="39">
      <c r="A1517" s="38" t="n">
        <v>2021</v>
      </c>
      <c r="B1517" s="42" t="inlineStr">
        <is>
          <t>431359</t>
        </is>
      </c>
      <c r="C1517" s="38" t="inlineStr">
        <is>
          <t>Salomó</t>
        </is>
      </c>
      <c r="D1517" s="38" t="inlineStr">
        <is>
          <t>Y087</t>
        </is>
      </c>
      <c r="E1517" s="38" t="inlineStr">
        <is>
          <t>87 anys</t>
        </is>
      </c>
      <c r="F1517" s="38" t="n">
        <v>87</v>
      </c>
      <c r="G1517" s="38" t="n">
        <v>2</v>
      </c>
      <c r="I1517" s="38" t="inlineStr">
        <is>
          <t>Total de tots els sexes; resposta JSON-stat de l'API d'Idescat</t>
        </is>
      </c>
    </row>
    <row r="1518" ht="15" customHeight="1" s="39">
      <c r="A1518" s="38" t="n">
        <v>2021</v>
      </c>
      <c r="B1518" s="42" t="inlineStr">
        <is>
          <t>431359</t>
        </is>
      </c>
      <c r="C1518" s="38" t="inlineStr">
        <is>
          <t>Salomó</t>
        </is>
      </c>
      <c r="D1518" s="38" t="inlineStr">
        <is>
          <t>Y088</t>
        </is>
      </c>
      <c r="E1518" s="38" t="inlineStr">
        <is>
          <t>88 anys</t>
        </is>
      </c>
      <c r="F1518" s="38" t="n">
        <v>88</v>
      </c>
      <c r="G1518" s="38" t="n">
        <v>5</v>
      </c>
      <c r="I1518" s="38" t="inlineStr">
        <is>
          <t>Total de tots els sexes; resposta JSON-stat de l'API d'Idescat</t>
        </is>
      </c>
    </row>
    <row r="1519" ht="15" customHeight="1" s="39">
      <c r="A1519" s="38" t="n">
        <v>2021</v>
      </c>
      <c r="B1519" s="42" t="inlineStr">
        <is>
          <t>431359</t>
        </is>
      </c>
      <c r="C1519" s="38" t="inlineStr">
        <is>
          <t>Salomó</t>
        </is>
      </c>
      <c r="D1519" s="38" t="inlineStr">
        <is>
          <t>Y089</t>
        </is>
      </c>
      <c r="E1519" s="38" t="inlineStr">
        <is>
          <t>89 anys</t>
        </is>
      </c>
      <c r="F1519" s="38" t="n">
        <v>89</v>
      </c>
      <c r="G1519" s="38" t="n">
        <v>2</v>
      </c>
      <c r="I1519" s="38" t="inlineStr">
        <is>
          <t>Total de tots els sexes; resposta JSON-stat de l'API d'Idescat</t>
        </is>
      </c>
    </row>
    <row r="1520" ht="15" customHeight="1" s="39">
      <c r="A1520" s="38" t="n">
        <v>2021</v>
      </c>
      <c r="B1520" s="42" t="inlineStr">
        <is>
          <t>431359</t>
        </is>
      </c>
      <c r="C1520" s="38" t="inlineStr">
        <is>
          <t>Salomó</t>
        </is>
      </c>
      <c r="D1520" s="38" t="inlineStr">
        <is>
          <t>Y090</t>
        </is>
      </c>
      <c r="E1520" s="38" t="inlineStr">
        <is>
          <t>90 anys</t>
        </is>
      </c>
      <c r="F1520" s="38" t="n">
        <v>90</v>
      </c>
      <c r="G1520" s="38" t="n">
        <v>2</v>
      </c>
      <c r="I1520" s="38" t="inlineStr">
        <is>
          <t>Total de tots els sexes; resposta JSON-stat de l'API d'Idescat</t>
        </is>
      </c>
    </row>
    <row r="1521" ht="15" customHeight="1" s="39">
      <c r="A1521" s="38" t="n">
        <v>2021</v>
      </c>
      <c r="B1521" s="42" t="inlineStr">
        <is>
          <t>431359</t>
        </is>
      </c>
      <c r="C1521" s="38" t="inlineStr">
        <is>
          <t>Salomó</t>
        </is>
      </c>
      <c r="D1521" s="38" t="inlineStr">
        <is>
          <t>Y091</t>
        </is>
      </c>
      <c r="E1521" s="38" t="inlineStr">
        <is>
          <t>91 anys</t>
        </is>
      </c>
      <c r="F1521" s="38" t="n">
        <v>91</v>
      </c>
      <c r="G1521" s="38" t="n">
        <v>5</v>
      </c>
      <c r="I1521" s="38" t="inlineStr">
        <is>
          <t>Total de tots els sexes; resposta JSON-stat de l'API d'Idescat</t>
        </is>
      </c>
    </row>
    <row r="1522" ht="15" customHeight="1" s="39">
      <c r="A1522" s="38" t="n">
        <v>2021</v>
      </c>
      <c r="B1522" s="42" t="inlineStr">
        <is>
          <t>431359</t>
        </is>
      </c>
      <c r="C1522" s="38" t="inlineStr">
        <is>
          <t>Salomó</t>
        </is>
      </c>
      <c r="D1522" s="38" t="inlineStr">
        <is>
          <t>Y092</t>
        </is>
      </c>
      <c r="E1522" s="38" t="inlineStr">
        <is>
          <t>92 anys</t>
        </is>
      </c>
      <c r="F1522" s="38" t="n">
        <v>92</v>
      </c>
      <c r="G1522" s="38" t="n">
        <v>0</v>
      </c>
      <c r="I1522" s="38" t="inlineStr">
        <is>
          <t>Total de tots els sexes; resposta JSON-stat de l'API d'Idescat</t>
        </is>
      </c>
    </row>
    <row r="1523" ht="15" customHeight="1" s="39">
      <c r="A1523" s="38" t="n">
        <v>2021</v>
      </c>
      <c r="B1523" s="42" t="inlineStr">
        <is>
          <t>431359</t>
        </is>
      </c>
      <c r="C1523" s="38" t="inlineStr">
        <is>
          <t>Salomó</t>
        </is>
      </c>
      <c r="D1523" s="38" t="inlineStr">
        <is>
          <t>Y093</t>
        </is>
      </c>
      <c r="E1523" s="38" t="inlineStr">
        <is>
          <t>93 anys</t>
        </is>
      </c>
      <c r="F1523" s="38" t="n">
        <v>93</v>
      </c>
      <c r="G1523" s="38" t="n">
        <v>0</v>
      </c>
      <c r="I1523" s="38" t="inlineStr">
        <is>
          <t>Total de tots els sexes; resposta JSON-stat de l'API d'Idescat</t>
        </is>
      </c>
    </row>
    <row r="1524" ht="15" customHeight="1" s="39">
      <c r="A1524" s="38" t="n">
        <v>2021</v>
      </c>
      <c r="B1524" s="42" t="inlineStr">
        <is>
          <t>431359</t>
        </is>
      </c>
      <c r="C1524" s="38" t="inlineStr">
        <is>
          <t>Salomó</t>
        </is>
      </c>
      <c r="D1524" s="38" t="inlineStr">
        <is>
          <t>Y094</t>
        </is>
      </c>
      <c r="E1524" s="38" t="inlineStr">
        <is>
          <t>94 anys</t>
        </is>
      </c>
      <c r="F1524" s="38" t="n">
        <v>94</v>
      </c>
      <c r="G1524" s="38" t="n">
        <v>1</v>
      </c>
      <c r="I1524" s="38" t="inlineStr">
        <is>
          <t>Total de tots els sexes; resposta JSON-stat de l'API d'Idescat</t>
        </is>
      </c>
    </row>
    <row r="1525" ht="15" customHeight="1" s="39">
      <c r="A1525" s="38" t="n">
        <v>2021</v>
      </c>
      <c r="B1525" s="42" t="inlineStr">
        <is>
          <t>431359</t>
        </is>
      </c>
      <c r="C1525" s="38" t="inlineStr">
        <is>
          <t>Salomó</t>
        </is>
      </c>
      <c r="D1525" s="38" t="inlineStr">
        <is>
          <t>Y095</t>
        </is>
      </c>
      <c r="E1525" s="38" t="inlineStr">
        <is>
          <t>95 anys</t>
        </is>
      </c>
      <c r="F1525" s="38" t="n">
        <v>95</v>
      </c>
      <c r="G1525" s="38" t="n">
        <v>2</v>
      </c>
      <c r="I1525" s="38" t="inlineStr">
        <is>
          <t>Total de tots els sexes; resposta JSON-stat de l'API d'Idescat</t>
        </is>
      </c>
    </row>
    <row r="1526" ht="15" customHeight="1" s="39">
      <c r="A1526" s="38" t="n">
        <v>2021</v>
      </c>
      <c r="B1526" s="42" t="inlineStr">
        <is>
          <t>431359</t>
        </is>
      </c>
      <c r="C1526" s="38" t="inlineStr">
        <is>
          <t>Salomó</t>
        </is>
      </c>
      <c r="D1526" s="38" t="inlineStr">
        <is>
          <t>Y096</t>
        </is>
      </c>
      <c r="E1526" s="38" t="inlineStr">
        <is>
          <t>96 anys</t>
        </is>
      </c>
      <c r="F1526" s="38" t="n">
        <v>96</v>
      </c>
      <c r="G1526" s="38" t="n">
        <v>0</v>
      </c>
      <c r="I1526" s="38" t="inlineStr">
        <is>
          <t>Total de tots els sexes; resposta JSON-stat de l'API d'Idescat</t>
        </is>
      </c>
    </row>
    <row r="1527" ht="15" customHeight="1" s="39">
      <c r="A1527" s="38" t="n">
        <v>2021</v>
      </c>
      <c r="B1527" s="42" t="inlineStr">
        <is>
          <t>431359</t>
        </is>
      </c>
      <c r="C1527" s="38" t="inlineStr">
        <is>
          <t>Salomó</t>
        </is>
      </c>
      <c r="D1527" s="38" t="inlineStr">
        <is>
          <t>Y097</t>
        </is>
      </c>
      <c r="E1527" s="38" t="inlineStr">
        <is>
          <t>97 anys</t>
        </is>
      </c>
      <c r="F1527" s="38" t="n">
        <v>97</v>
      </c>
      <c r="G1527" s="38" t="n">
        <v>1</v>
      </c>
      <c r="I1527" s="38" t="inlineStr">
        <is>
          <t>Total de tots els sexes; resposta JSON-stat de l'API d'Idescat</t>
        </is>
      </c>
    </row>
    <row r="1528" ht="15" customHeight="1" s="39">
      <c r="A1528" s="38" t="n">
        <v>2021</v>
      </c>
      <c r="B1528" s="42" t="inlineStr">
        <is>
          <t>431359</t>
        </is>
      </c>
      <c r="C1528" s="38" t="inlineStr">
        <is>
          <t>Salomó</t>
        </is>
      </c>
      <c r="D1528" s="38" t="inlineStr">
        <is>
          <t>Y098</t>
        </is>
      </c>
      <c r="E1528" s="38" t="inlineStr">
        <is>
          <t>98 anys</t>
        </is>
      </c>
      <c r="F1528" s="38" t="n">
        <v>98</v>
      </c>
      <c r="G1528" s="38" t="n">
        <v>0</v>
      </c>
      <c r="I1528" s="38" t="inlineStr">
        <is>
          <t>Total de tots els sexes; resposta JSON-stat de l'API d'Idescat</t>
        </is>
      </c>
    </row>
    <row r="1529" ht="15" customHeight="1" s="39">
      <c r="A1529" s="38" t="n">
        <v>2021</v>
      </c>
      <c r="B1529" s="42" t="inlineStr">
        <is>
          <t>431359</t>
        </is>
      </c>
      <c r="C1529" s="38" t="inlineStr">
        <is>
          <t>Salomó</t>
        </is>
      </c>
      <c r="D1529" s="38" t="inlineStr">
        <is>
          <t>Y099</t>
        </is>
      </c>
      <c r="E1529" s="38" t="inlineStr">
        <is>
          <t>99 anys</t>
        </is>
      </c>
      <c r="F1529" s="38" t="n">
        <v>99</v>
      </c>
      <c r="G1529" s="38" t="n">
        <v>0</v>
      </c>
      <c r="I1529" s="38" t="inlineStr">
        <is>
          <t>Total de tots els sexes; resposta JSON-stat de l'API d'Idescat</t>
        </is>
      </c>
    </row>
    <row r="1530" ht="15" customHeight="1" s="39">
      <c r="A1530" s="38" t="n">
        <v>2021</v>
      </c>
      <c r="B1530" s="42" t="inlineStr">
        <is>
          <t>431359</t>
        </is>
      </c>
      <c r="C1530" s="38" t="inlineStr">
        <is>
          <t>Salomó</t>
        </is>
      </c>
      <c r="D1530" s="38" t="inlineStr">
        <is>
          <t>Y_GE100</t>
        </is>
      </c>
      <c r="E1530" s="38" t="inlineStr">
        <is>
          <t>100 anys o més</t>
        </is>
      </c>
      <c r="F1530" s="38" t="n">
        <v>100</v>
      </c>
      <c r="G1530" s="38" t="n">
        <v>0</v>
      </c>
      <c r="I1530" s="38" t="inlineStr">
        <is>
          <t>Total de tots els sexes; resposta JSON-stat de l'API d'Idescat</t>
        </is>
      </c>
    </row>
    <row r="1531" ht="15" customHeight="1" s="39">
      <c r="A1531" s="38" t="n">
        <v>2021</v>
      </c>
      <c r="B1531" s="42" t="inlineStr">
        <is>
          <t>431359</t>
        </is>
      </c>
      <c r="C1531" s="38" t="inlineStr">
        <is>
          <t>Salomó</t>
        </is>
      </c>
      <c r="D1531" s="38" t="inlineStr">
        <is>
          <t>TOTAL</t>
        </is>
      </c>
      <c r="E1531" s="38" t="inlineStr">
        <is>
          <t>total</t>
        </is>
      </c>
      <c r="G1531" s="38" t="n">
        <v>542</v>
      </c>
      <c r="I1531" s="38" t="inlineStr">
        <is>
          <t>Total de tots els sexes; resposta JSON-stat de l'API d'Idescat</t>
        </is>
      </c>
    </row>
    <row r="1532" ht="15" customHeight="1" s="39">
      <c r="A1532" s="38" t="n">
        <v>2021</v>
      </c>
      <c r="B1532" s="42" t="inlineStr">
        <is>
          <t>439057</t>
        </is>
      </c>
      <c r="C1532" s="38" t="inlineStr">
        <is>
          <t>Salou</t>
        </is>
      </c>
      <c r="D1532" s="38" t="inlineStr">
        <is>
          <t>Y000</t>
        </is>
      </c>
      <c r="E1532" s="38" t="inlineStr">
        <is>
          <t>0 anys</t>
        </is>
      </c>
      <c r="F1532" s="38" t="n">
        <v>0</v>
      </c>
      <c r="G1532" s="38" t="n">
        <v>231</v>
      </c>
      <c r="I1532" s="38" t="inlineStr">
        <is>
          <t>Total de tots els sexes; resposta JSON-stat de l'API d'Idescat</t>
        </is>
      </c>
    </row>
    <row r="1533" ht="15" customHeight="1" s="39">
      <c r="A1533" s="38" t="n">
        <v>2021</v>
      </c>
      <c r="B1533" s="42" t="inlineStr">
        <is>
          <t>439057</t>
        </is>
      </c>
      <c r="C1533" s="38" t="inlineStr">
        <is>
          <t>Salou</t>
        </is>
      </c>
      <c r="D1533" s="38" t="inlineStr">
        <is>
          <t>Y001</t>
        </is>
      </c>
      <c r="E1533" s="38" t="inlineStr">
        <is>
          <t>1 any</t>
        </is>
      </c>
      <c r="F1533" s="38" t="n">
        <v>1</v>
      </c>
      <c r="G1533" s="38" t="n">
        <v>262</v>
      </c>
      <c r="I1533" s="38" t="inlineStr">
        <is>
          <t>Total de tots els sexes; resposta JSON-stat de l'API d'Idescat</t>
        </is>
      </c>
    </row>
    <row r="1534" ht="15" customHeight="1" s="39">
      <c r="A1534" s="38" t="n">
        <v>2021</v>
      </c>
      <c r="B1534" s="42" t="inlineStr">
        <is>
          <t>439057</t>
        </is>
      </c>
      <c r="C1534" s="38" t="inlineStr">
        <is>
          <t>Salou</t>
        </is>
      </c>
      <c r="D1534" s="38" t="inlineStr">
        <is>
          <t>Y002</t>
        </is>
      </c>
      <c r="E1534" s="38" t="inlineStr">
        <is>
          <t>2 anys</t>
        </is>
      </c>
      <c r="F1534" s="38" t="n">
        <v>2</v>
      </c>
      <c r="G1534" s="38" t="n">
        <v>274</v>
      </c>
      <c r="I1534" s="38" t="inlineStr">
        <is>
          <t>Total de tots els sexes; resposta JSON-stat de l'API d'Idescat</t>
        </is>
      </c>
    </row>
    <row r="1535" ht="15" customHeight="1" s="39">
      <c r="A1535" s="38" t="n">
        <v>2021</v>
      </c>
      <c r="B1535" s="42" t="inlineStr">
        <is>
          <t>439057</t>
        </is>
      </c>
      <c r="C1535" s="38" t="inlineStr">
        <is>
          <t>Salou</t>
        </is>
      </c>
      <c r="D1535" s="38" t="inlineStr">
        <is>
          <t>Y003</t>
        </is>
      </c>
      <c r="E1535" s="38" t="inlineStr">
        <is>
          <t>3 anys</t>
        </is>
      </c>
      <c r="F1535" s="38" t="n">
        <v>3</v>
      </c>
      <c r="G1535" s="38" t="n">
        <v>265</v>
      </c>
      <c r="I1535" s="38" t="inlineStr">
        <is>
          <t>Total de tots els sexes; resposta JSON-stat de l'API d'Idescat</t>
        </is>
      </c>
    </row>
    <row r="1536" ht="15" customHeight="1" s="39">
      <c r="A1536" s="38" t="n">
        <v>2021</v>
      </c>
      <c r="B1536" s="42" t="inlineStr">
        <is>
          <t>439057</t>
        </is>
      </c>
      <c r="C1536" s="38" t="inlineStr">
        <is>
          <t>Salou</t>
        </is>
      </c>
      <c r="D1536" s="38" t="inlineStr">
        <is>
          <t>Y004</t>
        </is>
      </c>
      <c r="E1536" s="38" t="inlineStr">
        <is>
          <t>4 anys</t>
        </is>
      </c>
      <c r="F1536" s="38" t="n">
        <v>4</v>
      </c>
      <c r="G1536" s="38" t="n">
        <v>274</v>
      </c>
      <c r="I1536" s="38" t="inlineStr">
        <is>
          <t>Total de tots els sexes; resposta JSON-stat de l'API d'Idescat</t>
        </is>
      </c>
    </row>
    <row r="1537" ht="15" customHeight="1" s="39">
      <c r="A1537" s="38" t="n">
        <v>2021</v>
      </c>
      <c r="B1537" s="42" t="inlineStr">
        <is>
          <t>439057</t>
        </is>
      </c>
      <c r="C1537" s="38" t="inlineStr">
        <is>
          <t>Salou</t>
        </is>
      </c>
      <c r="D1537" s="38" t="inlineStr">
        <is>
          <t>Y005</t>
        </is>
      </c>
      <c r="E1537" s="38" t="inlineStr">
        <is>
          <t>5 anys</t>
        </is>
      </c>
      <c r="F1537" s="38" t="n">
        <v>5</v>
      </c>
      <c r="G1537" s="38" t="n">
        <v>308</v>
      </c>
      <c r="I1537" s="38" t="inlineStr">
        <is>
          <t>Total de tots els sexes; resposta JSON-stat de l'API d'Idescat</t>
        </is>
      </c>
    </row>
    <row r="1538" ht="15" customHeight="1" s="39">
      <c r="A1538" s="38" t="n">
        <v>2021</v>
      </c>
      <c r="B1538" s="42" t="inlineStr">
        <is>
          <t>439057</t>
        </is>
      </c>
      <c r="C1538" s="38" t="inlineStr">
        <is>
          <t>Salou</t>
        </is>
      </c>
      <c r="D1538" s="38" t="inlineStr">
        <is>
          <t>Y006</t>
        </is>
      </c>
      <c r="E1538" s="38" t="inlineStr">
        <is>
          <t>6 anys</t>
        </is>
      </c>
      <c r="F1538" s="38" t="n">
        <v>6</v>
      </c>
      <c r="G1538" s="38" t="n">
        <v>283</v>
      </c>
      <c r="I1538" s="38" t="inlineStr">
        <is>
          <t>Total de tots els sexes; resposta JSON-stat de l'API d'Idescat</t>
        </is>
      </c>
    </row>
    <row r="1539" ht="15" customHeight="1" s="39">
      <c r="A1539" s="38" t="n">
        <v>2021</v>
      </c>
      <c r="B1539" s="42" t="inlineStr">
        <is>
          <t>439057</t>
        </is>
      </c>
      <c r="C1539" s="38" t="inlineStr">
        <is>
          <t>Salou</t>
        </is>
      </c>
      <c r="D1539" s="38" t="inlineStr">
        <is>
          <t>Y007</t>
        </is>
      </c>
      <c r="E1539" s="38" t="inlineStr">
        <is>
          <t>7 anys</t>
        </is>
      </c>
      <c r="F1539" s="38" t="n">
        <v>7</v>
      </c>
      <c r="G1539" s="38" t="n">
        <v>286</v>
      </c>
      <c r="I1539" s="38" t="inlineStr">
        <is>
          <t>Total de tots els sexes; resposta JSON-stat de l'API d'Idescat</t>
        </is>
      </c>
    </row>
    <row r="1540" ht="15" customHeight="1" s="39">
      <c r="A1540" s="38" t="n">
        <v>2021</v>
      </c>
      <c r="B1540" s="42" t="inlineStr">
        <is>
          <t>439057</t>
        </is>
      </c>
      <c r="C1540" s="38" t="inlineStr">
        <is>
          <t>Salou</t>
        </is>
      </c>
      <c r="D1540" s="38" t="inlineStr">
        <is>
          <t>Y008</t>
        </is>
      </c>
      <c r="E1540" s="38" t="inlineStr">
        <is>
          <t>8 anys</t>
        </is>
      </c>
      <c r="F1540" s="38" t="n">
        <v>8</v>
      </c>
      <c r="G1540" s="38" t="n">
        <v>291</v>
      </c>
      <c r="I1540" s="38" t="inlineStr">
        <is>
          <t>Total de tots els sexes; resposta JSON-stat de l'API d'Idescat</t>
        </is>
      </c>
    </row>
    <row r="1541" ht="15" customHeight="1" s="39">
      <c r="A1541" s="38" t="n">
        <v>2021</v>
      </c>
      <c r="B1541" s="42" t="inlineStr">
        <is>
          <t>439057</t>
        </is>
      </c>
      <c r="C1541" s="38" t="inlineStr">
        <is>
          <t>Salou</t>
        </is>
      </c>
      <c r="D1541" s="38" t="inlineStr">
        <is>
          <t>Y009</t>
        </is>
      </c>
      <c r="E1541" s="38" t="inlineStr">
        <is>
          <t>9 anys</t>
        </is>
      </c>
      <c r="F1541" s="38" t="n">
        <v>9</v>
      </c>
      <c r="G1541" s="38" t="n">
        <v>300</v>
      </c>
      <c r="I1541" s="38" t="inlineStr">
        <is>
          <t>Total de tots els sexes; resposta JSON-stat de l'API d'Idescat</t>
        </is>
      </c>
    </row>
    <row r="1542" ht="15" customHeight="1" s="39">
      <c r="A1542" s="38" t="n">
        <v>2021</v>
      </c>
      <c r="B1542" s="42" t="inlineStr">
        <is>
          <t>439057</t>
        </is>
      </c>
      <c r="C1542" s="38" t="inlineStr">
        <is>
          <t>Salou</t>
        </is>
      </c>
      <c r="D1542" s="38" t="inlineStr">
        <is>
          <t>Y010</t>
        </is>
      </c>
      <c r="E1542" s="38" t="inlineStr">
        <is>
          <t>10 anys</t>
        </is>
      </c>
      <c r="F1542" s="38" t="n">
        <v>10</v>
      </c>
      <c r="G1542" s="38" t="n">
        <v>302</v>
      </c>
      <c r="I1542" s="38" t="inlineStr">
        <is>
          <t>Total de tots els sexes; resposta JSON-stat de l'API d'Idescat</t>
        </is>
      </c>
    </row>
    <row r="1543" ht="15" customHeight="1" s="39">
      <c r="A1543" s="38" t="n">
        <v>2021</v>
      </c>
      <c r="B1543" s="42" t="inlineStr">
        <is>
          <t>439057</t>
        </is>
      </c>
      <c r="C1543" s="38" t="inlineStr">
        <is>
          <t>Salou</t>
        </is>
      </c>
      <c r="D1543" s="38" t="inlineStr">
        <is>
          <t>Y011</t>
        </is>
      </c>
      <c r="E1543" s="38" t="inlineStr">
        <is>
          <t>11 anys</t>
        </is>
      </c>
      <c r="F1543" s="38" t="n">
        <v>11</v>
      </c>
      <c r="G1543" s="38" t="n">
        <v>327</v>
      </c>
      <c r="I1543" s="38" t="inlineStr">
        <is>
          <t>Total de tots els sexes; resposta JSON-stat de l'API d'Idescat</t>
        </is>
      </c>
    </row>
    <row r="1544" ht="15" customHeight="1" s="39">
      <c r="A1544" s="38" t="n">
        <v>2021</v>
      </c>
      <c r="B1544" s="42" t="inlineStr">
        <is>
          <t>439057</t>
        </is>
      </c>
      <c r="C1544" s="38" t="inlineStr">
        <is>
          <t>Salou</t>
        </is>
      </c>
      <c r="D1544" s="38" t="inlineStr">
        <is>
          <t>Y012</t>
        </is>
      </c>
      <c r="E1544" s="38" t="inlineStr">
        <is>
          <t>12 anys</t>
        </is>
      </c>
      <c r="F1544" s="38" t="n">
        <v>12</v>
      </c>
      <c r="G1544" s="38" t="n">
        <v>337</v>
      </c>
      <c r="I1544" s="38" t="inlineStr">
        <is>
          <t>Total de tots els sexes; resposta JSON-stat de l'API d'Idescat</t>
        </is>
      </c>
    </row>
    <row r="1545" ht="15" customHeight="1" s="39">
      <c r="A1545" s="38" t="n">
        <v>2021</v>
      </c>
      <c r="B1545" s="42" t="inlineStr">
        <is>
          <t>439057</t>
        </is>
      </c>
      <c r="C1545" s="38" t="inlineStr">
        <is>
          <t>Salou</t>
        </is>
      </c>
      <c r="D1545" s="38" t="inlineStr">
        <is>
          <t>Y013</t>
        </is>
      </c>
      <c r="E1545" s="38" t="inlineStr">
        <is>
          <t>13 anys</t>
        </is>
      </c>
      <c r="F1545" s="38" t="n">
        <v>13</v>
      </c>
      <c r="G1545" s="38" t="n">
        <v>337</v>
      </c>
      <c r="I1545" s="38" t="inlineStr">
        <is>
          <t>Total de tots els sexes; resposta JSON-stat de l'API d'Idescat</t>
        </is>
      </c>
    </row>
    <row r="1546" ht="15" customHeight="1" s="39">
      <c r="A1546" s="38" t="n">
        <v>2021</v>
      </c>
      <c r="B1546" s="42" t="inlineStr">
        <is>
          <t>439057</t>
        </is>
      </c>
      <c r="C1546" s="38" t="inlineStr">
        <is>
          <t>Salou</t>
        </is>
      </c>
      <c r="D1546" s="38" t="inlineStr">
        <is>
          <t>Y014</t>
        </is>
      </c>
      <c r="E1546" s="38" t="inlineStr">
        <is>
          <t>14 anys</t>
        </is>
      </c>
      <c r="F1546" s="38" t="n">
        <v>14</v>
      </c>
      <c r="G1546" s="38" t="n">
        <v>289</v>
      </c>
      <c r="I1546" s="38" t="inlineStr">
        <is>
          <t>Total de tots els sexes; resposta JSON-stat de l'API d'Idescat</t>
        </is>
      </c>
    </row>
    <row r="1547" ht="15" customHeight="1" s="39">
      <c r="A1547" s="38" t="n">
        <v>2021</v>
      </c>
      <c r="B1547" s="42" t="inlineStr">
        <is>
          <t>439057</t>
        </is>
      </c>
      <c r="C1547" s="38" t="inlineStr">
        <is>
          <t>Salou</t>
        </is>
      </c>
      <c r="D1547" s="38" t="inlineStr">
        <is>
          <t>Y015</t>
        </is>
      </c>
      <c r="E1547" s="38" t="inlineStr">
        <is>
          <t>15 anys</t>
        </is>
      </c>
      <c r="F1547" s="38" t="n">
        <v>15</v>
      </c>
      <c r="G1547" s="38" t="n">
        <v>262</v>
      </c>
      <c r="I1547" s="38" t="inlineStr">
        <is>
          <t>Total de tots els sexes; resposta JSON-stat de l'API d'Idescat</t>
        </is>
      </c>
    </row>
    <row r="1548" ht="15" customHeight="1" s="39">
      <c r="A1548" s="38" t="n">
        <v>2021</v>
      </c>
      <c r="B1548" s="42" t="inlineStr">
        <is>
          <t>439057</t>
        </is>
      </c>
      <c r="C1548" s="38" t="inlineStr">
        <is>
          <t>Salou</t>
        </is>
      </c>
      <c r="D1548" s="38" t="inlineStr">
        <is>
          <t>Y016</t>
        </is>
      </c>
      <c r="E1548" s="38" t="inlineStr">
        <is>
          <t>16 anys</t>
        </is>
      </c>
      <c r="F1548" s="38" t="n">
        <v>16</v>
      </c>
      <c r="G1548" s="38" t="n">
        <v>286</v>
      </c>
      <c r="I1548" s="38" t="inlineStr">
        <is>
          <t>Total de tots els sexes; resposta JSON-stat de l'API d'Idescat</t>
        </is>
      </c>
    </row>
    <row r="1549" ht="15" customHeight="1" s="39">
      <c r="A1549" s="38" t="n">
        <v>2021</v>
      </c>
      <c r="B1549" s="42" t="inlineStr">
        <is>
          <t>439057</t>
        </is>
      </c>
      <c r="C1549" s="38" t="inlineStr">
        <is>
          <t>Salou</t>
        </is>
      </c>
      <c r="D1549" s="38" t="inlineStr">
        <is>
          <t>Y017</t>
        </is>
      </c>
      <c r="E1549" s="38" t="inlineStr">
        <is>
          <t>17 anys</t>
        </is>
      </c>
      <c r="F1549" s="38" t="n">
        <v>17</v>
      </c>
      <c r="G1549" s="38" t="n">
        <v>263</v>
      </c>
      <c r="I1549" s="38" t="inlineStr">
        <is>
          <t>Total de tots els sexes; resposta JSON-stat de l'API d'Idescat</t>
        </is>
      </c>
    </row>
    <row r="1550" ht="15" customHeight="1" s="39">
      <c r="A1550" s="38" t="n">
        <v>2021</v>
      </c>
      <c r="B1550" s="42" t="inlineStr">
        <is>
          <t>439057</t>
        </is>
      </c>
      <c r="C1550" s="38" t="inlineStr">
        <is>
          <t>Salou</t>
        </is>
      </c>
      <c r="D1550" s="38" t="inlineStr">
        <is>
          <t>Y018</t>
        </is>
      </c>
      <c r="E1550" s="38" t="inlineStr">
        <is>
          <t>18 anys</t>
        </is>
      </c>
      <c r="F1550" s="38" t="n">
        <v>18</v>
      </c>
      <c r="G1550" s="38" t="n">
        <v>254</v>
      </c>
      <c r="I1550" s="38" t="inlineStr">
        <is>
          <t>Total de tots els sexes; resposta JSON-stat de l'API d'Idescat</t>
        </is>
      </c>
    </row>
    <row r="1551" ht="15" customHeight="1" s="39">
      <c r="A1551" s="38" t="n">
        <v>2021</v>
      </c>
      <c r="B1551" s="42" t="inlineStr">
        <is>
          <t>439057</t>
        </is>
      </c>
      <c r="C1551" s="38" t="inlineStr">
        <is>
          <t>Salou</t>
        </is>
      </c>
      <c r="D1551" s="38" t="inlineStr">
        <is>
          <t>Y019</t>
        </is>
      </c>
      <c r="E1551" s="38" t="inlineStr">
        <is>
          <t>19 anys</t>
        </is>
      </c>
      <c r="F1551" s="38" t="n">
        <v>19</v>
      </c>
      <c r="G1551" s="38" t="n">
        <v>257</v>
      </c>
      <c r="I1551" s="38" t="inlineStr">
        <is>
          <t>Total de tots els sexes; resposta JSON-stat de l'API d'Idescat</t>
        </is>
      </c>
    </row>
    <row r="1552" ht="15" customHeight="1" s="39">
      <c r="A1552" s="38" t="n">
        <v>2021</v>
      </c>
      <c r="B1552" s="42" t="inlineStr">
        <is>
          <t>439057</t>
        </is>
      </c>
      <c r="C1552" s="38" t="inlineStr">
        <is>
          <t>Salou</t>
        </is>
      </c>
      <c r="D1552" s="38" t="inlineStr">
        <is>
          <t>Y020</t>
        </is>
      </c>
      <c r="E1552" s="38" t="inlineStr">
        <is>
          <t>20 anys</t>
        </is>
      </c>
      <c r="F1552" s="38" t="n">
        <v>20</v>
      </c>
      <c r="G1552" s="38" t="n">
        <v>279</v>
      </c>
      <c r="I1552" s="38" t="inlineStr">
        <is>
          <t>Total de tots els sexes; resposta JSON-stat de l'API d'Idescat</t>
        </is>
      </c>
    </row>
    <row r="1553" ht="15" customHeight="1" s="39">
      <c r="A1553" s="38" t="n">
        <v>2021</v>
      </c>
      <c r="B1553" s="42" t="inlineStr">
        <is>
          <t>439057</t>
        </is>
      </c>
      <c r="C1553" s="38" t="inlineStr">
        <is>
          <t>Salou</t>
        </is>
      </c>
      <c r="D1553" s="38" t="inlineStr">
        <is>
          <t>Y021</t>
        </is>
      </c>
      <c r="E1553" s="38" t="inlineStr">
        <is>
          <t>21 anys</t>
        </is>
      </c>
      <c r="F1553" s="38" t="n">
        <v>21</v>
      </c>
      <c r="G1553" s="38" t="n">
        <v>309</v>
      </c>
      <c r="I1553" s="38" t="inlineStr">
        <is>
          <t>Total de tots els sexes; resposta JSON-stat de l'API d'Idescat</t>
        </is>
      </c>
    </row>
    <row r="1554" ht="15" customHeight="1" s="39">
      <c r="A1554" s="38" t="n">
        <v>2021</v>
      </c>
      <c r="B1554" s="42" t="inlineStr">
        <is>
          <t>439057</t>
        </is>
      </c>
      <c r="C1554" s="38" t="inlineStr">
        <is>
          <t>Salou</t>
        </is>
      </c>
      <c r="D1554" s="38" t="inlineStr">
        <is>
          <t>Y022</t>
        </is>
      </c>
      <c r="E1554" s="38" t="inlineStr">
        <is>
          <t>22 anys</t>
        </is>
      </c>
      <c r="F1554" s="38" t="n">
        <v>22</v>
      </c>
      <c r="G1554" s="38" t="n">
        <v>318</v>
      </c>
      <c r="I1554" s="38" t="inlineStr">
        <is>
          <t>Total de tots els sexes; resposta JSON-stat de l'API d'Idescat</t>
        </is>
      </c>
    </row>
    <row r="1555" ht="15" customHeight="1" s="39">
      <c r="A1555" s="38" t="n">
        <v>2021</v>
      </c>
      <c r="B1555" s="42" t="inlineStr">
        <is>
          <t>439057</t>
        </is>
      </c>
      <c r="C1555" s="38" t="inlineStr">
        <is>
          <t>Salou</t>
        </is>
      </c>
      <c r="D1555" s="38" t="inlineStr">
        <is>
          <t>Y023</t>
        </is>
      </c>
      <c r="E1555" s="38" t="inlineStr">
        <is>
          <t>23 anys</t>
        </is>
      </c>
      <c r="F1555" s="38" t="n">
        <v>23</v>
      </c>
      <c r="G1555" s="38" t="n">
        <v>324</v>
      </c>
      <c r="I1555" s="38" t="inlineStr">
        <is>
          <t>Total de tots els sexes; resposta JSON-stat de l'API d'Idescat</t>
        </is>
      </c>
    </row>
    <row r="1556" ht="15" customHeight="1" s="39">
      <c r="A1556" s="38" t="n">
        <v>2021</v>
      </c>
      <c r="B1556" s="42" t="inlineStr">
        <is>
          <t>439057</t>
        </is>
      </c>
      <c r="C1556" s="38" t="inlineStr">
        <is>
          <t>Salou</t>
        </is>
      </c>
      <c r="D1556" s="38" t="inlineStr">
        <is>
          <t>Y024</t>
        </is>
      </c>
      <c r="E1556" s="38" t="inlineStr">
        <is>
          <t>24 anys</t>
        </is>
      </c>
      <c r="F1556" s="38" t="n">
        <v>24</v>
      </c>
      <c r="G1556" s="38" t="n">
        <v>295</v>
      </c>
      <c r="I1556" s="38" t="inlineStr">
        <is>
          <t>Total de tots els sexes; resposta JSON-stat de l'API d'Idescat</t>
        </is>
      </c>
    </row>
    <row r="1557" ht="15" customHeight="1" s="39">
      <c r="A1557" s="38" t="n">
        <v>2021</v>
      </c>
      <c r="B1557" s="42" t="inlineStr">
        <is>
          <t>439057</t>
        </is>
      </c>
      <c r="C1557" s="38" t="inlineStr">
        <is>
          <t>Salou</t>
        </is>
      </c>
      <c r="D1557" s="38" t="inlineStr">
        <is>
          <t>Y025</t>
        </is>
      </c>
      <c r="E1557" s="38" t="inlineStr">
        <is>
          <t>25 anys</t>
        </is>
      </c>
      <c r="F1557" s="38" t="n">
        <v>25</v>
      </c>
      <c r="G1557" s="38" t="n">
        <v>313</v>
      </c>
      <c r="I1557" s="38" t="inlineStr">
        <is>
          <t>Total de tots els sexes; resposta JSON-stat de l'API d'Idescat</t>
        </is>
      </c>
    </row>
    <row r="1558" ht="15" customHeight="1" s="39">
      <c r="A1558" s="38" t="n">
        <v>2021</v>
      </c>
      <c r="B1558" s="42" t="inlineStr">
        <is>
          <t>439057</t>
        </is>
      </c>
      <c r="C1558" s="38" t="inlineStr">
        <is>
          <t>Salou</t>
        </is>
      </c>
      <c r="D1558" s="38" t="inlineStr">
        <is>
          <t>Y026</t>
        </is>
      </c>
      <c r="E1558" s="38" t="inlineStr">
        <is>
          <t>26 anys</t>
        </is>
      </c>
      <c r="F1558" s="38" t="n">
        <v>26</v>
      </c>
      <c r="G1558" s="38" t="n">
        <v>324</v>
      </c>
      <c r="I1558" s="38" t="inlineStr">
        <is>
          <t>Total de tots els sexes; resposta JSON-stat de l'API d'Idescat</t>
        </is>
      </c>
    </row>
    <row r="1559" ht="15" customHeight="1" s="39">
      <c r="A1559" s="38" t="n">
        <v>2021</v>
      </c>
      <c r="B1559" s="42" t="inlineStr">
        <is>
          <t>439057</t>
        </is>
      </c>
      <c r="C1559" s="38" t="inlineStr">
        <is>
          <t>Salou</t>
        </is>
      </c>
      <c r="D1559" s="38" t="inlineStr">
        <is>
          <t>Y027</t>
        </is>
      </c>
      <c r="E1559" s="38" t="inlineStr">
        <is>
          <t>27 anys</t>
        </is>
      </c>
      <c r="F1559" s="38" t="n">
        <v>27</v>
      </c>
      <c r="G1559" s="38" t="n">
        <v>330</v>
      </c>
      <c r="I1559" s="38" t="inlineStr">
        <is>
          <t>Total de tots els sexes; resposta JSON-stat de l'API d'Idescat</t>
        </is>
      </c>
    </row>
    <row r="1560" ht="15" customHeight="1" s="39">
      <c r="A1560" s="38" t="n">
        <v>2021</v>
      </c>
      <c r="B1560" s="42" t="inlineStr">
        <is>
          <t>439057</t>
        </is>
      </c>
      <c r="C1560" s="38" t="inlineStr">
        <is>
          <t>Salou</t>
        </is>
      </c>
      <c r="D1560" s="38" t="inlineStr">
        <is>
          <t>Y028</t>
        </is>
      </c>
      <c r="E1560" s="38" t="inlineStr">
        <is>
          <t>28 anys</t>
        </is>
      </c>
      <c r="F1560" s="38" t="n">
        <v>28</v>
      </c>
      <c r="G1560" s="38" t="n">
        <v>361</v>
      </c>
      <c r="I1560" s="38" t="inlineStr">
        <is>
          <t>Total de tots els sexes; resposta JSON-stat de l'API d'Idescat</t>
        </is>
      </c>
    </row>
    <row r="1561" ht="15" customHeight="1" s="39">
      <c r="A1561" s="38" t="n">
        <v>2021</v>
      </c>
      <c r="B1561" s="42" t="inlineStr">
        <is>
          <t>439057</t>
        </is>
      </c>
      <c r="C1561" s="38" t="inlineStr">
        <is>
          <t>Salou</t>
        </is>
      </c>
      <c r="D1561" s="38" t="inlineStr">
        <is>
          <t>Y029</t>
        </is>
      </c>
      <c r="E1561" s="38" t="inlineStr">
        <is>
          <t>29 anys</t>
        </is>
      </c>
      <c r="F1561" s="38" t="n">
        <v>29</v>
      </c>
      <c r="G1561" s="38" t="n">
        <v>325</v>
      </c>
      <c r="I1561" s="38" t="inlineStr">
        <is>
          <t>Total de tots els sexes; resposta JSON-stat de l'API d'Idescat</t>
        </is>
      </c>
    </row>
    <row r="1562" ht="15" customHeight="1" s="39">
      <c r="A1562" s="38" t="n">
        <v>2021</v>
      </c>
      <c r="B1562" s="42" t="inlineStr">
        <is>
          <t>439057</t>
        </is>
      </c>
      <c r="C1562" s="38" t="inlineStr">
        <is>
          <t>Salou</t>
        </is>
      </c>
      <c r="D1562" s="38" t="inlineStr">
        <is>
          <t>Y030</t>
        </is>
      </c>
      <c r="E1562" s="38" t="inlineStr">
        <is>
          <t>30 anys</t>
        </is>
      </c>
      <c r="F1562" s="38" t="n">
        <v>30</v>
      </c>
      <c r="G1562" s="38" t="n">
        <v>361</v>
      </c>
      <c r="I1562" s="38" t="inlineStr">
        <is>
          <t>Total de tots els sexes; resposta JSON-stat de l'API d'Idescat</t>
        </is>
      </c>
    </row>
    <row r="1563" ht="15" customHeight="1" s="39">
      <c r="A1563" s="38" t="n">
        <v>2021</v>
      </c>
      <c r="B1563" s="42" t="inlineStr">
        <is>
          <t>439057</t>
        </is>
      </c>
      <c r="C1563" s="38" t="inlineStr">
        <is>
          <t>Salou</t>
        </is>
      </c>
      <c r="D1563" s="38" t="inlineStr">
        <is>
          <t>Y031</t>
        </is>
      </c>
      <c r="E1563" s="38" t="inlineStr">
        <is>
          <t>31 anys</t>
        </is>
      </c>
      <c r="F1563" s="38" t="n">
        <v>31</v>
      </c>
      <c r="G1563" s="38" t="n">
        <v>339</v>
      </c>
      <c r="I1563" s="38" t="inlineStr">
        <is>
          <t>Total de tots els sexes; resposta JSON-stat de l'API d'Idescat</t>
        </is>
      </c>
    </row>
    <row r="1564" ht="15" customHeight="1" s="39">
      <c r="A1564" s="38" t="n">
        <v>2021</v>
      </c>
      <c r="B1564" s="42" t="inlineStr">
        <is>
          <t>439057</t>
        </is>
      </c>
      <c r="C1564" s="38" t="inlineStr">
        <is>
          <t>Salou</t>
        </is>
      </c>
      <c r="D1564" s="38" t="inlineStr">
        <is>
          <t>Y032</t>
        </is>
      </c>
      <c r="E1564" s="38" t="inlineStr">
        <is>
          <t>32 anys</t>
        </is>
      </c>
      <c r="F1564" s="38" t="n">
        <v>32</v>
      </c>
      <c r="G1564" s="38" t="n">
        <v>407</v>
      </c>
      <c r="I1564" s="38" t="inlineStr">
        <is>
          <t>Total de tots els sexes; resposta JSON-stat de l'API d'Idescat</t>
        </is>
      </c>
    </row>
    <row r="1565" ht="15" customHeight="1" s="39">
      <c r="A1565" s="38" t="n">
        <v>2021</v>
      </c>
      <c r="B1565" s="42" t="inlineStr">
        <is>
          <t>439057</t>
        </is>
      </c>
      <c r="C1565" s="38" t="inlineStr">
        <is>
          <t>Salou</t>
        </is>
      </c>
      <c r="D1565" s="38" t="inlineStr">
        <is>
          <t>Y033</t>
        </is>
      </c>
      <c r="E1565" s="38" t="inlineStr">
        <is>
          <t>33 anys</t>
        </is>
      </c>
      <c r="F1565" s="38" t="n">
        <v>33</v>
      </c>
      <c r="G1565" s="38" t="n">
        <v>389</v>
      </c>
      <c r="I1565" s="38" t="inlineStr">
        <is>
          <t>Total de tots els sexes; resposta JSON-stat de l'API d'Idescat</t>
        </is>
      </c>
    </row>
    <row r="1566" ht="15" customHeight="1" s="39">
      <c r="A1566" s="38" t="n">
        <v>2021</v>
      </c>
      <c r="B1566" s="42" t="inlineStr">
        <is>
          <t>439057</t>
        </is>
      </c>
      <c r="C1566" s="38" t="inlineStr">
        <is>
          <t>Salou</t>
        </is>
      </c>
      <c r="D1566" s="38" t="inlineStr">
        <is>
          <t>Y034</t>
        </is>
      </c>
      <c r="E1566" s="38" t="inlineStr">
        <is>
          <t>34 anys</t>
        </is>
      </c>
      <c r="F1566" s="38" t="n">
        <v>34</v>
      </c>
      <c r="G1566" s="38" t="n">
        <v>400</v>
      </c>
      <c r="I1566" s="38" t="inlineStr">
        <is>
          <t>Total de tots els sexes; resposta JSON-stat de l'API d'Idescat</t>
        </is>
      </c>
    </row>
    <row r="1567" ht="15" customHeight="1" s="39">
      <c r="A1567" s="38" t="n">
        <v>2021</v>
      </c>
      <c r="B1567" s="42" t="inlineStr">
        <is>
          <t>439057</t>
        </is>
      </c>
      <c r="C1567" s="38" t="inlineStr">
        <is>
          <t>Salou</t>
        </is>
      </c>
      <c r="D1567" s="38" t="inlineStr">
        <is>
          <t>Y035</t>
        </is>
      </c>
      <c r="E1567" s="38" t="inlineStr">
        <is>
          <t>35 anys</t>
        </is>
      </c>
      <c r="F1567" s="38" t="n">
        <v>35</v>
      </c>
      <c r="G1567" s="38" t="n">
        <v>449</v>
      </c>
      <c r="I1567" s="38" t="inlineStr">
        <is>
          <t>Total de tots els sexes; resposta JSON-stat de l'API d'Idescat</t>
        </is>
      </c>
    </row>
    <row r="1568" ht="15" customHeight="1" s="39">
      <c r="A1568" s="38" t="n">
        <v>2021</v>
      </c>
      <c r="B1568" s="42" t="inlineStr">
        <is>
          <t>439057</t>
        </is>
      </c>
      <c r="C1568" s="38" t="inlineStr">
        <is>
          <t>Salou</t>
        </is>
      </c>
      <c r="D1568" s="38" t="inlineStr">
        <is>
          <t>Y036</t>
        </is>
      </c>
      <c r="E1568" s="38" t="inlineStr">
        <is>
          <t>36 anys</t>
        </is>
      </c>
      <c r="F1568" s="38" t="n">
        <v>36</v>
      </c>
      <c r="G1568" s="38" t="n">
        <v>478</v>
      </c>
      <c r="I1568" s="38" t="inlineStr">
        <is>
          <t>Total de tots els sexes; resposta JSON-stat de l'API d'Idescat</t>
        </is>
      </c>
    </row>
    <row r="1569" ht="15" customHeight="1" s="39">
      <c r="A1569" s="38" t="n">
        <v>2021</v>
      </c>
      <c r="B1569" s="42" t="inlineStr">
        <is>
          <t>439057</t>
        </is>
      </c>
      <c r="C1569" s="38" t="inlineStr">
        <is>
          <t>Salou</t>
        </is>
      </c>
      <c r="D1569" s="38" t="inlineStr">
        <is>
          <t>Y037</t>
        </is>
      </c>
      <c r="E1569" s="38" t="inlineStr">
        <is>
          <t>37 anys</t>
        </is>
      </c>
      <c r="F1569" s="38" t="n">
        <v>37</v>
      </c>
      <c r="G1569" s="38" t="n">
        <v>487</v>
      </c>
      <c r="I1569" s="38" t="inlineStr">
        <is>
          <t>Total de tots els sexes; resposta JSON-stat de l'API d'Idescat</t>
        </is>
      </c>
    </row>
    <row r="1570" ht="15" customHeight="1" s="39">
      <c r="A1570" s="38" t="n">
        <v>2021</v>
      </c>
      <c r="B1570" s="42" t="inlineStr">
        <is>
          <t>439057</t>
        </is>
      </c>
      <c r="C1570" s="38" t="inlineStr">
        <is>
          <t>Salou</t>
        </is>
      </c>
      <c r="D1570" s="38" t="inlineStr">
        <is>
          <t>Y038</t>
        </is>
      </c>
      <c r="E1570" s="38" t="inlineStr">
        <is>
          <t>38 anys</t>
        </is>
      </c>
      <c r="F1570" s="38" t="n">
        <v>38</v>
      </c>
      <c r="G1570" s="38" t="n">
        <v>484</v>
      </c>
      <c r="I1570" s="38" t="inlineStr">
        <is>
          <t>Total de tots els sexes; resposta JSON-stat de l'API d'Idescat</t>
        </is>
      </c>
    </row>
    <row r="1571" ht="15" customHeight="1" s="39">
      <c r="A1571" s="38" t="n">
        <v>2021</v>
      </c>
      <c r="B1571" s="42" t="inlineStr">
        <is>
          <t>439057</t>
        </is>
      </c>
      <c r="C1571" s="38" t="inlineStr">
        <is>
          <t>Salou</t>
        </is>
      </c>
      <c r="D1571" s="38" t="inlineStr">
        <is>
          <t>Y039</t>
        </is>
      </c>
      <c r="E1571" s="38" t="inlineStr">
        <is>
          <t>39 anys</t>
        </is>
      </c>
      <c r="F1571" s="38" t="n">
        <v>39</v>
      </c>
      <c r="G1571" s="38" t="n">
        <v>518</v>
      </c>
      <c r="I1571" s="38" t="inlineStr">
        <is>
          <t>Total de tots els sexes; resposta JSON-stat de l'API d'Idescat</t>
        </is>
      </c>
    </row>
    <row r="1572" ht="15" customHeight="1" s="39">
      <c r="A1572" s="38" t="n">
        <v>2021</v>
      </c>
      <c r="B1572" s="42" t="inlineStr">
        <is>
          <t>439057</t>
        </is>
      </c>
      <c r="C1572" s="38" t="inlineStr">
        <is>
          <t>Salou</t>
        </is>
      </c>
      <c r="D1572" s="38" t="inlineStr">
        <is>
          <t>Y040</t>
        </is>
      </c>
      <c r="E1572" s="38" t="inlineStr">
        <is>
          <t>40 anys</t>
        </is>
      </c>
      <c r="F1572" s="38" t="n">
        <v>40</v>
      </c>
      <c r="G1572" s="38" t="n">
        <v>572</v>
      </c>
      <c r="I1572" s="38" t="inlineStr">
        <is>
          <t>Total de tots els sexes; resposta JSON-stat de l'API d'Idescat</t>
        </is>
      </c>
    </row>
    <row r="1573" ht="15" customHeight="1" s="39">
      <c r="A1573" s="38" t="n">
        <v>2021</v>
      </c>
      <c r="B1573" s="42" t="inlineStr">
        <is>
          <t>439057</t>
        </is>
      </c>
      <c r="C1573" s="38" t="inlineStr">
        <is>
          <t>Salou</t>
        </is>
      </c>
      <c r="D1573" s="38" t="inlineStr">
        <is>
          <t>Y041</t>
        </is>
      </c>
      <c r="E1573" s="38" t="inlineStr">
        <is>
          <t>41 anys</t>
        </is>
      </c>
      <c r="F1573" s="38" t="n">
        <v>41</v>
      </c>
      <c r="G1573" s="38" t="n">
        <v>538</v>
      </c>
      <c r="I1573" s="38" t="inlineStr">
        <is>
          <t>Total de tots els sexes; resposta JSON-stat de l'API d'Idescat</t>
        </is>
      </c>
    </row>
    <row r="1574" ht="15" customHeight="1" s="39">
      <c r="A1574" s="38" t="n">
        <v>2021</v>
      </c>
      <c r="B1574" s="42" t="inlineStr">
        <is>
          <t>439057</t>
        </is>
      </c>
      <c r="C1574" s="38" t="inlineStr">
        <is>
          <t>Salou</t>
        </is>
      </c>
      <c r="D1574" s="38" t="inlineStr">
        <is>
          <t>Y042</t>
        </is>
      </c>
      <c r="E1574" s="38" t="inlineStr">
        <is>
          <t>42 anys</t>
        </is>
      </c>
      <c r="F1574" s="38" t="n">
        <v>42</v>
      </c>
      <c r="G1574" s="38" t="n">
        <v>561</v>
      </c>
      <c r="I1574" s="38" t="inlineStr">
        <is>
          <t>Total de tots els sexes; resposta JSON-stat de l'API d'Idescat</t>
        </is>
      </c>
    </row>
    <row r="1575" ht="15" customHeight="1" s="39">
      <c r="A1575" s="38" t="n">
        <v>2021</v>
      </c>
      <c r="B1575" s="42" t="inlineStr">
        <is>
          <t>439057</t>
        </is>
      </c>
      <c r="C1575" s="38" t="inlineStr">
        <is>
          <t>Salou</t>
        </is>
      </c>
      <c r="D1575" s="38" t="inlineStr">
        <is>
          <t>Y043</t>
        </is>
      </c>
      <c r="E1575" s="38" t="inlineStr">
        <is>
          <t>43 anys</t>
        </is>
      </c>
      <c r="F1575" s="38" t="n">
        <v>43</v>
      </c>
      <c r="G1575" s="38" t="n">
        <v>589</v>
      </c>
      <c r="I1575" s="38" t="inlineStr">
        <is>
          <t>Total de tots els sexes; resposta JSON-stat de l'API d'Idescat</t>
        </is>
      </c>
    </row>
    <row r="1576" ht="15" customHeight="1" s="39">
      <c r="A1576" s="38" t="n">
        <v>2021</v>
      </c>
      <c r="B1576" s="42" t="inlineStr">
        <is>
          <t>439057</t>
        </is>
      </c>
      <c r="C1576" s="38" t="inlineStr">
        <is>
          <t>Salou</t>
        </is>
      </c>
      <c r="D1576" s="38" t="inlineStr">
        <is>
          <t>Y044</t>
        </is>
      </c>
      <c r="E1576" s="38" t="inlineStr">
        <is>
          <t>44 anys</t>
        </is>
      </c>
      <c r="F1576" s="38" t="n">
        <v>44</v>
      </c>
      <c r="G1576" s="38" t="n">
        <v>605</v>
      </c>
      <c r="I1576" s="38" t="inlineStr">
        <is>
          <t>Total de tots els sexes; resposta JSON-stat de l'API d'Idescat</t>
        </is>
      </c>
    </row>
    <row r="1577" ht="15" customHeight="1" s="39">
      <c r="A1577" s="38" t="n">
        <v>2021</v>
      </c>
      <c r="B1577" s="42" t="inlineStr">
        <is>
          <t>439057</t>
        </is>
      </c>
      <c r="C1577" s="38" t="inlineStr">
        <is>
          <t>Salou</t>
        </is>
      </c>
      <c r="D1577" s="38" t="inlineStr">
        <is>
          <t>Y045</t>
        </is>
      </c>
      <c r="E1577" s="38" t="inlineStr">
        <is>
          <t>45 anys</t>
        </is>
      </c>
      <c r="F1577" s="38" t="n">
        <v>45</v>
      </c>
      <c r="G1577" s="38" t="n">
        <v>548</v>
      </c>
      <c r="I1577" s="38" t="inlineStr">
        <is>
          <t>Total de tots els sexes; resposta JSON-stat de l'API d'Idescat</t>
        </is>
      </c>
    </row>
    <row r="1578" ht="15" customHeight="1" s="39">
      <c r="A1578" s="38" t="n">
        <v>2021</v>
      </c>
      <c r="B1578" s="42" t="inlineStr">
        <is>
          <t>439057</t>
        </is>
      </c>
      <c r="C1578" s="38" t="inlineStr">
        <is>
          <t>Salou</t>
        </is>
      </c>
      <c r="D1578" s="38" t="inlineStr">
        <is>
          <t>Y046</t>
        </is>
      </c>
      <c r="E1578" s="38" t="inlineStr">
        <is>
          <t>46 anys</t>
        </is>
      </c>
      <c r="F1578" s="38" t="n">
        <v>46</v>
      </c>
      <c r="G1578" s="38" t="n">
        <v>557</v>
      </c>
      <c r="I1578" s="38" t="inlineStr">
        <is>
          <t>Total de tots els sexes; resposta JSON-stat de l'API d'Idescat</t>
        </is>
      </c>
    </row>
    <row r="1579" ht="15" customHeight="1" s="39">
      <c r="A1579" s="38" t="n">
        <v>2021</v>
      </c>
      <c r="B1579" s="42" t="inlineStr">
        <is>
          <t>439057</t>
        </is>
      </c>
      <c r="C1579" s="38" t="inlineStr">
        <is>
          <t>Salou</t>
        </is>
      </c>
      <c r="D1579" s="38" t="inlineStr">
        <is>
          <t>Y047</t>
        </is>
      </c>
      <c r="E1579" s="38" t="inlineStr">
        <is>
          <t>47 anys</t>
        </is>
      </c>
      <c r="F1579" s="38" t="n">
        <v>47</v>
      </c>
      <c r="G1579" s="38" t="n">
        <v>512</v>
      </c>
      <c r="I1579" s="38" t="inlineStr">
        <is>
          <t>Total de tots els sexes; resposta JSON-stat de l'API d'Idescat</t>
        </is>
      </c>
    </row>
    <row r="1580" ht="15" customHeight="1" s="39">
      <c r="A1580" s="38" t="n">
        <v>2021</v>
      </c>
      <c r="B1580" s="42" t="inlineStr">
        <is>
          <t>439057</t>
        </is>
      </c>
      <c r="C1580" s="38" t="inlineStr">
        <is>
          <t>Salou</t>
        </is>
      </c>
      <c r="D1580" s="38" t="inlineStr">
        <is>
          <t>Y048</t>
        </is>
      </c>
      <c r="E1580" s="38" t="inlineStr">
        <is>
          <t>48 anys</t>
        </is>
      </c>
      <c r="F1580" s="38" t="n">
        <v>48</v>
      </c>
      <c r="G1580" s="38" t="n">
        <v>491</v>
      </c>
      <c r="I1580" s="38" t="inlineStr">
        <is>
          <t>Total de tots els sexes; resposta JSON-stat de l'API d'Idescat</t>
        </is>
      </c>
    </row>
    <row r="1581" ht="15" customHeight="1" s="39">
      <c r="A1581" s="38" t="n">
        <v>2021</v>
      </c>
      <c r="B1581" s="42" t="inlineStr">
        <is>
          <t>439057</t>
        </is>
      </c>
      <c r="C1581" s="38" t="inlineStr">
        <is>
          <t>Salou</t>
        </is>
      </c>
      <c r="D1581" s="38" t="inlineStr">
        <is>
          <t>Y049</t>
        </is>
      </c>
      <c r="E1581" s="38" t="inlineStr">
        <is>
          <t>49 anys</t>
        </is>
      </c>
      <c r="F1581" s="38" t="n">
        <v>49</v>
      </c>
      <c r="G1581" s="38" t="n">
        <v>457</v>
      </c>
      <c r="I1581" s="38" t="inlineStr">
        <is>
          <t>Total de tots els sexes; resposta JSON-stat de l'API d'Idescat</t>
        </is>
      </c>
    </row>
    <row r="1582" ht="15" customHeight="1" s="39">
      <c r="A1582" s="38" t="n">
        <v>2021</v>
      </c>
      <c r="B1582" s="42" t="inlineStr">
        <is>
          <t>439057</t>
        </is>
      </c>
      <c r="C1582" s="38" t="inlineStr">
        <is>
          <t>Salou</t>
        </is>
      </c>
      <c r="D1582" s="38" t="inlineStr">
        <is>
          <t>Y050</t>
        </is>
      </c>
      <c r="E1582" s="38" t="inlineStr">
        <is>
          <t>50 anys</t>
        </is>
      </c>
      <c r="F1582" s="38" t="n">
        <v>50</v>
      </c>
      <c r="G1582" s="38" t="n">
        <v>504</v>
      </c>
      <c r="I1582" s="38" t="inlineStr">
        <is>
          <t>Total de tots els sexes; resposta JSON-stat de l'API d'Idescat</t>
        </is>
      </c>
    </row>
    <row r="1583" ht="15" customHeight="1" s="39">
      <c r="A1583" s="38" t="n">
        <v>2021</v>
      </c>
      <c r="B1583" s="42" t="inlineStr">
        <is>
          <t>439057</t>
        </is>
      </c>
      <c r="C1583" s="38" t="inlineStr">
        <is>
          <t>Salou</t>
        </is>
      </c>
      <c r="D1583" s="38" t="inlineStr">
        <is>
          <t>Y051</t>
        </is>
      </c>
      <c r="E1583" s="38" t="inlineStr">
        <is>
          <t>51 anys</t>
        </is>
      </c>
      <c r="F1583" s="38" t="n">
        <v>51</v>
      </c>
      <c r="G1583" s="38" t="n">
        <v>459</v>
      </c>
      <c r="I1583" s="38" t="inlineStr">
        <is>
          <t>Total de tots els sexes; resposta JSON-stat de l'API d'Idescat</t>
        </is>
      </c>
    </row>
    <row r="1584" ht="15" customHeight="1" s="39">
      <c r="A1584" s="38" t="n">
        <v>2021</v>
      </c>
      <c r="B1584" s="42" t="inlineStr">
        <is>
          <t>439057</t>
        </is>
      </c>
      <c r="C1584" s="38" t="inlineStr">
        <is>
          <t>Salou</t>
        </is>
      </c>
      <c r="D1584" s="38" t="inlineStr">
        <is>
          <t>Y052</t>
        </is>
      </c>
      <c r="E1584" s="38" t="inlineStr">
        <is>
          <t>52 anys</t>
        </is>
      </c>
      <c r="F1584" s="38" t="n">
        <v>52</v>
      </c>
      <c r="G1584" s="38" t="n">
        <v>488</v>
      </c>
      <c r="I1584" s="38" t="inlineStr">
        <is>
          <t>Total de tots els sexes; resposta JSON-stat de l'API d'Idescat</t>
        </is>
      </c>
    </row>
    <row r="1585" ht="15" customHeight="1" s="39">
      <c r="A1585" s="38" t="n">
        <v>2021</v>
      </c>
      <c r="B1585" s="42" t="inlineStr">
        <is>
          <t>439057</t>
        </is>
      </c>
      <c r="C1585" s="38" t="inlineStr">
        <is>
          <t>Salou</t>
        </is>
      </c>
      <c r="D1585" s="38" t="inlineStr">
        <is>
          <t>Y053</t>
        </is>
      </c>
      <c r="E1585" s="38" t="inlineStr">
        <is>
          <t>53 anys</t>
        </is>
      </c>
      <c r="F1585" s="38" t="n">
        <v>53</v>
      </c>
      <c r="G1585" s="38" t="n">
        <v>447</v>
      </c>
      <c r="I1585" s="38" t="inlineStr">
        <is>
          <t>Total de tots els sexes; resposta JSON-stat de l'API d'Idescat</t>
        </is>
      </c>
    </row>
    <row r="1586" ht="15" customHeight="1" s="39">
      <c r="A1586" s="38" t="n">
        <v>2021</v>
      </c>
      <c r="B1586" s="42" t="inlineStr">
        <is>
          <t>439057</t>
        </is>
      </c>
      <c r="C1586" s="38" t="inlineStr">
        <is>
          <t>Salou</t>
        </is>
      </c>
      <c r="D1586" s="38" t="inlineStr">
        <is>
          <t>Y054</t>
        </is>
      </c>
      <c r="E1586" s="38" t="inlineStr">
        <is>
          <t>54 anys</t>
        </is>
      </c>
      <c r="F1586" s="38" t="n">
        <v>54</v>
      </c>
      <c r="G1586" s="38" t="n">
        <v>444</v>
      </c>
      <c r="I1586" s="38" t="inlineStr">
        <is>
          <t>Total de tots els sexes; resposta JSON-stat de l'API d'Idescat</t>
        </is>
      </c>
    </row>
    <row r="1587" ht="15" customHeight="1" s="39">
      <c r="A1587" s="38" t="n">
        <v>2021</v>
      </c>
      <c r="B1587" s="42" t="inlineStr">
        <is>
          <t>439057</t>
        </is>
      </c>
      <c r="C1587" s="38" t="inlineStr">
        <is>
          <t>Salou</t>
        </is>
      </c>
      <c r="D1587" s="38" t="inlineStr">
        <is>
          <t>Y055</t>
        </is>
      </c>
      <c r="E1587" s="38" t="inlineStr">
        <is>
          <t>55 anys</t>
        </is>
      </c>
      <c r="F1587" s="38" t="n">
        <v>55</v>
      </c>
      <c r="G1587" s="38" t="n">
        <v>433</v>
      </c>
      <c r="I1587" s="38" t="inlineStr">
        <is>
          <t>Total de tots els sexes; resposta JSON-stat de l'API d'Idescat</t>
        </is>
      </c>
    </row>
    <row r="1588" ht="15" customHeight="1" s="39">
      <c r="A1588" s="38" t="n">
        <v>2021</v>
      </c>
      <c r="B1588" s="42" t="inlineStr">
        <is>
          <t>439057</t>
        </is>
      </c>
      <c r="C1588" s="38" t="inlineStr">
        <is>
          <t>Salou</t>
        </is>
      </c>
      <c r="D1588" s="38" t="inlineStr">
        <is>
          <t>Y056</t>
        </is>
      </c>
      <c r="E1588" s="38" t="inlineStr">
        <is>
          <t>56 anys</t>
        </is>
      </c>
      <c r="F1588" s="38" t="n">
        <v>56</v>
      </c>
      <c r="G1588" s="38" t="n">
        <v>376</v>
      </c>
      <c r="I1588" s="38" t="inlineStr">
        <is>
          <t>Total de tots els sexes; resposta JSON-stat de l'API d'Idescat</t>
        </is>
      </c>
    </row>
    <row r="1589" ht="15" customHeight="1" s="39">
      <c r="A1589" s="38" t="n">
        <v>2021</v>
      </c>
      <c r="B1589" s="42" t="inlineStr">
        <is>
          <t>439057</t>
        </is>
      </c>
      <c r="C1589" s="38" t="inlineStr">
        <is>
          <t>Salou</t>
        </is>
      </c>
      <c r="D1589" s="38" t="inlineStr">
        <is>
          <t>Y057</t>
        </is>
      </c>
      <c r="E1589" s="38" t="inlineStr">
        <is>
          <t>57 anys</t>
        </is>
      </c>
      <c r="F1589" s="38" t="n">
        <v>57</v>
      </c>
      <c r="G1589" s="38" t="n">
        <v>396</v>
      </c>
      <c r="I1589" s="38" t="inlineStr">
        <is>
          <t>Total de tots els sexes; resposta JSON-stat de l'API d'Idescat</t>
        </is>
      </c>
    </row>
    <row r="1590" ht="15" customHeight="1" s="39">
      <c r="A1590" s="38" t="n">
        <v>2021</v>
      </c>
      <c r="B1590" s="42" t="inlineStr">
        <is>
          <t>439057</t>
        </is>
      </c>
      <c r="C1590" s="38" t="inlineStr">
        <is>
          <t>Salou</t>
        </is>
      </c>
      <c r="D1590" s="38" t="inlineStr">
        <is>
          <t>Y058</t>
        </is>
      </c>
      <c r="E1590" s="38" t="inlineStr">
        <is>
          <t>58 anys</t>
        </is>
      </c>
      <c r="F1590" s="38" t="n">
        <v>58</v>
      </c>
      <c r="G1590" s="38" t="n">
        <v>376</v>
      </c>
      <c r="I1590" s="38" t="inlineStr">
        <is>
          <t>Total de tots els sexes; resposta JSON-stat de l'API d'Idescat</t>
        </is>
      </c>
    </row>
    <row r="1591" ht="15" customHeight="1" s="39">
      <c r="A1591" s="38" t="n">
        <v>2021</v>
      </c>
      <c r="B1591" s="42" t="inlineStr">
        <is>
          <t>439057</t>
        </is>
      </c>
      <c r="C1591" s="38" t="inlineStr">
        <is>
          <t>Salou</t>
        </is>
      </c>
      <c r="D1591" s="38" t="inlineStr">
        <is>
          <t>Y059</t>
        </is>
      </c>
      <c r="E1591" s="38" t="inlineStr">
        <is>
          <t>59 anys</t>
        </is>
      </c>
      <c r="F1591" s="38" t="n">
        <v>59</v>
      </c>
      <c r="G1591" s="38" t="n">
        <v>359</v>
      </c>
      <c r="I1591" s="38" t="inlineStr">
        <is>
          <t>Total de tots els sexes; resposta JSON-stat de l'API d'Idescat</t>
        </is>
      </c>
    </row>
    <row r="1592" ht="15" customHeight="1" s="39">
      <c r="A1592" s="38" t="n">
        <v>2021</v>
      </c>
      <c r="B1592" s="42" t="inlineStr">
        <is>
          <t>439057</t>
        </is>
      </c>
      <c r="C1592" s="38" t="inlineStr">
        <is>
          <t>Salou</t>
        </is>
      </c>
      <c r="D1592" s="38" t="inlineStr">
        <is>
          <t>Y060</t>
        </is>
      </c>
      <c r="E1592" s="38" t="inlineStr">
        <is>
          <t>60 anys</t>
        </is>
      </c>
      <c r="F1592" s="38" t="n">
        <v>60</v>
      </c>
      <c r="G1592" s="38" t="n">
        <v>356</v>
      </c>
      <c r="I1592" s="38" t="inlineStr">
        <is>
          <t>Total de tots els sexes; resposta JSON-stat de l'API d'Idescat</t>
        </is>
      </c>
    </row>
    <row r="1593" ht="15" customHeight="1" s="39">
      <c r="A1593" s="38" t="n">
        <v>2021</v>
      </c>
      <c r="B1593" s="42" t="inlineStr">
        <is>
          <t>439057</t>
        </is>
      </c>
      <c r="C1593" s="38" t="inlineStr">
        <is>
          <t>Salou</t>
        </is>
      </c>
      <c r="D1593" s="38" t="inlineStr">
        <is>
          <t>Y061</t>
        </is>
      </c>
      <c r="E1593" s="38" t="inlineStr">
        <is>
          <t>61 anys</t>
        </is>
      </c>
      <c r="F1593" s="38" t="n">
        <v>61</v>
      </c>
      <c r="G1593" s="38" t="n">
        <v>327</v>
      </c>
      <c r="I1593" s="38" t="inlineStr">
        <is>
          <t>Total de tots els sexes; resposta JSON-stat de l'API d'Idescat</t>
        </is>
      </c>
    </row>
    <row r="1594" ht="15" customHeight="1" s="39">
      <c r="A1594" s="38" t="n">
        <v>2021</v>
      </c>
      <c r="B1594" s="42" t="inlineStr">
        <is>
          <t>439057</t>
        </is>
      </c>
      <c r="C1594" s="38" t="inlineStr">
        <is>
          <t>Salou</t>
        </is>
      </c>
      <c r="D1594" s="38" t="inlineStr">
        <is>
          <t>Y062</t>
        </is>
      </c>
      <c r="E1594" s="38" t="inlineStr">
        <is>
          <t>62 anys</t>
        </is>
      </c>
      <c r="F1594" s="38" t="n">
        <v>62</v>
      </c>
      <c r="G1594" s="38" t="n">
        <v>349</v>
      </c>
      <c r="I1594" s="38" t="inlineStr">
        <is>
          <t>Total de tots els sexes; resposta JSON-stat de l'API d'Idescat</t>
        </is>
      </c>
    </row>
    <row r="1595" ht="15" customHeight="1" s="39">
      <c r="A1595" s="38" t="n">
        <v>2021</v>
      </c>
      <c r="B1595" s="42" t="inlineStr">
        <is>
          <t>439057</t>
        </is>
      </c>
      <c r="C1595" s="38" t="inlineStr">
        <is>
          <t>Salou</t>
        </is>
      </c>
      <c r="D1595" s="38" t="inlineStr">
        <is>
          <t>Y063</t>
        </is>
      </c>
      <c r="E1595" s="38" t="inlineStr">
        <is>
          <t>63 anys</t>
        </is>
      </c>
      <c r="F1595" s="38" t="n">
        <v>63</v>
      </c>
      <c r="G1595" s="38" t="n">
        <v>308</v>
      </c>
      <c r="I1595" s="38" t="inlineStr">
        <is>
          <t>Total de tots els sexes; resposta JSON-stat de l'API d'Idescat</t>
        </is>
      </c>
    </row>
    <row r="1596" ht="15" customHeight="1" s="39">
      <c r="A1596" s="38" t="n">
        <v>2021</v>
      </c>
      <c r="B1596" s="42" t="inlineStr">
        <is>
          <t>439057</t>
        </is>
      </c>
      <c r="C1596" s="38" t="inlineStr">
        <is>
          <t>Salou</t>
        </is>
      </c>
      <c r="D1596" s="38" t="inlineStr">
        <is>
          <t>Y064</t>
        </is>
      </c>
      <c r="E1596" s="38" t="inlineStr">
        <is>
          <t>64 anys</t>
        </is>
      </c>
      <c r="F1596" s="38" t="n">
        <v>64</v>
      </c>
      <c r="G1596" s="38" t="n">
        <v>269</v>
      </c>
      <c r="I1596" s="38" t="inlineStr">
        <is>
          <t>Total de tots els sexes; resposta JSON-stat de l'API d'Idescat</t>
        </is>
      </c>
    </row>
    <row r="1597" ht="15" customHeight="1" s="39">
      <c r="A1597" s="38" t="n">
        <v>2021</v>
      </c>
      <c r="B1597" s="42" t="inlineStr">
        <is>
          <t>439057</t>
        </is>
      </c>
      <c r="C1597" s="38" t="inlineStr">
        <is>
          <t>Salou</t>
        </is>
      </c>
      <c r="D1597" s="38" t="inlineStr">
        <is>
          <t>Y065</t>
        </is>
      </c>
      <c r="E1597" s="38" t="inlineStr">
        <is>
          <t>65 anys</t>
        </is>
      </c>
      <c r="F1597" s="38" t="n">
        <v>65</v>
      </c>
      <c r="G1597" s="38" t="n">
        <v>276</v>
      </c>
      <c r="I1597" s="38" t="inlineStr">
        <is>
          <t>Total de tots els sexes; resposta JSON-stat de l'API d'Idescat</t>
        </is>
      </c>
    </row>
    <row r="1598" ht="15" customHeight="1" s="39">
      <c r="A1598" s="38" t="n">
        <v>2021</v>
      </c>
      <c r="B1598" s="42" t="inlineStr">
        <is>
          <t>439057</t>
        </is>
      </c>
      <c r="C1598" s="38" t="inlineStr">
        <is>
          <t>Salou</t>
        </is>
      </c>
      <c r="D1598" s="38" t="inlineStr">
        <is>
          <t>Y066</t>
        </is>
      </c>
      <c r="E1598" s="38" t="inlineStr">
        <is>
          <t>66 anys</t>
        </is>
      </c>
      <c r="F1598" s="38" t="n">
        <v>66</v>
      </c>
      <c r="G1598" s="38" t="n">
        <v>246</v>
      </c>
      <c r="I1598" s="38" t="inlineStr">
        <is>
          <t>Total de tots els sexes; resposta JSON-stat de l'API d'Idescat</t>
        </is>
      </c>
    </row>
    <row r="1599" ht="15" customHeight="1" s="39">
      <c r="A1599" s="38" t="n">
        <v>2021</v>
      </c>
      <c r="B1599" s="42" t="inlineStr">
        <is>
          <t>439057</t>
        </is>
      </c>
      <c r="C1599" s="38" t="inlineStr">
        <is>
          <t>Salou</t>
        </is>
      </c>
      <c r="D1599" s="38" t="inlineStr">
        <is>
          <t>Y067</t>
        </is>
      </c>
      <c r="E1599" s="38" t="inlineStr">
        <is>
          <t>67 anys</t>
        </is>
      </c>
      <c r="F1599" s="38" t="n">
        <v>67</v>
      </c>
      <c r="G1599" s="38" t="n">
        <v>231</v>
      </c>
      <c r="I1599" s="38" t="inlineStr">
        <is>
          <t>Total de tots els sexes; resposta JSON-stat de l'API d'Idescat</t>
        </is>
      </c>
    </row>
    <row r="1600" ht="15" customHeight="1" s="39">
      <c r="A1600" s="38" t="n">
        <v>2021</v>
      </c>
      <c r="B1600" s="42" t="inlineStr">
        <is>
          <t>439057</t>
        </is>
      </c>
      <c r="C1600" s="38" t="inlineStr">
        <is>
          <t>Salou</t>
        </is>
      </c>
      <c r="D1600" s="38" t="inlineStr">
        <is>
          <t>Y068</t>
        </is>
      </c>
      <c r="E1600" s="38" t="inlineStr">
        <is>
          <t>68 anys</t>
        </is>
      </c>
      <c r="F1600" s="38" t="n">
        <v>68</v>
      </c>
      <c r="G1600" s="38" t="n">
        <v>253</v>
      </c>
      <c r="I1600" s="38" t="inlineStr">
        <is>
          <t>Total de tots els sexes; resposta JSON-stat de l'API d'Idescat</t>
        </is>
      </c>
    </row>
    <row r="1601" ht="15" customHeight="1" s="39">
      <c r="A1601" s="38" t="n">
        <v>2021</v>
      </c>
      <c r="B1601" s="42" t="inlineStr">
        <is>
          <t>439057</t>
        </is>
      </c>
      <c r="C1601" s="38" t="inlineStr">
        <is>
          <t>Salou</t>
        </is>
      </c>
      <c r="D1601" s="38" t="inlineStr">
        <is>
          <t>Y069</t>
        </is>
      </c>
      <c r="E1601" s="38" t="inlineStr">
        <is>
          <t>69 anys</t>
        </is>
      </c>
      <c r="F1601" s="38" t="n">
        <v>69</v>
      </c>
      <c r="G1601" s="38" t="n">
        <v>236</v>
      </c>
      <c r="I1601" s="38" t="inlineStr">
        <is>
          <t>Total de tots els sexes; resposta JSON-stat de l'API d'Idescat</t>
        </is>
      </c>
    </row>
    <row r="1602" ht="15" customHeight="1" s="39">
      <c r="A1602" s="38" t="n">
        <v>2021</v>
      </c>
      <c r="B1602" s="42" t="inlineStr">
        <is>
          <t>439057</t>
        </is>
      </c>
      <c r="C1602" s="38" t="inlineStr">
        <is>
          <t>Salou</t>
        </is>
      </c>
      <c r="D1602" s="38" t="inlineStr">
        <is>
          <t>Y070</t>
        </is>
      </c>
      <c r="E1602" s="38" t="inlineStr">
        <is>
          <t>70 anys</t>
        </is>
      </c>
      <c r="F1602" s="38" t="n">
        <v>70</v>
      </c>
      <c r="G1602" s="38" t="n">
        <v>205</v>
      </c>
      <c r="I1602" s="38" t="inlineStr">
        <is>
          <t>Total de tots els sexes; resposta JSON-stat de l'API d'Idescat</t>
        </is>
      </c>
    </row>
    <row r="1603" ht="15" customHeight="1" s="39">
      <c r="A1603" s="38" t="n">
        <v>2021</v>
      </c>
      <c r="B1603" s="42" t="inlineStr">
        <is>
          <t>439057</t>
        </is>
      </c>
      <c r="C1603" s="38" t="inlineStr">
        <is>
          <t>Salou</t>
        </is>
      </c>
      <c r="D1603" s="38" t="inlineStr">
        <is>
          <t>Y071</t>
        </is>
      </c>
      <c r="E1603" s="38" t="inlineStr">
        <is>
          <t>71 anys</t>
        </is>
      </c>
      <c r="F1603" s="38" t="n">
        <v>71</v>
      </c>
      <c r="G1603" s="38" t="n">
        <v>220</v>
      </c>
      <c r="I1603" s="38" t="inlineStr">
        <is>
          <t>Total de tots els sexes; resposta JSON-stat de l'API d'Idescat</t>
        </is>
      </c>
    </row>
    <row r="1604" ht="15" customHeight="1" s="39">
      <c r="A1604" s="38" t="n">
        <v>2021</v>
      </c>
      <c r="B1604" s="42" t="inlineStr">
        <is>
          <t>439057</t>
        </is>
      </c>
      <c r="C1604" s="38" t="inlineStr">
        <is>
          <t>Salou</t>
        </is>
      </c>
      <c r="D1604" s="38" t="inlineStr">
        <is>
          <t>Y072</t>
        </is>
      </c>
      <c r="E1604" s="38" t="inlineStr">
        <is>
          <t>72 anys</t>
        </is>
      </c>
      <c r="F1604" s="38" t="n">
        <v>72</v>
      </c>
      <c r="G1604" s="38" t="n">
        <v>217</v>
      </c>
      <c r="I1604" s="38" t="inlineStr">
        <is>
          <t>Total de tots els sexes; resposta JSON-stat de l'API d'Idescat</t>
        </is>
      </c>
    </row>
    <row r="1605" ht="15" customHeight="1" s="39">
      <c r="A1605" s="38" t="n">
        <v>2021</v>
      </c>
      <c r="B1605" s="42" t="inlineStr">
        <is>
          <t>439057</t>
        </is>
      </c>
      <c r="C1605" s="38" t="inlineStr">
        <is>
          <t>Salou</t>
        </is>
      </c>
      <c r="D1605" s="38" t="inlineStr">
        <is>
          <t>Y073</t>
        </is>
      </c>
      <c r="E1605" s="38" t="inlineStr">
        <is>
          <t>73 anys</t>
        </is>
      </c>
      <c r="F1605" s="38" t="n">
        <v>73</v>
      </c>
      <c r="G1605" s="38" t="n">
        <v>193</v>
      </c>
      <c r="I1605" s="38" t="inlineStr">
        <is>
          <t>Total de tots els sexes; resposta JSON-stat de l'API d'Idescat</t>
        </is>
      </c>
    </row>
    <row r="1606" ht="15" customHeight="1" s="39">
      <c r="A1606" s="38" t="n">
        <v>2021</v>
      </c>
      <c r="B1606" s="42" t="inlineStr">
        <is>
          <t>439057</t>
        </is>
      </c>
      <c r="C1606" s="38" t="inlineStr">
        <is>
          <t>Salou</t>
        </is>
      </c>
      <c r="D1606" s="38" t="inlineStr">
        <is>
          <t>Y074</t>
        </is>
      </c>
      <c r="E1606" s="38" t="inlineStr">
        <is>
          <t>74 anys</t>
        </is>
      </c>
      <c r="F1606" s="38" t="n">
        <v>74</v>
      </c>
      <c r="G1606" s="38" t="n">
        <v>186</v>
      </c>
      <c r="I1606" s="38" t="inlineStr">
        <is>
          <t>Total de tots els sexes; resposta JSON-stat de l'API d'Idescat</t>
        </is>
      </c>
    </row>
    <row r="1607" ht="15" customHeight="1" s="39">
      <c r="A1607" s="38" t="n">
        <v>2021</v>
      </c>
      <c r="B1607" s="42" t="inlineStr">
        <is>
          <t>439057</t>
        </is>
      </c>
      <c r="C1607" s="38" t="inlineStr">
        <is>
          <t>Salou</t>
        </is>
      </c>
      <c r="D1607" s="38" t="inlineStr">
        <is>
          <t>Y075</t>
        </is>
      </c>
      <c r="E1607" s="38" t="inlineStr">
        <is>
          <t>75 anys</t>
        </is>
      </c>
      <c r="F1607" s="38" t="n">
        <v>75</v>
      </c>
      <c r="G1607" s="38" t="n">
        <v>169</v>
      </c>
      <c r="I1607" s="38" t="inlineStr">
        <is>
          <t>Total de tots els sexes; resposta JSON-stat de l'API d'Idescat</t>
        </is>
      </c>
    </row>
    <row r="1608" ht="15" customHeight="1" s="39">
      <c r="A1608" s="38" t="n">
        <v>2021</v>
      </c>
      <c r="B1608" s="42" t="inlineStr">
        <is>
          <t>439057</t>
        </is>
      </c>
      <c r="C1608" s="38" t="inlineStr">
        <is>
          <t>Salou</t>
        </is>
      </c>
      <c r="D1608" s="38" t="inlineStr">
        <is>
          <t>Y076</t>
        </is>
      </c>
      <c r="E1608" s="38" t="inlineStr">
        <is>
          <t>76 anys</t>
        </is>
      </c>
      <c r="F1608" s="38" t="n">
        <v>76</v>
      </c>
      <c r="G1608" s="38" t="n">
        <v>146</v>
      </c>
      <c r="I1608" s="38" t="inlineStr">
        <is>
          <t>Total de tots els sexes; resposta JSON-stat de l'API d'Idescat</t>
        </is>
      </c>
    </row>
    <row r="1609" ht="15" customHeight="1" s="39">
      <c r="A1609" s="38" t="n">
        <v>2021</v>
      </c>
      <c r="B1609" s="42" t="inlineStr">
        <is>
          <t>439057</t>
        </is>
      </c>
      <c r="C1609" s="38" t="inlineStr">
        <is>
          <t>Salou</t>
        </is>
      </c>
      <c r="D1609" s="38" t="inlineStr">
        <is>
          <t>Y077</t>
        </is>
      </c>
      <c r="E1609" s="38" t="inlineStr">
        <is>
          <t>77 anys</t>
        </is>
      </c>
      <c r="F1609" s="38" t="n">
        <v>77</v>
      </c>
      <c r="G1609" s="38" t="n">
        <v>126</v>
      </c>
      <c r="I1609" s="38" t="inlineStr">
        <is>
          <t>Total de tots els sexes; resposta JSON-stat de l'API d'Idescat</t>
        </is>
      </c>
    </row>
    <row r="1610" ht="15" customHeight="1" s="39">
      <c r="A1610" s="38" t="n">
        <v>2021</v>
      </c>
      <c r="B1610" s="42" t="inlineStr">
        <is>
          <t>439057</t>
        </is>
      </c>
      <c r="C1610" s="38" t="inlineStr">
        <is>
          <t>Salou</t>
        </is>
      </c>
      <c r="D1610" s="38" t="inlineStr">
        <is>
          <t>Y078</t>
        </is>
      </c>
      <c r="E1610" s="38" t="inlineStr">
        <is>
          <t>78 anys</t>
        </is>
      </c>
      <c r="F1610" s="38" t="n">
        <v>78</v>
      </c>
      <c r="G1610" s="38" t="n">
        <v>98</v>
      </c>
      <c r="I1610" s="38" t="inlineStr">
        <is>
          <t>Total de tots els sexes; resposta JSON-stat de l'API d'Idescat</t>
        </is>
      </c>
    </row>
    <row r="1611" ht="15" customHeight="1" s="39">
      <c r="A1611" s="38" t="n">
        <v>2021</v>
      </c>
      <c r="B1611" s="42" t="inlineStr">
        <is>
          <t>439057</t>
        </is>
      </c>
      <c r="C1611" s="38" t="inlineStr">
        <is>
          <t>Salou</t>
        </is>
      </c>
      <c r="D1611" s="38" t="inlineStr">
        <is>
          <t>Y079</t>
        </is>
      </c>
      <c r="E1611" s="38" t="inlineStr">
        <is>
          <t>79 anys</t>
        </is>
      </c>
      <c r="F1611" s="38" t="n">
        <v>79</v>
      </c>
      <c r="G1611" s="38" t="n">
        <v>93</v>
      </c>
      <c r="I1611" s="38" t="inlineStr">
        <is>
          <t>Total de tots els sexes; resposta JSON-stat de l'API d'Idescat</t>
        </is>
      </c>
    </row>
    <row r="1612" ht="15" customHeight="1" s="39">
      <c r="A1612" s="38" t="n">
        <v>2021</v>
      </c>
      <c r="B1612" s="42" t="inlineStr">
        <is>
          <t>439057</t>
        </is>
      </c>
      <c r="C1612" s="38" t="inlineStr">
        <is>
          <t>Salou</t>
        </is>
      </c>
      <c r="D1612" s="38" t="inlineStr">
        <is>
          <t>Y080</t>
        </is>
      </c>
      <c r="E1612" s="38" t="inlineStr">
        <is>
          <t>80 anys</t>
        </is>
      </c>
      <c r="F1612" s="38" t="n">
        <v>80</v>
      </c>
      <c r="G1612" s="38" t="n">
        <v>108</v>
      </c>
      <c r="I1612" s="38" t="inlineStr">
        <is>
          <t>Total de tots els sexes; resposta JSON-stat de l'API d'Idescat</t>
        </is>
      </c>
    </row>
    <row r="1613" ht="15" customHeight="1" s="39">
      <c r="A1613" s="38" t="n">
        <v>2021</v>
      </c>
      <c r="B1613" s="42" t="inlineStr">
        <is>
          <t>439057</t>
        </is>
      </c>
      <c r="C1613" s="38" t="inlineStr">
        <is>
          <t>Salou</t>
        </is>
      </c>
      <c r="D1613" s="38" t="inlineStr">
        <is>
          <t>Y081</t>
        </is>
      </c>
      <c r="E1613" s="38" t="inlineStr">
        <is>
          <t>81 anys</t>
        </is>
      </c>
      <c r="F1613" s="38" t="n">
        <v>81</v>
      </c>
      <c r="G1613" s="38" t="n">
        <v>65</v>
      </c>
      <c r="I1613" s="38" t="inlineStr">
        <is>
          <t>Total de tots els sexes; resposta JSON-stat de l'API d'Idescat</t>
        </is>
      </c>
    </row>
    <row r="1614" ht="15" customHeight="1" s="39">
      <c r="A1614" s="38" t="n">
        <v>2021</v>
      </c>
      <c r="B1614" s="42" t="inlineStr">
        <is>
          <t>439057</t>
        </is>
      </c>
      <c r="C1614" s="38" t="inlineStr">
        <is>
          <t>Salou</t>
        </is>
      </c>
      <c r="D1614" s="38" t="inlineStr">
        <is>
          <t>Y082</t>
        </is>
      </c>
      <c r="E1614" s="38" t="inlineStr">
        <is>
          <t>82 anys</t>
        </is>
      </c>
      <c r="F1614" s="38" t="n">
        <v>82</v>
      </c>
      <c r="G1614" s="38" t="n">
        <v>81</v>
      </c>
      <c r="I1614" s="38" t="inlineStr">
        <is>
          <t>Total de tots els sexes; resposta JSON-stat de l'API d'Idescat</t>
        </is>
      </c>
    </row>
    <row r="1615" ht="15" customHeight="1" s="39">
      <c r="A1615" s="38" t="n">
        <v>2021</v>
      </c>
      <c r="B1615" s="42" t="inlineStr">
        <is>
          <t>439057</t>
        </is>
      </c>
      <c r="C1615" s="38" t="inlineStr">
        <is>
          <t>Salou</t>
        </is>
      </c>
      <c r="D1615" s="38" t="inlineStr">
        <is>
          <t>Y083</t>
        </is>
      </c>
      <c r="E1615" s="38" t="inlineStr">
        <is>
          <t>83 anys</t>
        </is>
      </c>
      <c r="F1615" s="38" t="n">
        <v>83</v>
      </c>
      <c r="G1615" s="38" t="n">
        <v>79</v>
      </c>
      <c r="I1615" s="38" t="inlineStr">
        <is>
          <t>Total de tots els sexes; resposta JSON-stat de l'API d'Idescat</t>
        </is>
      </c>
    </row>
    <row r="1616" ht="15" customHeight="1" s="39">
      <c r="A1616" s="38" t="n">
        <v>2021</v>
      </c>
      <c r="B1616" s="42" t="inlineStr">
        <is>
          <t>439057</t>
        </is>
      </c>
      <c r="C1616" s="38" t="inlineStr">
        <is>
          <t>Salou</t>
        </is>
      </c>
      <c r="D1616" s="38" t="inlineStr">
        <is>
          <t>Y084</t>
        </is>
      </c>
      <c r="E1616" s="38" t="inlineStr">
        <is>
          <t>84 anys</t>
        </is>
      </c>
      <c r="F1616" s="38" t="n">
        <v>84</v>
      </c>
      <c r="G1616" s="38" t="n">
        <v>97</v>
      </c>
      <c r="I1616" s="38" t="inlineStr">
        <is>
          <t>Total de tots els sexes; resposta JSON-stat de l'API d'Idescat</t>
        </is>
      </c>
    </row>
    <row r="1617" ht="15" customHeight="1" s="39">
      <c r="A1617" s="38" t="n">
        <v>2021</v>
      </c>
      <c r="B1617" s="42" t="inlineStr">
        <is>
          <t>439057</t>
        </is>
      </c>
      <c r="C1617" s="38" t="inlineStr">
        <is>
          <t>Salou</t>
        </is>
      </c>
      <c r="D1617" s="38" t="inlineStr">
        <is>
          <t>Y085</t>
        </is>
      </c>
      <c r="E1617" s="38" t="inlineStr">
        <is>
          <t>85 anys</t>
        </is>
      </c>
      <c r="F1617" s="38" t="n">
        <v>85</v>
      </c>
      <c r="G1617" s="38" t="n">
        <v>80</v>
      </c>
      <c r="I1617" s="38" t="inlineStr">
        <is>
          <t>Total de tots els sexes; resposta JSON-stat de l'API d'Idescat</t>
        </is>
      </c>
    </row>
    <row r="1618" ht="15" customHeight="1" s="39">
      <c r="A1618" s="38" t="n">
        <v>2021</v>
      </c>
      <c r="B1618" s="42" t="inlineStr">
        <is>
          <t>439057</t>
        </is>
      </c>
      <c r="C1618" s="38" t="inlineStr">
        <is>
          <t>Salou</t>
        </is>
      </c>
      <c r="D1618" s="38" t="inlineStr">
        <is>
          <t>Y086</t>
        </is>
      </c>
      <c r="E1618" s="38" t="inlineStr">
        <is>
          <t>86 anys</t>
        </is>
      </c>
      <c r="F1618" s="38" t="n">
        <v>86</v>
      </c>
      <c r="G1618" s="38" t="n">
        <v>75</v>
      </c>
      <c r="I1618" s="38" t="inlineStr">
        <is>
          <t>Total de tots els sexes; resposta JSON-stat de l'API d'Idescat</t>
        </is>
      </c>
    </row>
    <row r="1619" ht="15" customHeight="1" s="39">
      <c r="A1619" s="38" t="n">
        <v>2021</v>
      </c>
      <c r="B1619" s="42" t="inlineStr">
        <is>
          <t>439057</t>
        </is>
      </c>
      <c r="C1619" s="38" t="inlineStr">
        <is>
          <t>Salou</t>
        </is>
      </c>
      <c r="D1619" s="38" t="inlineStr">
        <is>
          <t>Y087</t>
        </is>
      </c>
      <c r="E1619" s="38" t="inlineStr">
        <is>
          <t>87 anys</t>
        </is>
      </c>
      <c r="F1619" s="38" t="n">
        <v>87</v>
      </c>
      <c r="G1619" s="38" t="n">
        <v>64</v>
      </c>
      <c r="I1619" s="38" t="inlineStr">
        <is>
          <t>Total de tots els sexes; resposta JSON-stat de l'API d'Idescat</t>
        </is>
      </c>
    </row>
    <row r="1620" ht="15" customHeight="1" s="39">
      <c r="A1620" s="38" t="n">
        <v>2021</v>
      </c>
      <c r="B1620" s="42" t="inlineStr">
        <is>
          <t>439057</t>
        </is>
      </c>
      <c r="C1620" s="38" t="inlineStr">
        <is>
          <t>Salou</t>
        </is>
      </c>
      <c r="D1620" s="38" t="inlineStr">
        <is>
          <t>Y088</t>
        </is>
      </c>
      <c r="E1620" s="38" t="inlineStr">
        <is>
          <t>88 anys</t>
        </is>
      </c>
      <c r="F1620" s="38" t="n">
        <v>88</v>
      </c>
      <c r="G1620" s="38" t="n">
        <v>49</v>
      </c>
      <c r="I1620" s="38" t="inlineStr">
        <is>
          <t>Total de tots els sexes; resposta JSON-stat de l'API d'Idescat</t>
        </is>
      </c>
    </row>
    <row r="1621" ht="15" customHeight="1" s="39">
      <c r="A1621" s="38" t="n">
        <v>2021</v>
      </c>
      <c r="B1621" s="42" t="inlineStr">
        <is>
          <t>439057</t>
        </is>
      </c>
      <c r="C1621" s="38" t="inlineStr">
        <is>
          <t>Salou</t>
        </is>
      </c>
      <c r="D1621" s="38" t="inlineStr">
        <is>
          <t>Y089</t>
        </is>
      </c>
      <c r="E1621" s="38" t="inlineStr">
        <is>
          <t>89 anys</t>
        </is>
      </c>
      <c r="F1621" s="38" t="n">
        <v>89</v>
      </c>
      <c r="G1621" s="38" t="n">
        <v>42</v>
      </c>
      <c r="I1621" s="38" t="inlineStr">
        <is>
          <t>Total de tots els sexes; resposta JSON-stat de l'API d'Idescat</t>
        </is>
      </c>
    </row>
    <row r="1622" ht="15" customHeight="1" s="39">
      <c r="A1622" s="38" t="n">
        <v>2021</v>
      </c>
      <c r="B1622" s="42" t="inlineStr">
        <is>
          <t>439057</t>
        </is>
      </c>
      <c r="C1622" s="38" t="inlineStr">
        <is>
          <t>Salou</t>
        </is>
      </c>
      <c r="D1622" s="38" t="inlineStr">
        <is>
          <t>Y090</t>
        </is>
      </c>
      <c r="E1622" s="38" t="inlineStr">
        <is>
          <t>90 anys</t>
        </is>
      </c>
      <c r="F1622" s="38" t="n">
        <v>90</v>
      </c>
      <c r="G1622" s="38" t="n">
        <v>43</v>
      </c>
      <c r="I1622" s="38" t="inlineStr">
        <is>
          <t>Total de tots els sexes; resposta JSON-stat de l'API d'Idescat</t>
        </is>
      </c>
    </row>
    <row r="1623" ht="15" customHeight="1" s="39">
      <c r="A1623" s="38" t="n">
        <v>2021</v>
      </c>
      <c r="B1623" s="42" t="inlineStr">
        <is>
          <t>439057</t>
        </is>
      </c>
      <c r="C1623" s="38" t="inlineStr">
        <is>
          <t>Salou</t>
        </is>
      </c>
      <c r="D1623" s="38" t="inlineStr">
        <is>
          <t>Y091</t>
        </is>
      </c>
      <c r="E1623" s="38" t="inlineStr">
        <is>
          <t>91 anys</t>
        </is>
      </c>
      <c r="F1623" s="38" t="n">
        <v>91</v>
      </c>
      <c r="G1623" s="38" t="n">
        <v>32</v>
      </c>
      <c r="I1623" s="38" t="inlineStr">
        <is>
          <t>Total de tots els sexes; resposta JSON-stat de l'API d'Idescat</t>
        </is>
      </c>
    </row>
    <row r="1624" ht="15" customHeight="1" s="39">
      <c r="A1624" s="38" t="n">
        <v>2021</v>
      </c>
      <c r="B1624" s="42" t="inlineStr">
        <is>
          <t>439057</t>
        </is>
      </c>
      <c r="C1624" s="38" t="inlineStr">
        <is>
          <t>Salou</t>
        </is>
      </c>
      <c r="D1624" s="38" t="inlineStr">
        <is>
          <t>Y092</t>
        </is>
      </c>
      <c r="E1624" s="38" t="inlineStr">
        <is>
          <t>92 anys</t>
        </is>
      </c>
      <c r="F1624" s="38" t="n">
        <v>92</v>
      </c>
      <c r="G1624" s="38" t="n">
        <v>37</v>
      </c>
      <c r="I1624" s="38" t="inlineStr">
        <is>
          <t>Total de tots els sexes; resposta JSON-stat de l'API d'Idescat</t>
        </is>
      </c>
    </row>
    <row r="1625" ht="15" customHeight="1" s="39">
      <c r="A1625" s="38" t="n">
        <v>2021</v>
      </c>
      <c r="B1625" s="42" t="inlineStr">
        <is>
          <t>439057</t>
        </is>
      </c>
      <c r="C1625" s="38" t="inlineStr">
        <is>
          <t>Salou</t>
        </is>
      </c>
      <c r="D1625" s="38" t="inlineStr">
        <is>
          <t>Y093</t>
        </is>
      </c>
      <c r="E1625" s="38" t="inlineStr">
        <is>
          <t>93 anys</t>
        </is>
      </c>
      <c r="F1625" s="38" t="n">
        <v>93</v>
      </c>
      <c r="G1625" s="38" t="n">
        <v>18</v>
      </c>
      <c r="I1625" s="38" t="inlineStr">
        <is>
          <t>Total de tots els sexes; resposta JSON-stat de l'API d'Idescat</t>
        </is>
      </c>
    </row>
    <row r="1626" ht="15" customHeight="1" s="39">
      <c r="A1626" s="38" t="n">
        <v>2021</v>
      </c>
      <c r="B1626" s="42" t="inlineStr">
        <is>
          <t>439057</t>
        </is>
      </c>
      <c r="C1626" s="38" t="inlineStr">
        <is>
          <t>Salou</t>
        </is>
      </c>
      <c r="D1626" s="38" t="inlineStr">
        <is>
          <t>Y094</t>
        </is>
      </c>
      <c r="E1626" s="38" t="inlineStr">
        <is>
          <t>94 anys</t>
        </is>
      </c>
      <c r="F1626" s="38" t="n">
        <v>94</v>
      </c>
      <c r="G1626" s="38" t="n">
        <v>19</v>
      </c>
      <c r="I1626" s="38" t="inlineStr">
        <is>
          <t>Total de tots els sexes; resposta JSON-stat de l'API d'Idescat</t>
        </is>
      </c>
    </row>
    <row r="1627" ht="15" customHeight="1" s="39">
      <c r="A1627" s="38" t="n">
        <v>2021</v>
      </c>
      <c r="B1627" s="42" t="inlineStr">
        <is>
          <t>439057</t>
        </is>
      </c>
      <c r="C1627" s="38" t="inlineStr">
        <is>
          <t>Salou</t>
        </is>
      </c>
      <c r="D1627" s="38" t="inlineStr">
        <is>
          <t>Y095</t>
        </is>
      </c>
      <c r="E1627" s="38" t="inlineStr">
        <is>
          <t>95 anys</t>
        </is>
      </c>
      <c r="F1627" s="38" t="n">
        <v>95</v>
      </c>
      <c r="G1627" s="38" t="n">
        <v>13</v>
      </c>
      <c r="I1627" s="38" t="inlineStr">
        <is>
          <t>Total de tots els sexes; resposta JSON-stat de l'API d'Idescat</t>
        </is>
      </c>
    </row>
    <row r="1628" ht="15" customHeight="1" s="39">
      <c r="A1628" s="38" t="n">
        <v>2021</v>
      </c>
      <c r="B1628" s="42" t="inlineStr">
        <is>
          <t>439057</t>
        </is>
      </c>
      <c r="C1628" s="38" t="inlineStr">
        <is>
          <t>Salou</t>
        </is>
      </c>
      <c r="D1628" s="38" t="inlineStr">
        <is>
          <t>Y096</t>
        </is>
      </c>
      <c r="E1628" s="38" t="inlineStr">
        <is>
          <t>96 anys</t>
        </is>
      </c>
      <c r="F1628" s="38" t="n">
        <v>96</v>
      </c>
      <c r="G1628" s="38" t="n">
        <v>7</v>
      </c>
      <c r="I1628" s="38" t="inlineStr">
        <is>
          <t>Total de tots els sexes; resposta JSON-stat de l'API d'Idescat</t>
        </is>
      </c>
    </row>
    <row r="1629" ht="15" customHeight="1" s="39">
      <c r="A1629" s="38" t="n">
        <v>2021</v>
      </c>
      <c r="B1629" s="42" t="inlineStr">
        <is>
          <t>439057</t>
        </is>
      </c>
      <c r="C1629" s="38" t="inlineStr">
        <is>
          <t>Salou</t>
        </is>
      </c>
      <c r="D1629" s="38" t="inlineStr">
        <is>
          <t>Y097</t>
        </is>
      </c>
      <c r="E1629" s="38" t="inlineStr">
        <is>
          <t>97 anys</t>
        </is>
      </c>
      <c r="F1629" s="38" t="n">
        <v>97</v>
      </c>
      <c r="G1629" s="38" t="n">
        <v>3</v>
      </c>
      <c r="I1629" s="38" t="inlineStr">
        <is>
          <t>Total de tots els sexes; resposta JSON-stat de l'API d'Idescat</t>
        </is>
      </c>
    </row>
    <row r="1630" ht="15" customHeight="1" s="39">
      <c r="A1630" s="38" t="n">
        <v>2021</v>
      </c>
      <c r="B1630" s="42" t="inlineStr">
        <is>
          <t>439057</t>
        </is>
      </c>
      <c r="C1630" s="38" t="inlineStr">
        <is>
          <t>Salou</t>
        </is>
      </c>
      <c r="D1630" s="38" t="inlineStr">
        <is>
          <t>Y098</t>
        </is>
      </c>
      <c r="E1630" s="38" t="inlineStr">
        <is>
          <t>98 anys</t>
        </is>
      </c>
      <c r="F1630" s="38" t="n">
        <v>98</v>
      </c>
      <c r="G1630" s="38" t="n">
        <v>2</v>
      </c>
      <c r="I1630" s="38" t="inlineStr">
        <is>
          <t>Total de tots els sexes; resposta JSON-stat de l'API d'Idescat</t>
        </is>
      </c>
    </row>
    <row r="1631" ht="15" customHeight="1" s="39">
      <c r="A1631" s="38" t="n">
        <v>2021</v>
      </c>
      <c r="B1631" s="42" t="inlineStr">
        <is>
          <t>439057</t>
        </is>
      </c>
      <c r="C1631" s="38" t="inlineStr">
        <is>
          <t>Salou</t>
        </is>
      </c>
      <c r="D1631" s="38" t="inlineStr">
        <is>
          <t>Y099</t>
        </is>
      </c>
      <c r="E1631" s="38" t="inlineStr">
        <is>
          <t>99 anys</t>
        </is>
      </c>
      <c r="F1631" s="38" t="n">
        <v>99</v>
      </c>
      <c r="G1631" s="38" t="n">
        <v>2</v>
      </c>
      <c r="I1631" s="38" t="inlineStr">
        <is>
          <t>Total de tots els sexes; resposta JSON-stat de l'API d'Idescat</t>
        </is>
      </c>
    </row>
    <row r="1632" ht="15" customHeight="1" s="39">
      <c r="A1632" s="38" t="n">
        <v>2021</v>
      </c>
      <c r="B1632" s="42" t="inlineStr">
        <is>
          <t>439057</t>
        </is>
      </c>
      <c r="C1632" s="38" t="inlineStr">
        <is>
          <t>Salou</t>
        </is>
      </c>
      <c r="D1632" s="38" t="inlineStr">
        <is>
          <t>Y_GE100</t>
        </is>
      </c>
      <c r="E1632" s="38" t="inlineStr">
        <is>
          <t>100 anys o més</t>
        </is>
      </c>
      <c r="F1632" s="38" t="n">
        <v>100</v>
      </c>
      <c r="G1632" s="38" t="n">
        <v>4</v>
      </c>
      <c r="I1632" s="38" t="inlineStr">
        <is>
          <t>Total de tots els sexes; resposta JSON-stat de l'API d'Idescat</t>
        </is>
      </c>
    </row>
    <row r="1633" ht="15" customHeight="1" s="39">
      <c r="A1633" s="38" t="n">
        <v>2021</v>
      </c>
      <c r="B1633" s="42" t="inlineStr">
        <is>
          <t>439057</t>
        </is>
      </c>
      <c r="C1633" s="38" t="inlineStr">
        <is>
          <t>Salou</t>
        </is>
      </c>
      <c r="D1633" s="38" t="inlineStr">
        <is>
          <t>TOTAL</t>
        </is>
      </c>
      <c r="E1633" s="38" t="inlineStr">
        <is>
          <t>total</t>
        </is>
      </c>
      <c r="G1633" s="38" t="n">
        <v>28314</v>
      </c>
      <c r="I1633" s="38" t="inlineStr">
        <is>
          <t>Total de tots els sexes; resposta JSON-stat de l'API d'Idescat</t>
        </is>
      </c>
    </row>
    <row r="1634" ht="15" customHeight="1" s="39">
      <c r="A1634" s="38" t="n">
        <v>2021</v>
      </c>
      <c r="B1634" s="42" t="inlineStr">
        <is>
          <t>431444</t>
        </is>
      </c>
      <c r="C1634" s="38" t="inlineStr">
        <is>
          <t>Secuita, la</t>
        </is>
      </c>
      <c r="D1634" s="38" t="inlineStr">
        <is>
          <t>Y000</t>
        </is>
      </c>
      <c r="E1634" s="38" t="inlineStr">
        <is>
          <t>0 anys</t>
        </is>
      </c>
      <c r="F1634" s="38" t="n">
        <v>0</v>
      </c>
      <c r="G1634" s="38" t="n">
        <v>13</v>
      </c>
      <c r="I1634" s="38" t="inlineStr">
        <is>
          <t>Total de tots els sexes; resposta JSON-stat de l'API d'Idescat</t>
        </is>
      </c>
    </row>
    <row r="1635" ht="15" customHeight="1" s="39">
      <c r="A1635" s="38" t="n">
        <v>2021</v>
      </c>
      <c r="B1635" s="42" t="inlineStr">
        <is>
          <t>431444</t>
        </is>
      </c>
      <c r="C1635" s="38" t="inlineStr">
        <is>
          <t>Secuita, la</t>
        </is>
      </c>
      <c r="D1635" s="38" t="inlineStr">
        <is>
          <t>Y001</t>
        </is>
      </c>
      <c r="E1635" s="38" t="inlineStr">
        <is>
          <t>1 any</t>
        </is>
      </c>
      <c r="F1635" s="38" t="n">
        <v>1</v>
      </c>
      <c r="G1635" s="38" t="n">
        <v>24</v>
      </c>
      <c r="I1635" s="38" t="inlineStr">
        <is>
          <t>Total de tots els sexes; resposta JSON-stat de l'API d'Idescat</t>
        </is>
      </c>
    </row>
    <row r="1636" ht="15" customHeight="1" s="39">
      <c r="A1636" s="38" t="n">
        <v>2021</v>
      </c>
      <c r="B1636" s="42" t="inlineStr">
        <is>
          <t>431444</t>
        </is>
      </c>
      <c r="C1636" s="38" t="inlineStr">
        <is>
          <t>Secuita, la</t>
        </is>
      </c>
      <c r="D1636" s="38" t="inlineStr">
        <is>
          <t>Y002</t>
        </is>
      </c>
      <c r="E1636" s="38" t="inlineStr">
        <is>
          <t>2 anys</t>
        </is>
      </c>
      <c r="F1636" s="38" t="n">
        <v>2</v>
      </c>
      <c r="G1636" s="38" t="n">
        <v>11</v>
      </c>
      <c r="I1636" s="38" t="inlineStr">
        <is>
          <t>Total de tots els sexes; resposta JSON-stat de l'API d'Idescat</t>
        </is>
      </c>
    </row>
    <row r="1637" ht="15" customHeight="1" s="39">
      <c r="A1637" s="38" t="n">
        <v>2021</v>
      </c>
      <c r="B1637" s="42" t="inlineStr">
        <is>
          <t>431444</t>
        </is>
      </c>
      <c r="C1637" s="38" t="inlineStr">
        <is>
          <t>Secuita, la</t>
        </is>
      </c>
      <c r="D1637" s="38" t="inlineStr">
        <is>
          <t>Y003</t>
        </is>
      </c>
      <c r="E1637" s="38" t="inlineStr">
        <is>
          <t>3 anys</t>
        </is>
      </c>
      <c r="F1637" s="38" t="n">
        <v>3</v>
      </c>
      <c r="G1637" s="38" t="n">
        <v>18</v>
      </c>
      <c r="I1637" s="38" t="inlineStr">
        <is>
          <t>Total de tots els sexes; resposta JSON-stat de l'API d'Idescat</t>
        </is>
      </c>
    </row>
    <row r="1638" ht="15" customHeight="1" s="39">
      <c r="A1638" s="38" t="n">
        <v>2021</v>
      </c>
      <c r="B1638" s="42" t="inlineStr">
        <is>
          <t>431444</t>
        </is>
      </c>
      <c r="C1638" s="38" t="inlineStr">
        <is>
          <t>Secuita, la</t>
        </is>
      </c>
      <c r="D1638" s="38" t="inlineStr">
        <is>
          <t>Y004</t>
        </is>
      </c>
      <c r="E1638" s="38" t="inlineStr">
        <is>
          <t>4 anys</t>
        </is>
      </c>
      <c r="F1638" s="38" t="n">
        <v>4</v>
      </c>
      <c r="G1638" s="38" t="n">
        <v>22</v>
      </c>
      <c r="I1638" s="38" t="inlineStr">
        <is>
          <t>Total de tots els sexes; resposta JSON-stat de l'API d'Idescat</t>
        </is>
      </c>
    </row>
    <row r="1639" ht="15" customHeight="1" s="39">
      <c r="A1639" s="38" t="n">
        <v>2021</v>
      </c>
      <c r="B1639" s="42" t="inlineStr">
        <is>
          <t>431444</t>
        </is>
      </c>
      <c r="C1639" s="38" t="inlineStr">
        <is>
          <t>Secuita, la</t>
        </is>
      </c>
      <c r="D1639" s="38" t="inlineStr">
        <is>
          <t>Y005</t>
        </is>
      </c>
      <c r="E1639" s="38" t="inlineStr">
        <is>
          <t>5 anys</t>
        </is>
      </c>
      <c r="F1639" s="38" t="n">
        <v>5</v>
      </c>
      <c r="G1639" s="38" t="n">
        <v>20</v>
      </c>
      <c r="I1639" s="38" t="inlineStr">
        <is>
          <t>Total de tots els sexes; resposta JSON-stat de l'API d'Idescat</t>
        </is>
      </c>
    </row>
    <row r="1640" ht="15" customHeight="1" s="39">
      <c r="A1640" s="38" t="n">
        <v>2021</v>
      </c>
      <c r="B1640" s="42" t="inlineStr">
        <is>
          <t>431444</t>
        </is>
      </c>
      <c r="C1640" s="38" t="inlineStr">
        <is>
          <t>Secuita, la</t>
        </is>
      </c>
      <c r="D1640" s="38" t="inlineStr">
        <is>
          <t>Y006</t>
        </is>
      </c>
      <c r="E1640" s="38" t="inlineStr">
        <is>
          <t>6 anys</t>
        </is>
      </c>
      <c r="F1640" s="38" t="n">
        <v>6</v>
      </c>
      <c r="G1640" s="38" t="n">
        <v>13</v>
      </c>
      <c r="I1640" s="38" t="inlineStr">
        <is>
          <t>Total de tots els sexes; resposta JSON-stat de l'API d'Idescat</t>
        </is>
      </c>
    </row>
    <row r="1641" ht="15" customHeight="1" s="39">
      <c r="A1641" s="38" t="n">
        <v>2021</v>
      </c>
      <c r="B1641" s="42" t="inlineStr">
        <is>
          <t>431444</t>
        </is>
      </c>
      <c r="C1641" s="38" t="inlineStr">
        <is>
          <t>Secuita, la</t>
        </is>
      </c>
      <c r="D1641" s="38" t="inlineStr">
        <is>
          <t>Y007</t>
        </is>
      </c>
      <c r="E1641" s="38" t="inlineStr">
        <is>
          <t>7 anys</t>
        </is>
      </c>
      <c r="F1641" s="38" t="n">
        <v>7</v>
      </c>
      <c r="G1641" s="38" t="n">
        <v>22</v>
      </c>
      <c r="I1641" s="38" t="inlineStr">
        <is>
          <t>Total de tots els sexes; resposta JSON-stat de l'API d'Idescat</t>
        </is>
      </c>
    </row>
    <row r="1642" ht="15" customHeight="1" s="39">
      <c r="A1642" s="38" t="n">
        <v>2021</v>
      </c>
      <c r="B1642" s="42" t="inlineStr">
        <is>
          <t>431444</t>
        </is>
      </c>
      <c r="C1642" s="38" t="inlineStr">
        <is>
          <t>Secuita, la</t>
        </is>
      </c>
      <c r="D1642" s="38" t="inlineStr">
        <is>
          <t>Y008</t>
        </is>
      </c>
      <c r="E1642" s="38" t="inlineStr">
        <is>
          <t>8 anys</t>
        </is>
      </c>
      <c r="F1642" s="38" t="n">
        <v>8</v>
      </c>
      <c r="G1642" s="38" t="n">
        <v>25</v>
      </c>
      <c r="I1642" s="38" t="inlineStr">
        <is>
          <t>Total de tots els sexes; resposta JSON-stat de l'API d'Idescat</t>
        </is>
      </c>
    </row>
    <row r="1643" ht="15" customHeight="1" s="39">
      <c r="A1643" s="38" t="n">
        <v>2021</v>
      </c>
      <c r="B1643" s="42" t="inlineStr">
        <is>
          <t>431444</t>
        </is>
      </c>
      <c r="C1643" s="38" t="inlineStr">
        <is>
          <t>Secuita, la</t>
        </is>
      </c>
      <c r="D1643" s="38" t="inlineStr">
        <is>
          <t>Y009</t>
        </is>
      </c>
      <c r="E1643" s="38" t="inlineStr">
        <is>
          <t>9 anys</t>
        </is>
      </c>
      <c r="F1643" s="38" t="n">
        <v>9</v>
      </c>
      <c r="G1643" s="38" t="n">
        <v>7</v>
      </c>
      <c r="I1643" s="38" t="inlineStr">
        <is>
          <t>Total de tots els sexes; resposta JSON-stat de l'API d'Idescat</t>
        </is>
      </c>
    </row>
    <row r="1644" ht="15" customHeight="1" s="39">
      <c r="A1644" s="38" t="n">
        <v>2021</v>
      </c>
      <c r="B1644" s="42" t="inlineStr">
        <is>
          <t>431444</t>
        </is>
      </c>
      <c r="C1644" s="38" t="inlineStr">
        <is>
          <t>Secuita, la</t>
        </is>
      </c>
      <c r="D1644" s="38" t="inlineStr">
        <is>
          <t>Y010</t>
        </is>
      </c>
      <c r="E1644" s="38" t="inlineStr">
        <is>
          <t>10 anys</t>
        </is>
      </c>
      <c r="F1644" s="38" t="n">
        <v>10</v>
      </c>
      <c r="G1644" s="38" t="n">
        <v>29</v>
      </c>
      <c r="I1644" s="38" t="inlineStr">
        <is>
          <t>Total de tots els sexes; resposta JSON-stat de l'API d'Idescat</t>
        </is>
      </c>
    </row>
    <row r="1645" ht="15" customHeight="1" s="39">
      <c r="A1645" s="38" t="n">
        <v>2021</v>
      </c>
      <c r="B1645" s="42" t="inlineStr">
        <is>
          <t>431444</t>
        </is>
      </c>
      <c r="C1645" s="38" t="inlineStr">
        <is>
          <t>Secuita, la</t>
        </is>
      </c>
      <c r="D1645" s="38" t="inlineStr">
        <is>
          <t>Y011</t>
        </is>
      </c>
      <c r="E1645" s="38" t="inlineStr">
        <is>
          <t>11 anys</t>
        </is>
      </c>
      <c r="F1645" s="38" t="n">
        <v>11</v>
      </c>
      <c r="G1645" s="38" t="n">
        <v>18</v>
      </c>
      <c r="I1645" s="38" t="inlineStr">
        <is>
          <t>Total de tots els sexes; resposta JSON-stat de l'API d'Idescat</t>
        </is>
      </c>
    </row>
    <row r="1646" ht="15" customHeight="1" s="39">
      <c r="A1646" s="38" t="n">
        <v>2021</v>
      </c>
      <c r="B1646" s="42" t="inlineStr">
        <is>
          <t>431444</t>
        </is>
      </c>
      <c r="C1646" s="38" t="inlineStr">
        <is>
          <t>Secuita, la</t>
        </is>
      </c>
      <c r="D1646" s="38" t="inlineStr">
        <is>
          <t>Y012</t>
        </is>
      </c>
      <c r="E1646" s="38" t="inlineStr">
        <is>
          <t>12 anys</t>
        </is>
      </c>
      <c r="F1646" s="38" t="n">
        <v>12</v>
      </c>
      <c r="G1646" s="38" t="n">
        <v>30</v>
      </c>
      <c r="I1646" s="38" t="inlineStr">
        <is>
          <t>Total de tots els sexes; resposta JSON-stat de l'API d'Idescat</t>
        </is>
      </c>
    </row>
    <row r="1647" ht="15" customHeight="1" s="39">
      <c r="A1647" s="38" t="n">
        <v>2021</v>
      </c>
      <c r="B1647" s="42" t="inlineStr">
        <is>
          <t>431444</t>
        </is>
      </c>
      <c r="C1647" s="38" t="inlineStr">
        <is>
          <t>Secuita, la</t>
        </is>
      </c>
      <c r="D1647" s="38" t="inlineStr">
        <is>
          <t>Y013</t>
        </is>
      </c>
      <c r="E1647" s="38" t="inlineStr">
        <is>
          <t>13 anys</t>
        </is>
      </c>
      <c r="F1647" s="38" t="n">
        <v>13</v>
      </c>
      <c r="G1647" s="38" t="n">
        <v>24</v>
      </c>
      <c r="I1647" s="38" t="inlineStr">
        <is>
          <t>Total de tots els sexes; resposta JSON-stat de l'API d'Idescat</t>
        </is>
      </c>
    </row>
    <row r="1648" ht="15" customHeight="1" s="39">
      <c r="A1648" s="38" t="n">
        <v>2021</v>
      </c>
      <c r="B1648" s="42" t="inlineStr">
        <is>
          <t>431444</t>
        </is>
      </c>
      <c r="C1648" s="38" t="inlineStr">
        <is>
          <t>Secuita, la</t>
        </is>
      </c>
      <c r="D1648" s="38" t="inlineStr">
        <is>
          <t>Y014</t>
        </is>
      </c>
      <c r="E1648" s="38" t="inlineStr">
        <is>
          <t>14 anys</t>
        </is>
      </c>
      <c r="F1648" s="38" t="n">
        <v>14</v>
      </c>
      <c r="G1648" s="38" t="n">
        <v>25</v>
      </c>
      <c r="I1648" s="38" t="inlineStr">
        <is>
          <t>Total de tots els sexes; resposta JSON-stat de l'API d'Idescat</t>
        </is>
      </c>
    </row>
    <row r="1649" ht="15" customHeight="1" s="39">
      <c r="A1649" s="38" t="n">
        <v>2021</v>
      </c>
      <c r="B1649" s="42" t="inlineStr">
        <is>
          <t>431444</t>
        </is>
      </c>
      <c r="C1649" s="38" t="inlineStr">
        <is>
          <t>Secuita, la</t>
        </is>
      </c>
      <c r="D1649" s="38" t="inlineStr">
        <is>
          <t>Y015</t>
        </is>
      </c>
      <c r="E1649" s="38" t="inlineStr">
        <is>
          <t>15 anys</t>
        </is>
      </c>
      <c r="F1649" s="38" t="n">
        <v>15</v>
      </c>
      <c r="G1649" s="38" t="n">
        <v>16</v>
      </c>
      <c r="I1649" s="38" t="inlineStr">
        <is>
          <t>Total de tots els sexes; resposta JSON-stat de l'API d'Idescat</t>
        </is>
      </c>
    </row>
    <row r="1650" ht="15" customHeight="1" s="39">
      <c r="A1650" s="38" t="n">
        <v>2021</v>
      </c>
      <c r="B1650" s="42" t="inlineStr">
        <is>
          <t>431444</t>
        </is>
      </c>
      <c r="C1650" s="38" t="inlineStr">
        <is>
          <t>Secuita, la</t>
        </is>
      </c>
      <c r="D1650" s="38" t="inlineStr">
        <is>
          <t>Y016</t>
        </is>
      </c>
      <c r="E1650" s="38" t="inlineStr">
        <is>
          <t>16 anys</t>
        </is>
      </c>
      <c r="F1650" s="38" t="n">
        <v>16</v>
      </c>
      <c r="G1650" s="38" t="n">
        <v>12</v>
      </c>
      <c r="I1650" s="38" t="inlineStr">
        <is>
          <t>Total de tots els sexes; resposta JSON-stat de l'API d'Idescat</t>
        </is>
      </c>
    </row>
    <row r="1651" ht="15" customHeight="1" s="39">
      <c r="A1651" s="38" t="n">
        <v>2021</v>
      </c>
      <c r="B1651" s="42" t="inlineStr">
        <is>
          <t>431444</t>
        </is>
      </c>
      <c r="C1651" s="38" t="inlineStr">
        <is>
          <t>Secuita, la</t>
        </is>
      </c>
      <c r="D1651" s="38" t="inlineStr">
        <is>
          <t>Y017</t>
        </is>
      </c>
      <c r="E1651" s="38" t="inlineStr">
        <is>
          <t>17 anys</t>
        </is>
      </c>
      <c r="F1651" s="38" t="n">
        <v>17</v>
      </c>
      <c r="G1651" s="38" t="n">
        <v>23</v>
      </c>
      <c r="I1651" s="38" t="inlineStr">
        <is>
          <t>Total de tots els sexes; resposta JSON-stat de l'API d'Idescat</t>
        </is>
      </c>
    </row>
    <row r="1652" ht="15" customHeight="1" s="39">
      <c r="A1652" s="38" t="n">
        <v>2021</v>
      </c>
      <c r="B1652" s="42" t="inlineStr">
        <is>
          <t>431444</t>
        </is>
      </c>
      <c r="C1652" s="38" t="inlineStr">
        <is>
          <t>Secuita, la</t>
        </is>
      </c>
      <c r="D1652" s="38" t="inlineStr">
        <is>
          <t>Y018</t>
        </is>
      </c>
      <c r="E1652" s="38" t="inlineStr">
        <is>
          <t>18 anys</t>
        </is>
      </c>
      <c r="F1652" s="38" t="n">
        <v>18</v>
      </c>
      <c r="G1652" s="38" t="n">
        <v>15</v>
      </c>
      <c r="I1652" s="38" t="inlineStr">
        <is>
          <t>Total de tots els sexes; resposta JSON-stat de l'API d'Idescat</t>
        </is>
      </c>
    </row>
    <row r="1653" ht="15" customHeight="1" s="39">
      <c r="A1653" s="38" t="n">
        <v>2021</v>
      </c>
      <c r="B1653" s="42" t="inlineStr">
        <is>
          <t>431444</t>
        </is>
      </c>
      <c r="C1653" s="38" t="inlineStr">
        <is>
          <t>Secuita, la</t>
        </is>
      </c>
      <c r="D1653" s="38" t="inlineStr">
        <is>
          <t>Y019</t>
        </is>
      </c>
      <c r="E1653" s="38" t="inlineStr">
        <is>
          <t>19 anys</t>
        </is>
      </c>
      <c r="F1653" s="38" t="n">
        <v>19</v>
      </c>
      <c r="G1653" s="38" t="n">
        <v>12</v>
      </c>
      <c r="I1653" s="38" t="inlineStr">
        <is>
          <t>Total de tots els sexes; resposta JSON-stat de l'API d'Idescat</t>
        </is>
      </c>
    </row>
    <row r="1654" ht="15" customHeight="1" s="39">
      <c r="A1654" s="38" t="n">
        <v>2021</v>
      </c>
      <c r="B1654" s="42" t="inlineStr">
        <is>
          <t>431444</t>
        </is>
      </c>
      <c r="C1654" s="38" t="inlineStr">
        <is>
          <t>Secuita, la</t>
        </is>
      </c>
      <c r="D1654" s="38" t="inlineStr">
        <is>
          <t>Y020</t>
        </is>
      </c>
      <c r="E1654" s="38" t="inlineStr">
        <is>
          <t>20 anys</t>
        </is>
      </c>
      <c r="F1654" s="38" t="n">
        <v>20</v>
      </c>
      <c r="G1654" s="38" t="n">
        <v>12</v>
      </c>
      <c r="I1654" s="38" t="inlineStr">
        <is>
          <t>Total de tots els sexes; resposta JSON-stat de l'API d'Idescat</t>
        </is>
      </c>
    </row>
    <row r="1655" ht="15" customHeight="1" s="39">
      <c r="A1655" s="38" t="n">
        <v>2021</v>
      </c>
      <c r="B1655" s="42" t="inlineStr">
        <is>
          <t>431444</t>
        </is>
      </c>
      <c r="C1655" s="38" t="inlineStr">
        <is>
          <t>Secuita, la</t>
        </is>
      </c>
      <c r="D1655" s="38" t="inlineStr">
        <is>
          <t>Y021</t>
        </is>
      </c>
      <c r="E1655" s="38" t="inlineStr">
        <is>
          <t>21 anys</t>
        </is>
      </c>
      <c r="F1655" s="38" t="n">
        <v>21</v>
      </c>
      <c r="G1655" s="38" t="n">
        <v>20</v>
      </c>
      <c r="I1655" s="38" t="inlineStr">
        <is>
          <t>Total de tots els sexes; resposta JSON-stat de l'API d'Idescat</t>
        </is>
      </c>
    </row>
    <row r="1656" ht="15" customHeight="1" s="39">
      <c r="A1656" s="38" t="n">
        <v>2021</v>
      </c>
      <c r="B1656" s="42" t="inlineStr">
        <is>
          <t>431444</t>
        </is>
      </c>
      <c r="C1656" s="38" t="inlineStr">
        <is>
          <t>Secuita, la</t>
        </is>
      </c>
      <c r="D1656" s="38" t="inlineStr">
        <is>
          <t>Y022</t>
        </is>
      </c>
      <c r="E1656" s="38" t="inlineStr">
        <is>
          <t>22 anys</t>
        </is>
      </c>
      <c r="F1656" s="38" t="n">
        <v>22</v>
      </c>
      <c r="G1656" s="38" t="n">
        <v>12</v>
      </c>
      <c r="I1656" s="38" t="inlineStr">
        <is>
          <t>Total de tots els sexes; resposta JSON-stat de l'API d'Idescat</t>
        </is>
      </c>
    </row>
    <row r="1657" ht="15" customHeight="1" s="39">
      <c r="A1657" s="38" t="n">
        <v>2021</v>
      </c>
      <c r="B1657" s="42" t="inlineStr">
        <is>
          <t>431444</t>
        </is>
      </c>
      <c r="C1657" s="38" t="inlineStr">
        <is>
          <t>Secuita, la</t>
        </is>
      </c>
      <c r="D1657" s="38" t="inlineStr">
        <is>
          <t>Y023</t>
        </is>
      </c>
      <c r="E1657" s="38" t="inlineStr">
        <is>
          <t>23 anys</t>
        </is>
      </c>
      <c r="F1657" s="38" t="n">
        <v>23</v>
      </c>
      <c r="G1657" s="38" t="n">
        <v>8</v>
      </c>
      <c r="I1657" s="38" t="inlineStr">
        <is>
          <t>Total de tots els sexes; resposta JSON-stat de l'API d'Idescat</t>
        </is>
      </c>
    </row>
    <row r="1658" ht="15" customHeight="1" s="39">
      <c r="A1658" s="38" t="n">
        <v>2021</v>
      </c>
      <c r="B1658" s="42" t="inlineStr">
        <is>
          <t>431444</t>
        </is>
      </c>
      <c r="C1658" s="38" t="inlineStr">
        <is>
          <t>Secuita, la</t>
        </is>
      </c>
      <c r="D1658" s="38" t="inlineStr">
        <is>
          <t>Y024</t>
        </is>
      </c>
      <c r="E1658" s="38" t="inlineStr">
        <is>
          <t>24 anys</t>
        </is>
      </c>
      <c r="F1658" s="38" t="n">
        <v>24</v>
      </c>
      <c r="G1658" s="38" t="n">
        <v>15</v>
      </c>
      <c r="I1658" s="38" t="inlineStr">
        <is>
          <t>Total de tots els sexes; resposta JSON-stat de l'API d'Idescat</t>
        </is>
      </c>
    </row>
    <row r="1659" ht="15" customHeight="1" s="39">
      <c r="A1659" s="38" t="n">
        <v>2021</v>
      </c>
      <c r="B1659" s="42" t="inlineStr">
        <is>
          <t>431444</t>
        </is>
      </c>
      <c r="C1659" s="38" t="inlineStr">
        <is>
          <t>Secuita, la</t>
        </is>
      </c>
      <c r="D1659" s="38" t="inlineStr">
        <is>
          <t>Y025</t>
        </is>
      </c>
      <c r="E1659" s="38" t="inlineStr">
        <is>
          <t>25 anys</t>
        </is>
      </c>
      <c r="F1659" s="38" t="n">
        <v>25</v>
      </c>
      <c r="G1659" s="38" t="n">
        <v>13</v>
      </c>
      <c r="I1659" s="38" t="inlineStr">
        <is>
          <t>Total de tots els sexes; resposta JSON-stat de l'API d'Idescat</t>
        </is>
      </c>
    </row>
    <row r="1660" ht="15" customHeight="1" s="39">
      <c r="A1660" s="38" t="n">
        <v>2021</v>
      </c>
      <c r="B1660" s="42" t="inlineStr">
        <is>
          <t>431444</t>
        </is>
      </c>
      <c r="C1660" s="38" t="inlineStr">
        <is>
          <t>Secuita, la</t>
        </is>
      </c>
      <c r="D1660" s="38" t="inlineStr">
        <is>
          <t>Y026</t>
        </is>
      </c>
      <c r="E1660" s="38" t="inlineStr">
        <is>
          <t>26 anys</t>
        </is>
      </c>
      <c r="F1660" s="38" t="n">
        <v>26</v>
      </c>
      <c r="G1660" s="38" t="n">
        <v>17</v>
      </c>
      <c r="I1660" s="38" t="inlineStr">
        <is>
          <t>Total de tots els sexes; resposta JSON-stat de l'API d'Idescat</t>
        </is>
      </c>
    </row>
    <row r="1661" ht="15" customHeight="1" s="39">
      <c r="A1661" s="38" t="n">
        <v>2021</v>
      </c>
      <c r="B1661" s="42" t="inlineStr">
        <is>
          <t>431444</t>
        </is>
      </c>
      <c r="C1661" s="38" t="inlineStr">
        <is>
          <t>Secuita, la</t>
        </is>
      </c>
      <c r="D1661" s="38" t="inlineStr">
        <is>
          <t>Y027</t>
        </is>
      </c>
      <c r="E1661" s="38" t="inlineStr">
        <is>
          <t>27 anys</t>
        </is>
      </c>
      <c r="F1661" s="38" t="n">
        <v>27</v>
      </c>
      <c r="G1661" s="38" t="n">
        <v>16</v>
      </c>
      <c r="I1661" s="38" t="inlineStr">
        <is>
          <t>Total de tots els sexes; resposta JSON-stat de l'API d'Idescat</t>
        </is>
      </c>
    </row>
    <row r="1662" ht="15" customHeight="1" s="39">
      <c r="A1662" s="38" t="n">
        <v>2021</v>
      </c>
      <c r="B1662" s="42" t="inlineStr">
        <is>
          <t>431444</t>
        </is>
      </c>
      <c r="C1662" s="38" t="inlineStr">
        <is>
          <t>Secuita, la</t>
        </is>
      </c>
      <c r="D1662" s="38" t="inlineStr">
        <is>
          <t>Y028</t>
        </is>
      </c>
      <c r="E1662" s="38" t="inlineStr">
        <is>
          <t>28 anys</t>
        </is>
      </c>
      <c r="F1662" s="38" t="n">
        <v>28</v>
      </c>
      <c r="G1662" s="38" t="n">
        <v>22</v>
      </c>
      <c r="I1662" s="38" t="inlineStr">
        <is>
          <t>Total de tots els sexes; resposta JSON-stat de l'API d'Idescat</t>
        </is>
      </c>
    </row>
    <row r="1663" ht="15" customHeight="1" s="39">
      <c r="A1663" s="38" t="n">
        <v>2021</v>
      </c>
      <c r="B1663" s="42" t="inlineStr">
        <is>
          <t>431444</t>
        </is>
      </c>
      <c r="C1663" s="38" t="inlineStr">
        <is>
          <t>Secuita, la</t>
        </is>
      </c>
      <c r="D1663" s="38" t="inlineStr">
        <is>
          <t>Y029</t>
        </is>
      </c>
      <c r="E1663" s="38" t="inlineStr">
        <is>
          <t>29 anys</t>
        </is>
      </c>
      <c r="F1663" s="38" t="n">
        <v>29</v>
      </c>
      <c r="G1663" s="38" t="n">
        <v>20</v>
      </c>
      <c r="I1663" s="38" t="inlineStr">
        <is>
          <t>Total de tots els sexes; resposta JSON-stat de l'API d'Idescat</t>
        </is>
      </c>
    </row>
    <row r="1664" ht="15" customHeight="1" s="39">
      <c r="A1664" s="38" t="n">
        <v>2021</v>
      </c>
      <c r="B1664" s="42" t="inlineStr">
        <is>
          <t>431444</t>
        </is>
      </c>
      <c r="C1664" s="38" t="inlineStr">
        <is>
          <t>Secuita, la</t>
        </is>
      </c>
      <c r="D1664" s="38" t="inlineStr">
        <is>
          <t>Y030</t>
        </is>
      </c>
      <c r="E1664" s="38" t="inlineStr">
        <is>
          <t>30 anys</t>
        </is>
      </c>
      <c r="F1664" s="38" t="n">
        <v>30</v>
      </c>
      <c r="G1664" s="38" t="n">
        <v>21</v>
      </c>
      <c r="I1664" s="38" t="inlineStr">
        <is>
          <t>Total de tots els sexes; resposta JSON-stat de l'API d'Idescat</t>
        </is>
      </c>
    </row>
    <row r="1665" ht="15" customHeight="1" s="39">
      <c r="A1665" s="38" t="n">
        <v>2021</v>
      </c>
      <c r="B1665" s="42" t="inlineStr">
        <is>
          <t>431444</t>
        </is>
      </c>
      <c r="C1665" s="38" t="inlineStr">
        <is>
          <t>Secuita, la</t>
        </is>
      </c>
      <c r="D1665" s="38" t="inlineStr">
        <is>
          <t>Y031</t>
        </is>
      </c>
      <c r="E1665" s="38" t="inlineStr">
        <is>
          <t>31 anys</t>
        </is>
      </c>
      <c r="F1665" s="38" t="n">
        <v>31</v>
      </c>
      <c r="G1665" s="38" t="n">
        <v>24</v>
      </c>
      <c r="I1665" s="38" t="inlineStr">
        <is>
          <t>Total de tots els sexes; resposta JSON-stat de l'API d'Idescat</t>
        </is>
      </c>
    </row>
    <row r="1666" ht="15" customHeight="1" s="39">
      <c r="A1666" s="38" t="n">
        <v>2021</v>
      </c>
      <c r="B1666" s="42" t="inlineStr">
        <is>
          <t>431444</t>
        </is>
      </c>
      <c r="C1666" s="38" t="inlineStr">
        <is>
          <t>Secuita, la</t>
        </is>
      </c>
      <c r="D1666" s="38" t="inlineStr">
        <is>
          <t>Y032</t>
        </is>
      </c>
      <c r="E1666" s="38" t="inlineStr">
        <is>
          <t>32 anys</t>
        </is>
      </c>
      <c r="F1666" s="38" t="n">
        <v>32</v>
      </c>
      <c r="G1666" s="38" t="n">
        <v>34</v>
      </c>
      <c r="I1666" s="38" t="inlineStr">
        <is>
          <t>Total de tots els sexes; resposta JSON-stat de l'API d'Idescat</t>
        </is>
      </c>
    </row>
    <row r="1667" ht="15" customHeight="1" s="39">
      <c r="A1667" s="38" t="n">
        <v>2021</v>
      </c>
      <c r="B1667" s="42" t="inlineStr">
        <is>
          <t>431444</t>
        </is>
      </c>
      <c r="C1667" s="38" t="inlineStr">
        <is>
          <t>Secuita, la</t>
        </is>
      </c>
      <c r="D1667" s="38" t="inlineStr">
        <is>
          <t>Y033</t>
        </is>
      </c>
      <c r="E1667" s="38" t="inlineStr">
        <is>
          <t>33 anys</t>
        </is>
      </c>
      <c r="F1667" s="38" t="n">
        <v>33</v>
      </c>
      <c r="G1667" s="38" t="n">
        <v>22</v>
      </c>
      <c r="I1667" s="38" t="inlineStr">
        <is>
          <t>Total de tots els sexes; resposta JSON-stat de l'API d'Idescat</t>
        </is>
      </c>
    </row>
    <row r="1668" ht="15" customHeight="1" s="39">
      <c r="A1668" s="38" t="n">
        <v>2021</v>
      </c>
      <c r="B1668" s="42" t="inlineStr">
        <is>
          <t>431444</t>
        </is>
      </c>
      <c r="C1668" s="38" t="inlineStr">
        <is>
          <t>Secuita, la</t>
        </is>
      </c>
      <c r="D1668" s="38" t="inlineStr">
        <is>
          <t>Y034</t>
        </is>
      </c>
      <c r="E1668" s="38" t="inlineStr">
        <is>
          <t>34 anys</t>
        </is>
      </c>
      <c r="F1668" s="38" t="n">
        <v>34</v>
      </c>
      <c r="G1668" s="38" t="n">
        <v>21</v>
      </c>
      <c r="I1668" s="38" t="inlineStr">
        <is>
          <t>Total de tots els sexes; resposta JSON-stat de l'API d'Idescat</t>
        </is>
      </c>
    </row>
    <row r="1669" ht="15" customHeight="1" s="39">
      <c r="A1669" s="38" t="n">
        <v>2021</v>
      </c>
      <c r="B1669" s="42" t="inlineStr">
        <is>
          <t>431444</t>
        </is>
      </c>
      <c r="C1669" s="38" t="inlineStr">
        <is>
          <t>Secuita, la</t>
        </is>
      </c>
      <c r="D1669" s="38" t="inlineStr">
        <is>
          <t>Y035</t>
        </is>
      </c>
      <c r="E1669" s="38" t="inlineStr">
        <is>
          <t>35 anys</t>
        </is>
      </c>
      <c r="F1669" s="38" t="n">
        <v>35</v>
      </c>
      <c r="G1669" s="38" t="n">
        <v>27</v>
      </c>
      <c r="I1669" s="38" t="inlineStr">
        <is>
          <t>Total de tots els sexes; resposta JSON-stat de l'API d'Idescat</t>
        </is>
      </c>
    </row>
    <row r="1670" ht="15" customHeight="1" s="39">
      <c r="A1670" s="38" t="n">
        <v>2021</v>
      </c>
      <c r="B1670" s="42" t="inlineStr">
        <is>
          <t>431444</t>
        </is>
      </c>
      <c r="C1670" s="38" t="inlineStr">
        <is>
          <t>Secuita, la</t>
        </is>
      </c>
      <c r="D1670" s="38" t="inlineStr">
        <is>
          <t>Y036</t>
        </is>
      </c>
      <c r="E1670" s="38" t="inlineStr">
        <is>
          <t>36 anys</t>
        </is>
      </c>
      <c r="F1670" s="38" t="n">
        <v>36</v>
      </c>
      <c r="G1670" s="38" t="n">
        <v>28</v>
      </c>
      <c r="I1670" s="38" t="inlineStr">
        <is>
          <t>Total de tots els sexes; resposta JSON-stat de l'API d'Idescat</t>
        </is>
      </c>
    </row>
    <row r="1671" ht="15" customHeight="1" s="39">
      <c r="A1671" s="38" t="n">
        <v>2021</v>
      </c>
      <c r="B1671" s="42" t="inlineStr">
        <is>
          <t>431444</t>
        </is>
      </c>
      <c r="C1671" s="38" t="inlineStr">
        <is>
          <t>Secuita, la</t>
        </is>
      </c>
      <c r="D1671" s="38" t="inlineStr">
        <is>
          <t>Y037</t>
        </is>
      </c>
      <c r="E1671" s="38" t="inlineStr">
        <is>
          <t>37 anys</t>
        </is>
      </c>
      <c r="F1671" s="38" t="n">
        <v>37</v>
      </c>
      <c r="G1671" s="38" t="n">
        <v>27</v>
      </c>
      <c r="I1671" s="38" t="inlineStr">
        <is>
          <t>Total de tots els sexes; resposta JSON-stat de l'API d'Idescat</t>
        </is>
      </c>
    </row>
    <row r="1672" ht="15" customHeight="1" s="39">
      <c r="A1672" s="38" t="n">
        <v>2021</v>
      </c>
      <c r="B1672" s="42" t="inlineStr">
        <is>
          <t>431444</t>
        </is>
      </c>
      <c r="C1672" s="38" t="inlineStr">
        <is>
          <t>Secuita, la</t>
        </is>
      </c>
      <c r="D1672" s="38" t="inlineStr">
        <is>
          <t>Y038</t>
        </is>
      </c>
      <c r="E1672" s="38" t="inlineStr">
        <is>
          <t>38 anys</t>
        </is>
      </c>
      <c r="F1672" s="38" t="n">
        <v>38</v>
      </c>
      <c r="G1672" s="38" t="n">
        <v>26</v>
      </c>
      <c r="I1672" s="38" t="inlineStr">
        <is>
          <t>Total de tots els sexes; resposta JSON-stat de l'API d'Idescat</t>
        </is>
      </c>
    </row>
    <row r="1673" ht="15" customHeight="1" s="39">
      <c r="A1673" s="38" t="n">
        <v>2021</v>
      </c>
      <c r="B1673" s="42" t="inlineStr">
        <is>
          <t>431444</t>
        </is>
      </c>
      <c r="C1673" s="38" t="inlineStr">
        <is>
          <t>Secuita, la</t>
        </is>
      </c>
      <c r="D1673" s="38" t="inlineStr">
        <is>
          <t>Y039</t>
        </is>
      </c>
      <c r="E1673" s="38" t="inlineStr">
        <is>
          <t>39 anys</t>
        </is>
      </c>
      <c r="F1673" s="38" t="n">
        <v>39</v>
      </c>
      <c r="G1673" s="38" t="n">
        <v>32</v>
      </c>
      <c r="I1673" s="38" t="inlineStr">
        <is>
          <t>Total de tots els sexes; resposta JSON-stat de l'API d'Idescat</t>
        </is>
      </c>
    </row>
    <row r="1674" ht="15" customHeight="1" s="39">
      <c r="A1674" s="38" t="n">
        <v>2021</v>
      </c>
      <c r="B1674" s="42" t="inlineStr">
        <is>
          <t>431444</t>
        </is>
      </c>
      <c r="C1674" s="38" t="inlineStr">
        <is>
          <t>Secuita, la</t>
        </is>
      </c>
      <c r="D1674" s="38" t="inlineStr">
        <is>
          <t>Y040</t>
        </is>
      </c>
      <c r="E1674" s="38" t="inlineStr">
        <is>
          <t>40 anys</t>
        </is>
      </c>
      <c r="F1674" s="38" t="n">
        <v>40</v>
      </c>
      <c r="G1674" s="38" t="n">
        <v>30</v>
      </c>
      <c r="I1674" s="38" t="inlineStr">
        <is>
          <t>Total de tots els sexes; resposta JSON-stat de l'API d'Idescat</t>
        </is>
      </c>
    </row>
    <row r="1675" ht="15" customHeight="1" s="39">
      <c r="A1675" s="38" t="n">
        <v>2021</v>
      </c>
      <c r="B1675" s="42" t="inlineStr">
        <is>
          <t>431444</t>
        </is>
      </c>
      <c r="C1675" s="38" t="inlineStr">
        <is>
          <t>Secuita, la</t>
        </is>
      </c>
      <c r="D1675" s="38" t="inlineStr">
        <is>
          <t>Y041</t>
        </is>
      </c>
      <c r="E1675" s="38" t="inlineStr">
        <is>
          <t>41 anys</t>
        </is>
      </c>
      <c r="F1675" s="38" t="n">
        <v>41</v>
      </c>
      <c r="G1675" s="38" t="n">
        <v>37</v>
      </c>
      <c r="I1675" s="38" t="inlineStr">
        <is>
          <t>Total de tots els sexes; resposta JSON-stat de l'API d'Idescat</t>
        </is>
      </c>
    </row>
    <row r="1676" ht="15" customHeight="1" s="39">
      <c r="A1676" s="38" t="n">
        <v>2021</v>
      </c>
      <c r="B1676" s="42" t="inlineStr">
        <is>
          <t>431444</t>
        </is>
      </c>
      <c r="C1676" s="38" t="inlineStr">
        <is>
          <t>Secuita, la</t>
        </is>
      </c>
      <c r="D1676" s="38" t="inlineStr">
        <is>
          <t>Y042</t>
        </is>
      </c>
      <c r="E1676" s="38" t="inlineStr">
        <is>
          <t>42 anys</t>
        </is>
      </c>
      <c r="F1676" s="38" t="n">
        <v>42</v>
      </c>
      <c r="G1676" s="38" t="n">
        <v>32</v>
      </c>
      <c r="I1676" s="38" t="inlineStr">
        <is>
          <t>Total de tots els sexes; resposta JSON-stat de l'API d'Idescat</t>
        </is>
      </c>
    </row>
    <row r="1677" ht="15" customHeight="1" s="39">
      <c r="A1677" s="38" t="n">
        <v>2021</v>
      </c>
      <c r="B1677" s="42" t="inlineStr">
        <is>
          <t>431444</t>
        </is>
      </c>
      <c r="C1677" s="38" t="inlineStr">
        <is>
          <t>Secuita, la</t>
        </is>
      </c>
      <c r="D1677" s="38" t="inlineStr">
        <is>
          <t>Y043</t>
        </is>
      </c>
      <c r="E1677" s="38" t="inlineStr">
        <is>
          <t>43 anys</t>
        </is>
      </c>
      <c r="F1677" s="38" t="n">
        <v>43</v>
      </c>
      <c r="G1677" s="38" t="n">
        <v>26</v>
      </c>
      <c r="I1677" s="38" t="inlineStr">
        <is>
          <t>Total de tots els sexes; resposta JSON-stat de l'API d'Idescat</t>
        </is>
      </c>
    </row>
    <row r="1678" ht="15" customHeight="1" s="39">
      <c r="A1678" s="38" t="n">
        <v>2021</v>
      </c>
      <c r="B1678" s="42" t="inlineStr">
        <is>
          <t>431444</t>
        </is>
      </c>
      <c r="C1678" s="38" t="inlineStr">
        <is>
          <t>Secuita, la</t>
        </is>
      </c>
      <c r="D1678" s="38" t="inlineStr">
        <is>
          <t>Y044</t>
        </is>
      </c>
      <c r="E1678" s="38" t="inlineStr">
        <is>
          <t>44 anys</t>
        </is>
      </c>
      <c r="F1678" s="38" t="n">
        <v>44</v>
      </c>
      <c r="G1678" s="38" t="n">
        <v>33</v>
      </c>
      <c r="I1678" s="38" t="inlineStr">
        <is>
          <t>Total de tots els sexes; resposta JSON-stat de l'API d'Idescat</t>
        </is>
      </c>
    </row>
    <row r="1679" ht="15" customHeight="1" s="39">
      <c r="A1679" s="38" t="n">
        <v>2021</v>
      </c>
      <c r="B1679" s="42" t="inlineStr">
        <is>
          <t>431444</t>
        </is>
      </c>
      <c r="C1679" s="38" t="inlineStr">
        <is>
          <t>Secuita, la</t>
        </is>
      </c>
      <c r="D1679" s="38" t="inlineStr">
        <is>
          <t>Y045</t>
        </is>
      </c>
      <c r="E1679" s="38" t="inlineStr">
        <is>
          <t>45 anys</t>
        </is>
      </c>
      <c r="F1679" s="38" t="n">
        <v>45</v>
      </c>
      <c r="G1679" s="38" t="n">
        <v>29</v>
      </c>
      <c r="I1679" s="38" t="inlineStr">
        <is>
          <t>Total de tots els sexes; resposta JSON-stat de l'API d'Idescat</t>
        </is>
      </c>
    </row>
    <row r="1680" ht="15" customHeight="1" s="39">
      <c r="A1680" s="38" t="n">
        <v>2021</v>
      </c>
      <c r="B1680" s="42" t="inlineStr">
        <is>
          <t>431444</t>
        </is>
      </c>
      <c r="C1680" s="38" t="inlineStr">
        <is>
          <t>Secuita, la</t>
        </is>
      </c>
      <c r="D1680" s="38" t="inlineStr">
        <is>
          <t>Y046</t>
        </is>
      </c>
      <c r="E1680" s="38" t="inlineStr">
        <is>
          <t>46 anys</t>
        </is>
      </c>
      <c r="F1680" s="38" t="n">
        <v>46</v>
      </c>
      <c r="G1680" s="38" t="n">
        <v>34</v>
      </c>
      <c r="I1680" s="38" t="inlineStr">
        <is>
          <t>Total de tots els sexes; resposta JSON-stat de l'API d'Idescat</t>
        </is>
      </c>
    </row>
    <row r="1681" ht="15" customHeight="1" s="39">
      <c r="A1681" s="38" t="n">
        <v>2021</v>
      </c>
      <c r="B1681" s="42" t="inlineStr">
        <is>
          <t>431444</t>
        </is>
      </c>
      <c r="C1681" s="38" t="inlineStr">
        <is>
          <t>Secuita, la</t>
        </is>
      </c>
      <c r="D1681" s="38" t="inlineStr">
        <is>
          <t>Y047</t>
        </is>
      </c>
      <c r="E1681" s="38" t="inlineStr">
        <is>
          <t>47 anys</t>
        </is>
      </c>
      <c r="F1681" s="38" t="n">
        <v>47</v>
      </c>
      <c r="G1681" s="38" t="n">
        <v>21</v>
      </c>
      <c r="I1681" s="38" t="inlineStr">
        <is>
          <t>Total de tots els sexes; resposta JSON-stat de l'API d'Idescat</t>
        </is>
      </c>
    </row>
    <row r="1682" ht="15" customHeight="1" s="39">
      <c r="A1682" s="38" t="n">
        <v>2021</v>
      </c>
      <c r="B1682" s="42" t="inlineStr">
        <is>
          <t>431444</t>
        </is>
      </c>
      <c r="C1682" s="38" t="inlineStr">
        <is>
          <t>Secuita, la</t>
        </is>
      </c>
      <c r="D1682" s="38" t="inlineStr">
        <is>
          <t>Y048</t>
        </is>
      </c>
      <c r="E1682" s="38" t="inlineStr">
        <is>
          <t>48 anys</t>
        </is>
      </c>
      <c r="F1682" s="38" t="n">
        <v>48</v>
      </c>
      <c r="G1682" s="38" t="n">
        <v>40</v>
      </c>
      <c r="I1682" s="38" t="inlineStr">
        <is>
          <t>Total de tots els sexes; resposta JSON-stat de l'API d'Idescat</t>
        </is>
      </c>
    </row>
    <row r="1683" ht="15" customHeight="1" s="39">
      <c r="A1683" s="38" t="n">
        <v>2021</v>
      </c>
      <c r="B1683" s="42" t="inlineStr">
        <is>
          <t>431444</t>
        </is>
      </c>
      <c r="C1683" s="38" t="inlineStr">
        <is>
          <t>Secuita, la</t>
        </is>
      </c>
      <c r="D1683" s="38" t="inlineStr">
        <is>
          <t>Y049</t>
        </is>
      </c>
      <c r="E1683" s="38" t="inlineStr">
        <is>
          <t>49 anys</t>
        </is>
      </c>
      <c r="F1683" s="38" t="n">
        <v>49</v>
      </c>
      <c r="G1683" s="38" t="n">
        <v>20</v>
      </c>
      <c r="I1683" s="38" t="inlineStr">
        <is>
          <t>Total de tots els sexes; resposta JSON-stat de l'API d'Idescat</t>
        </is>
      </c>
    </row>
    <row r="1684" ht="15" customHeight="1" s="39">
      <c r="A1684" s="38" t="n">
        <v>2021</v>
      </c>
      <c r="B1684" s="42" t="inlineStr">
        <is>
          <t>431444</t>
        </is>
      </c>
      <c r="C1684" s="38" t="inlineStr">
        <is>
          <t>Secuita, la</t>
        </is>
      </c>
      <c r="D1684" s="38" t="inlineStr">
        <is>
          <t>Y050</t>
        </is>
      </c>
      <c r="E1684" s="38" t="inlineStr">
        <is>
          <t>50 anys</t>
        </is>
      </c>
      <c r="F1684" s="38" t="n">
        <v>50</v>
      </c>
      <c r="G1684" s="38" t="n">
        <v>26</v>
      </c>
      <c r="I1684" s="38" t="inlineStr">
        <is>
          <t>Total de tots els sexes; resposta JSON-stat de l'API d'Idescat</t>
        </is>
      </c>
    </row>
    <row r="1685" ht="15" customHeight="1" s="39">
      <c r="A1685" s="38" t="n">
        <v>2021</v>
      </c>
      <c r="B1685" s="42" t="inlineStr">
        <is>
          <t>431444</t>
        </is>
      </c>
      <c r="C1685" s="38" t="inlineStr">
        <is>
          <t>Secuita, la</t>
        </is>
      </c>
      <c r="D1685" s="38" t="inlineStr">
        <is>
          <t>Y051</t>
        </is>
      </c>
      <c r="E1685" s="38" t="inlineStr">
        <is>
          <t>51 anys</t>
        </is>
      </c>
      <c r="F1685" s="38" t="n">
        <v>51</v>
      </c>
      <c r="G1685" s="38" t="n">
        <v>28</v>
      </c>
      <c r="I1685" s="38" t="inlineStr">
        <is>
          <t>Total de tots els sexes; resposta JSON-stat de l'API d'Idescat</t>
        </is>
      </c>
    </row>
    <row r="1686" ht="15" customHeight="1" s="39">
      <c r="A1686" s="38" t="n">
        <v>2021</v>
      </c>
      <c r="B1686" s="42" t="inlineStr">
        <is>
          <t>431444</t>
        </is>
      </c>
      <c r="C1686" s="38" t="inlineStr">
        <is>
          <t>Secuita, la</t>
        </is>
      </c>
      <c r="D1686" s="38" t="inlineStr">
        <is>
          <t>Y052</t>
        </is>
      </c>
      <c r="E1686" s="38" t="inlineStr">
        <is>
          <t>52 anys</t>
        </is>
      </c>
      <c r="F1686" s="38" t="n">
        <v>52</v>
      </c>
      <c r="G1686" s="38" t="n">
        <v>26</v>
      </c>
      <c r="I1686" s="38" t="inlineStr">
        <is>
          <t>Total de tots els sexes; resposta JSON-stat de l'API d'Idescat</t>
        </is>
      </c>
    </row>
    <row r="1687" ht="15" customHeight="1" s="39">
      <c r="A1687" s="38" t="n">
        <v>2021</v>
      </c>
      <c r="B1687" s="42" t="inlineStr">
        <is>
          <t>431444</t>
        </is>
      </c>
      <c r="C1687" s="38" t="inlineStr">
        <is>
          <t>Secuita, la</t>
        </is>
      </c>
      <c r="D1687" s="38" t="inlineStr">
        <is>
          <t>Y053</t>
        </is>
      </c>
      <c r="E1687" s="38" t="inlineStr">
        <is>
          <t>53 anys</t>
        </is>
      </c>
      <c r="F1687" s="38" t="n">
        <v>53</v>
      </c>
      <c r="G1687" s="38" t="n">
        <v>27</v>
      </c>
      <c r="I1687" s="38" t="inlineStr">
        <is>
          <t>Total de tots els sexes; resposta JSON-stat de l'API d'Idescat</t>
        </is>
      </c>
    </row>
    <row r="1688" ht="15" customHeight="1" s="39">
      <c r="A1688" s="38" t="n">
        <v>2021</v>
      </c>
      <c r="B1688" s="42" t="inlineStr">
        <is>
          <t>431444</t>
        </is>
      </c>
      <c r="C1688" s="38" t="inlineStr">
        <is>
          <t>Secuita, la</t>
        </is>
      </c>
      <c r="D1688" s="38" t="inlineStr">
        <is>
          <t>Y054</t>
        </is>
      </c>
      <c r="E1688" s="38" t="inlineStr">
        <is>
          <t>54 anys</t>
        </is>
      </c>
      <c r="F1688" s="38" t="n">
        <v>54</v>
      </c>
      <c r="G1688" s="38" t="n">
        <v>29</v>
      </c>
      <c r="I1688" s="38" t="inlineStr">
        <is>
          <t>Total de tots els sexes; resposta JSON-stat de l'API d'Idescat</t>
        </is>
      </c>
    </row>
    <row r="1689" ht="15" customHeight="1" s="39">
      <c r="A1689" s="38" t="n">
        <v>2021</v>
      </c>
      <c r="B1689" s="42" t="inlineStr">
        <is>
          <t>431444</t>
        </is>
      </c>
      <c r="C1689" s="38" t="inlineStr">
        <is>
          <t>Secuita, la</t>
        </is>
      </c>
      <c r="D1689" s="38" t="inlineStr">
        <is>
          <t>Y055</t>
        </is>
      </c>
      <c r="E1689" s="38" t="inlineStr">
        <is>
          <t>55 anys</t>
        </is>
      </c>
      <c r="F1689" s="38" t="n">
        <v>55</v>
      </c>
      <c r="G1689" s="38" t="n">
        <v>26</v>
      </c>
      <c r="I1689" s="38" t="inlineStr">
        <is>
          <t>Total de tots els sexes; resposta JSON-stat de l'API d'Idescat</t>
        </is>
      </c>
    </row>
    <row r="1690" ht="15" customHeight="1" s="39">
      <c r="A1690" s="38" t="n">
        <v>2021</v>
      </c>
      <c r="B1690" s="42" t="inlineStr">
        <is>
          <t>431444</t>
        </is>
      </c>
      <c r="C1690" s="38" t="inlineStr">
        <is>
          <t>Secuita, la</t>
        </is>
      </c>
      <c r="D1690" s="38" t="inlineStr">
        <is>
          <t>Y056</t>
        </is>
      </c>
      <c r="E1690" s="38" t="inlineStr">
        <is>
          <t>56 anys</t>
        </is>
      </c>
      <c r="F1690" s="38" t="n">
        <v>56</v>
      </c>
      <c r="G1690" s="38" t="n">
        <v>26</v>
      </c>
      <c r="I1690" s="38" t="inlineStr">
        <is>
          <t>Total de tots els sexes; resposta JSON-stat de l'API d'Idescat</t>
        </is>
      </c>
    </row>
    <row r="1691" ht="15" customHeight="1" s="39">
      <c r="A1691" s="38" t="n">
        <v>2021</v>
      </c>
      <c r="B1691" s="42" t="inlineStr">
        <is>
          <t>431444</t>
        </is>
      </c>
      <c r="C1691" s="38" t="inlineStr">
        <is>
          <t>Secuita, la</t>
        </is>
      </c>
      <c r="D1691" s="38" t="inlineStr">
        <is>
          <t>Y057</t>
        </is>
      </c>
      <c r="E1691" s="38" t="inlineStr">
        <is>
          <t>57 anys</t>
        </is>
      </c>
      <c r="F1691" s="38" t="n">
        <v>57</v>
      </c>
      <c r="G1691" s="38" t="n">
        <v>21</v>
      </c>
      <c r="I1691" s="38" t="inlineStr">
        <is>
          <t>Total de tots els sexes; resposta JSON-stat de l'API d'Idescat</t>
        </is>
      </c>
    </row>
    <row r="1692" ht="15" customHeight="1" s="39">
      <c r="A1692" s="38" t="n">
        <v>2021</v>
      </c>
      <c r="B1692" s="42" t="inlineStr">
        <is>
          <t>431444</t>
        </is>
      </c>
      <c r="C1692" s="38" t="inlineStr">
        <is>
          <t>Secuita, la</t>
        </is>
      </c>
      <c r="D1692" s="38" t="inlineStr">
        <is>
          <t>Y058</t>
        </is>
      </c>
      <c r="E1692" s="38" t="inlineStr">
        <is>
          <t>58 anys</t>
        </is>
      </c>
      <c r="F1692" s="38" t="n">
        <v>58</v>
      </c>
      <c r="G1692" s="38" t="n">
        <v>22</v>
      </c>
      <c r="I1692" s="38" t="inlineStr">
        <is>
          <t>Total de tots els sexes; resposta JSON-stat de l'API d'Idescat</t>
        </is>
      </c>
    </row>
    <row r="1693" ht="15" customHeight="1" s="39">
      <c r="A1693" s="38" t="n">
        <v>2021</v>
      </c>
      <c r="B1693" s="42" t="inlineStr">
        <is>
          <t>431444</t>
        </is>
      </c>
      <c r="C1693" s="38" t="inlineStr">
        <is>
          <t>Secuita, la</t>
        </is>
      </c>
      <c r="D1693" s="38" t="inlineStr">
        <is>
          <t>Y059</t>
        </is>
      </c>
      <c r="E1693" s="38" t="inlineStr">
        <is>
          <t>59 anys</t>
        </is>
      </c>
      <c r="F1693" s="38" t="n">
        <v>59</v>
      </c>
      <c r="G1693" s="38" t="n">
        <v>21</v>
      </c>
      <c r="I1693" s="38" t="inlineStr">
        <is>
          <t>Total de tots els sexes; resposta JSON-stat de l'API d'Idescat</t>
        </is>
      </c>
    </row>
    <row r="1694" ht="15" customHeight="1" s="39">
      <c r="A1694" s="38" t="n">
        <v>2021</v>
      </c>
      <c r="B1694" s="42" t="inlineStr">
        <is>
          <t>431444</t>
        </is>
      </c>
      <c r="C1694" s="38" t="inlineStr">
        <is>
          <t>Secuita, la</t>
        </is>
      </c>
      <c r="D1694" s="38" t="inlineStr">
        <is>
          <t>Y060</t>
        </is>
      </c>
      <c r="E1694" s="38" t="inlineStr">
        <is>
          <t>60 anys</t>
        </is>
      </c>
      <c r="F1694" s="38" t="n">
        <v>60</v>
      </c>
      <c r="G1694" s="38" t="n">
        <v>17</v>
      </c>
      <c r="I1694" s="38" t="inlineStr">
        <is>
          <t>Total de tots els sexes; resposta JSON-stat de l'API d'Idescat</t>
        </is>
      </c>
    </row>
    <row r="1695" ht="15" customHeight="1" s="39">
      <c r="A1695" s="38" t="n">
        <v>2021</v>
      </c>
      <c r="B1695" s="42" t="inlineStr">
        <is>
          <t>431444</t>
        </is>
      </c>
      <c r="C1695" s="38" t="inlineStr">
        <is>
          <t>Secuita, la</t>
        </is>
      </c>
      <c r="D1695" s="38" t="inlineStr">
        <is>
          <t>Y061</t>
        </is>
      </c>
      <c r="E1695" s="38" t="inlineStr">
        <is>
          <t>61 anys</t>
        </is>
      </c>
      <c r="F1695" s="38" t="n">
        <v>61</v>
      </c>
      <c r="G1695" s="38" t="n">
        <v>31</v>
      </c>
      <c r="I1695" s="38" t="inlineStr">
        <is>
          <t>Total de tots els sexes; resposta JSON-stat de l'API d'Idescat</t>
        </is>
      </c>
    </row>
    <row r="1696" ht="15" customHeight="1" s="39">
      <c r="A1696" s="38" t="n">
        <v>2021</v>
      </c>
      <c r="B1696" s="42" t="inlineStr">
        <is>
          <t>431444</t>
        </is>
      </c>
      <c r="C1696" s="38" t="inlineStr">
        <is>
          <t>Secuita, la</t>
        </is>
      </c>
      <c r="D1696" s="38" t="inlineStr">
        <is>
          <t>Y062</t>
        </is>
      </c>
      <c r="E1696" s="38" t="inlineStr">
        <is>
          <t>62 anys</t>
        </is>
      </c>
      <c r="F1696" s="38" t="n">
        <v>62</v>
      </c>
      <c r="G1696" s="38" t="n">
        <v>22</v>
      </c>
      <c r="I1696" s="38" t="inlineStr">
        <is>
          <t>Total de tots els sexes; resposta JSON-stat de l'API d'Idescat</t>
        </is>
      </c>
    </row>
    <row r="1697" ht="15" customHeight="1" s="39">
      <c r="A1697" s="38" t="n">
        <v>2021</v>
      </c>
      <c r="B1697" s="42" t="inlineStr">
        <is>
          <t>431444</t>
        </is>
      </c>
      <c r="C1697" s="38" t="inlineStr">
        <is>
          <t>Secuita, la</t>
        </is>
      </c>
      <c r="D1697" s="38" t="inlineStr">
        <is>
          <t>Y063</t>
        </is>
      </c>
      <c r="E1697" s="38" t="inlineStr">
        <is>
          <t>63 anys</t>
        </is>
      </c>
      <c r="F1697" s="38" t="n">
        <v>63</v>
      </c>
      <c r="G1697" s="38" t="n">
        <v>18</v>
      </c>
      <c r="I1697" s="38" t="inlineStr">
        <is>
          <t>Total de tots els sexes; resposta JSON-stat de l'API d'Idescat</t>
        </is>
      </c>
    </row>
    <row r="1698" ht="15" customHeight="1" s="39">
      <c r="A1698" s="38" t="n">
        <v>2021</v>
      </c>
      <c r="B1698" s="42" t="inlineStr">
        <is>
          <t>431444</t>
        </is>
      </c>
      <c r="C1698" s="38" t="inlineStr">
        <is>
          <t>Secuita, la</t>
        </is>
      </c>
      <c r="D1698" s="38" t="inlineStr">
        <is>
          <t>Y064</t>
        </is>
      </c>
      <c r="E1698" s="38" t="inlineStr">
        <is>
          <t>64 anys</t>
        </is>
      </c>
      <c r="F1698" s="38" t="n">
        <v>64</v>
      </c>
      <c r="G1698" s="38" t="n">
        <v>13</v>
      </c>
      <c r="I1698" s="38" t="inlineStr">
        <is>
          <t>Total de tots els sexes; resposta JSON-stat de l'API d'Idescat</t>
        </is>
      </c>
    </row>
    <row r="1699" ht="15" customHeight="1" s="39">
      <c r="A1699" s="38" t="n">
        <v>2021</v>
      </c>
      <c r="B1699" s="42" t="inlineStr">
        <is>
          <t>431444</t>
        </is>
      </c>
      <c r="C1699" s="38" t="inlineStr">
        <is>
          <t>Secuita, la</t>
        </is>
      </c>
      <c r="D1699" s="38" t="inlineStr">
        <is>
          <t>Y065</t>
        </is>
      </c>
      <c r="E1699" s="38" t="inlineStr">
        <is>
          <t>65 anys</t>
        </is>
      </c>
      <c r="F1699" s="38" t="n">
        <v>65</v>
      </c>
      <c r="G1699" s="38" t="n">
        <v>16</v>
      </c>
      <c r="I1699" s="38" t="inlineStr">
        <is>
          <t>Total de tots els sexes; resposta JSON-stat de l'API d'Idescat</t>
        </is>
      </c>
    </row>
    <row r="1700" ht="15" customHeight="1" s="39">
      <c r="A1700" s="38" t="n">
        <v>2021</v>
      </c>
      <c r="B1700" s="42" t="inlineStr">
        <is>
          <t>431444</t>
        </is>
      </c>
      <c r="C1700" s="38" t="inlineStr">
        <is>
          <t>Secuita, la</t>
        </is>
      </c>
      <c r="D1700" s="38" t="inlineStr">
        <is>
          <t>Y066</t>
        </is>
      </c>
      <c r="E1700" s="38" t="inlineStr">
        <is>
          <t>66 anys</t>
        </is>
      </c>
      <c r="F1700" s="38" t="n">
        <v>66</v>
      </c>
      <c r="G1700" s="38" t="n">
        <v>16</v>
      </c>
      <c r="I1700" s="38" t="inlineStr">
        <is>
          <t>Total de tots els sexes; resposta JSON-stat de l'API d'Idescat</t>
        </is>
      </c>
    </row>
    <row r="1701" ht="15" customHeight="1" s="39">
      <c r="A1701" s="38" t="n">
        <v>2021</v>
      </c>
      <c r="B1701" s="42" t="inlineStr">
        <is>
          <t>431444</t>
        </is>
      </c>
      <c r="C1701" s="38" t="inlineStr">
        <is>
          <t>Secuita, la</t>
        </is>
      </c>
      <c r="D1701" s="38" t="inlineStr">
        <is>
          <t>Y067</t>
        </is>
      </c>
      <c r="E1701" s="38" t="inlineStr">
        <is>
          <t>67 anys</t>
        </is>
      </c>
      <c r="F1701" s="38" t="n">
        <v>67</v>
      </c>
      <c r="G1701" s="38" t="n">
        <v>17</v>
      </c>
      <c r="I1701" s="38" t="inlineStr">
        <is>
          <t>Total de tots els sexes; resposta JSON-stat de l'API d'Idescat</t>
        </is>
      </c>
    </row>
    <row r="1702" ht="15" customHeight="1" s="39">
      <c r="A1702" s="38" t="n">
        <v>2021</v>
      </c>
      <c r="B1702" s="42" t="inlineStr">
        <is>
          <t>431444</t>
        </is>
      </c>
      <c r="C1702" s="38" t="inlineStr">
        <is>
          <t>Secuita, la</t>
        </is>
      </c>
      <c r="D1702" s="38" t="inlineStr">
        <is>
          <t>Y068</t>
        </is>
      </c>
      <c r="E1702" s="38" t="inlineStr">
        <is>
          <t>68 anys</t>
        </is>
      </c>
      <c r="F1702" s="38" t="n">
        <v>68</v>
      </c>
      <c r="G1702" s="38" t="n">
        <v>22</v>
      </c>
      <c r="I1702" s="38" t="inlineStr">
        <is>
          <t>Total de tots els sexes; resposta JSON-stat de l'API d'Idescat</t>
        </is>
      </c>
    </row>
    <row r="1703" ht="15" customHeight="1" s="39">
      <c r="A1703" s="38" t="n">
        <v>2021</v>
      </c>
      <c r="B1703" s="42" t="inlineStr">
        <is>
          <t>431444</t>
        </is>
      </c>
      <c r="C1703" s="38" t="inlineStr">
        <is>
          <t>Secuita, la</t>
        </is>
      </c>
      <c r="D1703" s="38" t="inlineStr">
        <is>
          <t>Y069</t>
        </is>
      </c>
      <c r="E1703" s="38" t="inlineStr">
        <is>
          <t>69 anys</t>
        </is>
      </c>
      <c r="F1703" s="38" t="n">
        <v>69</v>
      </c>
      <c r="G1703" s="38" t="n">
        <v>13</v>
      </c>
      <c r="I1703" s="38" t="inlineStr">
        <is>
          <t>Total de tots els sexes; resposta JSON-stat de l'API d'Idescat</t>
        </is>
      </c>
    </row>
    <row r="1704" ht="15" customHeight="1" s="39">
      <c r="A1704" s="38" t="n">
        <v>2021</v>
      </c>
      <c r="B1704" s="42" t="inlineStr">
        <is>
          <t>431444</t>
        </is>
      </c>
      <c r="C1704" s="38" t="inlineStr">
        <is>
          <t>Secuita, la</t>
        </is>
      </c>
      <c r="D1704" s="38" t="inlineStr">
        <is>
          <t>Y070</t>
        </is>
      </c>
      <c r="E1704" s="38" t="inlineStr">
        <is>
          <t>70 anys</t>
        </is>
      </c>
      <c r="F1704" s="38" t="n">
        <v>70</v>
      </c>
      <c r="G1704" s="38" t="n">
        <v>12</v>
      </c>
      <c r="I1704" s="38" t="inlineStr">
        <is>
          <t>Total de tots els sexes; resposta JSON-stat de l'API d'Idescat</t>
        </is>
      </c>
    </row>
    <row r="1705" ht="15" customHeight="1" s="39">
      <c r="A1705" s="38" t="n">
        <v>2021</v>
      </c>
      <c r="B1705" s="42" t="inlineStr">
        <is>
          <t>431444</t>
        </is>
      </c>
      <c r="C1705" s="38" t="inlineStr">
        <is>
          <t>Secuita, la</t>
        </is>
      </c>
      <c r="D1705" s="38" t="inlineStr">
        <is>
          <t>Y071</t>
        </is>
      </c>
      <c r="E1705" s="38" t="inlineStr">
        <is>
          <t>71 anys</t>
        </is>
      </c>
      <c r="F1705" s="38" t="n">
        <v>71</v>
      </c>
      <c r="G1705" s="38" t="n">
        <v>16</v>
      </c>
      <c r="I1705" s="38" t="inlineStr">
        <is>
          <t>Total de tots els sexes; resposta JSON-stat de l'API d'Idescat</t>
        </is>
      </c>
    </row>
    <row r="1706" ht="15" customHeight="1" s="39">
      <c r="A1706" s="38" t="n">
        <v>2021</v>
      </c>
      <c r="B1706" s="42" t="inlineStr">
        <is>
          <t>431444</t>
        </is>
      </c>
      <c r="C1706" s="38" t="inlineStr">
        <is>
          <t>Secuita, la</t>
        </is>
      </c>
      <c r="D1706" s="38" t="inlineStr">
        <is>
          <t>Y072</t>
        </is>
      </c>
      <c r="E1706" s="38" t="inlineStr">
        <is>
          <t>72 anys</t>
        </is>
      </c>
      <c r="F1706" s="38" t="n">
        <v>72</v>
      </c>
      <c r="G1706" s="38" t="n">
        <v>11</v>
      </c>
      <c r="I1706" s="38" t="inlineStr">
        <is>
          <t>Total de tots els sexes; resposta JSON-stat de l'API d'Idescat</t>
        </is>
      </c>
    </row>
    <row r="1707" ht="15" customHeight="1" s="39">
      <c r="A1707" s="38" t="n">
        <v>2021</v>
      </c>
      <c r="B1707" s="42" t="inlineStr">
        <is>
          <t>431444</t>
        </is>
      </c>
      <c r="C1707" s="38" t="inlineStr">
        <is>
          <t>Secuita, la</t>
        </is>
      </c>
      <c r="D1707" s="38" t="inlineStr">
        <is>
          <t>Y073</t>
        </is>
      </c>
      <c r="E1707" s="38" t="inlineStr">
        <is>
          <t>73 anys</t>
        </is>
      </c>
      <c r="F1707" s="38" t="n">
        <v>73</v>
      </c>
      <c r="G1707" s="38" t="n">
        <v>19</v>
      </c>
      <c r="I1707" s="38" t="inlineStr">
        <is>
          <t>Total de tots els sexes; resposta JSON-stat de l'API d'Idescat</t>
        </is>
      </c>
    </row>
    <row r="1708" ht="15" customHeight="1" s="39">
      <c r="A1708" s="38" t="n">
        <v>2021</v>
      </c>
      <c r="B1708" s="42" t="inlineStr">
        <is>
          <t>431444</t>
        </is>
      </c>
      <c r="C1708" s="38" t="inlineStr">
        <is>
          <t>Secuita, la</t>
        </is>
      </c>
      <c r="D1708" s="38" t="inlineStr">
        <is>
          <t>Y074</t>
        </is>
      </c>
      <c r="E1708" s="38" t="inlineStr">
        <is>
          <t>74 anys</t>
        </is>
      </c>
      <c r="F1708" s="38" t="n">
        <v>74</v>
      </c>
      <c r="G1708" s="38" t="n">
        <v>15</v>
      </c>
      <c r="I1708" s="38" t="inlineStr">
        <is>
          <t>Total de tots els sexes; resposta JSON-stat de l'API d'Idescat</t>
        </is>
      </c>
    </row>
    <row r="1709" ht="15" customHeight="1" s="39">
      <c r="A1709" s="38" t="n">
        <v>2021</v>
      </c>
      <c r="B1709" s="42" t="inlineStr">
        <is>
          <t>431444</t>
        </is>
      </c>
      <c r="C1709" s="38" t="inlineStr">
        <is>
          <t>Secuita, la</t>
        </is>
      </c>
      <c r="D1709" s="38" t="inlineStr">
        <is>
          <t>Y075</t>
        </is>
      </c>
      <c r="E1709" s="38" t="inlineStr">
        <is>
          <t>75 anys</t>
        </is>
      </c>
      <c r="F1709" s="38" t="n">
        <v>75</v>
      </c>
      <c r="G1709" s="38" t="n">
        <v>7</v>
      </c>
      <c r="I1709" s="38" t="inlineStr">
        <is>
          <t>Total de tots els sexes; resposta JSON-stat de l'API d'Idescat</t>
        </is>
      </c>
    </row>
    <row r="1710" ht="15" customHeight="1" s="39">
      <c r="A1710" s="38" t="n">
        <v>2021</v>
      </c>
      <c r="B1710" s="42" t="inlineStr">
        <is>
          <t>431444</t>
        </is>
      </c>
      <c r="C1710" s="38" t="inlineStr">
        <is>
          <t>Secuita, la</t>
        </is>
      </c>
      <c r="D1710" s="38" t="inlineStr">
        <is>
          <t>Y076</t>
        </is>
      </c>
      <c r="E1710" s="38" t="inlineStr">
        <is>
          <t>76 anys</t>
        </is>
      </c>
      <c r="F1710" s="38" t="n">
        <v>76</v>
      </c>
      <c r="G1710" s="38" t="n">
        <v>6</v>
      </c>
      <c r="I1710" s="38" t="inlineStr">
        <is>
          <t>Total de tots els sexes; resposta JSON-stat de l'API d'Idescat</t>
        </is>
      </c>
    </row>
    <row r="1711" ht="15" customHeight="1" s="39">
      <c r="A1711" s="38" t="n">
        <v>2021</v>
      </c>
      <c r="B1711" s="42" t="inlineStr">
        <is>
          <t>431444</t>
        </is>
      </c>
      <c r="C1711" s="38" t="inlineStr">
        <is>
          <t>Secuita, la</t>
        </is>
      </c>
      <c r="D1711" s="38" t="inlineStr">
        <is>
          <t>Y077</t>
        </is>
      </c>
      <c r="E1711" s="38" t="inlineStr">
        <is>
          <t>77 anys</t>
        </is>
      </c>
      <c r="F1711" s="38" t="n">
        <v>77</v>
      </c>
      <c r="G1711" s="38" t="n">
        <v>6</v>
      </c>
      <c r="I1711" s="38" t="inlineStr">
        <is>
          <t>Total de tots els sexes; resposta JSON-stat de l'API d'Idescat</t>
        </is>
      </c>
    </row>
    <row r="1712" ht="15" customHeight="1" s="39">
      <c r="A1712" s="38" t="n">
        <v>2021</v>
      </c>
      <c r="B1712" s="42" t="inlineStr">
        <is>
          <t>431444</t>
        </is>
      </c>
      <c r="C1712" s="38" t="inlineStr">
        <is>
          <t>Secuita, la</t>
        </is>
      </c>
      <c r="D1712" s="38" t="inlineStr">
        <is>
          <t>Y078</t>
        </is>
      </c>
      <c r="E1712" s="38" t="inlineStr">
        <is>
          <t>78 anys</t>
        </is>
      </c>
      <c r="F1712" s="38" t="n">
        <v>78</v>
      </c>
      <c r="G1712" s="38" t="n">
        <v>7</v>
      </c>
      <c r="I1712" s="38" t="inlineStr">
        <is>
          <t>Total de tots els sexes; resposta JSON-stat de l'API d'Idescat</t>
        </is>
      </c>
    </row>
    <row r="1713" ht="15" customHeight="1" s="39">
      <c r="A1713" s="38" t="n">
        <v>2021</v>
      </c>
      <c r="B1713" s="42" t="inlineStr">
        <is>
          <t>431444</t>
        </is>
      </c>
      <c r="C1713" s="38" t="inlineStr">
        <is>
          <t>Secuita, la</t>
        </is>
      </c>
      <c r="D1713" s="38" t="inlineStr">
        <is>
          <t>Y079</t>
        </is>
      </c>
      <c r="E1713" s="38" t="inlineStr">
        <is>
          <t>79 anys</t>
        </is>
      </c>
      <c r="F1713" s="38" t="n">
        <v>79</v>
      </c>
      <c r="G1713" s="38" t="n">
        <v>9</v>
      </c>
      <c r="I1713" s="38" t="inlineStr">
        <is>
          <t>Total de tots els sexes; resposta JSON-stat de l'API d'Idescat</t>
        </is>
      </c>
    </row>
    <row r="1714" ht="15" customHeight="1" s="39">
      <c r="A1714" s="38" t="n">
        <v>2021</v>
      </c>
      <c r="B1714" s="42" t="inlineStr">
        <is>
          <t>431444</t>
        </is>
      </c>
      <c r="C1714" s="38" t="inlineStr">
        <is>
          <t>Secuita, la</t>
        </is>
      </c>
      <c r="D1714" s="38" t="inlineStr">
        <is>
          <t>Y080</t>
        </is>
      </c>
      <c r="E1714" s="38" t="inlineStr">
        <is>
          <t>80 anys</t>
        </is>
      </c>
      <c r="F1714" s="38" t="n">
        <v>80</v>
      </c>
      <c r="G1714" s="38" t="n">
        <v>8</v>
      </c>
      <c r="I1714" s="38" t="inlineStr">
        <is>
          <t>Total de tots els sexes; resposta JSON-stat de l'API d'Idescat</t>
        </is>
      </c>
    </row>
    <row r="1715" ht="15" customHeight="1" s="39">
      <c r="A1715" s="38" t="n">
        <v>2021</v>
      </c>
      <c r="B1715" s="42" t="inlineStr">
        <is>
          <t>431444</t>
        </is>
      </c>
      <c r="C1715" s="38" t="inlineStr">
        <is>
          <t>Secuita, la</t>
        </is>
      </c>
      <c r="D1715" s="38" t="inlineStr">
        <is>
          <t>Y081</t>
        </is>
      </c>
      <c r="E1715" s="38" t="inlineStr">
        <is>
          <t>81 anys</t>
        </is>
      </c>
      <c r="F1715" s="38" t="n">
        <v>81</v>
      </c>
      <c r="G1715" s="38" t="n">
        <v>3</v>
      </c>
      <c r="I1715" s="38" t="inlineStr">
        <is>
          <t>Total de tots els sexes; resposta JSON-stat de l'API d'Idescat</t>
        </is>
      </c>
    </row>
    <row r="1716" ht="15" customHeight="1" s="39">
      <c r="A1716" s="38" t="n">
        <v>2021</v>
      </c>
      <c r="B1716" s="42" t="inlineStr">
        <is>
          <t>431444</t>
        </is>
      </c>
      <c r="C1716" s="38" t="inlineStr">
        <is>
          <t>Secuita, la</t>
        </is>
      </c>
      <c r="D1716" s="38" t="inlineStr">
        <is>
          <t>Y082</t>
        </is>
      </c>
      <c r="E1716" s="38" t="inlineStr">
        <is>
          <t>82 anys</t>
        </is>
      </c>
      <c r="F1716" s="38" t="n">
        <v>82</v>
      </c>
      <c r="G1716" s="38" t="n">
        <v>3</v>
      </c>
      <c r="I1716" s="38" t="inlineStr">
        <is>
          <t>Total de tots els sexes; resposta JSON-stat de l'API d'Idescat</t>
        </is>
      </c>
    </row>
    <row r="1717" ht="15" customHeight="1" s="39">
      <c r="A1717" s="38" t="n">
        <v>2021</v>
      </c>
      <c r="B1717" s="42" t="inlineStr">
        <is>
          <t>431444</t>
        </is>
      </c>
      <c r="C1717" s="38" t="inlineStr">
        <is>
          <t>Secuita, la</t>
        </is>
      </c>
      <c r="D1717" s="38" t="inlineStr">
        <is>
          <t>Y083</t>
        </is>
      </c>
      <c r="E1717" s="38" t="inlineStr">
        <is>
          <t>83 anys</t>
        </is>
      </c>
      <c r="F1717" s="38" t="n">
        <v>83</v>
      </c>
      <c r="G1717" s="38" t="n">
        <v>5</v>
      </c>
      <c r="I1717" s="38" t="inlineStr">
        <is>
          <t>Total de tots els sexes; resposta JSON-stat de l'API d'Idescat</t>
        </is>
      </c>
    </row>
    <row r="1718" ht="15" customHeight="1" s="39">
      <c r="A1718" s="38" t="n">
        <v>2021</v>
      </c>
      <c r="B1718" s="42" t="inlineStr">
        <is>
          <t>431444</t>
        </is>
      </c>
      <c r="C1718" s="38" t="inlineStr">
        <is>
          <t>Secuita, la</t>
        </is>
      </c>
      <c r="D1718" s="38" t="inlineStr">
        <is>
          <t>Y084</t>
        </is>
      </c>
      <c r="E1718" s="38" t="inlineStr">
        <is>
          <t>84 anys</t>
        </is>
      </c>
      <c r="F1718" s="38" t="n">
        <v>84</v>
      </c>
      <c r="G1718" s="38" t="n">
        <v>10</v>
      </c>
      <c r="I1718" s="38" t="inlineStr">
        <is>
          <t>Total de tots els sexes; resposta JSON-stat de l'API d'Idescat</t>
        </is>
      </c>
    </row>
    <row r="1719" ht="15" customHeight="1" s="39">
      <c r="A1719" s="38" t="n">
        <v>2021</v>
      </c>
      <c r="B1719" s="42" t="inlineStr">
        <is>
          <t>431444</t>
        </is>
      </c>
      <c r="C1719" s="38" t="inlineStr">
        <is>
          <t>Secuita, la</t>
        </is>
      </c>
      <c r="D1719" s="38" t="inlineStr">
        <is>
          <t>Y085</t>
        </is>
      </c>
      <c r="E1719" s="38" t="inlineStr">
        <is>
          <t>85 anys</t>
        </is>
      </c>
      <c r="F1719" s="38" t="n">
        <v>85</v>
      </c>
      <c r="G1719" s="38" t="n">
        <v>4</v>
      </c>
      <c r="I1719" s="38" t="inlineStr">
        <is>
          <t>Total de tots els sexes; resposta JSON-stat de l'API d'Idescat</t>
        </is>
      </c>
    </row>
    <row r="1720" ht="15" customHeight="1" s="39">
      <c r="A1720" s="38" t="n">
        <v>2021</v>
      </c>
      <c r="B1720" s="42" t="inlineStr">
        <is>
          <t>431444</t>
        </is>
      </c>
      <c r="C1720" s="38" t="inlineStr">
        <is>
          <t>Secuita, la</t>
        </is>
      </c>
      <c r="D1720" s="38" t="inlineStr">
        <is>
          <t>Y086</t>
        </is>
      </c>
      <c r="E1720" s="38" t="inlineStr">
        <is>
          <t>86 anys</t>
        </is>
      </c>
      <c r="F1720" s="38" t="n">
        <v>86</v>
      </c>
      <c r="G1720" s="38" t="n">
        <v>13</v>
      </c>
      <c r="I1720" s="38" t="inlineStr">
        <is>
          <t>Total de tots els sexes; resposta JSON-stat de l'API d'Idescat</t>
        </is>
      </c>
    </row>
    <row r="1721" ht="15" customHeight="1" s="39">
      <c r="A1721" s="38" t="n">
        <v>2021</v>
      </c>
      <c r="B1721" s="42" t="inlineStr">
        <is>
          <t>431444</t>
        </is>
      </c>
      <c r="C1721" s="38" t="inlineStr">
        <is>
          <t>Secuita, la</t>
        </is>
      </c>
      <c r="D1721" s="38" t="inlineStr">
        <is>
          <t>Y087</t>
        </is>
      </c>
      <c r="E1721" s="38" t="inlineStr">
        <is>
          <t>87 anys</t>
        </is>
      </c>
      <c r="F1721" s="38" t="n">
        <v>87</v>
      </c>
      <c r="G1721" s="38" t="n">
        <v>8</v>
      </c>
      <c r="I1721" s="38" t="inlineStr">
        <is>
          <t>Total de tots els sexes; resposta JSON-stat de l'API d'Idescat</t>
        </is>
      </c>
    </row>
    <row r="1722" ht="15" customHeight="1" s="39">
      <c r="A1722" s="38" t="n">
        <v>2021</v>
      </c>
      <c r="B1722" s="42" t="inlineStr">
        <is>
          <t>431444</t>
        </is>
      </c>
      <c r="C1722" s="38" t="inlineStr">
        <is>
          <t>Secuita, la</t>
        </is>
      </c>
      <c r="D1722" s="38" t="inlineStr">
        <is>
          <t>Y088</t>
        </is>
      </c>
      <c r="E1722" s="38" t="inlineStr">
        <is>
          <t>88 anys</t>
        </is>
      </c>
      <c r="F1722" s="38" t="n">
        <v>88</v>
      </c>
      <c r="G1722" s="38" t="n">
        <v>11</v>
      </c>
      <c r="I1722" s="38" t="inlineStr">
        <is>
          <t>Total de tots els sexes; resposta JSON-stat de l'API d'Idescat</t>
        </is>
      </c>
    </row>
    <row r="1723" ht="15" customHeight="1" s="39">
      <c r="A1723" s="38" t="n">
        <v>2021</v>
      </c>
      <c r="B1723" s="42" t="inlineStr">
        <is>
          <t>431444</t>
        </is>
      </c>
      <c r="C1723" s="38" t="inlineStr">
        <is>
          <t>Secuita, la</t>
        </is>
      </c>
      <c r="D1723" s="38" t="inlineStr">
        <is>
          <t>Y089</t>
        </is>
      </c>
      <c r="E1723" s="38" t="inlineStr">
        <is>
          <t>89 anys</t>
        </is>
      </c>
      <c r="F1723" s="38" t="n">
        <v>89</v>
      </c>
      <c r="G1723" s="38" t="n">
        <v>5</v>
      </c>
      <c r="I1723" s="38" t="inlineStr">
        <is>
          <t>Total de tots els sexes; resposta JSON-stat de l'API d'Idescat</t>
        </is>
      </c>
    </row>
    <row r="1724" ht="15" customHeight="1" s="39">
      <c r="A1724" s="38" t="n">
        <v>2021</v>
      </c>
      <c r="B1724" s="42" t="inlineStr">
        <is>
          <t>431444</t>
        </is>
      </c>
      <c r="C1724" s="38" t="inlineStr">
        <is>
          <t>Secuita, la</t>
        </is>
      </c>
      <c r="D1724" s="38" t="inlineStr">
        <is>
          <t>Y090</t>
        </is>
      </c>
      <c r="E1724" s="38" t="inlineStr">
        <is>
          <t>90 anys</t>
        </is>
      </c>
      <c r="F1724" s="38" t="n">
        <v>90</v>
      </c>
      <c r="G1724" s="38" t="n">
        <v>6</v>
      </c>
      <c r="I1724" s="38" t="inlineStr">
        <is>
          <t>Total de tots els sexes; resposta JSON-stat de l'API d'Idescat</t>
        </is>
      </c>
    </row>
    <row r="1725" ht="15" customHeight="1" s="39">
      <c r="A1725" s="38" t="n">
        <v>2021</v>
      </c>
      <c r="B1725" s="42" t="inlineStr">
        <is>
          <t>431444</t>
        </is>
      </c>
      <c r="C1725" s="38" t="inlineStr">
        <is>
          <t>Secuita, la</t>
        </is>
      </c>
      <c r="D1725" s="38" t="inlineStr">
        <is>
          <t>Y091</t>
        </is>
      </c>
      <c r="E1725" s="38" t="inlineStr">
        <is>
          <t>91 anys</t>
        </is>
      </c>
      <c r="F1725" s="38" t="n">
        <v>91</v>
      </c>
      <c r="G1725" s="38" t="n">
        <v>2</v>
      </c>
      <c r="I1725" s="38" t="inlineStr">
        <is>
          <t>Total de tots els sexes; resposta JSON-stat de l'API d'Idescat</t>
        </is>
      </c>
    </row>
    <row r="1726" ht="15" customHeight="1" s="39">
      <c r="A1726" s="38" t="n">
        <v>2021</v>
      </c>
      <c r="B1726" s="42" t="inlineStr">
        <is>
          <t>431444</t>
        </is>
      </c>
      <c r="C1726" s="38" t="inlineStr">
        <is>
          <t>Secuita, la</t>
        </is>
      </c>
      <c r="D1726" s="38" t="inlineStr">
        <is>
          <t>Y092</t>
        </is>
      </c>
      <c r="E1726" s="38" t="inlineStr">
        <is>
          <t>92 anys</t>
        </is>
      </c>
      <c r="F1726" s="38" t="n">
        <v>92</v>
      </c>
      <c r="G1726" s="38" t="n">
        <v>3</v>
      </c>
      <c r="I1726" s="38" t="inlineStr">
        <is>
          <t>Total de tots els sexes; resposta JSON-stat de l'API d'Idescat</t>
        </is>
      </c>
    </row>
    <row r="1727" ht="15" customHeight="1" s="39">
      <c r="A1727" s="38" t="n">
        <v>2021</v>
      </c>
      <c r="B1727" s="42" t="inlineStr">
        <is>
          <t>431444</t>
        </is>
      </c>
      <c r="C1727" s="38" t="inlineStr">
        <is>
          <t>Secuita, la</t>
        </is>
      </c>
      <c r="D1727" s="38" t="inlineStr">
        <is>
          <t>Y093</t>
        </is>
      </c>
      <c r="E1727" s="38" t="inlineStr">
        <is>
          <t>93 anys</t>
        </is>
      </c>
      <c r="F1727" s="38" t="n">
        <v>93</v>
      </c>
      <c r="G1727" s="38" t="n">
        <v>1</v>
      </c>
      <c r="I1727" s="38" t="inlineStr">
        <is>
          <t>Total de tots els sexes; resposta JSON-stat de l'API d'Idescat</t>
        </is>
      </c>
    </row>
    <row r="1728" ht="15" customHeight="1" s="39">
      <c r="A1728" s="38" t="n">
        <v>2021</v>
      </c>
      <c r="B1728" s="42" t="inlineStr">
        <is>
          <t>431444</t>
        </is>
      </c>
      <c r="C1728" s="38" t="inlineStr">
        <is>
          <t>Secuita, la</t>
        </is>
      </c>
      <c r="D1728" s="38" t="inlineStr">
        <is>
          <t>Y094</t>
        </is>
      </c>
      <c r="E1728" s="38" t="inlineStr">
        <is>
          <t>94 anys</t>
        </is>
      </c>
      <c r="F1728" s="38" t="n">
        <v>94</v>
      </c>
      <c r="G1728" s="38" t="n">
        <v>0</v>
      </c>
      <c r="I1728" s="38" t="inlineStr">
        <is>
          <t>Total de tots els sexes; resposta JSON-stat de l'API d'Idescat</t>
        </is>
      </c>
    </row>
    <row r="1729" ht="15" customHeight="1" s="39">
      <c r="A1729" s="38" t="n">
        <v>2021</v>
      </c>
      <c r="B1729" s="42" t="inlineStr">
        <is>
          <t>431444</t>
        </is>
      </c>
      <c r="C1729" s="38" t="inlineStr">
        <is>
          <t>Secuita, la</t>
        </is>
      </c>
      <c r="D1729" s="38" t="inlineStr">
        <is>
          <t>Y095</t>
        </is>
      </c>
      <c r="E1729" s="38" t="inlineStr">
        <is>
          <t>95 anys</t>
        </is>
      </c>
      <c r="F1729" s="38" t="n">
        <v>95</v>
      </c>
      <c r="G1729" s="38" t="n">
        <v>1</v>
      </c>
      <c r="I1729" s="38" t="inlineStr">
        <is>
          <t>Total de tots els sexes; resposta JSON-stat de l'API d'Idescat</t>
        </is>
      </c>
    </row>
    <row r="1730" ht="15" customHeight="1" s="39">
      <c r="A1730" s="38" t="n">
        <v>2021</v>
      </c>
      <c r="B1730" s="42" t="inlineStr">
        <is>
          <t>431444</t>
        </is>
      </c>
      <c r="C1730" s="38" t="inlineStr">
        <is>
          <t>Secuita, la</t>
        </is>
      </c>
      <c r="D1730" s="38" t="inlineStr">
        <is>
          <t>Y096</t>
        </is>
      </c>
      <c r="E1730" s="38" t="inlineStr">
        <is>
          <t>96 anys</t>
        </is>
      </c>
      <c r="F1730" s="38" t="n">
        <v>96</v>
      </c>
      <c r="G1730" s="38" t="n">
        <v>0</v>
      </c>
      <c r="I1730" s="38" t="inlineStr">
        <is>
          <t>Total de tots els sexes; resposta JSON-stat de l'API d'Idescat</t>
        </is>
      </c>
    </row>
    <row r="1731" ht="15" customHeight="1" s="39">
      <c r="A1731" s="38" t="n">
        <v>2021</v>
      </c>
      <c r="B1731" s="42" t="inlineStr">
        <is>
          <t>431444</t>
        </is>
      </c>
      <c r="C1731" s="38" t="inlineStr">
        <is>
          <t>Secuita, la</t>
        </is>
      </c>
      <c r="D1731" s="38" t="inlineStr">
        <is>
          <t>Y097</t>
        </is>
      </c>
      <c r="E1731" s="38" t="inlineStr">
        <is>
          <t>97 anys</t>
        </is>
      </c>
      <c r="F1731" s="38" t="n">
        <v>97</v>
      </c>
      <c r="G1731" s="38" t="n">
        <v>1</v>
      </c>
      <c r="I1731" s="38" t="inlineStr">
        <is>
          <t>Total de tots els sexes; resposta JSON-stat de l'API d'Idescat</t>
        </is>
      </c>
    </row>
    <row r="1732" ht="15" customHeight="1" s="39">
      <c r="A1732" s="38" t="n">
        <v>2021</v>
      </c>
      <c r="B1732" s="42" t="inlineStr">
        <is>
          <t>431444</t>
        </is>
      </c>
      <c r="C1732" s="38" t="inlineStr">
        <is>
          <t>Secuita, la</t>
        </is>
      </c>
      <c r="D1732" s="38" t="inlineStr">
        <is>
          <t>Y098</t>
        </is>
      </c>
      <c r="E1732" s="38" t="inlineStr">
        <is>
          <t>98 anys</t>
        </is>
      </c>
      <c r="F1732" s="38" t="n">
        <v>98</v>
      </c>
      <c r="G1732" s="38" t="n">
        <v>1</v>
      </c>
      <c r="I1732" s="38" t="inlineStr">
        <is>
          <t>Total de tots els sexes; resposta JSON-stat de l'API d'Idescat</t>
        </is>
      </c>
    </row>
    <row r="1733" ht="15" customHeight="1" s="39">
      <c r="A1733" s="38" t="n">
        <v>2021</v>
      </c>
      <c r="B1733" s="42" t="inlineStr">
        <is>
          <t>431444</t>
        </is>
      </c>
      <c r="C1733" s="38" t="inlineStr">
        <is>
          <t>Secuita, la</t>
        </is>
      </c>
      <c r="D1733" s="38" t="inlineStr">
        <is>
          <t>Y099</t>
        </is>
      </c>
      <c r="E1733" s="38" t="inlineStr">
        <is>
          <t>99 anys</t>
        </is>
      </c>
      <c r="F1733" s="38" t="n">
        <v>99</v>
      </c>
      <c r="G1733" s="38" t="n">
        <v>0</v>
      </c>
      <c r="I1733" s="38" t="inlineStr">
        <is>
          <t>Total de tots els sexes; resposta JSON-stat de l'API d'Idescat</t>
        </is>
      </c>
    </row>
    <row r="1734" ht="15" customHeight="1" s="39">
      <c r="A1734" s="38" t="n">
        <v>2021</v>
      </c>
      <c r="B1734" s="42" t="inlineStr">
        <is>
          <t>431444</t>
        </is>
      </c>
      <c r="C1734" s="38" t="inlineStr">
        <is>
          <t>Secuita, la</t>
        </is>
      </c>
      <c r="D1734" s="38" t="inlineStr">
        <is>
          <t>Y_GE100</t>
        </is>
      </c>
      <c r="E1734" s="38" t="inlineStr">
        <is>
          <t>100 anys o més</t>
        </is>
      </c>
      <c r="F1734" s="38" t="n">
        <v>100</v>
      </c>
      <c r="G1734" s="38" t="n">
        <v>0</v>
      </c>
      <c r="I1734" s="38" t="inlineStr">
        <is>
          <t>Total de tots els sexes; resposta JSON-stat de l'API d'Idescat</t>
        </is>
      </c>
    </row>
    <row r="1735" ht="15" customHeight="1" s="39">
      <c r="A1735" s="38" t="n">
        <v>2021</v>
      </c>
      <c r="B1735" s="42" t="inlineStr">
        <is>
          <t>431444</t>
        </is>
      </c>
      <c r="C1735" s="38" t="inlineStr">
        <is>
          <t>Secuita, la</t>
        </is>
      </c>
      <c r="D1735" s="38" t="inlineStr">
        <is>
          <t>TOTAL</t>
        </is>
      </c>
      <c r="E1735" s="38" t="inlineStr">
        <is>
          <t>total</t>
        </is>
      </c>
      <c r="G1735" s="38" t="n">
        <v>1728</v>
      </c>
      <c r="I1735" s="38" t="inlineStr">
        <is>
          <t>Total de tots els sexes; resposta JSON-stat de l'API d'Idescat</t>
        </is>
      </c>
    </row>
    <row r="1736" ht="15" customHeight="1" s="39">
      <c r="A1736" s="38" t="n">
        <v>2021</v>
      </c>
      <c r="B1736" s="42" t="inlineStr">
        <is>
          <t>431482</t>
        </is>
      </c>
      <c r="C1736" s="38" t="inlineStr">
        <is>
          <t>Tarragona</t>
        </is>
      </c>
      <c r="D1736" s="38" t="inlineStr">
        <is>
          <t>Y000</t>
        </is>
      </c>
      <c r="E1736" s="38" t="inlineStr">
        <is>
          <t>0 anys</t>
        </is>
      </c>
      <c r="F1736" s="38" t="n">
        <v>0</v>
      </c>
      <c r="G1736" s="38" t="n">
        <v>1060</v>
      </c>
      <c r="I1736" s="38" t="inlineStr">
        <is>
          <t>Total de tots els sexes; resposta JSON-stat de l'API d'Idescat</t>
        </is>
      </c>
    </row>
    <row r="1737" ht="15" customHeight="1" s="39">
      <c r="A1737" s="38" t="n">
        <v>2021</v>
      </c>
      <c r="B1737" s="42" t="inlineStr">
        <is>
          <t>431482</t>
        </is>
      </c>
      <c r="C1737" s="38" t="inlineStr">
        <is>
          <t>Tarragona</t>
        </is>
      </c>
      <c r="D1737" s="38" t="inlineStr">
        <is>
          <t>Y001</t>
        </is>
      </c>
      <c r="E1737" s="38" t="inlineStr">
        <is>
          <t>1 any</t>
        </is>
      </c>
      <c r="F1737" s="38" t="n">
        <v>1</v>
      </c>
      <c r="G1737" s="38" t="n">
        <v>1095</v>
      </c>
      <c r="I1737" s="38" t="inlineStr">
        <is>
          <t>Total de tots els sexes; resposta JSON-stat de l'API d'Idescat</t>
        </is>
      </c>
    </row>
    <row r="1738" ht="15" customHeight="1" s="39">
      <c r="A1738" s="38" t="n">
        <v>2021</v>
      </c>
      <c r="B1738" s="42" t="inlineStr">
        <is>
          <t>431482</t>
        </is>
      </c>
      <c r="C1738" s="38" t="inlineStr">
        <is>
          <t>Tarragona</t>
        </is>
      </c>
      <c r="D1738" s="38" t="inlineStr">
        <is>
          <t>Y002</t>
        </is>
      </c>
      <c r="E1738" s="38" t="inlineStr">
        <is>
          <t>2 anys</t>
        </is>
      </c>
      <c r="F1738" s="38" t="n">
        <v>2</v>
      </c>
      <c r="G1738" s="38" t="n">
        <v>1184</v>
      </c>
      <c r="I1738" s="38" t="inlineStr">
        <is>
          <t>Total de tots els sexes; resposta JSON-stat de l'API d'Idescat</t>
        </is>
      </c>
    </row>
    <row r="1739" ht="15" customHeight="1" s="39">
      <c r="A1739" s="38" t="n">
        <v>2021</v>
      </c>
      <c r="B1739" s="42" t="inlineStr">
        <is>
          <t>431482</t>
        </is>
      </c>
      <c r="C1739" s="38" t="inlineStr">
        <is>
          <t>Tarragona</t>
        </is>
      </c>
      <c r="D1739" s="38" t="inlineStr">
        <is>
          <t>Y003</t>
        </is>
      </c>
      <c r="E1739" s="38" t="inlineStr">
        <is>
          <t>3 anys</t>
        </is>
      </c>
      <c r="F1739" s="38" t="n">
        <v>3</v>
      </c>
      <c r="G1739" s="38" t="n">
        <v>1213</v>
      </c>
      <c r="I1739" s="38" t="inlineStr">
        <is>
          <t>Total de tots els sexes; resposta JSON-stat de l'API d'Idescat</t>
        </is>
      </c>
    </row>
    <row r="1740" ht="15" customHeight="1" s="39">
      <c r="A1740" s="38" t="n">
        <v>2021</v>
      </c>
      <c r="B1740" s="42" t="inlineStr">
        <is>
          <t>431482</t>
        </is>
      </c>
      <c r="C1740" s="38" t="inlineStr">
        <is>
          <t>Tarragona</t>
        </is>
      </c>
      <c r="D1740" s="38" t="inlineStr">
        <is>
          <t>Y004</t>
        </is>
      </c>
      <c r="E1740" s="38" t="inlineStr">
        <is>
          <t>4 anys</t>
        </is>
      </c>
      <c r="F1740" s="38" t="n">
        <v>4</v>
      </c>
      <c r="G1740" s="38" t="n">
        <v>1239</v>
      </c>
      <c r="I1740" s="38" t="inlineStr">
        <is>
          <t>Total de tots els sexes; resposta JSON-stat de l'API d'Idescat</t>
        </is>
      </c>
    </row>
    <row r="1741" ht="15" customHeight="1" s="39">
      <c r="A1741" s="38" t="n">
        <v>2021</v>
      </c>
      <c r="B1741" s="42" t="inlineStr">
        <is>
          <t>431482</t>
        </is>
      </c>
      <c r="C1741" s="38" t="inlineStr">
        <is>
          <t>Tarragona</t>
        </is>
      </c>
      <c r="D1741" s="38" t="inlineStr">
        <is>
          <t>Y005</t>
        </is>
      </c>
      <c r="E1741" s="38" t="inlineStr">
        <is>
          <t>5 anys</t>
        </is>
      </c>
      <c r="F1741" s="38" t="n">
        <v>5</v>
      </c>
      <c r="G1741" s="38" t="n">
        <v>1305</v>
      </c>
      <c r="I1741" s="38" t="inlineStr">
        <is>
          <t>Total de tots els sexes; resposta JSON-stat de l'API d'Idescat</t>
        </is>
      </c>
    </row>
    <row r="1742" ht="15" customHeight="1" s="39">
      <c r="A1742" s="38" t="n">
        <v>2021</v>
      </c>
      <c r="B1742" s="42" t="inlineStr">
        <is>
          <t>431482</t>
        </is>
      </c>
      <c r="C1742" s="38" t="inlineStr">
        <is>
          <t>Tarragona</t>
        </is>
      </c>
      <c r="D1742" s="38" t="inlineStr">
        <is>
          <t>Y006</t>
        </is>
      </c>
      <c r="E1742" s="38" t="inlineStr">
        <is>
          <t>6 anys</t>
        </is>
      </c>
      <c r="F1742" s="38" t="n">
        <v>6</v>
      </c>
      <c r="G1742" s="38" t="n">
        <v>1330</v>
      </c>
      <c r="I1742" s="38" t="inlineStr">
        <is>
          <t>Total de tots els sexes; resposta JSON-stat de l'API d'Idescat</t>
        </is>
      </c>
    </row>
    <row r="1743" ht="15" customHeight="1" s="39">
      <c r="A1743" s="38" t="n">
        <v>2021</v>
      </c>
      <c r="B1743" s="42" t="inlineStr">
        <is>
          <t>431482</t>
        </is>
      </c>
      <c r="C1743" s="38" t="inlineStr">
        <is>
          <t>Tarragona</t>
        </is>
      </c>
      <c r="D1743" s="38" t="inlineStr">
        <is>
          <t>Y007</t>
        </is>
      </c>
      <c r="E1743" s="38" t="inlineStr">
        <is>
          <t>7 anys</t>
        </is>
      </c>
      <c r="F1743" s="38" t="n">
        <v>7</v>
      </c>
      <c r="G1743" s="38" t="n">
        <v>1233</v>
      </c>
      <c r="I1743" s="38" t="inlineStr">
        <is>
          <t>Total de tots els sexes; resposta JSON-stat de l'API d'Idescat</t>
        </is>
      </c>
    </row>
    <row r="1744" ht="15" customHeight="1" s="39">
      <c r="A1744" s="38" t="n">
        <v>2021</v>
      </c>
      <c r="B1744" s="42" t="inlineStr">
        <is>
          <t>431482</t>
        </is>
      </c>
      <c r="C1744" s="38" t="inlineStr">
        <is>
          <t>Tarragona</t>
        </is>
      </c>
      <c r="D1744" s="38" t="inlineStr">
        <is>
          <t>Y008</t>
        </is>
      </c>
      <c r="E1744" s="38" t="inlineStr">
        <is>
          <t>8 anys</t>
        </is>
      </c>
      <c r="F1744" s="38" t="n">
        <v>8</v>
      </c>
      <c r="G1744" s="38" t="n">
        <v>1373</v>
      </c>
      <c r="I1744" s="38" t="inlineStr">
        <is>
          <t>Total de tots els sexes; resposta JSON-stat de l'API d'Idescat</t>
        </is>
      </c>
    </row>
    <row r="1745" ht="15" customHeight="1" s="39">
      <c r="A1745" s="38" t="n">
        <v>2021</v>
      </c>
      <c r="B1745" s="42" t="inlineStr">
        <is>
          <t>431482</t>
        </is>
      </c>
      <c r="C1745" s="38" t="inlineStr">
        <is>
          <t>Tarragona</t>
        </is>
      </c>
      <c r="D1745" s="38" t="inlineStr">
        <is>
          <t>Y009</t>
        </is>
      </c>
      <c r="E1745" s="38" t="inlineStr">
        <is>
          <t>9 anys</t>
        </is>
      </c>
      <c r="F1745" s="38" t="n">
        <v>9</v>
      </c>
      <c r="G1745" s="38" t="n">
        <v>1432</v>
      </c>
      <c r="I1745" s="38" t="inlineStr">
        <is>
          <t>Total de tots els sexes; resposta JSON-stat de l'API d'Idescat</t>
        </is>
      </c>
    </row>
    <row r="1746" ht="15" customHeight="1" s="39">
      <c r="A1746" s="38" t="n">
        <v>2021</v>
      </c>
      <c r="B1746" s="42" t="inlineStr">
        <is>
          <t>431482</t>
        </is>
      </c>
      <c r="C1746" s="38" t="inlineStr">
        <is>
          <t>Tarragona</t>
        </is>
      </c>
      <c r="D1746" s="38" t="inlineStr">
        <is>
          <t>Y010</t>
        </is>
      </c>
      <c r="E1746" s="38" t="inlineStr">
        <is>
          <t>10 anys</t>
        </is>
      </c>
      <c r="F1746" s="38" t="n">
        <v>10</v>
      </c>
      <c r="G1746" s="38" t="n">
        <v>1533</v>
      </c>
      <c r="I1746" s="38" t="inlineStr">
        <is>
          <t>Total de tots els sexes; resposta JSON-stat de l'API d'Idescat</t>
        </is>
      </c>
    </row>
    <row r="1747" ht="15" customHeight="1" s="39">
      <c r="A1747" s="38" t="n">
        <v>2021</v>
      </c>
      <c r="B1747" s="42" t="inlineStr">
        <is>
          <t>431482</t>
        </is>
      </c>
      <c r="C1747" s="38" t="inlineStr">
        <is>
          <t>Tarragona</t>
        </is>
      </c>
      <c r="D1747" s="38" t="inlineStr">
        <is>
          <t>Y011</t>
        </is>
      </c>
      <c r="E1747" s="38" t="inlineStr">
        <is>
          <t>11 anys</t>
        </is>
      </c>
      <c r="F1747" s="38" t="n">
        <v>11</v>
      </c>
      <c r="G1747" s="38" t="n">
        <v>1511</v>
      </c>
      <c r="I1747" s="38" t="inlineStr">
        <is>
          <t>Total de tots els sexes; resposta JSON-stat de l'API d'Idescat</t>
        </is>
      </c>
    </row>
    <row r="1748" ht="15" customHeight="1" s="39">
      <c r="A1748" s="38" t="n">
        <v>2021</v>
      </c>
      <c r="B1748" s="42" t="inlineStr">
        <is>
          <t>431482</t>
        </is>
      </c>
      <c r="C1748" s="38" t="inlineStr">
        <is>
          <t>Tarragona</t>
        </is>
      </c>
      <c r="D1748" s="38" t="inlineStr">
        <is>
          <t>Y012</t>
        </is>
      </c>
      <c r="E1748" s="38" t="inlineStr">
        <is>
          <t>12 anys</t>
        </is>
      </c>
      <c r="F1748" s="38" t="n">
        <v>12</v>
      </c>
      <c r="G1748" s="38" t="n">
        <v>1604</v>
      </c>
      <c r="I1748" s="38" t="inlineStr">
        <is>
          <t>Total de tots els sexes; resposta JSON-stat de l'API d'Idescat</t>
        </is>
      </c>
    </row>
    <row r="1749" ht="15" customHeight="1" s="39">
      <c r="A1749" s="38" t="n">
        <v>2021</v>
      </c>
      <c r="B1749" s="42" t="inlineStr">
        <is>
          <t>431482</t>
        </is>
      </c>
      <c r="C1749" s="38" t="inlineStr">
        <is>
          <t>Tarragona</t>
        </is>
      </c>
      <c r="D1749" s="38" t="inlineStr">
        <is>
          <t>Y013</t>
        </is>
      </c>
      <c r="E1749" s="38" t="inlineStr">
        <is>
          <t>13 anys</t>
        </is>
      </c>
      <c r="F1749" s="38" t="n">
        <v>13</v>
      </c>
      <c r="G1749" s="38" t="n">
        <v>1533</v>
      </c>
      <c r="I1749" s="38" t="inlineStr">
        <is>
          <t>Total de tots els sexes; resposta JSON-stat de l'API d'Idescat</t>
        </is>
      </c>
    </row>
    <row r="1750" ht="15" customHeight="1" s="39">
      <c r="A1750" s="38" t="n">
        <v>2021</v>
      </c>
      <c r="B1750" s="42" t="inlineStr">
        <is>
          <t>431482</t>
        </is>
      </c>
      <c r="C1750" s="38" t="inlineStr">
        <is>
          <t>Tarragona</t>
        </is>
      </c>
      <c r="D1750" s="38" t="inlineStr">
        <is>
          <t>Y014</t>
        </is>
      </c>
      <c r="E1750" s="38" t="inlineStr">
        <is>
          <t>14 anys</t>
        </is>
      </c>
      <c r="F1750" s="38" t="n">
        <v>14</v>
      </c>
      <c r="G1750" s="38" t="n">
        <v>1612</v>
      </c>
      <c r="I1750" s="38" t="inlineStr">
        <is>
          <t>Total de tots els sexes; resposta JSON-stat de l'API d'Idescat</t>
        </is>
      </c>
    </row>
    <row r="1751" ht="15" customHeight="1" s="39">
      <c r="A1751" s="38" t="n">
        <v>2021</v>
      </c>
      <c r="B1751" s="42" t="inlineStr">
        <is>
          <t>431482</t>
        </is>
      </c>
      <c r="C1751" s="38" t="inlineStr">
        <is>
          <t>Tarragona</t>
        </is>
      </c>
      <c r="D1751" s="38" t="inlineStr">
        <is>
          <t>Y015</t>
        </is>
      </c>
      <c r="E1751" s="38" t="inlineStr">
        <is>
          <t>15 anys</t>
        </is>
      </c>
      <c r="F1751" s="38" t="n">
        <v>15</v>
      </c>
      <c r="G1751" s="38" t="n">
        <v>1571</v>
      </c>
      <c r="I1751" s="38" t="inlineStr">
        <is>
          <t>Total de tots els sexes; resposta JSON-stat de l'API d'Idescat</t>
        </is>
      </c>
    </row>
    <row r="1752" ht="15" customHeight="1" s="39">
      <c r="A1752" s="38" t="n">
        <v>2021</v>
      </c>
      <c r="B1752" s="42" t="inlineStr">
        <is>
          <t>431482</t>
        </is>
      </c>
      <c r="C1752" s="38" t="inlineStr">
        <is>
          <t>Tarragona</t>
        </is>
      </c>
      <c r="D1752" s="38" t="inlineStr">
        <is>
          <t>Y016</t>
        </is>
      </c>
      <c r="E1752" s="38" t="inlineStr">
        <is>
          <t>16 anys</t>
        </is>
      </c>
      <c r="F1752" s="38" t="n">
        <v>16</v>
      </c>
      <c r="G1752" s="38" t="n">
        <v>1585</v>
      </c>
      <c r="I1752" s="38" t="inlineStr">
        <is>
          <t>Total de tots els sexes; resposta JSON-stat de l'API d'Idescat</t>
        </is>
      </c>
    </row>
    <row r="1753" ht="15" customHeight="1" s="39">
      <c r="A1753" s="38" t="n">
        <v>2021</v>
      </c>
      <c r="B1753" s="42" t="inlineStr">
        <is>
          <t>431482</t>
        </is>
      </c>
      <c r="C1753" s="38" t="inlineStr">
        <is>
          <t>Tarragona</t>
        </is>
      </c>
      <c r="D1753" s="38" t="inlineStr">
        <is>
          <t>Y017</t>
        </is>
      </c>
      <c r="E1753" s="38" t="inlineStr">
        <is>
          <t>17 anys</t>
        </is>
      </c>
      <c r="F1753" s="38" t="n">
        <v>17</v>
      </c>
      <c r="G1753" s="38" t="n">
        <v>1534</v>
      </c>
      <c r="I1753" s="38" t="inlineStr">
        <is>
          <t>Total de tots els sexes; resposta JSON-stat de l'API d'Idescat</t>
        </is>
      </c>
    </row>
    <row r="1754" ht="15" customHeight="1" s="39">
      <c r="A1754" s="38" t="n">
        <v>2021</v>
      </c>
      <c r="B1754" s="42" t="inlineStr">
        <is>
          <t>431482</t>
        </is>
      </c>
      <c r="C1754" s="38" t="inlineStr">
        <is>
          <t>Tarragona</t>
        </is>
      </c>
      <c r="D1754" s="38" t="inlineStr">
        <is>
          <t>Y018</t>
        </is>
      </c>
      <c r="E1754" s="38" t="inlineStr">
        <is>
          <t>18 anys</t>
        </is>
      </c>
      <c r="F1754" s="38" t="n">
        <v>18</v>
      </c>
      <c r="G1754" s="38" t="n">
        <v>1520</v>
      </c>
      <c r="I1754" s="38" t="inlineStr">
        <is>
          <t>Total de tots els sexes; resposta JSON-stat de l'API d'Idescat</t>
        </is>
      </c>
    </row>
    <row r="1755" ht="15" customHeight="1" s="39">
      <c r="A1755" s="38" t="n">
        <v>2021</v>
      </c>
      <c r="B1755" s="42" t="inlineStr">
        <is>
          <t>431482</t>
        </is>
      </c>
      <c r="C1755" s="38" t="inlineStr">
        <is>
          <t>Tarragona</t>
        </is>
      </c>
      <c r="D1755" s="38" t="inlineStr">
        <is>
          <t>Y019</t>
        </is>
      </c>
      <c r="E1755" s="38" t="inlineStr">
        <is>
          <t>19 anys</t>
        </is>
      </c>
      <c r="F1755" s="38" t="n">
        <v>19</v>
      </c>
      <c r="G1755" s="38" t="n">
        <v>1476</v>
      </c>
      <c r="I1755" s="38" t="inlineStr">
        <is>
          <t>Total de tots els sexes; resposta JSON-stat de l'API d'Idescat</t>
        </is>
      </c>
    </row>
    <row r="1756" ht="15" customHeight="1" s="39">
      <c r="A1756" s="38" t="n">
        <v>2021</v>
      </c>
      <c r="B1756" s="42" t="inlineStr">
        <is>
          <t>431482</t>
        </is>
      </c>
      <c r="C1756" s="38" t="inlineStr">
        <is>
          <t>Tarragona</t>
        </is>
      </c>
      <c r="D1756" s="38" t="inlineStr">
        <is>
          <t>Y020</t>
        </is>
      </c>
      <c r="E1756" s="38" t="inlineStr">
        <is>
          <t>20 anys</t>
        </is>
      </c>
      <c r="F1756" s="38" t="n">
        <v>20</v>
      </c>
      <c r="G1756" s="38" t="n">
        <v>1519</v>
      </c>
      <c r="I1756" s="38" t="inlineStr">
        <is>
          <t>Total de tots els sexes; resposta JSON-stat de l'API d'Idescat</t>
        </is>
      </c>
    </row>
    <row r="1757" ht="15" customHeight="1" s="39">
      <c r="A1757" s="38" t="n">
        <v>2021</v>
      </c>
      <c r="B1757" s="42" t="inlineStr">
        <is>
          <t>431482</t>
        </is>
      </c>
      <c r="C1757" s="38" t="inlineStr">
        <is>
          <t>Tarragona</t>
        </is>
      </c>
      <c r="D1757" s="38" t="inlineStr">
        <is>
          <t>Y021</t>
        </is>
      </c>
      <c r="E1757" s="38" t="inlineStr">
        <is>
          <t>21 anys</t>
        </is>
      </c>
      <c r="F1757" s="38" t="n">
        <v>21</v>
      </c>
      <c r="G1757" s="38" t="n">
        <v>1444</v>
      </c>
      <c r="I1757" s="38" t="inlineStr">
        <is>
          <t>Total de tots els sexes; resposta JSON-stat de l'API d'Idescat</t>
        </is>
      </c>
    </row>
    <row r="1758" ht="15" customHeight="1" s="39">
      <c r="A1758" s="38" t="n">
        <v>2021</v>
      </c>
      <c r="B1758" s="42" t="inlineStr">
        <is>
          <t>431482</t>
        </is>
      </c>
      <c r="C1758" s="38" t="inlineStr">
        <is>
          <t>Tarragona</t>
        </is>
      </c>
      <c r="D1758" s="38" t="inlineStr">
        <is>
          <t>Y022</t>
        </is>
      </c>
      <c r="E1758" s="38" t="inlineStr">
        <is>
          <t>22 anys</t>
        </is>
      </c>
      <c r="F1758" s="38" t="n">
        <v>22</v>
      </c>
      <c r="G1758" s="38" t="n">
        <v>1368</v>
      </c>
      <c r="I1758" s="38" t="inlineStr">
        <is>
          <t>Total de tots els sexes; resposta JSON-stat de l'API d'Idescat</t>
        </is>
      </c>
    </row>
    <row r="1759" ht="15" customHeight="1" s="39">
      <c r="A1759" s="38" t="n">
        <v>2021</v>
      </c>
      <c r="B1759" s="42" t="inlineStr">
        <is>
          <t>431482</t>
        </is>
      </c>
      <c r="C1759" s="38" t="inlineStr">
        <is>
          <t>Tarragona</t>
        </is>
      </c>
      <c r="D1759" s="38" t="inlineStr">
        <is>
          <t>Y023</t>
        </is>
      </c>
      <c r="E1759" s="38" t="inlineStr">
        <is>
          <t>23 anys</t>
        </is>
      </c>
      <c r="F1759" s="38" t="n">
        <v>23</v>
      </c>
      <c r="G1759" s="38" t="n">
        <v>1464</v>
      </c>
      <c r="I1759" s="38" t="inlineStr">
        <is>
          <t>Total de tots els sexes; resposta JSON-stat de l'API d'Idescat</t>
        </is>
      </c>
    </row>
    <row r="1760" ht="15" customHeight="1" s="39">
      <c r="A1760" s="38" t="n">
        <v>2021</v>
      </c>
      <c r="B1760" s="42" t="inlineStr">
        <is>
          <t>431482</t>
        </is>
      </c>
      <c r="C1760" s="38" t="inlineStr">
        <is>
          <t>Tarragona</t>
        </is>
      </c>
      <c r="D1760" s="38" t="inlineStr">
        <is>
          <t>Y024</t>
        </is>
      </c>
      <c r="E1760" s="38" t="inlineStr">
        <is>
          <t>24 anys</t>
        </is>
      </c>
      <c r="F1760" s="38" t="n">
        <v>24</v>
      </c>
      <c r="G1760" s="38" t="n">
        <v>1511</v>
      </c>
      <c r="I1760" s="38" t="inlineStr">
        <is>
          <t>Total de tots els sexes; resposta JSON-stat de l'API d'Idescat</t>
        </is>
      </c>
    </row>
    <row r="1761" ht="15" customHeight="1" s="39">
      <c r="A1761" s="38" t="n">
        <v>2021</v>
      </c>
      <c r="B1761" s="42" t="inlineStr">
        <is>
          <t>431482</t>
        </is>
      </c>
      <c r="C1761" s="38" t="inlineStr">
        <is>
          <t>Tarragona</t>
        </is>
      </c>
      <c r="D1761" s="38" t="inlineStr">
        <is>
          <t>Y025</t>
        </is>
      </c>
      <c r="E1761" s="38" t="inlineStr">
        <is>
          <t>25 anys</t>
        </is>
      </c>
      <c r="F1761" s="38" t="n">
        <v>25</v>
      </c>
      <c r="G1761" s="38" t="n">
        <v>1597</v>
      </c>
      <c r="I1761" s="38" t="inlineStr">
        <is>
          <t>Total de tots els sexes; resposta JSON-stat de l'API d'Idescat</t>
        </is>
      </c>
    </row>
    <row r="1762" ht="15" customHeight="1" s="39">
      <c r="A1762" s="38" t="n">
        <v>2021</v>
      </c>
      <c r="B1762" s="42" t="inlineStr">
        <is>
          <t>431482</t>
        </is>
      </c>
      <c r="C1762" s="38" t="inlineStr">
        <is>
          <t>Tarragona</t>
        </is>
      </c>
      <c r="D1762" s="38" t="inlineStr">
        <is>
          <t>Y026</t>
        </is>
      </c>
      <c r="E1762" s="38" t="inlineStr">
        <is>
          <t>26 anys</t>
        </is>
      </c>
      <c r="F1762" s="38" t="n">
        <v>26</v>
      </c>
      <c r="G1762" s="38" t="n">
        <v>1600</v>
      </c>
      <c r="I1762" s="38" t="inlineStr">
        <is>
          <t>Total de tots els sexes; resposta JSON-stat de l'API d'Idescat</t>
        </is>
      </c>
    </row>
    <row r="1763" ht="15" customHeight="1" s="39">
      <c r="A1763" s="38" t="n">
        <v>2021</v>
      </c>
      <c r="B1763" s="42" t="inlineStr">
        <is>
          <t>431482</t>
        </is>
      </c>
      <c r="C1763" s="38" t="inlineStr">
        <is>
          <t>Tarragona</t>
        </is>
      </c>
      <c r="D1763" s="38" t="inlineStr">
        <is>
          <t>Y027</t>
        </is>
      </c>
      <c r="E1763" s="38" t="inlineStr">
        <is>
          <t>27 anys</t>
        </is>
      </c>
      <c r="F1763" s="38" t="n">
        <v>27</v>
      </c>
      <c r="G1763" s="38" t="n">
        <v>1616</v>
      </c>
      <c r="I1763" s="38" t="inlineStr">
        <is>
          <t>Total de tots els sexes; resposta JSON-stat de l'API d'Idescat</t>
        </is>
      </c>
    </row>
    <row r="1764" ht="15" customHeight="1" s="39">
      <c r="A1764" s="38" t="n">
        <v>2021</v>
      </c>
      <c r="B1764" s="42" t="inlineStr">
        <is>
          <t>431482</t>
        </is>
      </c>
      <c r="C1764" s="38" t="inlineStr">
        <is>
          <t>Tarragona</t>
        </is>
      </c>
      <c r="D1764" s="38" t="inlineStr">
        <is>
          <t>Y028</t>
        </is>
      </c>
      <c r="E1764" s="38" t="inlineStr">
        <is>
          <t>28 anys</t>
        </is>
      </c>
      <c r="F1764" s="38" t="n">
        <v>28</v>
      </c>
      <c r="G1764" s="38" t="n">
        <v>1632</v>
      </c>
      <c r="I1764" s="38" t="inlineStr">
        <is>
          <t>Total de tots els sexes; resposta JSON-stat de l'API d'Idescat</t>
        </is>
      </c>
    </row>
    <row r="1765" ht="15" customHeight="1" s="39">
      <c r="A1765" s="38" t="n">
        <v>2021</v>
      </c>
      <c r="B1765" s="42" t="inlineStr">
        <is>
          <t>431482</t>
        </is>
      </c>
      <c r="C1765" s="38" t="inlineStr">
        <is>
          <t>Tarragona</t>
        </is>
      </c>
      <c r="D1765" s="38" t="inlineStr">
        <is>
          <t>Y029</t>
        </is>
      </c>
      <c r="E1765" s="38" t="inlineStr">
        <is>
          <t>29 anys</t>
        </is>
      </c>
      <c r="F1765" s="38" t="n">
        <v>29</v>
      </c>
      <c r="G1765" s="38" t="n">
        <v>1562</v>
      </c>
      <c r="I1765" s="38" t="inlineStr">
        <is>
          <t>Total de tots els sexes; resposta JSON-stat de l'API d'Idescat</t>
        </is>
      </c>
    </row>
    <row r="1766" ht="15" customHeight="1" s="39">
      <c r="A1766" s="38" t="n">
        <v>2021</v>
      </c>
      <c r="B1766" s="42" t="inlineStr">
        <is>
          <t>431482</t>
        </is>
      </c>
      <c r="C1766" s="38" t="inlineStr">
        <is>
          <t>Tarragona</t>
        </is>
      </c>
      <c r="D1766" s="38" t="inlineStr">
        <is>
          <t>Y030</t>
        </is>
      </c>
      <c r="E1766" s="38" t="inlineStr">
        <is>
          <t>30 anys</t>
        </is>
      </c>
      <c r="F1766" s="38" t="n">
        <v>30</v>
      </c>
      <c r="G1766" s="38" t="n">
        <v>1572</v>
      </c>
      <c r="I1766" s="38" t="inlineStr">
        <is>
          <t>Total de tots els sexes; resposta JSON-stat de l'API d'Idescat</t>
        </is>
      </c>
    </row>
    <row r="1767" ht="15" customHeight="1" s="39">
      <c r="A1767" s="38" t="n">
        <v>2021</v>
      </c>
      <c r="B1767" s="42" t="inlineStr">
        <is>
          <t>431482</t>
        </is>
      </c>
      <c r="C1767" s="38" t="inlineStr">
        <is>
          <t>Tarragona</t>
        </is>
      </c>
      <c r="D1767" s="38" t="inlineStr">
        <is>
          <t>Y031</t>
        </is>
      </c>
      <c r="E1767" s="38" t="inlineStr">
        <is>
          <t>31 anys</t>
        </is>
      </c>
      <c r="F1767" s="38" t="n">
        <v>31</v>
      </c>
      <c r="G1767" s="38" t="n">
        <v>1607</v>
      </c>
      <c r="I1767" s="38" t="inlineStr">
        <is>
          <t>Total de tots els sexes; resposta JSON-stat de l'API d'Idescat</t>
        </is>
      </c>
    </row>
    <row r="1768" ht="15" customHeight="1" s="39">
      <c r="A1768" s="38" t="n">
        <v>2021</v>
      </c>
      <c r="B1768" s="42" t="inlineStr">
        <is>
          <t>431482</t>
        </is>
      </c>
      <c r="C1768" s="38" t="inlineStr">
        <is>
          <t>Tarragona</t>
        </is>
      </c>
      <c r="D1768" s="38" t="inlineStr">
        <is>
          <t>Y032</t>
        </is>
      </c>
      <c r="E1768" s="38" t="inlineStr">
        <is>
          <t>32 anys</t>
        </is>
      </c>
      <c r="F1768" s="38" t="n">
        <v>32</v>
      </c>
      <c r="G1768" s="38" t="n">
        <v>1686</v>
      </c>
      <c r="I1768" s="38" t="inlineStr">
        <is>
          <t>Total de tots els sexes; resposta JSON-stat de l'API d'Idescat</t>
        </is>
      </c>
    </row>
    <row r="1769" ht="15" customHeight="1" s="39">
      <c r="A1769" s="38" t="n">
        <v>2021</v>
      </c>
      <c r="B1769" s="42" t="inlineStr">
        <is>
          <t>431482</t>
        </is>
      </c>
      <c r="C1769" s="38" t="inlineStr">
        <is>
          <t>Tarragona</t>
        </is>
      </c>
      <c r="D1769" s="38" t="inlineStr">
        <is>
          <t>Y033</t>
        </is>
      </c>
      <c r="E1769" s="38" t="inlineStr">
        <is>
          <t>33 anys</t>
        </is>
      </c>
      <c r="F1769" s="38" t="n">
        <v>33</v>
      </c>
      <c r="G1769" s="38" t="n">
        <v>1608</v>
      </c>
      <c r="I1769" s="38" t="inlineStr">
        <is>
          <t>Total de tots els sexes; resposta JSON-stat de l'API d'Idescat</t>
        </is>
      </c>
    </row>
    <row r="1770" ht="15" customHeight="1" s="39">
      <c r="A1770" s="38" t="n">
        <v>2021</v>
      </c>
      <c r="B1770" s="42" t="inlineStr">
        <is>
          <t>431482</t>
        </is>
      </c>
      <c r="C1770" s="38" t="inlineStr">
        <is>
          <t>Tarragona</t>
        </is>
      </c>
      <c r="D1770" s="38" t="inlineStr">
        <is>
          <t>Y034</t>
        </is>
      </c>
      <c r="E1770" s="38" t="inlineStr">
        <is>
          <t>34 anys</t>
        </is>
      </c>
      <c r="F1770" s="38" t="n">
        <v>34</v>
      </c>
      <c r="G1770" s="38" t="n">
        <v>1603</v>
      </c>
      <c r="I1770" s="38" t="inlineStr">
        <is>
          <t>Total de tots els sexes; resposta JSON-stat de l'API d'Idescat</t>
        </is>
      </c>
    </row>
    <row r="1771" ht="15" customHeight="1" s="39">
      <c r="A1771" s="38" t="n">
        <v>2021</v>
      </c>
      <c r="B1771" s="42" t="inlineStr">
        <is>
          <t>431482</t>
        </is>
      </c>
      <c r="C1771" s="38" t="inlineStr">
        <is>
          <t>Tarragona</t>
        </is>
      </c>
      <c r="D1771" s="38" t="inlineStr">
        <is>
          <t>Y035</t>
        </is>
      </c>
      <c r="E1771" s="38" t="inlineStr">
        <is>
          <t>35 anys</t>
        </is>
      </c>
      <c r="F1771" s="38" t="n">
        <v>35</v>
      </c>
      <c r="G1771" s="38" t="n">
        <v>1780</v>
      </c>
      <c r="I1771" s="38" t="inlineStr">
        <is>
          <t>Total de tots els sexes; resposta JSON-stat de l'API d'Idescat</t>
        </is>
      </c>
    </row>
    <row r="1772" ht="15" customHeight="1" s="39">
      <c r="A1772" s="38" t="n">
        <v>2021</v>
      </c>
      <c r="B1772" s="42" t="inlineStr">
        <is>
          <t>431482</t>
        </is>
      </c>
      <c r="C1772" s="38" t="inlineStr">
        <is>
          <t>Tarragona</t>
        </is>
      </c>
      <c r="D1772" s="38" t="inlineStr">
        <is>
          <t>Y036</t>
        </is>
      </c>
      <c r="E1772" s="38" t="inlineStr">
        <is>
          <t>36 anys</t>
        </is>
      </c>
      <c r="F1772" s="38" t="n">
        <v>36</v>
      </c>
      <c r="G1772" s="38" t="n">
        <v>1745</v>
      </c>
      <c r="I1772" s="38" t="inlineStr">
        <is>
          <t>Total de tots els sexes; resposta JSON-stat de l'API d'Idescat</t>
        </is>
      </c>
    </row>
    <row r="1773" ht="15" customHeight="1" s="39">
      <c r="A1773" s="38" t="n">
        <v>2021</v>
      </c>
      <c r="B1773" s="42" t="inlineStr">
        <is>
          <t>431482</t>
        </is>
      </c>
      <c r="C1773" s="38" t="inlineStr">
        <is>
          <t>Tarragona</t>
        </is>
      </c>
      <c r="D1773" s="38" t="inlineStr">
        <is>
          <t>Y037</t>
        </is>
      </c>
      <c r="E1773" s="38" t="inlineStr">
        <is>
          <t>37 anys</t>
        </is>
      </c>
      <c r="F1773" s="38" t="n">
        <v>37</v>
      </c>
      <c r="G1773" s="38" t="n">
        <v>1781</v>
      </c>
      <c r="I1773" s="38" t="inlineStr">
        <is>
          <t>Total de tots els sexes; resposta JSON-stat de l'API d'Idescat</t>
        </is>
      </c>
    </row>
    <row r="1774" ht="15" customHeight="1" s="39">
      <c r="A1774" s="38" t="n">
        <v>2021</v>
      </c>
      <c r="B1774" s="42" t="inlineStr">
        <is>
          <t>431482</t>
        </is>
      </c>
      <c r="C1774" s="38" t="inlineStr">
        <is>
          <t>Tarragona</t>
        </is>
      </c>
      <c r="D1774" s="38" t="inlineStr">
        <is>
          <t>Y038</t>
        </is>
      </c>
      <c r="E1774" s="38" t="inlineStr">
        <is>
          <t>38 anys</t>
        </is>
      </c>
      <c r="F1774" s="38" t="n">
        <v>38</v>
      </c>
      <c r="G1774" s="38" t="n">
        <v>1936</v>
      </c>
      <c r="I1774" s="38" t="inlineStr">
        <is>
          <t>Total de tots els sexes; resposta JSON-stat de l'API d'Idescat</t>
        </is>
      </c>
    </row>
    <row r="1775" ht="15" customHeight="1" s="39">
      <c r="A1775" s="38" t="n">
        <v>2021</v>
      </c>
      <c r="B1775" s="42" t="inlineStr">
        <is>
          <t>431482</t>
        </is>
      </c>
      <c r="C1775" s="38" t="inlineStr">
        <is>
          <t>Tarragona</t>
        </is>
      </c>
      <c r="D1775" s="38" t="inlineStr">
        <is>
          <t>Y039</t>
        </is>
      </c>
      <c r="E1775" s="38" t="inlineStr">
        <is>
          <t>39 anys</t>
        </is>
      </c>
      <c r="F1775" s="38" t="n">
        <v>39</v>
      </c>
      <c r="G1775" s="38" t="n">
        <v>2006</v>
      </c>
      <c r="I1775" s="38" t="inlineStr">
        <is>
          <t>Total de tots els sexes; resposta JSON-stat de l'API d'Idescat</t>
        </is>
      </c>
    </row>
    <row r="1776" ht="15" customHeight="1" s="39">
      <c r="A1776" s="38" t="n">
        <v>2021</v>
      </c>
      <c r="B1776" s="42" t="inlineStr">
        <is>
          <t>431482</t>
        </is>
      </c>
      <c r="C1776" s="38" t="inlineStr">
        <is>
          <t>Tarragona</t>
        </is>
      </c>
      <c r="D1776" s="38" t="inlineStr">
        <is>
          <t>Y040</t>
        </is>
      </c>
      <c r="E1776" s="38" t="inlineStr">
        <is>
          <t>40 anys</t>
        </is>
      </c>
      <c r="F1776" s="38" t="n">
        <v>40</v>
      </c>
      <c r="G1776" s="38" t="n">
        <v>2106</v>
      </c>
      <c r="I1776" s="38" t="inlineStr">
        <is>
          <t>Total de tots els sexes; resposta JSON-stat de l'API d'Idescat</t>
        </is>
      </c>
    </row>
    <row r="1777" ht="15" customHeight="1" s="39">
      <c r="A1777" s="38" t="n">
        <v>2021</v>
      </c>
      <c r="B1777" s="42" t="inlineStr">
        <is>
          <t>431482</t>
        </is>
      </c>
      <c r="C1777" s="38" t="inlineStr">
        <is>
          <t>Tarragona</t>
        </is>
      </c>
      <c r="D1777" s="38" t="inlineStr">
        <is>
          <t>Y041</t>
        </is>
      </c>
      <c r="E1777" s="38" t="inlineStr">
        <is>
          <t>41 anys</t>
        </is>
      </c>
      <c r="F1777" s="38" t="n">
        <v>41</v>
      </c>
      <c r="G1777" s="38" t="n">
        <v>2217</v>
      </c>
      <c r="I1777" s="38" t="inlineStr">
        <is>
          <t>Total de tots els sexes; resposta JSON-stat de l'API d'Idescat</t>
        </is>
      </c>
    </row>
    <row r="1778" ht="15" customHeight="1" s="39">
      <c r="A1778" s="38" t="n">
        <v>2021</v>
      </c>
      <c r="B1778" s="42" t="inlineStr">
        <is>
          <t>431482</t>
        </is>
      </c>
      <c r="C1778" s="38" t="inlineStr">
        <is>
          <t>Tarragona</t>
        </is>
      </c>
      <c r="D1778" s="38" t="inlineStr">
        <is>
          <t>Y042</t>
        </is>
      </c>
      <c r="E1778" s="38" t="inlineStr">
        <is>
          <t>42 anys</t>
        </is>
      </c>
      <c r="F1778" s="38" t="n">
        <v>42</v>
      </c>
      <c r="G1778" s="38" t="n">
        <v>2289</v>
      </c>
      <c r="I1778" s="38" t="inlineStr">
        <is>
          <t>Total de tots els sexes; resposta JSON-stat de l'API d'Idescat</t>
        </is>
      </c>
    </row>
    <row r="1779" ht="15" customHeight="1" s="39">
      <c r="A1779" s="38" t="n">
        <v>2021</v>
      </c>
      <c r="B1779" s="42" t="inlineStr">
        <is>
          <t>431482</t>
        </is>
      </c>
      <c r="C1779" s="38" t="inlineStr">
        <is>
          <t>Tarragona</t>
        </is>
      </c>
      <c r="D1779" s="38" t="inlineStr">
        <is>
          <t>Y043</t>
        </is>
      </c>
      <c r="E1779" s="38" t="inlineStr">
        <is>
          <t>43 anys</t>
        </is>
      </c>
      <c r="F1779" s="38" t="n">
        <v>43</v>
      </c>
      <c r="G1779" s="38" t="n">
        <v>2358</v>
      </c>
      <c r="I1779" s="38" t="inlineStr">
        <is>
          <t>Total de tots els sexes; resposta JSON-stat de l'API d'Idescat</t>
        </is>
      </c>
    </row>
    <row r="1780" ht="15" customHeight="1" s="39">
      <c r="A1780" s="38" t="n">
        <v>2021</v>
      </c>
      <c r="B1780" s="42" t="inlineStr">
        <is>
          <t>431482</t>
        </is>
      </c>
      <c r="C1780" s="38" t="inlineStr">
        <is>
          <t>Tarragona</t>
        </is>
      </c>
      <c r="D1780" s="38" t="inlineStr">
        <is>
          <t>Y044</t>
        </is>
      </c>
      <c r="E1780" s="38" t="inlineStr">
        <is>
          <t>44 anys</t>
        </is>
      </c>
      <c r="F1780" s="38" t="n">
        <v>44</v>
      </c>
      <c r="G1780" s="38" t="n">
        <v>2369</v>
      </c>
      <c r="I1780" s="38" t="inlineStr">
        <is>
          <t>Total de tots els sexes; resposta JSON-stat de l'API d'Idescat</t>
        </is>
      </c>
    </row>
    <row r="1781" ht="15" customHeight="1" s="39">
      <c r="A1781" s="38" t="n">
        <v>2021</v>
      </c>
      <c r="B1781" s="42" t="inlineStr">
        <is>
          <t>431482</t>
        </is>
      </c>
      <c r="C1781" s="38" t="inlineStr">
        <is>
          <t>Tarragona</t>
        </is>
      </c>
      <c r="D1781" s="38" t="inlineStr">
        <is>
          <t>Y045</t>
        </is>
      </c>
      <c r="E1781" s="38" t="inlineStr">
        <is>
          <t>45 anys</t>
        </is>
      </c>
      <c r="F1781" s="38" t="n">
        <v>45</v>
      </c>
      <c r="G1781" s="38" t="n">
        <v>2360</v>
      </c>
      <c r="I1781" s="38" t="inlineStr">
        <is>
          <t>Total de tots els sexes; resposta JSON-stat de l'API d'Idescat</t>
        </is>
      </c>
    </row>
    <row r="1782" ht="15" customHeight="1" s="39">
      <c r="A1782" s="38" t="n">
        <v>2021</v>
      </c>
      <c r="B1782" s="42" t="inlineStr">
        <is>
          <t>431482</t>
        </is>
      </c>
      <c r="C1782" s="38" t="inlineStr">
        <is>
          <t>Tarragona</t>
        </is>
      </c>
      <c r="D1782" s="38" t="inlineStr">
        <is>
          <t>Y046</t>
        </is>
      </c>
      <c r="E1782" s="38" t="inlineStr">
        <is>
          <t>46 anys</t>
        </is>
      </c>
      <c r="F1782" s="38" t="n">
        <v>46</v>
      </c>
      <c r="G1782" s="38" t="n">
        <v>2303</v>
      </c>
      <c r="I1782" s="38" t="inlineStr">
        <is>
          <t>Total de tots els sexes; resposta JSON-stat de l'API d'Idescat</t>
        </is>
      </c>
    </row>
    <row r="1783" ht="15" customHeight="1" s="39">
      <c r="A1783" s="38" t="n">
        <v>2021</v>
      </c>
      <c r="B1783" s="42" t="inlineStr">
        <is>
          <t>431482</t>
        </is>
      </c>
      <c r="C1783" s="38" t="inlineStr">
        <is>
          <t>Tarragona</t>
        </is>
      </c>
      <c r="D1783" s="38" t="inlineStr">
        <is>
          <t>Y047</t>
        </is>
      </c>
      <c r="E1783" s="38" t="inlineStr">
        <is>
          <t>47 anys</t>
        </is>
      </c>
      <c r="F1783" s="38" t="n">
        <v>47</v>
      </c>
      <c r="G1783" s="38" t="n">
        <v>2245</v>
      </c>
      <c r="I1783" s="38" t="inlineStr">
        <is>
          <t>Total de tots els sexes; resposta JSON-stat de l'API d'Idescat</t>
        </is>
      </c>
    </row>
    <row r="1784" ht="15" customHeight="1" s="39">
      <c r="A1784" s="38" t="n">
        <v>2021</v>
      </c>
      <c r="B1784" s="42" t="inlineStr">
        <is>
          <t>431482</t>
        </is>
      </c>
      <c r="C1784" s="38" t="inlineStr">
        <is>
          <t>Tarragona</t>
        </is>
      </c>
      <c r="D1784" s="38" t="inlineStr">
        <is>
          <t>Y048</t>
        </is>
      </c>
      <c r="E1784" s="38" t="inlineStr">
        <is>
          <t>48 anys</t>
        </is>
      </c>
      <c r="F1784" s="38" t="n">
        <v>48</v>
      </c>
      <c r="G1784" s="38" t="n">
        <v>2257</v>
      </c>
      <c r="I1784" s="38" t="inlineStr">
        <is>
          <t>Total de tots els sexes; resposta JSON-stat de l'API d'Idescat</t>
        </is>
      </c>
    </row>
    <row r="1785" ht="15" customHeight="1" s="39">
      <c r="A1785" s="38" t="n">
        <v>2021</v>
      </c>
      <c r="B1785" s="42" t="inlineStr">
        <is>
          <t>431482</t>
        </is>
      </c>
      <c r="C1785" s="38" t="inlineStr">
        <is>
          <t>Tarragona</t>
        </is>
      </c>
      <c r="D1785" s="38" t="inlineStr">
        <is>
          <t>Y049</t>
        </is>
      </c>
      <c r="E1785" s="38" t="inlineStr">
        <is>
          <t>49 anys</t>
        </is>
      </c>
      <c r="F1785" s="38" t="n">
        <v>49</v>
      </c>
      <c r="G1785" s="38" t="n">
        <v>2084</v>
      </c>
      <c r="I1785" s="38" t="inlineStr">
        <is>
          <t>Total de tots els sexes; resposta JSON-stat de l'API d'Idescat</t>
        </is>
      </c>
    </row>
    <row r="1786" ht="15" customHeight="1" s="39">
      <c r="A1786" s="38" t="n">
        <v>2021</v>
      </c>
      <c r="B1786" s="42" t="inlineStr">
        <is>
          <t>431482</t>
        </is>
      </c>
      <c r="C1786" s="38" t="inlineStr">
        <is>
          <t>Tarragona</t>
        </is>
      </c>
      <c r="D1786" s="38" t="inlineStr">
        <is>
          <t>Y050</t>
        </is>
      </c>
      <c r="E1786" s="38" t="inlineStr">
        <is>
          <t>50 anys</t>
        </is>
      </c>
      <c r="F1786" s="38" t="n">
        <v>50</v>
      </c>
      <c r="G1786" s="38" t="n">
        <v>2112</v>
      </c>
      <c r="I1786" s="38" t="inlineStr">
        <is>
          <t>Total de tots els sexes; resposta JSON-stat de l'API d'Idescat</t>
        </is>
      </c>
    </row>
    <row r="1787" ht="15" customHeight="1" s="39">
      <c r="A1787" s="38" t="n">
        <v>2021</v>
      </c>
      <c r="B1787" s="42" t="inlineStr">
        <is>
          <t>431482</t>
        </is>
      </c>
      <c r="C1787" s="38" t="inlineStr">
        <is>
          <t>Tarragona</t>
        </is>
      </c>
      <c r="D1787" s="38" t="inlineStr">
        <is>
          <t>Y051</t>
        </is>
      </c>
      <c r="E1787" s="38" t="inlineStr">
        <is>
          <t>51 anys</t>
        </is>
      </c>
      <c r="F1787" s="38" t="n">
        <v>51</v>
      </c>
      <c r="G1787" s="38" t="n">
        <v>2011</v>
      </c>
      <c r="I1787" s="38" t="inlineStr">
        <is>
          <t>Total de tots els sexes; resposta JSON-stat de l'API d'Idescat</t>
        </is>
      </c>
    </row>
    <row r="1788" ht="15" customHeight="1" s="39">
      <c r="A1788" s="38" t="n">
        <v>2021</v>
      </c>
      <c r="B1788" s="42" t="inlineStr">
        <is>
          <t>431482</t>
        </is>
      </c>
      <c r="C1788" s="38" t="inlineStr">
        <is>
          <t>Tarragona</t>
        </is>
      </c>
      <c r="D1788" s="38" t="inlineStr">
        <is>
          <t>Y052</t>
        </is>
      </c>
      <c r="E1788" s="38" t="inlineStr">
        <is>
          <t>52 anys</t>
        </is>
      </c>
      <c r="F1788" s="38" t="n">
        <v>52</v>
      </c>
      <c r="G1788" s="38" t="n">
        <v>2010</v>
      </c>
      <c r="I1788" s="38" t="inlineStr">
        <is>
          <t>Total de tots els sexes; resposta JSON-stat de l'API d'Idescat</t>
        </is>
      </c>
    </row>
    <row r="1789" ht="15" customHeight="1" s="39">
      <c r="A1789" s="38" t="n">
        <v>2021</v>
      </c>
      <c r="B1789" s="42" t="inlineStr">
        <is>
          <t>431482</t>
        </is>
      </c>
      <c r="C1789" s="38" t="inlineStr">
        <is>
          <t>Tarragona</t>
        </is>
      </c>
      <c r="D1789" s="38" t="inlineStr">
        <is>
          <t>Y053</t>
        </is>
      </c>
      <c r="E1789" s="38" t="inlineStr">
        <is>
          <t>53 anys</t>
        </is>
      </c>
      <c r="F1789" s="38" t="n">
        <v>53</v>
      </c>
      <c r="G1789" s="38" t="n">
        <v>2096</v>
      </c>
      <c r="I1789" s="38" t="inlineStr">
        <is>
          <t>Total de tots els sexes; resposta JSON-stat de l'API d'Idescat</t>
        </is>
      </c>
    </row>
    <row r="1790" ht="15" customHeight="1" s="39">
      <c r="A1790" s="38" t="n">
        <v>2021</v>
      </c>
      <c r="B1790" s="42" t="inlineStr">
        <is>
          <t>431482</t>
        </is>
      </c>
      <c r="C1790" s="38" t="inlineStr">
        <is>
          <t>Tarragona</t>
        </is>
      </c>
      <c r="D1790" s="38" t="inlineStr">
        <is>
          <t>Y054</t>
        </is>
      </c>
      <c r="E1790" s="38" t="inlineStr">
        <is>
          <t>54 anys</t>
        </is>
      </c>
      <c r="F1790" s="38" t="n">
        <v>54</v>
      </c>
      <c r="G1790" s="38" t="n">
        <v>2077</v>
      </c>
      <c r="I1790" s="38" t="inlineStr">
        <is>
          <t>Total de tots els sexes; resposta JSON-stat de l'API d'Idescat</t>
        </is>
      </c>
    </row>
    <row r="1791" ht="15" customHeight="1" s="39">
      <c r="A1791" s="38" t="n">
        <v>2021</v>
      </c>
      <c r="B1791" s="42" t="inlineStr">
        <is>
          <t>431482</t>
        </is>
      </c>
      <c r="C1791" s="38" t="inlineStr">
        <is>
          <t>Tarragona</t>
        </is>
      </c>
      <c r="D1791" s="38" t="inlineStr">
        <is>
          <t>Y055</t>
        </is>
      </c>
      <c r="E1791" s="38" t="inlineStr">
        <is>
          <t>55 anys</t>
        </is>
      </c>
      <c r="F1791" s="38" t="n">
        <v>55</v>
      </c>
      <c r="G1791" s="38" t="n">
        <v>1851</v>
      </c>
      <c r="I1791" s="38" t="inlineStr">
        <is>
          <t>Total de tots els sexes; resposta JSON-stat de l'API d'Idescat</t>
        </is>
      </c>
    </row>
    <row r="1792" ht="15" customHeight="1" s="39">
      <c r="A1792" s="38" t="n">
        <v>2021</v>
      </c>
      <c r="B1792" s="42" t="inlineStr">
        <is>
          <t>431482</t>
        </is>
      </c>
      <c r="C1792" s="38" t="inlineStr">
        <is>
          <t>Tarragona</t>
        </is>
      </c>
      <c r="D1792" s="38" t="inlineStr">
        <is>
          <t>Y056</t>
        </is>
      </c>
      <c r="E1792" s="38" t="inlineStr">
        <is>
          <t>56 anys</t>
        </is>
      </c>
      <c r="F1792" s="38" t="n">
        <v>56</v>
      </c>
      <c r="G1792" s="38" t="n">
        <v>1930</v>
      </c>
      <c r="I1792" s="38" t="inlineStr">
        <is>
          <t>Total de tots els sexes; resposta JSON-stat de l'API d'Idescat</t>
        </is>
      </c>
    </row>
    <row r="1793" ht="15" customHeight="1" s="39">
      <c r="A1793" s="38" t="n">
        <v>2021</v>
      </c>
      <c r="B1793" s="42" t="inlineStr">
        <is>
          <t>431482</t>
        </is>
      </c>
      <c r="C1793" s="38" t="inlineStr">
        <is>
          <t>Tarragona</t>
        </is>
      </c>
      <c r="D1793" s="38" t="inlineStr">
        <is>
          <t>Y057</t>
        </is>
      </c>
      <c r="E1793" s="38" t="inlineStr">
        <is>
          <t>57 anys</t>
        </is>
      </c>
      <c r="F1793" s="38" t="n">
        <v>57</v>
      </c>
      <c r="G1793" s="38" t="n">
        <v>1798</v>
      </c>
      <c r="I1793" s="38" t="inlineStr">
        <is>
          <t>Total de tots els sexes; resposta JSON-stat de l'API d'Idescat</t>
        </is>
      </c>
    </row>
    <row r="1794" ht="15" customHeight="1" s="39">
      <c r="A1794" s="38" t="n">
        <v>2021</v>
      </c>
      <c r="B1794" s="42" t="inlineStr">
        <is>
          <t>431482</t>
        </is>
      </c>
      <c r="C1794" s="38" t="inlineStr">
        <is>
          <t>Tarragona</t>
        </is>
      </c>
      <c r="D1794" s="38" t="inlineStr">
        <is>
          <t>Y058</t>
        </is>
      </c>
      <c r="E1794" s="38" t="inlineStr">
        <is>
          <t>58 anys</t>
        </is>
      </c>
      <c r="F1794" s="38" t="n">
        <v>58</v>
      </c>
      <c r="G1794" s="38" t="n">
        <v>1722</v>
      </c>
      <c r="I1794" s="38" t="inlineStr">
        <is>
          <t>Total de tots els sexes; resposta JSON-stat de l'API d'Idescat</t>
        </is>
      </c>
    </row>
    <row r="1795" ht="15" customHeight="1" s="39">
      <c r="A1795" s="38" t="n">
        <v>2021</v>
      </c>
      <c r="B1795" s="42" t="inlineStr">
        <is>
          <t>431482</t>
        </is>
      </c>
      <c r="C1795" s="38" t="inlineStr">
        <is>
          <t>Tarragona</t>
        </is>
      </c>
      <c r="D1795" s="38" t="inlineStr">
        <is>
          <t>Y059</t>
        </is>
      </c>
      <c r="E1795" s="38" t="inlineStr">
        <is>
          <t>59 anys</t>
        </is>
      </c>
      <c r="F1795" s="38" t="n">
        <v>59</v>
      </c>
      <c r="G1795" s="38" t="n">
        <v>1732</v>
      </c>
      <c r="I1795" s="38" t="inlineStr">
        <is>
          <t>Total de tots els sexes; resposta JSON-stat de l'API d'Idescat</t>
        </is>
      </c>
    </row>
    <row r="1796" ht="15" customHeight="1" s="39">
      <c r="A1796" s="38" t="n">
        <v>2021</v>
      </c>
      <c r="B1796" s="42" t="inlineStr">
        <is>
          <t>431482</t>
        </is>
      </c>
      <c r="C1796" s="38" t="inlineStr">
        <is>
          <t>Tarragona</t>
        </is>
      </c>
      <c r="D1796" s="38" t="inlineStr">
        <is>
          <t>Y060</t>
        </is>
      </c>
      <c r="E1796" s="38" t="inlineStr">
        <is>
          <t>60 anys</t>
        </is>
      </c>
      <c r="F1796" s="38" t="n">
        <v>60</v>
      </c>
      <c r="G1796" s="38" t="n">
        <v>1741</v>
      </c>
      <c r="I1796" s="38" t="inlineStr">
        <is>
          <t>Total de tots els sexes; resposta JSON-stat de l'API d'Idescat</t>
        </is>
      </c>
    </row>
    <row r="1797" ht="15" customHeight="1" s="39">
      <c r="A1797" s="38" t="n">
        <v>2021</v>
      </c>
      <c r="B1797" s="42" t="inlineStr">
        <is>
          <t>431482</t>
        </is>
      </c>
      <c r="C1797" s="38" t="inlineStr">
        <is>
          <t>Tarragona</t>
        </is>
      </c>
      <c r="D1797" s="38" t="inlineStr">
        <is>
          <t>Y061</t>
        </is>
      </c>
      <c r="E1797" s="38" t="inlineStr">
        <is>
          <t>61 anys</t>
        </is>
      </c>
      <c r="F1797" s="38" t="n">
        <v>61</v>
      </c>
      <c r="G1797" s="38" t="n">
        <v>1712</v>
      </c>
      <c r="I1797" s="38" t="inlineStr">
        <is>
          <t>Total de tots els sexes; resposta JSON-stat de l'API d'Idescat</t>
        </is>
      </c>
    </row>
    <row r="1798" ht="15" customHeight="1" s="39">
      <c r="A1798" s="38" t="n">
        <v>2021</v>
      </c>
      <c r="B1798" s="42" t="inlineStr">
        <is>
          <t>431482</t>
        </is>
      </c>
      <c r="C1798" s="38" t="inlineStr">
        <is>
          <t>Tarragona</t>
        </is>
      </c>
      <c r="D1798" s="38" t="inlineStr">
        <is>
          <t>Y062</t>
        </is>
      </c>
      <c r="E1798" s="38" t="inlineStr">
        <is>
          <t>62 anys</t>
        </is>
      </c>
      <c r="F1798" s="38" t="n">
        <v>62</v>
      </c>
      <c r="G1798" s="38" t="n">
        <v>1624</v>
      </c>
      <c r="I1798" s="38" t="inlineStr">
        <is>
          <t>Total de tots els sexes; resposta JSON-stat de l'API d'Idescat</t>
        </is>
      </c>
    </row>
    <row r="1799" ht="15" customHeight="1" s="39">
      <c r="A1799" s="38" t="n">
        <v>2021</v>
      </c>
      <c r="B1799" s="42" t="inlineStr">
        <is>
          <t>431482</t>
        </is>
      </c>
      <c r="C1799" s="38" t="inlineStr">
        <is>
          <t>Tarragona</t>
        </is>
      </c>
      <c r="D1799" s="38" t="inlineStr">
        <is>
          <t>Y063</t>
        </is>
      </c>
      <c r="E1799" s="38" t="inlineStr">
        <is>
          <t>63 anys</t>
        </is>
      </c>
      <c r="F1799" s="38" t="n">
        <v>63</v>
      </c>
      <c r="G1799" s="38" t="n">
        <v>1623</v>
      </c>
      <c r="I1799" s="38" t="inlineStr">
        <is>
          <t>Total de tots els sexes; resposta JSON-stat de l'API d'Idescat</t>
        </is>
      </c>
    </row>
    <row r="1800" ht="15" customHeight="1" s="39">
      <c r="A1800" s="38" t="n">
        <v>2021</v>
      </c>
      <c r="B1800" s="42" t="inlineStr">
        <is>
          <t>431482</t>
        </is>
      </c>
      <c r="C1800" s="38" t="inlineStr">
        <is>
          <t>Tarragona</t>
        </is>
      </c>
      <c r="D1800" s="38" t="inlineStr">
        <is>
          <t>Y064</t>
        </is>
      </c>
      <c r="E1800" s="38" t="inlineStr">
        <is>
          <t>64 anys</t>
        </is>
      </c>
      <c r="F1800" s="38" t="n">
        <v>64</v>
      </c>
      <c r="G1800" s="38" t="n">
        <v>1542</v>
      </c>
      <c r="I1800" s="38" t="inlineStr">
        <is>
          <t>Total de tots els sexes; resposta JSON-stat de l'API d'Idescat</t>
        </is>
      </c>
    </row>
    <row r="1801" ht="15" customHeight="1" s="39">
      <c r="A1801" s="38" t="n">
        <v>2021</v>
      </c>
      <c r="B1801" s="42" t="inlineStr">
        <is>
          <t>431482</t>
        </is>
      </c>
      <c r="C1801" s="38" t="inlineStr">
        <is>
          <t>Tarragona</t>
        </is>
      </c>
      <c r="D1801" s="38" t="inlineStr">
        <is>
          <t>Y065</t>
        </is>
      </c>
      <c r="E1801" s="38" t="inlineStr">
        <is>
          <t>65 anys</t>
        </is>
      </c>
      <c r="F1801" s="38" t="n">
        <v>65</v>
      </c>
      <c r="G1801" s="38" t="n">
        <v>1525</v>
      </c>
      <c r="I1801" s="38" t="inlineStr">
        <is>
          <t>Total de tots els sexes; resposta JSON-stat de l'API d'Idescat</t>
        </is>
      </c>
    </row>
    <row r="1802" ht="15" customHeight="1" s="39">
      <c r="A1802" s="38" t="n">
        <v>2021</v>
      </c>
      <c r="B1802" s="42" t="inlineStr">
        <is>
          <t>431482</t>
        </is>
      </c>
      <c r="C1802" s="38" t="inlineStr">
        <is>
          <t>Tarragona</t>
        </is>
      </c>
      <c r="D1802" s="38" t="inlineStr">
        <is>
          <t>Y066</t>
        </is>
      </c>
      <c r="E1802" s="38" t="inlineStr">
        <is>
          <t>66 anys</t>
        </is>
      </c>
      <c r="F1802" s="38" t="n">
        <v>66</v>
      </c>
      <c r="G1802" s="38" t="n">
        <v>1403</v>
      </c>
      <c r="I1802" s="38" t="inlineStr">
        <is>
          <t>Total de tots els sexes; resposta JSON-stat de l'API d'Idescat</t>
        </is>
      </c>
    </row>
    <row r="1803" ht="15" customHeight="1" s="39">
      <c r="A1803" s="38" t="n">
        <v>2021</v>
      </c>
      <c r="B1803" s="42" t="inlineStr">
        <is>
          <t>431482</t>
        </is>
      </c>
      <c r="C1803" s="38" t="inlineStr">
        <is>
          <t>Tarragona</t>
        </is>
      </c>
      <c r="D1803" s="38" t="inlineStr">
        <is>
          <t>Y067</t>
        </is>
      </c>
      <c r="E1803" s="38" t="inlineStr">
        <is>
          <t>67 anys</t>
        </is>
      </c>
      <c r="F1803" s="38" t="n">
        <v>67</v>
      </c>
      <c r="G1803" s="38" t="n">
        <v>1335</v>
      </c>
      <c r="I1803" s="38" t="inlineStr">
        <is>
          <t>Total de tots els sexes; resposta JSON-stat de l'API d'Idescat</t>
        </is>
      </c>
    </row>
    <row r="1804" ht="15" customHeight="1" s="39">
      <c r="A1804" s="38" t="n">
        <v>2021</v>
      </c>
      <c r="B1804" s="42" t="inlineStr">
        <is>
          <t>431482</t>
        </is>
      </c>
      <c r="C1804" s="38" t="inlineStr">
        <is>
          <t>Tarragona</t>
        </is>
      </c>
      <c r="D1804" s="38" t="inlineStr">
        <is>
          <t>Y068</t>
        </is>
      </c>
      <c r="E1804" s="38" t="inlineStr">
        <is>
          <t>68 anys</t>
        </is>
      </c>
      <c r="F1804" s="38" t="n">
        <v>68</v>
      </c>
      <c r="G1804" s="38" t="n">
        <v>1385</v>
      </c>
      <c r="I1804" s="38" t="inlineStr">
        <is>
          <t>Total de tots els sexes; resposta JSON-stat de l'API d'Idescat</t>
        </is>
      </c>
    </row>
    <row r="1805" ht="15" customHeight="1" s="39">
      <c r="A1805" s="38" t="n">
        <v>2021</v>
      </c>
      <c r="B1805" s="42" t="inlineStr">
        <is>
          <t>431482</t>
        </is>
      </c>
      <c r="C1805" s="38" t="inlineStr">
        <is>
          <t>Tarragona</t>
        </is>
      </c>
      <c r="D1805" s="38" t="inlineStr">
        <is>
          <t>Y069</t>
        </is>
      </c>
      <c r="E1805" s="38" t="inlineStr">
        <is>
          <t>69 anys</t>
        </is>
      </c>
      <c r="F1805" s="38" t="n">
        <v>69</v>
      </c>
      <c r="G1805" s="38" t="n">
        <v>1301</v>
      </c>
      <c r="I1805" s="38" t="inlineStr">
        <is>
          <t>Total de tots els sexes; resposta JSON-stat de l'API d'Idescat</t>
        </is>
      </c>
    </row>
    <row r="1806" ht="15" customHeight="1" s="39">
      <c r="A1806" s="38" t="n">
        <v>2021</v>
      </c>
      <c r="B1806" s="42" t="inlineStr">
        <is>
          <t>431482</t>
        </is>
      </c>
      <c r="C1806" s="38" t="inlineStr">
        <is>
          <t>Tarragona</t>
        </is>
      </c>
      <c r="D1806" s="38" t="inlineStr">
        <is>
          <t>Y070</t>
        </is>
      </c>
      <c r="E1806" s="38" t="inlineStr">
        <is>
          <t>70 anys</t>
        </is>
      </c>
      <c r="F1806" s="38" t="n">
        <v>70</v>
      </c>
      <c r="G1806" s="38" t="n">
        <v>1217</v>
      </c>
      <c r="I1806" s="38" t="inlineStr">
        <is>
          <t>Total de tots els sexes; resposta JSON-stat de l'API d'Idescat</t>
        </is>
      </c>
    </row>
    <row r="1807" ht="15" customHeight="1" s="39">
      <c r="A1807" s="38" t="n">
        <v>2021</v>
      </c>
      <c r="B1807" s="42" t="inlineStr">
        <is>
          <t>431482</t>
        </is>
      </c>
      <c r="C1807" s="38" t="inlineStr">
        <is>
          <t>Tarragona</t>
        </is>
      </c>
      <c r="D1807" s="38" t="inlineStr">
        <is>
          <t>Y071</t>
        </is>
      </c>
      <c r="E1807" s="38" t="inlineStr">
        <is>
          <t>71 anys</t>
        </is>
      </c>
      <c r="F1807" s="38" t="n">
        <v>71</v>
      </c>
      <c r="G1807" s="38" t="n">
        <v>1323</v>
      </c>
      <c r="I1807" s="38" t="inlineStr">
        <is>
          <t>Total de tots els sexes; resposta JSON-stat de l'API d'Idescat</t>
        </is>
      </c>
    </row>
    <row r="1808" ht="15" customHeight="1" s="39">
      <c r="A1808" s="38" t="n">
        <v>2021</v>
      </c>
      <c r="B1808" s="42" t="inlineStr">
        <is>
          <t>431482</t>
        </is>
      </c>
      <c r="C1808" s="38" t="inlineStr">
        <is>
          <t>Tarragona</t>
        </is>
      </c>
      <c r="D1808" s="38" t="inlineStr">
        <is>
          <t>Y072</t>
        </is>
      </c>
      <c r="E1808" s="38" t="inlineStr">
        <is>
          <t>72 anys</t>
        </is>
      </c>
      <c r="F1808" s="38" t="n">
        <v>72</v>
      </c>
      <c r="G1808" s="38" t="n">
        <v>1299</v>
      </c>
      <c r="I1808" s="38" t="inlineStr">
        <is>
          <t>Total de tots els sexes; resposta JSON-stat de l'API d'Idescat</t>
        </is>
      </c>
    </row>
    <row r="1809" ht="15" customHeight="1" s="39">
      <c r="A1809" s="38" t="n">
        <v>2021</v>
      </c>
      <c r="B1809" s="42" t="inlineStr">
        <is>
          <t>431482</t>
        </is>
      </c>
      <c r="C1809" s="38" t="inlineStr">
        <is>
          <t>Tarragona</t>
        </is>
      </c>
      <c r="D1809" s="38" t="inlineStr">
        <is>
          <t>Y073</t>
        </is>
      </c>
      <c r="E1809" s="38" t="inlineStr">
        <is>
          <t>73 anys</t>
        </is>
      </c>
      <c r="F1809" s="38" t="n">
        <v>73</v>
      </c>
      <c r="G1809" s="38" t="n">
        <v>1258</v>
      </c>
      <c r="I1809" s="38" t="inlineStr">
        <is>
          <t>Total de tots els sexes; resposta JSON-stat de l'API d'Idescat</t>
        </is>
      </c>
    </row>
    <row r="1810" ht="15" customHeight="1" s="39">
      <c r="A1810" s="38" t="n">
        <v>2021</v>
      </c>
      <c r="B1810" s="42" t="inlineStr">
        <is>
          <t>431482</t>
        </is>
      </c>
      <c r="C1810" s="38" t="inlineStr">
        <is>
          <t>Tarragona</t>
        </is>
      </c>
      <c r="D1810" s="38" t="inlineStr">
        <is>
          <t>Y074</t>
        </is>
      </c>
      <c r="E1810" s="38" t="inlineStr">
        <is>
          <t>74 anys</t>
        </is>
      </c>
      <c r="F1810" s="38" t="n">
        <v>74</v>
      </c>
      <c r="G1810" s="38" t="n">
        <v>1132</v>
      </c>
      <c r="I1810" s="38" t="inlineStr">
        <is>
          <t>Total de tots els sexes; resposta JSON-stat de l'API d'Idescat</t>
        </is>
      </c>
    </row>
    <row r="1811" ht="15" customHeight="1" s="39">
      <c r="A1811" s="38" t="n">
        <v>2021</v>
      </c>
      <c r="B1811" s="42" t="inlineStr">
        <is>
          <t>431482</t>
        </is>
      </c>
      <c r="C1811" s="38" t="inlineStr">
        <is>
          <t>Tarragona</t>
        </is>
      </c>
      <c r="D1811" s="38" t="inlineStr">
        <is>
          <t>Y075</t>
        </is>
      </c>
      <c r="E1811" s="38" t="inlineStr">
        <is>
          <t>75 anys</t>
        </is>
      </c>
      <c r="F1811" s="38" t="n">
        <v>75</v>
      </c>
      <c r="G1811" s="38" t="n">
        <v>1153</v>
      </c>
      <c r="I1811" s="38" t="inlineStr">
        <is>
          <t>Total de tots els sexes; resposta JSON-stat de l'API d'Idescat</t>
        </is>
      </c>
    </row>
    <row r="1812" ht="15" customHeight="1" s="39">
      <c r="A1812" s="38" t="n">
        <v>2021</v>
      </c>
      <c r="B1812" s="42" t="inlineStr">
        <is>
          <t>431482</t>
        </is>
      </c>
      <c r="C1812" s="38" t="inlineStr">
        <is>
          <t>Tarragona</t>
        </is>
      </c>
      <c r="D1812" s="38" t="inlineStr">
        <is>
          <t>Y076</t>
        </is>
      </c>
      <c r="E1812" s="38" t="inlineStr">
        <is>
          <t>76 anys</t>
        </is>
      </c>
      <c r="F1812" s="38" t="n">
        <v>76</v>
      </c>
      <c r="G1812" s="38" t="n">
        <v>1004</v>
      </c>
      <c r="I1812" s="38" t="inlineStr">
        <is>
          <t>Total de tots els sexes; resposta JSON-stat de l'API d'Idescat</t>
        </is>
      </c>
    </row>
    <row r="1813" ht="15" customHeight="1" s="39">
      <c r="A1813" s="38" t="n">
        <v>2021</v>
      </c>
      <c r="B1813" s="42" t="inlineStr">
        <is>
          <t>431482</t>
        </is>
      </c>
      <c r="C1813" s="38" t="inlineStr">
        <is>
          <t>Tarragona</t>
        </is>
      </c>
      <c r="D1813" s="38" t="inlineStr">
        <is>
          <t>Y077</t>
        </is>
      </c>
      <c r="E1813" s="38" t="inlineStr">
        <is>
          <t>77 anys</t>
        </is>
      </c>
      <c r="F1813" s="38" t="n">
        <v>77</v>
      </c>
      <c r="G1813" s="38" t="n">
        <v>1002</v>
      </c>
      <c r="I1813" s="38" t="inlineStr">
        <is>
          <t>Total de tots els sexes; resposta JSON-stat de l'API d'Idescat</t>
        </is>
      </c>
    </row>
    <row r="1814" ht="15" customHeight="1" s="39">
      <c r="A1814" s="38" t="n">
        <v>2021</v>
      </c>
      <c r="B1814" s="42" t="inlineStr">
        <is>
          <t>431482</t>
        </is>
      </c>
      <c r="C1814" s="38" t="inlineStr">
        <is>
          <t>Tarragona</t>
        </is>
      </c>
      <c r="D1814" s="38" t="inlineStr">
        <is>
          <t>Y078</t>
        </is>
      </c>
      <c r="E1814" s="38" t="inlineStr">
        <is>
          <t>78 anys</t>
        </is>
      </c>
      <c r="F1814" s="38" t="n">
        <v>78</v>
      </c>
      <c r="G1814" s="38" t="n">
        <v>908</v>
      </c>
      <c r="I1814" s="38" t="inlineStr">
        <is>
          <t>Total de tots els sexes; resposta JSON-stat de l'API d'Idescat</t>
        </is>
      </c>
    </row>
    <row r="1815" ht="15" customHeight="1" s="39">
      <c r="A1815" s="38" t="n">
        <v>2021</v>
      </c>
      <c r="B1815" s="42" t="inlineStr">
        <is>
          <t>431482</t>
        </is>
      </c>
      <c r="C1815" s="38" t="inlineStr">
        <is>
          <t>Tarragona</t>
        </is>
      </c>
      <c r="D1815" s="38" t="inlineStr">
        <is>
          <t>Y079</t>
        </is>
      </c>
      <c r="E1815" s="38" t="inlineStr">
        <is>
          <t>79 anys</t>
        </is>
      </c>
      <c r="F1815" s="38" t="n">
        <v>79</v>
      </c>
      <c r="G1815" s="38" t="n">
        <v>730</v>
      </c>
      <c r="I1815" s="38" t="inlineStr">
        <is>
          <t>Total de tots els sexes; resposta JSON-stat de l'API d'Idescat</t>
        </is>
      </c>
    </row>
    <row r="1816" ht="15" customHeight="1" s="39">
      <c r="A1816" s="38" t="n">
        <v>2021</v>
      </c>
      <c r="B1816" s="42" t="inlineStr">
        <is>
          <t>431482</t>
        </is>
      </c>
      <c r="C1816" s="38" t="inlineStr">
        <is>
          <t>Tarragona</t>
        </is>
      </c>
      <c r="D1816" s="38" t="inlineStr">
        <is>
          <t>Y080</t>
        </is>
      </c>
      <c r="E1816" s="38" t="inlineStr">
        <is>
          <t>80 anys</t>
        </is>
      </c>
      <c r="F1816" s="38" t="n">
        <v>80</v>
      </c>
      <c r="G1816" s="38" t="n">
        <v>947</v>
      </c>
      <c r="I1816" s="38" t="inlineStr">
        <is>
          <t>Total de tots els sexes; resposta JSON-stat de l'API d'Idescat</t>
        </is>
      </c>
    </row>
    <row r="1817" ht="15" customHeight="1" s="39">
      <c r="A1817" s="38" t="n">
        <v>2021</v>
      </c>
      <c r="B1817" s="42" t="inlineStr">
        <is>
          <t>431482</t>
        </is>
      </c>
      <c r="C1817" s="38" t="inlineStr">
        <is>
          <t>Tarragona</t>
        </is>
      </c>
      <c r="D1817" s="38" t="inlineStr">
        <is>
          <t>Y081</t>
        </is>
      </c>
      <c r="E1817" s="38" t="inlineStr">
        <is>
          <t>81 anys</t>
        </is>
      </c>
      <c r="F1817" s="38" t="n">
        <v>81</v>
      </c>
      <c r="G1817" s="38" t="n">
        <v>478</v>
      </c>
      <c r="I1817" s="38" t="inlineStr">
        <is>
          <t>Total de tots els sexes; resposta JSON-stat de l'API d'Idescat</t>
        </is>
      </c>
    </row>
    <row r="1818" ht="15" customHeight="1" s="39">
      <c r="A1818" s="38" t="n">
        <v>2021</v>
      </c>
      <c r="B1818" s="42" t="inlineStr">
        <is>
          <t>431482</t>
        </is>
      </c>
      <c r="C1818" s="38" t="inlineStr">
        <is>
          <t>Tarragona</t>
        </is>
      </c>
      <c r="D1818" s="38" t="inlineStr">
        <is>
          <t>Y082</t>
        </is>
      </c>
      <c r="E1818" s="38" t="inlineStr">
        <is>
          <t>82 anys</t>
        </is>
      </c>
      <c r="F1818" s="38" t="n">
        <v>82</v>
      </c>
      <c r="G1818" s="38" t="n">
        <v>579</v>
      </c>
      <c r="I1818" s="38" t="inlineStr">
        <is>
          <t>Total de tots els sexes; resposta JSON-stat de l'API d'Idescat</t>
        </is>
      </c>
    </row>
    <row r="1819" ht="15" customHeight="1" s="39">
      <c r="A1819" s="38" t="n">
        <v>2021</v>
      </c>
      <c r="B1819" s="42" t="inlineStr">
        <is>
          <t>431482</t>
        </is>
      </c>
      <c r="C1819" s="38" t="inlineStr">
        <is>
          <t>Tarragona</t>
        </is>
      </c>
      <c r="D1819" s="38" t="inlineStr">
        <is>
          <t>Y083</t>
        </is>
      </c>
      <c r="E1819" s="38" t="inlineStr">
        <is>
          <t>83 anys</t>
        </is>
      </c>
      <c r="F1819" s="38" t="n">
        <v>83</v>
      </c>
      <c r="G1819" s="38" t="n">
        <v>693</v>
      </c>
      <c r="I1819" s="38" t="inlineStr">
        <is>
          <t>Total de tots els sexes; resposta JSON-stat de l'API d'Idescat</t>
        </is>
      </c>
    </row>
    <row r="1820" ht="15" customHeight="1" s="39">
      <c r="A1820" s="38" t="n">
        <v>2021</v>
      </c>
      <c r="B1820" s="42" t="inlineStr">
        <is>
          <t>431482</t>
        </is>
      </c>
      <c r="C1820" s="38" t="inlineStr">
        <is>
          <t>Tarragona</t>
        </is>
      </c>
      <c r="D1820" s="38" t="inlineStr">
        <is>
          <t>Y084</t>
        </is>
      </c>
      <c r="E1820" s="38" t="inlineStr">
        <is>
          <t>84 anys</t>
        </is>
      </c>
      <c r="F1820" s="38" t="n">
        <v>84</v>
      </c>
      <c r="G1820" s="38" t="n">
        <v>683</v>
      </c>
      <c r="I1820" s="38" t="inlineStr">
        <is>
          <t>Total de tots els sexes; resposta JSON-stat de l'API d'Idescat</t>
        </is>
      </c>
    </row>
    <row r="1821" ht="15" customHeight="1" s="39">
      <c r="A1821" s="38" t="n">
        <v>2021</v>
      </c>
      <c r="B1821" s="42" t="inlineStr">
        <is>
          <t>431482</t>
        </is>
      </c>
      <c r="C1821" s="38" t="inlineStr">
        <is>
          <t>Tarragona</t>
        </is>
      </c>
      <c r="D1821" s="38" t="inlineStr">
        <is>
          <t>Y085</t>
        </is>
      </c>
      <c r="E1821" s="38" t="inlineStr">
        <is>
          <t>85 anys</t>
        </is>
      </c>
      <c r="F1821" s="38" t="n">
        <v>85</v>
      </c>
      <c r="G1821" s="38" t="n">
        <v>616</v>
      </c>
      <c r="I1821" s="38" t="inlineStr">
        <is>
          <t>Total de tots els sexes; resposta JSON-stat de l'API d'Idescat</t>
        </is>
      </c>
    </row>
    <row r="1822" ht="15" customHeight="1" s="39">
      <c r="A1822" s="38" t="n">
        <v>2021</v>
      </c>
      <c r="B1822" s="42" t="inlineStr">
        <is>
          <t>431482</t>
        </is>
      </c>
      <c r="C1822" s="38" t="inlineStr">
        <is>
          <t>Tarragona</t>
        </is>
      </c>
      <c r="D1822" s="38" t="inlineStr">
        <is>
          <t>Y086</t>
        </is>
      </c>
      <c r="E1822" s="38" t="inlineStr">
        <is>
          <t>86 anys</t>
        </is>
      </c>
      <c r="F1822" s="38" t="n">
        <v>86</v>
      </c>
      <c r="G1822" s="38" t="n">
        <v>540</v>
      </c>
      <c r="I1822" s="38" t="inlineStr">
        <is>
          <t>Total de tots els sexes; resposta JSON-stat de l'API d'Idescat</t>
        </is>
      </c>
    </row>
    <row r="1823" ht="15" customHeight="1" s="39">
      <c r="A1823" s="38" t="n">
        <v>2021</v>
      </c>
      <c r="B1823" s="42" t="inlineStr">
        <is>
          <t>431482</t>
        </is>
      </c>
      <c r="C1823" s="38" t="inlineStr">
        <is>
          <t>Tarragona</t>
        </is>
      </c>
      <c r="D1823" s="38" t="inlineStr">
        <is>
          <t>Y087</t>
        </is>
      </c>
      <c r="E1823" s="38" t="inlineStr">
        <is>
          <t>87 anys</t>
        </is>
      </c>
      <c r="F1823" s="38" t="n">
        <v>87</v>
      </c>
      <c r="G1823" s="38" t="n">
        <v>522</v>
      </c>
      <c r="I1823" s="38" t="inlineStr">
        <is>
          <t>Total de tots els sexes; resposta JSON-stat de l'API d'Idescat</t>
        </is>
      </c>
    </row>
    <row r="1824" ht="15" customHeight="1" s="39">
      <c r="A1824" s="38" t="n">
        <v>2021</v>
      </c>
      <c r="B1824" s="42" t="inlineStr">
        <is>
          <t>431482</t>
        </is>
      </c>
      <c r="C1824" s="38" t="inlineStr">
        <is>
          <t>Tarragona</t>
        </is>
      </c>
      <c r="D1824" s="38" t="inlineStr">
        <is>
          <t>Y088</t>
        </is>
      </c>
      <c r="E1824" s="38" t="inlineStr">
        <is>
          <t>88 anys</t>
        </is>
      </c>
      <c r="F1824" s="38" t="n">
        <v>88</v>
      </c>
      <c r="G1824" s="38" t="n">
        <v>459</v>
      </c>
      <c r="I1824" s="38" t="inlineStr">
        <is>
          <t>Total de tots els sexes; resposta JSON-stat de l'API d'Idescat</t>
        </is>
      </c>
    </row>
    <row r="1825" ht="15" customHeight="1" s="39">
      <c r="A1825" s="38" t="n">
        <v>2021</v>
      </c>
      <c r="B1825" s="42" t="inlineStr">
        <is>
          <t>431482</t>
        </is>
      </c>
      <c r="C1825" s="38" t="inlineStr">
        <is>
          <t>Tarragona</t>
        </is>
      </c>
      <c r="D1825" s="38" t="inlineStr">
        <is>
          <t>Y089</t>
        </is>
      </c>
      <c r="E1825" s="38" t="inlineStr">
        <is>
          <t>89 anys</t>
        </is>
      </c>
      <c r="F1825" s="38" t="n">
        <v>89</v>
      </c>
      <c r="G1825" s="38" t="n">
        <v>397</v>
      </c>
      <c r="I1825" s="38" t="inlineStr">
        <is>
          <t>Total de tots els sexes; resposta JSON-stat de l'API d'Idescat</t>
        </is>
      </c>
    </row>
    <row r="1826" ht="15" customHeight="1" s="39">
      <c r="A1826" s="38" t="n">
        <v>2021</v>
      </c>
      <c r="B1826" s="42" t="inlineStr">
        <is>
          <t>431482</t>
        </is>
      </c>
      <c r="C1826" s="38" t="inlineStr">
        <is>
          <t>Tarragona</t>
        </is>
      </c>
      <c r="D1826" s="38" t="inlineStr">
        <is>
          <t>Y090</t>
        </is>
      </c>
      <c r="E1826" s="38" t="inlineStr">
        <is>
          <t>90 anys</t>
        </is>
      </c>
      <c r="F1826" s="38" t="n">
        <v>90</v>
      </c>
      <c r="G1826" s="38" t="n">
        <v>347</v>
      </c>
      <c r="I1826" s="38" t="inlineStr">
        <is>
          <t>Total de tots els sexes; resposta JSON-stat de l'API d'Idescat</t>
        </is>
      </c>
    </row>
    <row r="1827" ht="15" customHeight="1" s="39">
      <c r="A1827" s="38" t="n">
        <v>2021</v>
      </c>
      <c r="B1827" s="42" t="inlineStr">
        <is>
          <t>431482</t>
        </is>
      </c>
      <c r="C1827" s="38" t="inlineStr">
        <is>
          <t>Tarragona</t>
        </is>
      </c>
      <c r="D1827" s="38" t="inlineStr">
        <is>
          <t>Y091</t>
        </is>
      </c>
      <c r="E1827" s="38" t="inlineStr">
        <is>
          <t>91 anys</t>
        </is>
      </c>
      <c r="F1827" s="38" t="n">
        <v>91</v>
      </c>
      <c r="G1827" s="38" t="n">
        <v>268</v>
      </c>
      <c r="I1827" s="38" t="inlineStr">
        <is>
          <t>Total de tots els sexes; resposta JSON-stat de l'API d'Idescat</t>
        </is>
      </c>
    </row>
    <row r="1828" ht="15" customHeight="1" s="39">
      <c r="A1828" s="38" t="n">
        <v>2021</v>
      </c>
      <c r="B1828" s="42" t="inlineStr">
        <is>
          <t>431482</t>
        </is>
      </c>
      <c r="C1828" s="38" t="inlineStr">
        <is>
          <t>Tarragona</t>
        </is>
      </c>
      <c r="D1828" s="38" t="inlineStr">
        <is>
          <t>Y092</t>
        </is>
      </c>
      <c r="E1828" s="38" t="inlineStr">
        <is>
          <t>92 anys</t>
        </is>
      </c>
      <c r="F1828" s="38" t="n">
        <v>92</v>
      </c>
      <c r="G1828" s="38" t="n">
        <v>255</v>
      </c>
      <c r="I1828" s="38" t="inlineStr">
        <is>
          <t>Total de tots els sexes; resposta JSON-stat de l'API d'Idescat</t>
        </is>
      </c>
    </row>
    <row r="1829" ht="15" customHeight="1" s="39">
      <c r="A1829" s="38" t="n">
        <v>2021</v>
      </c>
      <c r="B1829" s="42" t="inlineStr">
        <is>
          <t>431482</t>
        </is>
      </c>
      <c r="C1829" s="38" t="inlineStr">
        <is>
          <t>Tarragona</t>
        </is>
      </c>
      <c r="D1829" s="38" t="inlineStr">
        <is>
          <t>Y093</t>
        </is>
      </c>
      <c r="E1829" s="38" t="inlineStr">
        <is>
          <t>93 anys</t>
        </is>
      </c>
      <c r="F1829" s="38" t="n">
        <v>93</v>
      </c>
      <c r="G1829" s="38" t="n">
        <v>154</v>
      </c>
      <c r="I1829" s="38" t="inlineStr">
        <is>
          <t>Total de tots els sexes; resposta JSON-stat de l'API d'Idescat</t>
        </is>
      </c>
    </row>
    <row r="1830" ht="15" customHeight="1" s="39">
      <c r="A1830" s="38" t="n">
        <v>2021</v>
      </c>
      <c r="B1830" s="42" t="inlineStr">
        <is>
          <t>431482</t>
        </is>
      </c>
      <c r="C1830" s="38" t="inlineStr">
        <is>
          <t>Tarragona</t>
        </is>
      </c>
      <c r="D1830" s="38" t="inlineStr">
        <is>
          <t>Y094</t>
        </is>
      </c>
      <c r="E1830" s="38" t="inlineStr">
        <is>
          <t>94 anys</t>
        </is>
      </c>
      <c r="F1830" s="38" t="n">
        <v>94</v>
      </c>
      <c r="G1830" s="38" t="n">
        <v>149</v>
      </c>
      <c r="I1830" s="38" t="inlineStr">
        <is>
          <t>Total de tots els sexes; resposta JSON-stat de l'API d'Idescat</t>
        </is>
      </c>
    </row>
    <row r="1831" ht="15" customHeight="1" s="39">
      <c r="A1831" s="38" t="n">
        <v>2021</v>
      </c>
      <c r="B1831" s="42" t="inlineStr">
        <is>
          <t>431482</t>
        </is>
      </c>
      <c r="C1831" s="38" t="inlineStr">
        <is>
          <t>Tarragona</t>
        </is>
      </c>
      <c r="D1831" s="38" t="inlineStr">
        <is>
          <t>Y095</t>
        </is>
      </c>
      <c r="E1831" s="38" t="inlineStr">
        <is>
          <t>95 anys</t>
        </is>
      </c>
      <c r="F1831" s="38" t="n">
        <v>95</v>
      </c>
      <c r="G1831" s="38" t="n">
        <v>90</v>
      </c>
      <c r="I1831" s="38" t="inlineStr">
        <is>
          <t>Total de tots els sexes; resposta JSON-stat de l'API d'Idescat</t>
        </is>
      </c>
    </row>
    <row r="1832" ht="15" customHeight="1" s="39">
      <c r="A1832" s="38" t="n">
        <v>2021</v>
      </c>
      <c r="B1832" s="42" t="inlineStr">
        <is>
          <t>431482</t>
        </is>
      </c>
      <c r="C1832" s="38" t="inlineStr">
        <is>
          <t>Tarragona</t>
        </is>
      </c>
      <c r="D1832" s="38" t="inlineStr">
        <is>
          <t>Y096</t>
        </is>
      </c>
      <c r="E1832" s="38" t="inlineStr">
        <is>
          <t>96 anys</t>
        </is>
      </c>
      <c r="F1832" s="38" t="n">
        <v>96</v>
      </c>
      <c r="G1832" s="38" t="n">
        <v>98</v>
      </c>
      <c r="I1832" s="38" t="inlineStr">
        <is>
          <t>Total de tots els sexes; resposta JSON-stat de l'API d'Idescat</t>
        </is>
      </c>
    </row>
    <row r="1833" ht="15" customHeight="1" s="39">
      <c r="A1833" s="38" t="n">
        <v>2021</v>
      </c>
      <c r="B1833" s="42" t="inlineStr">
        <is>
          <t>431482</t>
        </is>
      </c>
      <c r="C1833" s="38" t="inlineStr">
        <is>
          <t>Tarragona</t>
        </is>
      </c>
      <c r="D1833" s="38" t="inlineStr">
        <is>
          <t>Y097</t>
        </is>
      </c>
      <c r="E1833" s="38" t="inlineStr">
        <is>
          <t>97 anys</t>
        </is>
      </c>
      <c r="F1833" s="38" t="n">
        <v>97</v>
      </c>
      <c r="G1833" s="38" t="n">
        <v>49</v>
      </c>
      <c r="I1833" s="38" t="inlineStr">
        <is>
          <t>Total de tots els sexes; resposta JSON-stat de l'API d'Idescat</t>
        </is>
      </c>
    </row>
    <row r="1834" ht="15" customHeight="1" s="39">
      <c r="A1834" s="38" t="n">
        <v>2021</v>
      </c>
      <c r="B1834" s="42" t="inlineStr">
        <is>
          <t>431482</t>
        </is>
      </c>
      <c r="C1834" s="38" t="inlineStr">
        <is>
          <t>Tarragona</t>
        </is>
      </c>
      <c r="D1834" s="38" t="inlineStr">
        <is>
          <t>Y098</t>
        </is>
      </c>
      <c r="E1834" s="38" t="inlineStr">
        <is>
          <t>98 anys</t>
        </is>
      </c>
      <c r="F1834" s="38" t="n">
        <v>98</v>
      </c>
      <c r="G1834" s="38" t="n">
        <v>41</v>
      </c>
      <c r="I1834" s="38" t="inlineStr">
        <is>
          <t>Total de tots els sexes; resposta JSON-stat de l'API d'Idescat</t>
        </is>
      </c>
    </row>
    <row r="1835" ht="15" customHeight="1" s="39">
      <c r="A1835" s="38" t="n">
        <v>2021</v>
      </c>
      <c r="B1835" s="42" t="inlineStr">
        <is>
          <t>431482</t>
        </is>
      </c>
      <c r="C1835" s="38" t="inlineStr">
        <is>
          <t>Tarragona</t>
        </is>
      </c>
      <c r="D1835" s="38" t="inlineStr">
        <is>
          <t>Y099</t>
        </is>
      </c>
      <c r="E1835" s="38" t="inlineStr">
        <is>
          <t>99 anys</t>
        </is>
      </c>
      <c r="F1835" s="38" t="n">
        <v>99</v>
      </c>
      <c r="G1835" s="38" t="n">
        <v>26</v>
      </c>
      <c r="I1835" s="38" t="inlineStr">
        <is>
          <t>Total de tots els sexes; resposta JSON-stat de l'API d'Idescat</t>
        </is>
      </c>
    </row>
    <row r="1836" ht="15" customHeight="1" s="39">
      <c r="A1836" s="38" t="n">
        <v>2021</v>
      </c>
      <c r="B1836" s="42" t="inlineStr">
        <is>
          <t>431482</t>
        </is>
      </c>
      <c r="C1836" s="38" t="inlineStr">
        <is>
          <t>Tarragona</t>
        </is>
      </c>
      <c r="D1836" s="38" t="inlineStr">
        <is>
          <t>Y_GE100</t>
        </is>
      </c>
      <c r="E1836" s="38" t="inlineStr">
        <is>
          <t>100 anys o més</t>
        </is>
      </c>
      <c r="F1836" s="38" t="n">
        <v>100</v>
      </c>
      <c r="G1836" s="38" t="n">
        <v>35</v>
      </c>
      <c r="I1836" s="38" t="inlineStr">
        <is>
          <t>Total de tots els sexes; resposta JSON-stat de l'API d'Idescat</t>
        </is>
      </c>
    </row>
    <row r="1837" ht="15" customHeight="1" s="39">
      <c r="A1837" s="38" t="n">
        <v>2021</v>
      </c>
      <c r="B1837" s="42" t="inlineStr">
        <is>
          <t>431482</t>
        </is>
      </c>
      <c r="C1837" s="38" t="inlineStr">
        <is>
          <t>Tarragona</t>
        </is>
      </c>
      <c r="D1837" s="38" t="inlineStr">
        <is>
          <t>TOTAL</t>
        </is>
      </c>
      <c r="E1837" s="38" t="inlineStr">
        <is>
          <t>total</t>
        </is>
      </c>
      <c r="G1837" s="38" t="n">
        <v>136150</v>
      </c>
      <c r="I1837" s="38" t="inlineStr">
        <is>
          <t>Total de tots els sexes; resposta JSON-stat de l'API d'Idescat</t>
        </is>
      </c>
    </row>
    <row r="1838" ht="15" customHeight="1" s="39">
      <c r="A1838" s="38" t="n">
        <v>2021</v>
      </c>
      <c r="B1838" s="42" t="inlineStr">
        <is>
          <t>431536</t>
        </is>
      </c>
      <c r="C1838" s="38" t="inlineStr">
        <is>
          <t>Torredembarra</t>
        </is>
      </c>
      <c r="D1838" s="38" t="inlineStr">
        <is>
          <t>Y000</t>
        </is>
      </c>
      <c r="E1838" s="38" t="inlineStr">
        <is>
          <t>0 anys</t>
        </is>
      </c>
      <c r="F1838" s="38" t="n">
        <v>0</v>
      </c>
      <c r="G1838" s="38" t="n">
        <v>121</v>
      </c>
      <c r="I1838" s="38" t="inlineStr">
        <is>
          <t>Total de tots els sexes; resposta JSON-stat de l'API d'Idescat</t>
        </is>
      </c>
    </row>
    <row r="1839" ht="15" customHeight="1" s="39">
      <c r="A1839" s="38" t="n">
        <v>2021</v>
      </c>
      <c r="B1839" s="42" t="inlineStr">
        <is>
          <t>431536</t>
        </is>
      </c>
      <c r="C1839" s="38" t="inlineStr">
        <is>
          <t>Torredembarra</t>
        </is>
      </c>
      <c r="D1839" s="38" t="inlineStr">
        <is>
          <t>Y001</t>
        </is>
      </c>
      <c r="E1839" s="38" t="inlineStr">
        <is>
          <t>1 any</t>
        </is>
      </c>
      <c r="F1839" s="38" t="n">
        <v>1</v>
      </c>
      <c r="G1839" s="38" t="n">
        <v>155</v>
      </c>
      <c r="I1839" s="38" t="inlineStr">
        <is>
          <t>Total de tots els sexes; resposta JSON-stat de l'API d'Idescat</t>
        </is>
      </c>
    </row>
    <row r="1840" ht="15" customHeight="1" s="39">
      <c r="A1840" s="38" t="n">
        <v>2021</v>
      </c>
      <c r="B1840" s="42" t="inlineStr">
        <is>
          <t>431536</t>
        </is>
      </c>
      <c r="C1840" s="38" t="inlineStr">
        <is>
          <t>Torredembarra</t>
        </is>
      </c>
      <c r="D1840" s="38" t="inlineStr">
        <is>
          <t>Y002</t>
        </is>
      </c>
      <c r="E1840" s="38" t="inlineStr">
        <is>
          <t>2 anys</t>
        </is>
      </c>
      <c r="F1840" s="38" t="n">
        <v>2</v>
      </c>
      <c r="G1840" s="38" t="n">
        <v>145</v>
      </c>
      <c r="I1840" s="38" t="inlineStr">
        <is>
          <t>Total de tots els sexes; resposta JSON-stat de l'API d'Idescat</t>
        </is>
      </c>
    </row>
    <row r="1841" ht="15" customHeight="1" s="39">
      <c r="A1841" s="38" t="n">
        <v>2021</v>
      </c>
      <c r="B1841" s="42" t="inlineStr">
        <is>
          <t>431536</t>
        </is>
      </c>
      <c r="C1841" s="38" t="inlineStr">
        <is>
          <t>Torredembarra</t>
        </is>
      </c>
      <c r="D1841" s="38" t="inlineStr">
        <is>
          <t>Y003</t>
        </is>
      </c>
      <c r="E1841" s="38" t="inlineStr">
        <is>
          <t>3 anys</t>
        </is>
      </c>
      <c r="F1841" s="38" t="n">
        <v>3</v>
      </c>
      <c r="G1841" s="38" t="n">
        <v>150</v>
      </c>
      <c r="I1841" s="38" t="inlineStr">
        <is>
          <t>Total de tots els sexes; resposta JSON-stat de l'API d'Idescat</t>
        </is>
      </c>
    </row>
    <row r="1842" ht="15" customHeight="1" s="39">
      <c r="A1842" s="38" t="n">
        <v>2021</v>
      </c>
      <c r="B1842" s="42" t="inlineStr">
        <is>
          <t>431536</t>
        </is>
      </c>
      <c r="C1842" s="38" t="inlineStr">
        <is>
          <t>Torredembarra</t>
        </is>
      </c>
      <c r="D1842" s="38" t="inlineStr">
        <is>
          <t>Y004</t>
        </is>
      </c>
      <c r="E1842" s="38" t="inlineStr">
        <is>
          <t>4 anys</t>
        </is>
      </c>
      <c r="F1842" s="38" t="n">
        <v>4</v>
      </c>
      <c r="G1842" s="38" t="n">
        <v>162</v>
      </c>
      <c r="I1842" s="38" t="inlineStr">
        <is>
          <t>Total de tots els sexes; resposta JSON-stat de l'API d'Idescat</t>
        </is>
      </c>
    </row>
    <row r="1843" ht="15" customHeight="1" s="39">
      <c r="A1843" s="38" t="n">
        <v>2021</v>
      </c>
      <c r="B1843" s="42" t="inlineStr">
        <is>
          <t>431536</t>
        </is>
      </c>
      <c r="C1843" s="38" t="inlineStr">
        <is>
          <t>Torredembarra</t>
        </is>
      </c>
      <c r="D1843" s="38" t="inlineStr">
        <is>
          <t>Y005</t>
        </is>
      </c>
      <c r="E1843" s="38" t="inlineStr">
        <is>
          <t>5 anys</t>
        </is>
      </c>
      <c r="F1843" s="38" t="n">
        <v>5</v>
      </c>
      <c r="G1843" s="38" t="n">
        <v>159</v>
      </c>
      <c r="I1843" s="38" t="inlineStr">
        <is>
          <t>Total de tots els sexes; resposta JSON-stat de l'API d'Idescat</t>
        </is>
      </c>
    </row>
    <row r="1844" ht="15" customHeight="1" s="39">
      <c r="A1844" s="38" t="n">
        <v>2021</v>
      </c>
      <c r="B1844" s="42" t="inlineStr">
        <is>
          <t>431536</t>
        </is>
      </c>
      <c r="C1844" s="38" t="inlineStr">
        <is>
          <t>Torredembarra</t>
        </is>
      </c>
      <c r="D1844" s="38" t="inlineStr">
        <is>
          <t>Y006</t>
        </is>
      </c>
      <c r="E1844" s="38" t="inlineStr">
        <is>
          <t>6 anys</t>
        </is>
      </c>
      <c r="F1844" s="38" t="n">
        <v>6</v>
      </c>
      <c r="G1844" s="38" t="n">
        <v>191</v>
      </c>
      <c r="I1844" s="38" t="inlineStr">
        <is>
          <t>Total de tots els sexes; resposta JSON-stat de l'API d'Idescat</t>
        </is>
      </c>
    </row>
    <row r="1845" ht="15" customHeight="1" s="39">
      <c r="A1845" s="38" t="n">
        <v>2021</v>
      </c>
      <c r="B1845" s="42" t="inlineStr">
        <is>
          <t>431536</t>
        </is>
      </c>
      <c r="C1845" s="38" t="inlineStr">
        <is>
          <t>Torredembarra</t>
        </is>
      </c>
      <c r="D1845" s="38" t="inlineStr">
        <is>
          <t>Y007</t>
        </is>
      </c>
      <c r="E1845" s="38" t="inlineStr">
        <is>
          <t>7 anys</t>
        </is>
      </c>
      <c r="F1845" s="38" t="n">
        <v>7</v>
      </c>
      <c r="G1845" s="38" t="n">
        <v>156</v>
      </c>
      <c r="I1845" s="38" t="inlineStr">
        <is>
          <t>Total de tots els sexes; resposta JSON-stat de l'API d'Idescat</t>
        </is>
      </c>
    </row>
    <row r="1846" ht="15" customHeight="1" s="39">
      <c r="A1846" s="38" t="n">
        <v>2021</v>
      </c>
      <c r="B1846" s="42" t="inlineStr">
        <is>
          <t>431536</t>
        </is>
      </c>
      <c r="C1846" s="38" t="inlineStr">
        <is>
          <t>Torredembarra</t>
        </is>
      </c>
      <c r="D1846" s="38" t="inlineStr">
        <is>
          <t>Y008</t>
        </is>
      </c>
      <c r="E1846" s="38" t="inlineStr">
        <is>
          <t>8 anys</t>
        </is>
      </c>
      <c r="F1846" s="38" t="n">
        <v>8</v>
      </c>
      <c r="G1846" s="38" t="n">
        <v>180</v>
      </c>
      <c r="I1846" s="38" t="inlineStr">
        <is>
          <t>Total de tots els sexes; resposta JSON-stat de l'API d'Idescat</t>
        </is>
      </c>
    </row>
    <row r="1847" ht="15" customHeight="1" s="39">
      <c r="A1847" s="38" t="n">
        <v>2021</v>
      </c>
      <c r="B1847" s="42" t="inlineStr">
        <is>
          <t>431536</t>
        </is>
      </c>
      <c r="C1847" s="38" t="inlineStr">
        <is>
          <t>Torredembarra</t>
        </is>
      </c>
      <c r="D1847" s="38" t="inlineStr">
        <is>
          <t>Y009</t>
        </is>
      </c>
      <c r="E1847" s="38" t="inlineStr">
        <is>
          <t>9 anys</t>
        </is>
      </c>
      <c r="F1847" s="38" t="n">
        <v>9</v>
      </c>
      <c r="G1847" s="38" t="n">
        <v>176</v>
      </c>
      <c r="I1847" s="38" t="inlineStr">
        <is>
          <t>Total de tots els sexes; resposta JSON-stat de l'API d'Idescat</t>
        </is>
      </c>
    </row>
    <row r="1848" ht="15" customHeight="1" s="39">
      <c r="A1848" s="38" t="n">
        <v>2021</v>
      </c>
      <c r="B1848" s="42" t="inlineStr">
        <is>
          <t>431536</t>
        </is>
      </c>
      <c r="C1848" s="38" t="inlineStr">
        <is>
          <t>Torredembarra</t>
        </is>
      </c>
      <c r="D1848" s="38" t="inlineStr">
        <is>
          <t>Y010</t>
        </is>
      </c>
      <c r="E1848" s="38" t="inlineStr">
        <is>
          <t>10 anys</t>
        </is>
      </c>
      <c r="F1848" s="38" t="n">
        <v>10</v>
      </c>
      <c r="G1848" s="38" t="n">
        <v>197</v>
      </c>
      <c r="I1848" s="38" t="inlineStr">
        <is>
          <t>Total de tots els sexes; resposta JSON-stat de l'API d'Idescat</t>
        </is>
      </c>
    </row>
    <row r="1849" ht="15" customHeight="1" s="39">
      <c r="A1849" s="38" t="n">
        <v>2021</v>
      </c>
      <c r="B1849" s="42" t="inlineStr">
        <is>
          <t>431536</t>
        </is>
      </c>
      <c r="C1849" s="38" t="inlineStr">
        <is>
          <t>Torredembarra</t>
        </is>
      </c>
      <c r="D1849" s="38" t="inlineStr">
        <is>
          <t>Y011</t>
        </is>
      </c>
      <c r="E1849" s="38" t="inlineStr">
        <is>
          <t>11 anys</t>
        </is>
      </c>
      <c r="F1849" s="38" t="n">
        <v>11</v>
      </c>
      <c r="G1849" s="38" t="n">
        <v>182</v>
      </c>
      <c r="I1849" s="38" t="inlineStr">
        <is>
          <t>Total de tots els sexes; resposta JSON-stat de l'API d'Idescat</t>
        </is>
      </c>
    </row>
    <row r="1850" ht="15" customHeight="1" s="39">
      <c r="A1850" s="38" t="n">
        <v>2021</v>
      </c>
      <c r="B1850" s="42" t="inlineStr">
        <is>
          <t>431536</t>
        </is>
      </c>
      <c r="C1850" s="38" t="inlineStr">
        <is>
          <t>Torredembarra</t>
        </is>
      </c>
      <c r="D1850" s="38" t="inlineStr">
        <is>
          <t>Y012</t>
        </is>
      </c>
      <c r="E1850" s="38" t="inlineStr">
        <is>
          <t>12 anys</t>
        </is>
      </c>
      <c r="F1850" s="38" t="n">
        <v>12</v>
      </c>
      <c r="G1850" s="38" t="n">
        <v>193</v>
      </c>
      <c r="I1850" s="38" t="inlineStr">
        <is>
          <t>Total de tots els sexes; resposta JSON-stat de l'API d'Idescat</t>
        </is>
      </c>
    </row>
    <row r="1851" ht="15" customHeight="1" s="39">
      <c r="A1851" s="38" t="n">
        <v>2021</v>
      </c>
      <c r="B1851" s="42" t="inlineStr">
        <is>
          <t>431536</t>
        </is>
      </c>
      <c r="C1851" s="38" t="inlineStr">
        <is>
          <t>Torredembarra</t>
        </is>
      </c>
      <c r="D1851" s="38" t="inlineStr">
        <is>
          <t>Y013</t>
        </is>
      </c>
      <c r="E1851" s="38" t="inlineStr">
        <is>
          <t>13 anys</t>
        </is>
      </c>
      <c r="F1851" s="38" t="n">
        <v>13</v>
      </c>
      <c r="G1851" s="38" t="n">
        <v>174</v>
      </c>
      <c r="I1851" s="38" t="inlineStr">
        <is>
          <t>Total de tots els sexes; resposta JSON-stat de l'API d'Idescat</t>
        </is>
      </c>
    </row>
    <row r="1852" ht="15" customHeight="1" s="39">
      <c r="A1852" s="38" t="n">
        <v>2021</v>
      </c>
      <c r="B1852" s="42" t="inlineStr">
        <is>
          <t>431536</t>
        </is>
      </c>
      <c r="C1852" s="38" t="inlineStr">
        <is>
          <t>Torredembarra</t>
        </is>
      </c>
      <c r="D1852" s="38" t="inlineStr">
        <is>
          <t>Y014</t>
        </is>
      </c>
      <c r="E1852" s="38" t="inlineStr">
        <is>
          <t>14 anys</t>
        </is>
      </c>
      <c r="F1852" s="38" t="n">
        <v>14</v>
      </c>
      <c r="G1852" s="38" t="n">
        <v>177</v>
      </c>
      <c r="I1852" s="38" t="inlineStr">
        <is>
          <t>Total de tots els sexes; resposta JSON-stat de l'API d'Idescat</t>
        </is>
      </c>
    </row>
    <row r="1853" ht="15" customHeight="1" s="39">
      <c r="A1853" s="38" t="n">
        <v>2021</v>
      </c>
      <c r="B1853" s="42" t="inlineStr">
        <is>
          <t>431536</t>
        </is>
      </c>
      <c r="C1853" s="38" t="inlineStr">
        <is>
          <t>Torredembarra</t>
        </is>
      </c>
      <c r="D1853" s="38" t="inlineStr">
        <is>
          <t>Y015</t>
        </is>
      </c>
      <c r="E1853" s="38" t="inlineStr">
        <is>
          <t>15 anys</t>
        </is>
      </c>
      <c r="F1853" s="38" t="n">
        <v>15</v>
      </c>
      <c r="G1853" s="38" t="n">
        <v>181</v>
      </c>
      <c r="I1853" s="38" t="inlineStr">
        <is>
          <t>Total de tots els sexes; resposta JSON-stat de l'API d'Idescat</t>
        </is>
      </c>
    </row>
    <row r="1854" ht="15" customHeight="1" s="39">
      <c r="A1854" s="38" t="n">
        <v>2021</v>
      </c>
      <c r="B1854" s="42" t="inlineStr">
        <is>
          <t>431536</t>
        </is>
      </c>
      <c r="C1854" s="38" t="inlineStr">
        <is>
          <t>Torredembarra</t>
        </is>
      </c>
      <c r="D1854" s="38" t="inlineStr">
        <is>
          <t>Y016</t>
        </is>
      </c>
      <c r="E1854" s="38" t="inlineStr">
        <is>
          <t>16 anys</t>
        </is>
      </c>
      <c r="F1854" s="38" t="n">
        <v>16</v>
      </c>
      <c r="G1854" s="38" t="n">
        <v>186</v>
      </c>
      <c r="I1854" s="38" t="inlineStr">
        <is>
          <t>Total de tots els sexes; resposta JSON-stat de l'API d'Idescat</t>
        </is>
      </c>
    </row>
    <row r="1855" ht="15" customHeight="1" s="39">
      <c r="A1855" s="38" t="n">
        <v>2021</v>
      </c>
      <c r="B1855" s="42" t="inlineStr">
        <is>
          <t>431536</t>
        </is>
      </c>
      <c r="C1855" s="38" t="inlineStr">
        <is>
          <t>Torredembarra</t>
        </is>
      </c>
      <c r="D1855" s="38" t="inlineStr">
        <is>
          <t>Y017</t>
        </is>
      </c>
      <c r="E1855" s="38" t="inlineStr">
        <is>
          <t>17 anys</t>
        </is>
      </c>
      <c r="F1855" s="38" t="n">
        <v>17</v>
      </c>
      <c r="G1855" s="38" t="n">
        <v>192</v>
      </c>
      <c r="I1855" s="38" t="inlineStr">
        <is>
          <t>Total de tots els sexes; resposta JSON-stat de l'API d'Idescat</t>
        </is>
      </c>
    </row>
    <row r="1856" ht="15" customHeight="1" s="39">
      <c r="A1856" s="38" t="n">
        <v>2021</v>
      </c>
      <c r="B1856" s="42" t="inlineStr">
        <is>
          <t>431536</t>
        </is>
      </c>
      <c r="C1856" s="38" t="inlineStr">
        <is>
          <t>Torredembarra</t>
        </is>
      </c>
      <c r="D1856" s="38" t="inlineStr">
        <is>
          <t>Y018</t>
        </is>
      </c>
      <c r="E1856" s="38" t="inlineStr">
        <is>
          <t>18 anys</t>
        </is>
      </c>
      <c r="F1856" s="38" t="n">
        <v>18</v>
      </c>
      <c r="G1856" s="38" t="n">
        <v>186</v>
      </c>
      <c r="I1856" s="38" t="inlineStr">
        <is>
          <t>Total de tots els sexes; resposta JSON-stat de l'API d'Idescat</t>
        </is>
      </c>
    </row>
    <row r="1857" ht="15" customHeight="1" s="39">
      <c r="A1857" s="38" t="n">
        <v>2021</v>
      </c>
      <c r="B1857" s="42" t="inlineStr">
        <is>
          <t>431536</t>
        </is>
      </c>
      <c r="C1857" s="38" t="inlineStr">
        <is>
          <t>Torredembarra</t>
        </is>
      </c>
      <c r="D1857" s="38" t="inlineStr">
        <is>
          <t>Y019</t>
        </is>
      </c>
      <c r="E1857" s="38" t="inlineStr">
        <is>
          <t>19 anys</t>
        </is>
      </c>
      <c r="F1857" s="38" t="n">
        <v>19</v>
      </c>
      <c r="G1857" s="38" t="n">
        <v>177</v>
      </c>
      <c r="I1857" s="38" t="inlineStr">
        <is>
          <t>Total de tots els sexes; resposta JSON-stat de l'API d'Idescat</t>
        </is>
      </c>
    </row>
    <row r="1858" ht="15" customHeight="1" s="39">
      <c r="A1858" s="38" t="n">
        <v>2021</v>
      </c>
      <c r="B1858" s="42" t="inlineStr">
        <is>
          <t>431536</t>
        </is>
      </c>
      <c r="C1858" s="38" t="inlineStr">
        <is>
          <t>Torredembarra</t>
        </is>
      </c>
      <c r="D1858" s="38" t="inlineStr">
        <is>
          <t>Y020</t>
        </is>
      </c>
      <c r="E1858" s="38" t="inlineStr">
        <is>
          <t>20 anys</t>
        </is>
      </c>
      <c r="F1858" s="38" t="n">
        <v>20</v>
      </c>
      <c r="G1858" s="38" t="n">
        <v>177</v>
      </c>
      <c r="I1858" s="38" t="inlineStr">
        <is>
          <t>Total de tots els sexes; resposta JSON-stat de l'API d'Idescat</t>
        </is>
      </c>
    </row>
    <row r="1859" ht="15" customHeight="1" s="39">
      <c r="A1859" s="38" t="n">
        <v>2021</v>
      </c>
      <c r="B1859" s="42" t="inlineStr">
        <is>
          <t>431536</t>
        </is>
      </c>
      <c r="C1859" s="38" t="inlineStr">
        <is>
          <t>Torredembarra</t>
        </is>
      </c>
      <c r="D1859" s="38" t="inlineStr">
        <is>
          <t>Y021</t>
        </is>
      </c>
      <c r="E1859" s="38" t="inlineStr">
        <is>
          <t>21 anys</t>
        </is>
      </c>
      <c r="F1859" s="38" t="n">
        <v>21</v>
      </c>
      <c r="G1859" s="38" t="n">
        <v>158</v>
      </c>
      <c r="I1859" s="38" t="inlineStr">
        <is>
          <t>Total de tots els sexes; resposta JSON-stat de l'API d'Idescat</t>
        </is>
      </c>
    </row>
    <row r="1860" ht="15" customHeight="1" s="39">
      <c r="A1860" s="38" t="n">
        <v>2021</v>
      </c>
      <c r="B1860" s="42" t="inlineStr">
        <is>
          <t>431536</t>
        </is>
      </c>
      <c r="C1860" s="38" t="inlineStr">
        <is>
          <t>Torredembarra</t>
        </is>
      </c>
      <c r="D1860" s="38" t="inlineStr">
        <is>
          <t>Y022</t>
        </is>
      </c>
      <c r="E1860" s="38" t="inlineStr">
        <is>
          <t>22 anys</t>
        </is>
      </c>
      <c r="F1860" s="38" t="n">
        <v>22</v>
      </c>
      <c r="G1860" s="38" t="n">
        <v>177</v>
      </c>
      <c r="I1860" s="38" t="inlineStr">
        <is>
          <t>Total de tots els sexes; resposta JSON-stat de l'API d'Idescat</t>
        </is>
      </c>
    </row>
    <row r="1861" ht="15" customHeight="1" s="39">
      <c r="A1861" s="38" t="n">
        <v>2021</v>
      </c>
      <c r="B1861" s="42" t="inlineStr">
        <is>
          <t>431536</t>
        </is>
      </c>
      <c r="C1861" s="38" t="inlineStr">
        <is>
          <t>Torredembarra</t>
        </is>
      </c>
      <c r="D1861" s="38" t="inlineStr">
        <is>
          <t>Y023</t>
        </is>
      </c>
      <c r="E1861" s="38" t="inlineStr">
        <is>
          <t>23 anys</t>
        </is>
      </c>
      <c r="F1861" s="38" t="n">
        <v>23</v>
      </c>
      <c r="G1861" s="38" t="n">
        <v>158</v>
      </c>
      <c r="I1861" s="38" t="inlineStr">
        <is>
          <t>Total de tots els sexes; resposta JSON-stat de l'API d'Idescat</t>
        </is>
      </c>
    </row>
    <row r="1862" ht="15" customHeight="1" s="39">
      <c r="A1862" s="38" t="n">
        <v>2021</v>
      </c>
      <c r="B1862" s="42" t="inlineStr">
        <is>
          <t>431536</t>
        </is>
      </c>
      <c r="C1862" s="38" t="inlineStr">
        <is>
          <t>Torredembarra</t>
        </is>
      </c>
      <c r="D1862" s="38" t="inlineStr">
        <is>
          <t>Y024</t>
        </is>
      </c>
      <c r="E1862" s="38" t="inlineStr">
        <is>
          <t>24 anys</t>
        </is>
      </c>
      <c r="F1862" s="38" t="n">
        <v>24</v>
      </c>
      <c r="G1862" s="38" t="n">
        <v>170</v>
      </c>
      <c r="I1862" s="38" t="inlineStr">
        <is>
          <t>Total de tots els sexes; resposta JSON-stat de l'API d'Idescat</t>
        </is>
      </c>
    </row>
    <row r="1863" ht="15" customHeight="1" s="39">
      <c r="A1863" s="38" t="n">
        <v>2021</v>
      </c>
      <c r="B1863" s="42" t="inlineStr">
        <is>
          <t>431536</t>
        </is>
      </c>
      <c r="C1863" s="38" t="inlineStr">
        <is>
          <t>Torredembarra</t>
        </is>
      </c>
      <c r="D1863" s="38" t="inlineStr">
        <is>
          <t>Y025</t>
        </is>
      </c>
      <c r="E1863" s="38" t="inlineStr">
        <is>
          <t>25 anys</t>
        </is>
      </c>
      <c r="F1863" s="38" t="n">
        <v>25</v>
      </c>
      <c r="G1863" s="38" t="n">
        <v>162</v>
      </c>
      <c r="I1863" s="38" t="inlineStr">
        <is>
          <t>Total de tots els sexes; resposta JSON-stat de l'API d'Idescat</t>
        </is>
      </c>
    </row>
    <row r="1864" ht="15" customHeight="1" s="39">
      <c r="A1864" s="38" t="n">
        <v>2021</v>
      </c>
      <c r="B1864" s="42" t="inlineStr">
        <is>
          <t>431536</t>
        </is>
      </c>
      <c r="C1864" s="38" t="inlineStr">
        <is>
          <t>Torredembarra</t>
        </is>
      </c>
      <c r="D1864" s="38" t="inlineStr">
        <is>
          <t>Y026</t>
        </is>
      </c>
      <c r="E1864" s="38" t="inlineStr">
        <is>
          <t>26 anys</t>
        </is>
      </c>
      <c r="F1864" s="38" t="n">
        <v>26</v>
      </c>
      <c r="G1864" s="38" t="n">
        <v>181</v>
      </c>
      <c r="I1864" s="38" t="inlineStr">
        <is>
          <t>Total de tots els sexes; resposta JSON-stat de l'API d'Idescat</t>
        </is>
      </c>
    </row>
    <row r="1865" ht="15" customHeight="1" s="39">
      <c r="A1865" s="38" t="n">
        <v>2021</v>
      </c>
      <c r="B1865" s="42" t="inlineStr">
        <is>
          <t>431536</t>
        </is>
      </c>
      <c r="C1865" s="38" t="inlineStr">
        <is>
          <t>Torredembarra</t>
        </is>
      </c>
      <c r="D1865" s="38" t="inlineStr">
        <is>
          <t>Y027</t>
        </is>
      </c>
      <c r="E1865" s="38" t="inlineStr">
        <is>
          <t>27 anys</t>
        </is>
      </c>
      <c r="F1865" s="38" t="n">
        <v>27</v>
      </c>
      <c r="G1865" s="38" t="n">
        <v>189</v>
      </c>
      <c r="I1865" s="38" t="inlineStr">
        <is>
          <t>Total de tots els sexes; resposta JSON-stat de l'API d'Idescat</t>
        </is>
      </c>
    </row>
    <row r="1866" ht="15" customHeight="1" s="39">
      <c r="A1866" s="38" t="n">
        <v>2021</v>
      </c>
      <c r="B1866" s="42" t="inlineStr">
        <is>
          <t>431536</t>
        </is>
      </c>
      <c r="C1866" s="38" t="inlineStr">
        <is>
          <t>Torredembarra</t>
        </is>
      </c>
      <c r="D1866" s="38" t="inlineStr">
        <is>
          <t>Y028</t>
        </is>
      </c>
      <c r="E1866" s="38" t="inlineStr">
        <is>
          <t>28 anys</t>
        </is>
      </c>
      <c r="F1866" s="38" t="n">
        <v>28</v>
      </c>
      <c r="G1866" s="38" t="n">
        <v>189</v>
      </c>
      <c r="I1866" s="38" t="inlineStr">
        <is>
          <t>Total de tots els sexes; resposta JSON-stat de l'API d'Idescat</t>
        </is>
      </c>
    </row>
    <row r="1867" ht="15" customHeight="1" s="39">
      <c r="A1867" s="38" t="n">
        <v>2021</v>
      </c>
      <c r="B1867" s="42" t="inlineStr">
        <is>
          <t>431536</t>
        </is>
      </c>
      <c r="C1867" s="38" t="inlineStr">
        <is>
          <t>Torredembarra</t>
        </is>
      </c>
      <c r="D1867" s="38" t="inlineStr">
        <is>
          <t>Y029</t>
        </is>
      </c>
      <c r="E1867" s="38" t="inlineStr">
        <is>
          <t>29 anys</t>
        </is>
      </c>
      <c r="F1867" s="38" t="n">
        <v>29</v>
      </c>
      <c r="G1867" s="38" t="n">
        <v>169</v>
      </c>
      <c r="I1867" s="38" t="inlineStr">
        <is>
          <t>Total de tots els sexes; resposta JSON-stat de l'API d'Idescat</t>
        </is>
      </c>
    </row>
    <row r="1868" ht="15" customHeight="1" s="39">
      <c r="A1868" s="38" t="n">
        <v>2021</v>
      </c>
      <c r="B1868" s="42" t="inlineStr">
        <is>
          <t>431536</t>
        </is>
      </c>
      <c r="C1868" s="38" t="inlineStr">
        <is>
          <t>Torredembarra</t>
        </is>
      </c>
      <c r="D1868" s="38" t="inlineStr">
        <is>
          <t>Y030</t>
        </is>
      </c>
      <c r="E1868" s="38" t="inlineStr">
        <is>
          <t>30 anys</t>
        </is>
      </c>
      <c r="F1868" s="38" t="n">
        <v>30</v>
      </c>
      <c r="G1868" s="38" t="n">
        <v>154</v>
      </c>
      <c r="I1868" s="38" t="inlineStr">
        <is>
          <t>Total de tots els sexes; resposta JSON-stat de l'API d'Idescat</t>
        </is>
      </c>
    </row>
    <row r="1869" ht="15" customHeight="1" s="39">
      <c r="A1869" s="38" t="n">
        <v>2021</v>
      </c>
      <c r="B1869" s="42" t="inlineStr">
        <is>
          <t>431536</t>
        </is>
      </c>
      <c r="C1869" s="38" t="inlineStr">
        <is>
          <t>Torredembarra</t>
        </is>
      </c>
      <c r="D1869" s="38" t="inlineStr">
        <is>
          <t>Y031</t>
        </is>
      </c>
      <c r="E1869" s="38" t="inlineStr">
        <is>
          <t>31 anys</t>
        </is>
      </c>
      <c r="F1869" s="38" t="n">
        <v>31</v>
      </c>
      <c r="G1869" s="38" t="n">
        <v>178</v>
      </c>
      <c r="I1869" s="38" t="inlineStr">
        <is>
          <t>Total de tots els sexes; resposta JSON-stat de l'API d'Idescat</t>
        </is>
      </c>
    </row>
    <row r="1870" ht="15" customHeight="1" s="39">
      <c r="A1870" s="38" t="n">
        <v>2021</v>
      </c>
      <c r="B1870" s="42" t="inlineStr">
        <is>
          <t>431536</t>
        </is>
      </c>
      <c r="C1870" s="38" t="inlineStr">
        <is>
          <t>Torredembarra</t>
        </is>
      </c>
      <c r="D1870" s="38" t="inlineStr">
        <is>
          <t>Y032</t>
        </is>
      </c>
      <c r="E1870" s="38" t="inlineStr">
        <is>
          <t>32 anys</t>
        </is>
      </c>
      <c r="F1870" s="38" t="n">
        <v>32</v>
      </c>
      <c r="G1870" s="38" t="n">
        <v>201</v>
      </c>
      <c r="I1870" s="38" t="inlineStr">
        <is>
          <t>Total de tots els sexes; resposta JSON-stat de l'API d'Idescat</t>
        </is>
      </c>
    </row>
    <row r="1871" ht="15" customHeight="1" s="39">
      <c r="A1871" s="38" t="n">
        <v>2021</v>
      </c>
      <c r="B1871" s="42" t="inlineStr">
        <is>
          <t>431536</t>
        </is>
      </c>
      <c r="C1871" s="38" t="inlineStr">
        <is>
          <t>Torredembarra</t>
        </is>
      </c>
      <c r="D1871" s="38" t="inlineStr">
        <is>
          <t>Y033</t>
        </is>
      </c>
      <c r="E1871" s="38" t="inlineStr">
        <is>
          <t>33 anys</t>
        </is>
      </c>
      <c r="F1871" s="38" t="n">
        <v>33</v>
      </c>
      <c r="G1871" s="38" t="n">
        <v>181</v>
      </c>
      <c r="I1871" s="38" t="inlineStr">
        <is>
          <t>Total de tots els sexes; resposta JSON-stat de l'API d'Idescat</t>
        </is>
      </c>
    </row>
    <row r="1872" ht="15" customHeight="1" s="39">
      <c r="A1872" s="38" t="n">
        <v>2021</v>
      </c>
      <c r="B1872" s="42" t="inlineStr">
        <is>
          <t>431536</t>
        </is>
      </c>
      <c r="C1872" s="38" t="inlineStr">
        <is>
          <t>Torredembarra</t>
        </is>
      </c>
      <c r="D1872" s="38" t="inlineStr">
        <is>
          <t>Y034</t>
        </is>
      </c>
      <c r="E1872" s="38" t="inlineStr">
        <is>
          <t>34 anys</t>
        </is>
      </c>
      <c r="F1872" s="38" t="n">
        <v>34</v>
      </c>
      <c r="G1872" s="38" t="n">
        <v>202</v>
      </c>
      <c r="I1872" s="38" t="inlineStr">
        <is>
          <t>Total de tots els sexes; resposta JSON-stat de l'API d'Idescat</t>
        </is>
      </c>
    </row>
    <row r="1873" ht="15" customHeight="1" s="39">
      <c r="A1873" s="38" t="n">
        <v>2021</v>
      </c>
      <c r="B1873" s="42" t="inlineStr">
        <is>
          <t>431536</t>
        </is>
      </c>
      <c r="C1873" s="38" t="inlineStr">
        <is>
          <t>Torredembarra</t>
        </is>
      </c>
      <c r="D1873" s="38" t="inlineStr">
        <is>
          <t>Y035</t>
        </is>
      </c>
      <c r="E1873" s="38" t="inlineStr">
        <is>
          <t>35 anys</t>
        </is>
      </c>
      <c r="F1873" s="38" t="n">
        <v>35</v>
      </c>
      <c r="G1873" s="38" t="n">
        <v>205</v>
      </c>
      <c r="I1873" s="38" t="inlineStr">
        <is>
          <t>Total de tots els sexes; resposta JSON-stat de l'API d'Idescat</t>
        </is>
      </c>
    </row>
    <row r="1874" ht="15" customHeight="1" s="39">
      <c r="A1874" s="38" t="n">
        <v>2021</v>
      </c>
      <c r="B1874" s="42" t="inlineStr">
        <is>
          <t>431536</t>
        </is>
      </c>
      <c r="C1874" s="38" t="inlineStr">
        <is>
          <t>Torredembarra</t>
        </is>
      </c>
      <c r="D1874" s="38" t="inlineStr">
        <is>
          <t>Y036</t>
        </is>
      </c>
      <c r="E1874" s="38" t="inlineStr">
        <is>
          <t>36 anys</t>
        </is>
      </c>
      <c r="F1874" s="38" t="n">
        <v>36</v>
      </c>
      <c r="G1874" s="38" t="n">
        <v>213</v>
      </c>
      <c r="I1874" s="38" t="inlineStr">
        <is>
          <t>Total de tots els sexes; resposta JSON-stat de l'API d'Idescat</t>
        </is>
      </c>
    </row>
    <row r="1875" ht="15" customHeight="1" s="39">
      <c r="A1875" s="38" t="n">
        <v>2021</v>
      </c>
      <c r="B1875" s="42" t="inlineStr">
        <is>
          <t>431536</t>
        </is>
      </c>
      <c r="C1875" s="38" t="inlineStr">
        <is>
          <t>Torredembarra</t>
        </is>
      </c>
      <c r="D1875" s="38" t="inlineStr">
        <is>
          <t>Y037</t>
        </is>
      </c>
      <c r="E1875" s="38" t="inlineStr">
        <is>
          <t>37 anys</t>
        </is>
      </c>
      <c r="F1875" s="38" t="n">
        <v>37</v>
      </c>
      <c r="G1875" s="38" t="n">
        <v>235</v>
      </c>
      <c r="I1875" s="38" t="inlineStr">
        <is>
          <t>Total de tots els sexes; resposta JSON-stat de l'API d'Idescat</t>
        </is>
      </c>
    </row>
    <row r="1876" ht="15" customHeight="1" s="39">
      <c r="A1876" s="38" t="n">
        <v>2021</v>
      </c>
      <c r="B1876" s="42" t="inlineStr">
        <is>
          <t>431536</t>
        </is>
      </c>
      <c r="C1876" s="38" t="inlineStr">
        <is>
          <t>Torredembarra</t>
        </is>
      </c>
      <c r="D1876" s="38" t="inlineStr">
        <is>
          <t>Y038</t>
        </is>
      </c>
      <c r="E1876" s="38" t="inlineStr">
        <is>
          <t>38 anys</t>
        </is>
      </c>
      <c r="F1876" s="38" t="n">
        <v>38</v>
      </c>
      <c r="G1876" s="38" t="n">
        <v>266</v>
      </c>
      <c r="I1876" s="38" t="inlineStr">
        <is>
          <t>Total de tots els sexes; resposta JSON-stat de l'API d'Idescat</t>
        </is>
      </c>
    </row>
    <row r="1877" ht="15" customHeight="1" s="39">
      <c r="A1877" s="38" t="n">
        <v>2021</v>
      </c>
      <c r="B1877" s="42" t="inlineStr">
        <is>
          <t>431536</t>
        </is>
      </c>
      <c r="C1877" s="38" t="inlineStr">
        <is>
          <t>Torredembarra</t>
        </is>
      </c>
      <c r="D1877" s="38" t="inlineStr">
        <is>
          <t>Y039</t>
        </is>
      </c>
      <c r="E1877" s="38" t="inlineStr">
        <is>
          <t>39 anys</t>
        </is>
      </c>
      <c r="F1877" s="38" t="n">
        <v>39</v>
      </c>
      <c r="G1877" s="38" t="n">
        <v>256</v>
      </c>
      <c r="I1877" s="38" t="inlineStr">
        <is>
          <t>Total de tots els sexes; resposta JSON-stat de l'API d'Idescat</t>
        </is>
      </c>
    </row>
    <row r="1878" ht="15" customHeight="1" s="39">
      <c r="A1878" s="38" t="n">
        <v>2021</v>
      </c>
      <c r="B1878" s="42" t="inlineStr">
        <is>
          <t>431536</t>
        </is>
      </c>
      <c r="C1878" s="38" t="inlineStr">
        <is>
          <t>Torredembarra</t>
        </is>
      </c>
      <c r="D1878" s="38" t="inlineStr">
        <is>
          <t>Y040</t>
        </is>
      </c>
      <c r="E1878" s="38" t="inlineStr">
        <is>
          <t>40 anys</t>
        </is>
      </c>
      <c r="F1878" s="38" t="n">
        <v>40</v>
      </c>
      <c r="G1878" s="38" t="n">
        <v>254</v>
      </c>
      <c r="I1878" s="38" t="inlineStr">
        <is>
          <t>Total de tots els sexes; resposta JSON-stat de l'API d'Idescat</t>
        </is>
      </c>
    </row>
    <row r="1879" ht="15" customHeight="1" s="39">
      <c r="A1879" s="38" t="n">
        <v>2021</v>
      </c>
      <c r="B1879" s="42" t="inlineStr">
        <is>
          <t>431536</t>
        </is>
      </c>
      <c r="C1879" s="38" t="inlineStr">
        <is>
          <t>Torredembarra</t>
        </is>
      </c>
      <c r="D1879" s="38" t="inlineStr">
        <is>
          <t>Y041</t>
        </is>
      </c>
      <c r="E1879" s="38" t="inlineStr">
        <is>
          <t>41 anys</t>
        </is>
      </c>
      <c r="F1879" s="38" t="n">
        <v>41</v>
      </c>
      <c r="G1879" s="38" t="n">
        <v>277</v>
      </c>
      <c r="I1879" s="38" t="inlineStr">
        <is>
          <t>Total de tots els sexes; resposta JSON-stat de l'API d'Idescat</t>
        </is>
      </c>
    </row>
    <row r="1880" ht="15" customHeight="1" s="39">
      <c r="A1880" s="38" t="n">
        <v>2021</v>
      </c>
      <c r="B1880" s="42" t="inlineStr">
        <is>
          <t>431536</t>
        </is>
      </c>
      <c r="C1880" s="38" t="inlineStr">
        <is>
          <t>Torredembarra</t>
        </is>
      </c>
      <c r="D1880" s="38" t="inlineStr">
        <is>
          <t>Y042</t>
        </is>
      </c>
      <c r="E1880" s="38" t="inlineStr">
        <is>
          <t>42 anys</t>
        </is>
      </c>
      <c r="F1880" s="38" t="n">
        <v>42</v>
      </c>
      <c r="G1880" s="38" t="n">
        <v>302</v>
      </c>
      <c r="I1880" s="38" t="inlineStr">
        <is>
          <t>Total de tots els sexes; resposta JSON-stat de l'API d'Idescat</t>
        </is>
      </c>
    </row>
    <row r="1881" ht="15" customHeight="1" s="39">
      <c r="A1881" s="38" t="n">
        <v>2021</v>
      </c>
      <c r="B1881" s="42" t="inlineStr">
        <is>
          <t>431536</t>
        </is>
      </c>
      <c r="C1881" s="38" t="inlineStr">
        <is>
          <t>Torredembarra</t>
        </is>
      </c>
      <c r="D1881" s="38" t="inlineStr">
        <is>
          <t>Y043</t>
        </is>
      </c>
      <c r="E1881" s="38" t="inlineStr">
        <is>
          <t>43 anys</t>
        </is>
      </c>
      <c r="F1881" s="38" t="n">
        <v>43</v>
      </c>
      <c r="G1881" s="38" t="n">
        <v>276</v>
      </c>
      <c r="I1881" s="38" t="inlineStr">
        <is>
          <t>Total de tots els sexes; resposta JSON-stat de l'API d'Idescat</t>
        </is>
      </c>
    </row>
    <row r="1882" ht="15" customHeight="1" s="39">
      <c r="A1882" s="38" t="n">
        <v>2021</v>
      </c>
      <c r="B1882" s="42" t="inlineStr">
        <is>
          <t>431536</t>
        </is>
      </c>
      <c r="C1882" s="38" t="inlineStr">
        <is>
          <t>Torredembarra</t>
        </is>
      </c>
      <c r="D1882" s="38" t="inlineStr">
        <is>
          <t>Y044</t>
        </is>
      </c>
      <c r="E1882" s="38" t="inlineStr">
        <is>
          <t>44 anys</t>
        </is>
      </c>
      <c r="F1882" s="38" t="n">
        <v>44</v>
      </c>
      <c r="G1882" s="38" t="n">
        <v>260</v>
      </c>
      <c r="I1882" s="38" t="inlineStr">
        <is>
          <t>Total de tots els sexes; resposta JSON-stat de l'API d'Idescat</t>
        </is>
      </c>
    </row>
    <row r="1883" ht="15" customHeight="1" s="39">
      <c r="A1883" s="38" t="n">
        <v>2021</v>
      </c>
      <c r="B1883" s="42" t="inlineStr">
        <is>
          <t>431536</t>
        </is>
      </c>
      <c r="C1883" s="38" t="inlineStr">
        <is>
          <t>Torredembarra</t>
        </is>
      </c>
      <c r="D1883" s="38" t="inlineStr">
        <is>
          <t>Y045</t>
        </is>
      </c>
      <c r="E1883" s="38" t="inlineStr">
        <is>
          <t>45 anys</t>
        </is>
      </c>
      <c r="F1883" s="38" t="n">
        <v>45</v>
      </c>
      <c r="G1883" s="38" t="n">
        <v>272</v>
      </c>
      <c r="I1883" s="38" t="inlineStr">
        <is>
          <t>Total de tots els sexes; resposta JSON-stat de l'API d'Idescat</t>
        </is>
      </c>
    </row>
    <row r="1884" ht="15" customHeight="1" s="39">
      <c r="A1884" s="38" t="n">
        <v>2021</v>
      </c>
      <c r="B1884" s="42" t="inlineStr">
        <is>
          <t>431536</t>
        </is>
      </c>
      <c r="C1884" s="38" t="inlineStr">
        <is>
          <t>Torredembarra</t>
        </is>
      </c>
      <c r="D1884" s="38" t="inlineStr">
        <is>
          <t>Y046</t>
        </is>
      </c>
      <c r="E1884" s="38" t="inlineStr">
        <is>
          <t>46 anys</t>
        </is>
      </c>
      <c r="F1884" s="38" t="n">
        <v>46</v>
      </c>
      <c r="G1884" s="38" t="n">
        <v>278</v>
      </c>
      <c r="I1884" s="38" t="inlineStr">
        <is>
          <t>Total de tots els sexes; resposta JSON-stat de l'API d'Idescat</t>
        </is>
      </c>
    </row>
    <row r="1885" ht="15" customHeight="1" s="39">
      <c r="A1885" s="38" t="n">
        <v>2021</v>
      </c>
      <c r="B1885" s="42" t="inlineStr">
        <is>
          <t>431536</t>
        </is>
      </c>
      <c r="C1885" s="38" t="inlineStr">
        <is>
          <t>Torredembarra</t>
        </is>
      </c>
      <c r="D1885" s="38" t="inlineStr">
        <is>
          <t>Y047</t>
        </is>
      </c>
      <c r="E1885" s="38" t="inlineStr">
        <is>
          <t>47 anys</t>
        </is>
      </c>
      <c r="F1885" s="38" t="n">
        <v>47</v>
      </c>
      <c r="G1885" s="38" t="n">
        <v>262</v>
      </c>
      <c r="I1885" s="38" t="inlineStr">
        <is>
          <t>Total de tots els sexes; resposta JSON-stat de l'API d'Idescat</t>
        </is>
      </c>
    </row>
    <row r="1886" ht="15" customHeight="1" s="39">
      <c r="A1886" s="38" t="n">
        <v>2021</v>
      </c>
      <c r="B1886" s="42" t="inlineStr">
        <is>
          <t>431536</t>
        </is>
      </c>
      <c r="C1886" s="38" t="inlineStr">
        <is>
          <t>Torredembarra</t>
        </is>
      </c>
      <c r="D1886" s="38" t="inlineStr">
        <is>
          <t>Y048</t>
        </is>
      </c>
      <c r="E1886" s="38" t="inlineStr">
        <is>
          <t>48 anys</t>
        </is>
      </c>
      <c r="F1886" s="38" t="n">
        <v>48</v>
      </c>
      <c r="G1886" s="38" t="n">
        <v>255</v>
      </c>
      <c r="I1886" s="38" t="inlineStr">
        <is>
          <t>Total de tots els sexes; resposta JSON-stat de l'API d'Idescat</t>
        </is>
      </c>
    </row>
    <row r="1887" ht="15" customHeight="1" s="39">
      <c r="A1887" s="38" t="n">
        <v>2021</v>
      </c>
      <c r="B1887" s="42" t="inlineStr">
        <is>
          <t>431536</t>
        </is>
      </c>
      <c r="C1887" s="38" t="inlineStr">
        <is>
          <t>Torredembarra</t>
        </is>
      </c>
      <c r="D1887" s="38" t="inlineStr">
        <is>
          <t>Y049</t>
        </is>
      </c>
      <c r="E1887" s="38" t="inlineStr">
        <is>
          <t>49 anys</t>
        </is>
      </c>
      <c r="F1887" s="38" t="n">
        <v>49</v>
      </c>
      <c r="G1887" s="38" t="n">
        <v>270</v>
      </c>
      <c r="I1887" s="38" t="inlineStr">
        <is>
          <t>Total de tots els sexes; resposta JSON-stat de l'API d'Idescat</t>
        </is>
      </c>
    </row>
    <row r="1888" ht="15" customHeight="1" s="39">
      <c r="A1888" s="38" t="n">
        <v>2021</v>
      </c>
      <c r="B1888" s="42" t="inlineStr">
        <is>
          <t>431536</t>
        </is>
      </c>
      <c r="C1888" s="38" t="inlineStr">
        <is>
          <t>Torredembarra</t>
        </is>
      </c>
      <c r="D1888" s="38" t="inlineStr">
        <is>
          <t>Y050</t>
        </is>
      </c>
      <c r="E1888" s="38" t="inlineStr">
        <is>
          <t>50 anys</t>
        </is>
      </c>
      <c r="F1888" s="38" t="n">
        <v>50</v>
      </c>
      <c r="G1888" s="38" t="n">
        <v>261</v>
      </c>
      <c r="I1888" s="38" t="inlineStr">
        <is>
          <t>Total de tots els sexes; resposta JSON-stat de l'API d'Idescat</t>
        </is>
      </c>
    </row>
    <row r="1889" ht="15" customHeight="1" s="39">
      <c r="A1889" s="38" t="n">
        <v>2021</v>
      </c>
      <c r="B1889" s="42" t="inlineStr">
        <is>
          <t>431536</t>
        </is>
      </c>
      <c r="C1889" s="38" t="inlineStr">
        <is>
          <t>Torredembarra</t>
        </is>
      </c>
      <c r="D1889" s="38" t="inlineStr">
        <is>
          <t>Y051</t>
        </is>
      </c>
      <c r="E1889" s="38" t="inlineStr">
        <is>
          <t>51 anys</t>
        </is>
      </c>
      <c r="F1889" s="38" t="n">
        <v>51</v>
      </c>
      <c r="G1889" s="38" t="n">
        <v>273</v>
      </c>
      <c r="I1889" s="38" t="inlineStr">
        <is>
          <t>Total de tots els sexes; resposta JSON-stat de l'API d'Idescat</t>
        </is>
      </c>
    </row>
    <row r="1890" ht="15" customHeight="1" s="39">
      <c r="A1890" s="38" t="n">
        <v>2021</v>
      </c>
      <c r="B1890" s="42" t="inlineStr">
        <is>
          <t>431536</t>
        </is>
      </c>
      <c r="C1890" s="38" t="inlineStr">
        <is>
          <t>Torredembarra</t>
        </is>
      </c>
      <c r="D1890" s="38" t="inlineStr">
        <is>
          <t>Y052</t>
        </is>
      </c>
      <c r="E1890" s="38" t="inlineStr">
        <is>
          <t>52 anys</t>
        </is>
      </c>
      <c r="F1890" s="38" t="n">
        <v>52</v>
      </c>
      <c r="G1890" s="38" t="n">
        <v>260</v>
      </c>
      <c r="I1890" s="38" t="inlineStr">
        <is>
          <t>Total de tots els sexes; resposta JSON-stat de l'API d'Idescat</t>
        </is>
      </c>
    </row>
    <row r="1891" ht="15" customHeight="1" s="39">
      <c r="A1891" s="38" t="n">
        <v>2021</v>
      </c>
      <c r="B1891" s="42" t="inlineStr">
        <is>
          <t>431536</t>
        </is>
      </c>
      <c r="C1891" s="38" t="inlineStr">
        <is>
          <t>Torredembarra</t>
        </is>
      </c>
      <c r="D1891" s="38" t="inlineStr">
        <is>
          <t>Y053</t>
        </is>
      </c>
      <c r="E1891" s="38" t="inlineStr">
        <is>
          <t>53 anys</t>
        </is>
      </c>
      <c r="F1891" s="38" t="n">
        <v>53</v>
      </c>
      <c r="G1891" s="38" t="n">
        <v>275</v>
      </c>
      <c r="I1891" s="38" t="inlineStr">
        <is>
          <t>Total de tots els sexes; resposta JSON-stat de l'API d'Idescat</t>
        </is>
      </c>
    </row>
    <row r="1892" ht="15" customHeight="1" s="39">
      <c r="A1892" s="38" t="n">
        <v>2021</v>
      </c>
      <c r="B1892" s="42" t="inlineStr">
        <is>
          <t>431536</t>
        </is>
      </c>
      <c r="C1892" s="38" t="inlineStr">
        <is>
          <t>Torredembarra</t>
        </is>
      </c>
      <c r="D1892" s="38" t="inlineStr">
        <is>
          <t>Y054</t>
        </is>
      </c>
      <c r="E1892" s="38" t="inlineStr">
        <is>
          <t>54 anys</t>
        </is>
      </c>
      <c r="F1892" s="38" t="n">
        <v>54</v>
      </c>
      <c r="G1892" s="38" t="n">
        <v>272</v>
      </c>
      <c r="I1892" s="38" t="inlineStr">
        <is>
          <t>Total de tots els sexes; resposta JSON-stat de l'API d'Idescat</t>
        </is>
      </c>
    </row>
    <row r="1893" ht="15" customHeight="1" s="39">
      <c r="A1893" s="38" t="n">
        <v>2021</v>
      </c>
      <c r="B1893" s="42" t="inlineStr">
        <is>
          <t>431536</t>
        </is>
      </c>
      <c r="C1893" s="38" t="inlineStr">
        <is>
          <t>Torredembarra</t>
        </is>
      </c>
      <c r="D1893" s="38" t="inlineStr">
        <is>
          <t>Y055</t>
        </is>
      </c>
      <c r="E1893" s="38" t="inlineStr">
        <is>
          <t>55 anys</t>
        </is>
      </c>
      <c r="F1893" s="38" t="n">
        <v>55</v>
      </c>
      <c r="G1893" s="38" t="n">
        <v>242</v>
      </c>
      <c r="I1893" s="38" t="inlineStr">
        <is>
          <t>Total de tots els sexes; resposta JSON-stat de l'API d'Idescat</t>
        </is>
      </c>
    </row>
    <row r="1894" ht="15" customHeight="1" s="39">
      <c r="A1894" s="38" t="n">
        <v>2021</v>
      </c>
      <c r="B1894" s="42" t="inlineStr">
        <is>
          <t>431536</t>
        </is>
      </c>
      <c r="C1894" s="38" t="inlineStr">
        <is>
          <t>Torredembarra</t>
        </is>
      </c>
      <c r="D1894" s="38" t="inlineStr">
        <is>
          <t>Y056</t>
        </is>
      </c>
      <c r="E1894" s="38" t="inlineStr">
        <is>
          <t>56 anys</t>
        </is>
      </c>
      <c r="F1894" s="38" t="n">
        <v>56</v>
      </c>
      <c r="G1894" s="38" t="n">
        <v>266</v>
      </c>
      <c r="I1894" s="38" t="inlineStr">
        <is>
          <t>Total de tots els sexes; resposta JSON-stat de l'API d'Idescat</t>
        </is>
      </c>
    </row>
    <row r="1895" ht="15" customHeight="1" s="39">
      <c r="A1895" s="38" t="n">
        <v>2021</v>
      </c>
      <c r="B1895" s="42" t="inlineStr">
        <is>
          <t>431536</t>
        </is>
      </c>
      <c r="C1895" s="38" t="inlineStr">
        <is>
          <t>Torredembarra</t>
        </is>
      </c>
      <c r="D1895" s="38" t="inlineStr">
        <is>
          <t>Y057</t>
        </is>
      </c>
      <c r="E1895" s="38" t="inlineStr">
        <is>
          <t>57 anys</t>
        </is>
      </c>
      <c r="F1895" s="38" t="n">
        <v>57</v>
      </c>
      <c r="G1895" s="38" t="n">
        <v>233</v>
      </c>
      <c r="I1895" s="38" t="inlineStr">
        <is>
          <t>Total de tots els sexes; resposta JSON-stat de l'API d'Idescat</t>
        </is>
      </c>
    </row>
    <row r="1896" ht="15" customHeight="1" s="39">
      <c r="A1896" s="38" t="n">
        <v>2021</v>
      </c>
      <c r="B1896" s="42" t="inlineStr">
        <is>
          <t>431536</t>
        </is>
      </c>
      <c r="C1896" s="38" t="inlineStr">
        <is>
          <t>Torredembarra</t>
        </is>
      </c>
      <c r="D1896" s="38" t="inlineStr">
        <is>
          <t>Y058</t>
        </is>
      </c>
      <c r="E1896" s="38" t="inlineStr">
        <is>
          <t>58 anys</t>
        </is>
      </c>
      <c r="F1896" s="38" t="n">
        <v>58</v>
      </c>
      <c r="G1896" s="38" t="n">
        <v>259</v>
      </c>
      <c r="I1896" s="38" t="inlineStr">
        <is>
          <t>Total de tots els sexes; resposta JSON-stat de l'API d'Idescat</t>
        </is>
      </c>
    </row>
    <row r="1897" ht="15" customHeight="1" s="39">
      <c r="A1897" s="38" t="n">
        <v>2021</v>
      </c>
      <c r="B1897" s="42" t="inlineStr">
        <is>
          <t>431536</t>
        </is>
      </c>
      <c r="C1897" s="38" t="inlineStr">
        <is>
          <t>Torredembarra</t>
        </is>
      </c>
      <c r="D1897" s="38" t="inlineStr">
        <is>
          <t>Y059</t>
        </is>
      </c>
      <c r="E1897" s="38" t="inlineStr">
        <is>
          <t>59 anys</t>
        </is>
      </c>
      <c r="F1897" s="38" t="n">
        <v>59</v>
      </c>
      <c r="G1897" s="38" t="n">
        <v>220</v>
      </c>
      <c r="I1897" s="38" t="inlineStr">
        <is>
          <t>Total de tots els sexes; resposta JSON-stat de l'API d'Idescat</t>
        </is>
      </c>
    </row>
    <row r="1898" ht="15" customHeight="1" s="39">
      <c r="A1898" s="38" t="n">
        <v>2021</v>
      </c>
      <c r="B1898" s="42" t="inlineStr">
        <is>
          <t>431536</t>
        </is>
      </c>
      <c r="C1898" s="38" t="inlineStr">
        <is>
          <t>Torredembarra</t>
        </is>
      </c>
      <c r="D1898" s="38" t="inlineStr">
        <is>
          <t>Y060</t>
        </is>
      </c>
      <c r="E1898" s="38" t="inlineStr">
        <is>
          <t>60 anys</t>
        </is>
      </c>
      <c r="F1898" s="38" t="n">
        <v>60</v>
      </c>
      <c r="G1898" s="38" t="n">
        <v>244</v>
      </c>
      <c r="I1898" s="38" t="inlineStr">
        <is>
          <t>Total de tots els sexes; resposta JSON-stat de l'API d'Idescat</t>
        </is>
      </c>
    </row>
    <row r="1899" ht="15" customHeight="1" s="39">
      <c r="A1899" s="38" t="n">
        <v>2021</v>
      </c>
      <c r="B1899" s="42" t="inlineStr">
        <is>
          <t>431536</t>
        </is>
      </c>
      <c r="C1899" s="38" t="inlineStr">
        <is>
          <t>Torredembarra</t>
        </is>
      </c>
      <c r="D1899" s="38" t="inlineStr">
        <is>
          <t>Y061</t>
        </is>
      </c>
      <c r="E1899" s="38" t="inlineStr">
        <is>
          <t>61 anys</t>
        </is>
      </c>
      <c r="F1899" s="38" t="n">
        <v>61</v>
      </c>
      <c r="G1899" s="38" t="n">
        <v>245</v>
      </c>
      <c r="I1899" s="38" t="inlineStr">
        <is>
          <t>Total de tots els sexes; resposta JSON-stat de l'API d'Idescat</t>
        </is>
      </c>
    </row>
    <row r="1900" ht="15" customHeight="1" s="39">
      <c r="A1900" s="38" t="n">
        <v>2021</v>
      </c>
      <c r="B1900" s="42" t="inlineStr">
        <is>
          <t>431536</t>
        </is>
      </c>
      <c r="C1900" s="38" t="inlineStr">
        <is>
          <t>Torredembarra</t>
        </is>
      </c>
      <c r="D1900" s="38" t="inlineStr">
        <is>
          <t>Y062</t>
        </is>
      </c>
      <c r="E1900" s="38" t="inlineStr">
        <is>
          <t>62 anys</t>
        </is>
      </c>
      <c r="F1900" s="38" t="n">
        <v>62</v>
      </c>
      <c r="G1900" s="38" t="n">
        <v>224</v>
      </c>
      <c r="I1900" s="38" t="inlineStr">
        <is>
          <t>Total de tots els sexes; resposta JSON-stat de l'API d'Idescat</t>
        </is>
      </c>
    </row>
    <row r="1901" ht="15" customHeight="1" s="39">
      <c r="A1901" s="38" t="n">
        <v>2021</v>
      </c>
      <c r="B1901" s="42" t="inlineStr">
        <is>
          <t>431536</t>
        </is>
      </c>
      <c r="C1901" s="38" t="inlineStr">
        <is>
          <t>Torredembarra</t>
        </is>
      </c>
      <c r="D1901" s="38" t="inlineStr">
        <is>
          <t>Y063</t>
        </is>
      </c>
      <c r="E1901" s="38" t="inlineStr">
        <is>
          <t>63 anys</t>
        </is>
      </c>
      <c r="F1901" s="38" t="n">
        <v>63</v>
      </c>
      <c r="G1901" s="38" t="n">
        <v>215</v>
      </c>
      <c r="I1901" s="38" t="inlineStr">
        <is>
          <t>Total de tots els sexes; resposta JSON-stat de l'API d'Idescat</t>
        </is>
      </c>
    </row>
    <row r="1902" ht="15" customHeight="1" s="39">
      <c r="A1902" s="38" t="n">
        <v>2021</v>
      </c>
      <c r="B1902" s="42" t="inlineStr">
        <is>
          <t>431536</t>
        </is>
      </c>
      <c r="C1902" s="38" t="inlineStr">
        <is>
          <t>Torredembarra</t>
        </is>
      </c>
      <c r="D1902" s="38" t="inlineStr">
        <is>
          <t>Y064</t>
        </is>
      </c>
      <c r="E1902" s="38" t="inlineStr">
        <is>
          <t>64 anys</t>
        </is>
      </c>
      <c r="F1902" s="38" t="n">
        <v>64</v>
      </c>
      <c r="G1902" s="38" t="n">
        <v>204</v>
      </c>
      <c r="I1902" s="38" t="inlineStr">
        <is>
          <t>Total de tots els sexes; resposta JSON-stat de l'API d'Idescat</t>
        </is>
      </c>
    </row>
    <row r="1903" ht="15" customHeight="1" s="39">
      <c r="A1903" s="38" t="n">
        <v>2021</v>
      </c>
      <c r="B1903" s="42" t="inlineStr">
        <is>
          <t>431536</t>
        </is>
      </c>
      <c r="C1903" s="38" t="inlineStr">
        <is>
          <t>Torredembarra</t>
        </is>
      </c>
      <c r="D1903" s="38" t="inlineStr">
        <is>
          <t>Y065</t>
        </is>
      </c>
      <c r="E1903" s="38" t="inlineStr">
        <is>
          <t>65 anys</t>
        </is>
      </c>
      <c r="F1903" s="38" t="n">
        <v>65</v>
      </c>
      <c r="G1903" s="38" t="n">
        <v>218</v>
      </c>
      <c r="I1903" s="38" t="inlineStr">
        <is>
          <t>Total de tots els sexes; resposta JSON-stat de l'API d'Idescat</t>
        </is>
      </c>
    </row>
    <row r="1904" ht="15" customHeight="1" s="39">
      <c r="A1904" s="38" t="n">
        <v>2021</v>
      </c>
      <c r="B1904" s="42" t="inlineStr">
        <is>
          <t>431536</t>
        </is>
      </c>
      <c r="C1904" s="38" t="inlineStr">
        <is>
          <t>Torredembarra</t>
        </is>
      </c>
      <c r="D1904" s="38" t="inlineStr">
        <is>
          <t>Y066</t>
        </is>
      </c>
      <c r="E1904" s="38" t="inlineStr">
        <is>
          <t>66 anys</t>
        </is>
      </c>
      <c r="F1904" s="38" t="n">
        <v>66</v>
      </c>
      <c r="G1904" s="38" t="n">
        <v>213</v>
      </c>
      <c r="I1904" s="38" t="inlineStr">
        <is>
          <t>Total de tots els sexes; resposta JSON-stat de l'API d'Idescat</t>
        </is>
      </c>
    </row>
    <row r="1905" ht="15" customHeight="1" s="39">
      <c r="A1905" s="38" t="n">
        <v>2021</v>
      </c>
      <c r="B1905" s="42" t="inlineStr">
        <is>
          <t>431536</t>
        </is>
      </c>
      <c r="C1905" s="38" t="inlineStr">
        <is>
          <t>Torredembarra</t>
        </is>
      </c>
      <c r="D1905" s="38" t="inlineStr">
        <is>
          <t>Y067</t>
        </is>
      </c>
      <c r="E1905" s="38" t="inlineStr">
        <is>
          <t>67 anys</t>
        </is>
      </c>
      <c r="F1905" s="38" t="n">
        <v>67</v>
      </c>
      <c r="G1905" s="38" t="n">
        <v>200</v>
      </c>
      <c r="I1905" s="38" t="inlineStr">
        <is>
          <t>Total de tots els sexes; resposta JSON-stat de l'API d'Idescat</t>
        </is>
      </c>
    </row>
    <row r="1906" ht="15" customHeight="1" s="39">
      <c r="A1906" s="38" t="n">
        <v>2021</v>
      </c>
      <c r="B1906" s="42" t="inlineStr">
        <is>
          <t>431536</t>
        </is>
      </c>
      <c r="C1906" s="38" t="inlineStr">
        <is>
          <t>Torredembarra</t>
        </is>
      </c>
      <c r="D1906" s="38" t="inlineStr">
        <is>
          <t>Y068</t>
        </is>
      </c>
      <c r="E1906" s="38" t="inlineStr">
        <is>
          <t>68 anys</t>
        </is>
      </c>
      <c r="F1906" s="38" t="n">
        <v>68</v>
      </c>
      <c r="G1906" s="38" t="n">
        <v>195</v>
      </c>
      <c r="I1906" s="38" t="inlineStr">
        <is>
          <t>Total de tots els sexes; resposta JSON-stat de l'API d'Idescat</t>
        </is>
      </c>
    </row>
    <row r="1907" ht="15" customHeight="1" s="39">
      <c r="A1907" s="38" t="n">
        <v>2021</v>
      </c>
      <c r="B1907" s="42" t="inlineStr">
        <is>
          <t>431536</t>
        </is>
      </c>
      <c r="C1907" s="38" t="inlineStr">
        <is>
          <t>Torredembarra</t>
        </is>
      </c>
      <c r="D1907" s="38" t="inlineStr">
        <is>
          <t>Y069</t>
        </is>
      </c>
      <c r="E1907" s="38" t="inlineStr">
        <is>
          <t>69 anys</t>
        </is>
      </c>
      <c r="F1907" s="38" t="n">
        <v>69</v>
      </c>
      <c r="G1907" s="38" t="n">
        <v>180</v>
      </c>
      <c r="I1907" s="38" t="inlineStr">
        <is>
          <t>Total de tots els sexes; resposta JSON-stat de l'API d'Idescat</t>
        </is>
      </c>
    </row>
    <row r="1908" ht="15" customHeight="1" s="39">
      <c r="A1908" s="38" t="n">
        <v>2021</v>
      </c>
      <c r="B1908" s="42" t="inlineStr">
        <is>
          <t>431536</t>
        </is>
      </c>
      <c r="C1908" s="38" t="inlineStr">
        <is>
          <t>Torredembarra</t>
        </is>
      </c>
      <c r="D1908" s="38" t="inlineStr">
        <is>
          <t>Y070</t>
        </is>
      </c>
      <c r="E1908" s="38" t="inlineStr">
        <is>
          <t>70 anys</t>
        </is>
      </c>
      <c r="F1908" s="38" t="n">
        <v>70</v>
      </c>
      <c r="G1908" s="38" t="n">
        <v>161</v>
      </c>
      <c r="I1908" s="38" t="inlineStr">
        <is>
          <t>Total de tots els sexes; resposta JSON-stat de l'API d'Idescat</t>
        </is>
      </c>
    </row>
    <row r="1909" ht="15" customHeight="1" s="39">
      <c r="A1909" s="38" t="n">
        <v>2021</v>
      </c>
      <c r="B1909" s="42" t="inlineStr">
        <is>
          <t>431536</t>
        </is>
      </c>
      <c r="C1909" s="38" t="inlineStr">
        <is>
          <t>Torredembarra</t>
        </is>
      </c>
      <c r="D1909" s="38" t="inlineStr">
        <is>
          <t>Y071</t>
        </is>
      </c>
      <c r="E1909" s="38" t="inlineStr">
        <is>
          <t>71 anys</t>
        </is>
      </c>
      <c r="F1909" s="38" t="n">
        <v>71</v>
      </c>
      <c r="G1909" s="38" t="n">
        <v>170</v>
      </c>
      <c r="I1909" s="38" t="inlineStr">
        <is>
          <t>Total de tots els sexes; resposta JSON-stat de l'API d'Idescat</t>
        </is>
      </c>
    </row>
    <row r="1910" ht="15" customHeight="1" s="39">
      <c r="A1910" s="38" t="n">
        <v>2021</v>
      </c>
      <c r="B1910" s="42" t="inlineStr">
        <is>
          <t>431536</t>
        </is>
      </c>
      <c r="C1910" s="38" t="inlineStr">
        <is>
          <t>Torredembarra</t>
        </is>
      </c>
      <c r="D1910" s="38" t="inlineStr">
        <is>
          <t>Y072</t>
        </is>
      </c>
      <c r="E1910" s="38" t="inlineStr">
        <is>
          <t>72 anys</t>
        </is>
      </c>
      <c r="F1910" s="38" t="n">
        <v>72</v>
      </c>
      <c r="G1910" s="38" t="n">
        <v>175</v>
      </c>
      <c r="I1910" s="38" t="inlineStr">
        <is>
          <t>Total de tots els sexes; resposta JSON-stat de l'API d'Idescat</t>
        </is>
      </c>
    </row>
    <row r="1911" ht="15" customHeight="1" s="39">
      <c r="A1911" s="38" t="n">
        <v>2021</v>
      </c>
      <c r="B1911" s="42" t="inlineStr">
        <is>
          <t>431536</t>
        </is>
      </c>
      <c r="C1911" s="38" t="inlineStr">
        <is>
          <t>Torredembarra</t>
        </is>
      </c>
      <c r="D1911" s="38" t="inlineStr">
        <is>
          <t>Y073</t>
        </is>
      </c>
      <c r="E1911" s="38" t="inlineStr">
        <is>
          <t>73 anys</t>
        </is>
      </c>
      <c r="F1911" s="38" t="n">
        <v>73</v>
      </c>
      <c r="G1911" s="38" t="n">
        <v>179</v>
      </c>
      <c r="I1911" s="38" t="inlineStr">
        <is>
          <t>Total de tots els sexes; resposta JSON-stat de l'API d'Idescat</t>
        </is>
      </c>
    </row>
    <row r="1912" ht="15" customHeight="1" s="39">
      <c r="A1912" s="38" t="n">
        <v>2021</v>
      </c>
      <c r="B1912" s="42" t="inlineStr">
        <is>
          <t>431536</t>
        </is>
      </c>
      <c r="C1912" s="38" t="inlineStr">
        <is>
          <t>Torredembarra</t>
        </is>
      </c>
      <c r="D1912" s="38" t="inlineStr">
        <is>
          <t>Y074</t>
        </is>
      </c>
      <c r="E1912" s="38" t="inlineStr">
        <is>
          <t>74 anys</t>
        </is>
      </c>
      <c r="F1912" s="38" t="n">
        <v>74</v>
      </c>
      <c r="G1912" s="38" t="n">
        <v>131</v>
      </c>
      <c r="I1912" s="38" t="inlineStr">
        <is>
          <t>Total de tots els sexes; resposta JSON-stat de l'API d'Idescat</t>
        </is>
      </c>
    </row>
    <row r="1913" ht="15" customHeight="1" s="39">
      <c r="A1913" s="38" t="n">
        <v>2021</v>
      </c>
      <c r="B1913" s="42" t="inlineStr">
        <is>
          <t>431536</t>
        </is>
      </c>
      <c r="C1913" s="38" t="inlineStr">
        <is>
          <t>Torredembarra</t>
        </is>
      </c>
      <c r="D1913" s="38" t="inlineStr">
        <is>
          <t>Y075</t>
        </is>
      </c>
      <c r="E1913" s="38" t="inlineStr">
        <is>
          <t>75 anys</t>
        </is>
      </c>
      <c r="F1913" s="38" t="n">
        <v>75</v>
      </c>
      <c r="G1913" s="38" t="n">
        <v>136</v>
      </c>
      <c r="I1913" s="38" t="inlineStr">
        <is>
          <t>Total de tots els sexes; resposta JSON-stat de l'API d'Idescat</t>
        </is>
      </c>
    </row>
    <row r="1914" ht="15" customHeight="1" s="39">
      <c r="A1914" s="38" t="n">
        <v>2021</v>
      </c>
      <c r="B1914" s="42" t="inlineStr">
        <is>
          <t>431536</t>
        </is>
      </c>
      <c r="C1914" s="38" t="inlineStr">
        <is>
          <t>Torredembarra</t>
        </is>
      </c>
      <c r="D1914" s="38" t="inlineStr">
        <is>
          <t>Y076</t>
        </is>
      </c>
      <c r="E1914" s="38" t="inlineStr">
        <is>
          <t>76 anys</t>
        </is>
      </c>
      <c r="F1914" s="38" t="n">
        <v>76</v>
      </c>
      <c r="G1914" s="38" t="n">
        <v>146</v>
      </c>
      <c r="I1914" s="38" t="inlineStr">
        <is>
          <t>Total de tots els sexes; resposta JSON-stat de l'API d'Idescat</t>
        </is>
      </c>
    </row>
    <row r="1915" ht="15" customHeight="1" s="39">
      <c r="A1915" s="38" t="n">
        <v>2021</v>
      </c>
      <c r="B1915" s="42" t="inlineStr">
        <is>
          <t>431536</t>
        </is>
      </c>
      <c r="C1915" s="38" t="inlineStr">
        <is>
          <t>Torredembarra</t>
        </is>
      </c>
      <c r="D1915" s="38" t="inlineStr">
        <is>
          <t>Y077</t>
        </is>
      </c>
      <c r="E1915" s="38" t="inlineStr">
        <is>
          <t>77 anys</t>
        </is>
      </c>
      <c r="F1915" s="38" t="n">
        <v>77</v>
      </c>
      <c r="G1915" s="38" t="n">
        <v>127</v>
      </c>
      <c r="I1915" s="38" t="inlineStr">
        <is>
          <t>Total de tots els sexes; resposta JSON-stat de l'API d'Idescat</t>
        </is>
      </c>
    </row>
    <row r="1916" ht="15" customHeight="1" s="39">
      <c r="A1916" s="38" t="n">
        <v>2021</v>
      </c>
      <c r="B1916" s="42" t="inlineStr">
        <is>
          <t>431536</t>
        </is>
      </c>
      <c r="C1916" s="38" t="inlineStr">
        <is>
          <t>Torredembarra</t>
        </is>
      </c>
      <c r="D1916" s="38" t="inlineStr">
        <is>
          <t>Y078</t>
        </is>
      </c>
      <c r="E1916" s="38" t="inlineStr">
        <is>
          <t>78 anys</t>
        </is>
      </c>
      <c r="F1916" s="38" t="n">
        <v>78</v>
      </c>
      <c r="G1916" s="38" t="n">
        <v>93</v>
      </c>
      <c r="I1916" s="38" t="inlineStr">
        <is>
          <t>Total de tots els sexes; resposta JSON-stat de l'API d'Idescat</t>
        </is>
      </c>
    </row>
    <row r="1917" ht="15" customHeight="1" s="39">
      <c r="A1917" s="38" t="n">
        <v>2021</v>
      </c>
      <c r="B1917" s="42" t="inlineStr">
        <is>
          <t>431536</t>
        </is>
      </c>
      <c r="C1917" s="38" t="inlineStr">
        <is>
          <t>Torredembarra</t>
        </is>
      </c>
      <c r="D1917" s="38" t="inlineStr">
        <is>
          <t>Y079</t>
        </is>
      </c>
      <c r="E1917" s="38" t="inlineStr">
        <is>
          <t>79 anys</t>
        </is>
      </c>
      <c r="F1917" s="38" t="n">
        <v>79</v>
      </c>
      <c r="G1917" s="38" t="n">
        <v>100</v>
      </c>
      <c r="I1917" s="38" t="inlineStr">
        <is>
          <t>Total de tots els sexes; resposta JSON-stat de l'API d'Idescat</t>
        </is>
      </c>
    </row>
    <row r="1918" ht="15" customHeight="1" s="39">
      <c r="A1918" s="38" t="n">
        <v>2021</v>
      </c>
      <c r="B1918" s="42" t="inlineStr">
        <is>
          <t>431536</t>
        </is>
      </c>
      <c r="C1918" s="38" t="inlineStr">
        <is>
          <t>Torredembarra</t>
        </is>
      </c>
      <c r="D1918" s="38" t="inlineStr">
        <is>
          <t>Y080</t>
        </is>
      </c>
      <c r="E1918" s="38" t="inlineStr">
        <is>
          <t>80 anys</t>
        </is>
      </c>
      <c r="F1918" s="38" t="n">
        <v>80</v>
      </c>
      <c r="G1918" s="38" t="n">
        <v>115</v>
      </c>
      <c r="I1918" s="38" t="inlineStr">
        <is>
          <t>Total de tots els sexes; resposta JSON-stat de l'API d'Idescat</t>
        </is>
      </c>
    </row>
    <row r="1919" ht="15" customHeight="1" s="39">
      <c r="A1919" s="38" t="n">
        <v>2021</v>
      </c>
      <c r="B1919" s="42" t="inlineStr">
        <is>
          <t>431536</t>
        </is>
      </c>
      <c r="C1919" s="38" t="inlineStr">
        <is>
          <t>Torredembarra</t>
        </is>
      </c>
      <c r="D1919" s="38" t="inlineStr">
        <is>
          <t>Y081</t>
        </is>
      </c>
      <c r="E1919" s="38" t="inlineStr">
        <is>
          <t>81 anys</t>
        </is>
      </c>
      <c r="F1919" s="38" t="n">
        <v>81</v>
      </c>
      <c r="G1919" s="38" t="n">
        <v>64</v>
      </c>
      <c r="I1919" s="38" t="inlineStr">
        <is>
          <t>Total de tots els sexes; resposta JSON-stat de l'API d'Idescat</t>
        </is>
      </c>
    </row>
    <row r="1920" ht="15" customHeight="1" s="39">
      <c r="A1920" s="38" t="n">
        <v>2021</v>
      </c>
      <c r="B1920" s="42" t="inlineStr">
        <is>
          <t>431536</t>
        </is>
      </c>
      <c r="C1920" s="38" t="inlineStr">
        <is>
          <t>Torredembarra</t>
        </is>
      </c>
      <c r="D1920" s="38" t="inlineStr">
        <is>
          <t>Y082</t>
        </is>
      </c>
      <c r="E1920" s="38" t="inlineStr">
        <is>
          <t>82 anys</t>
        </is>
      </c>
      <c r="F1920" s="38" t="n">
        <v>82</v>
      </c>
      <c r="G1920" s="38" t="n">
        <v>80</v>
      </c>
      <c r="I1920" s="38" t="inlineStr">
        <is>
          <t>Total de tots els sexes; resposta JSON-stat de l'API d'Idescat</t>
        </is>
      </c>
    </row>
    <row r="1921" ht="15" customHeight="1" s="39">
      <c r="A1921" s="38" t="n">
        <v>2021</v>
      </c>
      <c r="B1921" s="42" t="inlineStr">
        <is>
          <t>431536</t>
        </is>
      </c>
      <c r="C1921" s="38" t="inlineStr">
        <is>
          <t>Torredembarra</t>
        </is>
      </c>
      <c r="D1921" s="38" t="inlineStr">
        <is>
          <t>Y083</t>
        </is>
      </c>
      <c r="E1921" s="38" t="inlineStr">
        <is>
          <t>83 anys</t>
        </is>
      </c>
      <c r="F1921" s="38" t="n">
        <v>83</v>
      </c>
      <c r="G1921" s="38" t="n">
        <v>90</v>
      </c>
      <c r="I1921" s="38" t="inlineStr">
        <is>
          <t>Total de tots els sexes; resposta JSON-stat de l'API d'Idescat</t>
        </is>
      </c>
    </row>
    <row r="1922" ht="15" customHeight="1" s="39">
      <c r="A1922" s="38" t="n">
        <v>2021</v>
      </c>
      <c r="B1922" s="42" t="inlineStr">
        <is>
          <t>431536</t>
        </is>
      </c>
      <c r="C1922" s="38" t="inlineStr">
        <is>
          <t>Torredembarra</t>
        </is>
      </c>
      <c r="D1922" s="38" t="inlineStr">
        <is>
          <t>Y084</t>
        </is>
      </c>
      <c r="E1922" s="38" t="inlineStr">
        <is>
          <t>84 anys</t>
        </is>
      </c>
      <c r="F1922" s="38" t="n">
        <v>84</v>
      </c>
      <c r="G1922" s="38" t="n">
        <v>86</v>
      </c>
      <c r="I1922" s="38" t="inlineStr">
        <is>
          <t>Total de tots els sexes; resposta JSON-stat de l'API d'Idescat</t>
        </is>
      </c>
    </row>
    <row r="1923" ht="15" customHeight="1" s="39">
      <c r="A1923" s="38" t="n">
        <v>2021</v>
      </c>
      <c r="B1923" s="42" t="inlineStr">
        <is>
          <t>431536</t>
        </is>
      </c>
      <c r="C1923" s="38" t="inlineStr">
        <is>
          <t>Torredembarra</t>
        </is>
      </c>
      <c r="D1923" s="38" t="inlineStr">
        <is>
          <t>Y085</t>
        </is>
      </c>
      <c r="E1923" s="38" t="inlineStr">
        <is>
          <t>85 anys</t>
        </is>
      </c>
      <c r="F1923" s="38" t="n">
        <v>85</v>
      </c>
      <c r="G1923" s="38" t="n">
        <v>90</v>
      </c>
      <c r="I1923" s="38" t="inlineStr">
        <is>
          <t>Total de tots els sexes; resposta JSON-stat de l'API d'Idescat</t>
        </is>
      </c>
    </row>
    <row r="1924" ht="15" customHeight="1" s="39">
      <c r="A1924" s="38" t="n">
        <v>2021</v>
      </c>
      <c r="B1924" s="42" t="inlineStr">
        <is>
          <t>431536</t>
        </is>
      </c>
      <c r="C1924" s="38" t="inlineStr">
        <is>
          <t>Torredembarra</t>
        </is>
      </c>
      <c r="D1924" s="38" t="inlineStr">
        <is>
          <t>Y086</t>
        </is>
      </c>
      <c r="E1924" s="38" t="inlineStr">
        <is>
          <t>86 anys</t>
        </is>
      </c>
      <c r="F1924" s="38" t="n">
        <v>86</v>
      </c>
      <c r="G1924" s="38" t="n">
        <v>69</v>
      </c>
      <c r="I1924" s="38" t="inlineStr">
        <is>
          <t>Total de tots els sexes; resposta JSON-stat de l'API d'Idescat</t>
        </is>
      </c>
    </row>
    <row r="1925" ht="15" customHeight="1" s="39">
      <c r="A1925" s="38" t="n">
        <v>2021</v>
      </c>
      <c r="B1925" s="42" t="inlineStr">
        <is>
          <t>431536</t>
        </is>
      </c>
      <c r="C1925" s="38" t="inlineStr">
        <is>
          <t>Torredembarra</t>
        </is>
      </c>
      <c r="D1925" s="38" t="inlineStr">
        <is>
          <t>Y087</t>
        </is>
      </c>
      <c r="E1925" s="38" t="inlineStr">
        <is>
          <t>87 anys</t>
        </is>
      </c>
      <c r="F1925" s="38" t="n">
        <v>87</v>
      </c>
      <c r="G1925" s="38" t="n">
        <v>61</v>
      </c>
      <c r="I1925" s="38" t="inlineStr">
        <is>
          <t>Total de tots els sexes; resposta JSON-stat de l'API d'Idescat</t>
        </is>
      </c>
    </row>
    <row r="1926" ht="15" customHeight="1" s="39">
      <c r="A1926" s="38" t="n">
        <v>2021</v>
      </c>
      <c r="B1926" s="42" t="inlineStr">
        <is>
          <t>431536</t>
        </is>
      </c>
      <c r="C1926" s="38" t="inlineStr">
        <is>
          <t>Torredembarra</t>
        </is>
      </c>
      <c r="D1926" s="38" t="inlineStr">
        <is>
          <t>Y088</t>
        </is>
      </c>
      <c r="E1926" s="38" t="inlineStr">
        <is>
          <t>88 anys</t>
        </is>
      </c>
      <c r="F1926" s="38" t="n">
        <v>88</v>
      </c>
      <c r="G1926" s="38" t="n">
        <v>51</v>
      </c>
      <c r="I1926" s="38" t="inlineStr">
        <is>
          <t>Total de tots els sexes; resposta JSON-stat de l'API d'Idescat</t>
        </is>
      </c>
    </row>
    <row r="1927" ht="15" customHeight="1" s="39">
      <c r="A1927" s="38" t="n">
        <v>2021</v>
      </c>
      <c r="B1927" s="42" t="inlineStr">
        <is>
          <t>431536</t>
        </is>
      </c>
      <c r="C1927" s="38" t="inlineStr">
        <is>
          <t>Torredembarra</t>
        </is>
      </c>
      <c r="D1927" s="38" t="inlineStr">
        <is>
          <t>Y089</t>
        </is>
      </c>
      <c r="E1927" s="38" t="inlineStr">
        <is>
          <t>89 anys</t>
        </is>
      </c>
      <c r="F1927" s="38" t="n">
        <v>89</v>
      </c>
      <c r="G1927" s="38" t="n">
        <v>47</v>
      </c>
      <c r="I1927" s="38" t="inlineStr">
        <is>
          <t>Total de tots els sexes; resposta JSON-stat de l'API d'Idescat</t>
        </is>
      </c>
    </row>
    <row r="1928" ht="15" customHeight="1" s="39">
      <c r="A1928" s="38" t="n">
        <v>2021</v>
      </c>
      <c r="B1928" s="42" t="inlineStr">
        <is>
          <t>431536</t>
        </is>
      </c>
      <c r="C1928" s="38" t="inlineStr">
        <is>
          <t>Torredembarra</t>
        </is>
      </c>
      <c r="D1928" s="38" t="inlineStr">
        <is>
          <t>Y090</t>
        </is>
      </c>
      <c r="E1928" s="38" t="inlineStr">
        <is>
          <t>90 anys</t>
        </is>
      </c>
      <c r="F1928" s="38" t="n">
        <v>90</v>
      </c>
      <c r="G1928" s="38" t="n">
        <v>38</v>
      </c>
      <c r="I1928" s="38" t="inlineStr">
        <is>
          <t>Total de tots els sexes; resposta JSON-stat de l'API d'Idescat</t>
        </is>
      </c>
    </row>
    <row r="1929" ht="15" customHeight="1" s="39">
      <c r="A1929" s="38" t="n">
        <v>2021</v>
      </c>
      <c r="B1929" s="42" t="inlineStr">
        <is>
          <t>431536</t>
        </is>
      </c>
      <c r="C1929" s="38" t="inlineStr">
        <is>
          <t>Torredembarra</t>
        </is>
      </c>
      <c r="D1929" s="38" t="inlineStr">
        <is>
          <t>Y091</t>
        </is>
      </c>
      <c r="E1929" s="38" t="inlineStr">
        <is>
          <t>91 anys</t>
        </is>
      </c>
      <c r="F1929" s="38" t="n">
        <v>91</v>
      </c>
      <c r="G1929" s="38" t="n">
        <v>43</v>
      </c>
      <c r="I1929" s="38" t="inlineStr">
        <is>
          <t>Total de tots els sexes; resposta JSON-stat de l'API d'Idescat</t>
        </is>
      </c>
    </row>
    <row r="1930" ht="15" customHeight="1" s="39">
      <c r="A1930" s="38" t="n">
        <v>2021</v>
      </c>
      <c r="B1930" s="42" t="inlineStr">
        <is>
          <t>431536</t>
        </is>
      </c>
      <c r="C1930" s="38" t="inlineStr">
        <is>
          <t>Torredembarra</t>
        </is>
      </c>
      <c r="D1930" s="38" t="inlineStr">
        <is>
          <t>Y092</t>
        </is>
      </c>
      <c r="E1930" s="38" t="inlineStr">
        <is>
          <t>92 anys</t>
        </is>
      </c>
      <c r="F1930" s="38" t="n">
        <v>92</v>
      </c>
      <c r="G1930" s="38" t="n">
        <v>26</v>
      </c>
      <c r="I1930" s="38" t="inlineStr">
        <is>
          <t>Total de tots els sexes; resposta JSON-stat de l'API d'Idescat</t>
        </is>
      </c>
    </row>
    <row r="1931" ht="15" customHeight="1" s="39">
      <c r="A1931" s="38" t="n">
        <v>2021</v>
      </c>
      <c r="B1931" s="42" t="inlineStr">
        <is>
          <t>431536</t>
        </is>
      </c>
      <c r="C1931" s="38" t="inlineStr">
        <is>
          <t>Torredembarra</t>
        </is>
      </c>
      <c r="D1931" s="38" t="inlineStr">
        <is>
          <t>Y093</t>
        </is>
      </c>
      <c r="E1931" s="38" t="inlineStr">
        <is>
          <t>93 anys</t>
        </is>
      </c>
      <c r="F1931" s="38" t="n">
        <v>93</v>
      </c>
      <c r="G1931" s="38" t="n">
        <v>20</v>
      </c>
      <c r="I1931" s="38" t="inlineStr">
        <is>
          <t>Total de tots els sexes; resposta JSON-stat de l'API d'Idescat</t>
        </is>
      </c>
    </row>
    <row r="1932" ht="15" customHeight="1" s="39">
      <c r="A1932" s="38" t="n">
        <v>2021</v>
      </c>
      <c r="B1932" s="42" t="inlineStr">
        <is>
          <t>431536</t>
        </is>
      </c>
      <c r="C1932" s="38" t="inlineStr">
        <is>
          <t>Torredembarra</t>
        </is>
      </c>
      <c r="D1932" s="38" t="inlineStr">
        <is>
          <t>Y094</t>
        </is>
      </c>
      <c r="E1932" s="38" t="inlineStr">
        <is>
          <t>94 anys</t>
        </is>
      </c>
      <c r="F1932" s="38" t="n">
        <v>94</v>
      </c>
      <c r="G1932" s="38" t="n">
        <v>15</v>
      </c>
      <c r="I1932" s="38" t="inlineStr">
        <is>
          <t>Total de tots els sexes; resposta JSON-stat de l'API d'Idescat</t>
        </is>
      </c>
    </row>
    <row r="1933" ht="15" customHeight="1" s="39">
      <c r="A1933" s="38" t="n">
        <v>2021</v>
      </c>
      <c r="B1933" s="42" t="inlineStr">
        <is>
          <t>431536</t>
        </is>
      </c>
      <c r="C1933" s="38" t="inlineStr">
        <is>
          <t>Torredembarra</t>
        </is>
      </c>
      <c r="D1933" s="38" t="inlineStr">
        <is>
          <t>Y095</t>
        </is>
      </c>
      <c r="E1933" s="38" t="inlineStr">
        <is>
          <t>95 anys</t>
        </is>
      </c>
      <c r="F1933" s="38" t="n">
        <v>95</v>
      </c>
      <c r="G1933" s="38" t="n">
        <v>15</v>
      </c>
      <c r="I1933" s="38" t="inlineStr">
        <is>
          <t>Total de tots els sexes; resposta JSON-stat de l'API d'Idescat</t>
        </is>
      </c>
    </row>
    <row r="1934" ht="15" customHeight="1" s="39">
      <c r="A1934" s="38" t="n">
        <v>2021</v>
      </c>
      <c r="B1934" s="42" t="inlineStr">
        <is>
          <t>431536</t>
        </is>
      </c>
      <c r="C1934" s="38" t="inlineStr">
        <is>
          <t>Torredembarra</t>
        </is>
      </c>
      <c r="D1934" s="38" t="inlineStr">
        <is>
          <t>Y096</t>
        </is>
      </c>
      <c r="E1934" s="38" t="inlineStr">
        <is>
          <t>96 anys</t>
        </is>
      </c>
      <c r="F1934" s="38" t="n">
        <v>96</v>
      </c>
      <c r="G1934" s="38" t="n">
        <v>7</v>
      </c>
      <c r="I1934" s="38" t="inlineStr">
        <is>
          <t>Total de tots els sexes; resposta JSON-stat de l'API d'Idescat</t>
        </is>
      </c>
    </row>
    <row r="1935" ht="15" customHeight="1" s="39">
      <c r="A1935" s="38" t="n">
        <v>2021</v>
      </c>
      <c r="B1935" s="42" t="inlineStr">
        <is>
          <t>431536</t>
        </is>
      </c>
      <c r="C1935" s="38" t="inlineStr">
        <is>
          <t>Torredembarra</t>
        </is>
      </c>
      <c r="D1935" s="38" t="inlineStr">
        <is>
          <t>Y097</t>
        </is>
      </c>
      <c r="E1935" s="38" t="inlineStr">
        <is>
          <t>97 anys</t>
        </is>
      </c>
      <c r="F1935" s="38" t="n">
        <v>97</v>
      </c>
      <c r="G1935" s="38" t="n">
        <v>4</v>
      </c>
      <c r="I1935" s="38" t="inlineStr">
        <is>
          <t>Total de tots els sexes; resposta JSON-stat de l'API d'Idescat</t>
        </is>
      </c>
    </row>
    <row r="1936" ht="15" customHeight="1" s="39">
      <c r="A1936" s="38" t="n">
        <v>2021</v>
      </c>
      <c r="B1936" s="42" t="inlineStr">
        <is>
          <t>431536</t>
        </is>
      </c>
      <c r="C1936" s="38" t="inlineStr">
        <is>
          <t>Torredembarra</t>
        </is>
      </c>
      <c r="D1936" s="38" t="inlineStr">
        <is>
          <t>Y098</t>
        </is>
      </c>
      <c r="E1936" s="38" t="inlineStr">
        <is>
          <t>98 anys</t>
        </is>
      </c>
      <c r="F1936" s="38" t="n">
        <v>98</v>
      </c>
      <c r="G1936" s="38" t="n">
        <v>8</v>
      </c>
      <c r="I1936" s="38" t="inlineStr">
        <is>
          <t>Total de tots els sexes; resposta JSON-stat de l'API d'Idescat</t>
        </is>
      </c>
    </row>
    <row r="1937" ht="15" customHeight="1" s="39">
      <c r="A1937" s="38" t="n">
        <v>2021</v>
      </c>
      <c r="B1937" s="42" t="inlineStr">
        <is>
          <t>431536</t>
        </is>
      </c>
      <c r="C1937" s="38" t="inlineStr">
        <is>
          <t>Torredembarra</t>
        </is>
      </c>
      <c r="D1937" s="38" t="inlineStr">
        <is>
          <t>Y099</t>
        </is>
      </c>
      <c r="E1937" s="38" t="inlineStr">
        <is>
          <t>99 anys</t>
        </is>
      </c>
      <c r="F1937" s="38" t="n">
        <v>99</v>
      </c>
      <c r="G1937" s="38" t="n">
        <v>5</v>
      </c>
      <c r="I1937" s="38" t="inlineStr">
        <is>
          <t>Total de tots els sexes; resposta JSON-stat de l'API d'Idescat</t>
        </is>
      </c>
    </row>
    <row r="1938" ht="15" customHeight="1" s="39">
      <c r="A1938" s="38" t="n">
        <v>2021</v>
      </c>
      <c r="B1938" s="42" t="inlineStr">
        <is>
          <t>431536</t>
        </is>
      </c>
      <c r="C1938" s="38" t="inlineStr">
        <is>
          <t>Torredembarra</t>
        </is>
      </c>
      <c r="D1938" s="38" t="inlineStr">
        <is>
          <t>Y_GE100</t>
        </is>
      </c>
      <c r="E1938" s="38" t="inlineStr">
        <is>
          <t>100 anys o més</t>
        </is>
      </c>
      <c r="F1938" s="38" t="n">
        <v>100</v>
      </c>
      <c r="G1938" s="38" t="n">
        <v>5</v>
      </c>
      <c r="I1938" s="38" t="inlineStr">
        <is>
          <t>Total de tots els sexes; resposta JSON-stat de l'API d'Idescat</t>
        </is>
      </c>
    </row>
    <row r="1939" ht="15" customHeight="1" s="39">
      <c r="A1939" s="38" t="n">
        <v>2021</v>
      </c>
      <c r="B1939" s="42" t="inlineStr">
        <is>
          <t>431536</t>
        </is>
      </c>
      <c r="C1939" s="38" t="inlineStr">
        <is>
          <t>Torredembarra</t>
        </is>
      </c>
      <c r="D1939" s="38" t="inlineStr">
        <is>
          <t>TOTAL</t>
        </is>
      </c>
      <c r="E1939" s="38" t="inlineStr">
        <is>
          <t>total</t>
        </is>
      </c>
      <c r="G1939" s="38" t="n">
        <v>17023</v>
      </c>
      <c r="I1939" s="38" t="inlineStr">
        <is>
          <t>Total de tots els sexes; resposta JSON-stat de l'API d'Idescat</t>
        </is>
      </c>
    </row>
    <row r="1940" ht="15" customHeight="1" s="39">
      <c r="A1940" s="38" t="n">
        <v>2021</v>
      </c>
      <c r="B1940" s="42" t="inlineStr">
        <is>
          <t>431649</t>
        </is>
      </c>
      <c r="C1940" s="38" t="inlineStr">
        <is>
          <t>Vespella de Gaià</t>
        </is>
      </c>
      <c r="D1940" s="38" t="inlineStr">
        <is>
          <t>Y000</t>
        </is>
      </c>
      <c r="E1940" s="38" t="inlineStr">
        <is>
          <t>0 anys</t>
        </is>
      </c>
      <c r="F1940" s="38" t="n">
        <v>0</v>
      </c>
      <c r="G1940" s="38" t="n">
        <v>5</v>
      </c>
      <c r="I1940" s="38" t="inlineStr">
        <is>
          <t>Total de tots els sexes; resposta JSON-stat de l'API d'Idescat</t>
        </is>
      </c>
    </row>
    <row r="1941" ht="15" customHeight="1" s="39">
      <c r="A1941" s="38" t="n">
        <v>2021</v>
      </c>
      <c r="B1941" s="42" t="inlineStr">
        <is>
          <t>431649</t>
        </is>
      </c>
      <c r="C1941" s="38" t="inlineStr">
        <is>
          <t>Vespella de Gaià</t>
        </is>
      </c>
      <c r="D1941" s="38" t="inlineStr">
        <is>
          <t>Y001</t>
        </is>
      </c>
      <c r="E1941" s="38" t="inlineStr">
        <is>
          <t>1 any</t>
        </is>
      </c>
      <c r="F1941" s="38" t="n">
        <v>1</v>
      </c>
      <c r="G1941" s="38" t="n">
        <v>3</v>
      </c>
      <c r="I1941" s="38" t="inlineStr">
        <is>
          <t>Total de tots els sexes; resposta JSON-stat de l'API d'Idescat</t>
        </is>
      </c>
    </row>
    <row r="1942" ht="15" customHeight="1" s="39">
      <c r="A1942" s="38" t="n">
        <v>2021</v>
      </c>
      <c r="B1942" s="42" t="inlineStr">
        <is>
          <t>431649</t>
        </is>
      </c>
      <c r="C1942" s="38" t="inlineStr">
        <is>
          <t>Vespella de Gaià</t>
        </is>
      </c>
      <c r="D1942" s="38" t="inlineStr">
        <is>
          <t>Y002</t>
        </is>
      </c>
      <c r="E1942" s="38" t="inlineStr">
        <is>
          <t>2 anys</t>
        </is>
      </c>
      <c r="F1942" s="38" t="n">
        <v>2</v>
      </c>
      <c r="G1942" s="38" t="n">
        <v>3</v>
      </c>
      <c r="I1942" s="38" t="inlineStr">
        <is>
          <t>Total de tots els sexes; resposta JSON-stat de l'API d'Idescat</t>
        </is>
      </c>
    </row>
    <row r="1943" ht="15" customHeight="1" s="39">
      <c r="A1943" s="38" t="n">
        <v>2021</v>
      </c>
      <c r="B1943" s="42" t="inlineStr">
        <is>
          <t>431649</t>
        </is>
      </c>
      <c r="C1943" s="38" t="inlineStr">
        <is>
          <t>Vespella de Gaià</t>
        </is>
      </c>
      <c r="D1943" s="38" t="inlineStr">
        <is>
          <t>Y003</t>
        </is>
      </c>
      <c r="E1943" s="38" t="inlineStr">
        <is>
          <t>3 anys</t>
        </is>
      </c>
      <c r="F1943" s="38" t="n">
        <v>3</v>
      </c>
      <c r="G1943" s="38" t="n">
        <v>1</v>
      </c>
      <c r="I1943" s="38" t="inlineStr">
        <is>
          <t>Total de tots els sexes; resposta JSON-stat de l'API d'Idescat</t>
        </is>
      </c>
    </row>
    <row r="1944" ht="15" customHeight="1" s="39">
      <c r="A1944" s="38" t="n">
        <v>2021</v>
      </c>
      <c r="B1944" s="42" t="inlineStr">
        <is>
          <t>431649</t>
        </is>
      </c>
      <c r="C1944" s="38" t="inlineStr">
        <is>
          <t>Vespella de Gaià</t>
        </is>
      </c>
      <c r="D1944" s="38" t="inlineStr">
        <is>
          <t>Y004</t>
        </is>
      </c>
      <c r="E1944" s="38" t="inlineStr">
        <is>
          <t>4 anys</t>
        </is>
      </c>
      <c r="F1944" s="38" t="n">
        <v>4</v>
      </c>
      <c r="G1944" s="38" t="n">
        <v>6</v>
      </c>
      <c r="I1944" s="38" t="inlineStr">
        <is>
          <t>Total de tots els sexes; resposta JSON-stat de l'API d'Idescat</t>
        </is>
      </c>
    </row>
    <row r="1945" ht="15" customHeight="1" s="39">
      <c r="A1945" s="38" t="n">
        <v>2021</v>
      </c>
      <c r="B1945" s="42" t="inlineStr">
        <is>
          <t>431649</t>
        </is>
      </c>
      <c r="C1945" s="38" t="inlineStr">
        <is>
          <t>Vespella de Gaià</t>
        </is>
      </c>
      <c r="D1945" s="38" t="inlineStr">
        <is>
          <t>Y005</t>
        </is>
      </c>
      <c r="E1945" s="38" t="inlineStr">
        <is>
          <t>5 anys</t>
        </is>
      </c>
      <c r="F1945" s="38" t="n">
        <v>5</v>
      </c>
      <c r="G1945" s="38" t="n">
        <v>5</v>
      </c>
      <c r="I1945" s="38" t="inlineStr">
        <is>
          <t>Total de tots els sexes; resposta JSON-stat de l'API d'Idescat</t>
        </is>
      </c>
    </row>
    <row r="1946" ht="15" customHeight="1" s="39">
      <c r="A1946" s="38" t="n">
        <v>2021</v>
      </c>
      <c r="B1946" s="42" t="inlineStr">
        <is>
          <t>431649</t>
        </is>
      </c>
      <c r="C1946" s="38" t="inlineStr">
        <is>
          <t>Vespella de Gaià</t>
        </is>
      </c>
      <c r="D1946" s="38" t="inlineStr">
        <is>
          <t>Y006</t>
        </is>
      </c>
      <c r="E1946" s="38" t="inlineStr">
        <is>
          <t>6 anys</t>
        </is>
      </c>
      <c r="F1946" s="38" t="n">
        <v>6</v>
      </c>
      <c r="G1946" s="38" t="n">
        <v>7</v>
      </c>
      <c r="I1946" s="38" t="inlineStr">
        <is>
          <t>Total de tots els sexes; resposta JSON-stat de l'API d'Idescat</t>
        </is>
      </c>
    </row>
    <row r="1947" ht="15" customHeight="1" s="39">
      <c r="A1947" s="38" t="n">
        <v>2021</v>
      </c>
      <c r="B1947" s="42" t="inlineStr">
        <is>
          <t>431649</t>
        </is>
      </c>
      <c r="C1947" s="38" t="inlineStr">
        <is>
          <t>Vespella de Gaià</t>
        </is>
      </c>
      <c r="D1947" s="38" t="inlineStr">
        <is>
          <t>Y007</t>
        </is>
      </c>
      <c r="E1947" s="38" t="inlineStr">
        <is>
          <t>7 anys</t>
        </is>
      </c>
      <c r="F1947" s="38" t="n">
        <v>7</v>
      </c>
      <c r="G1947" s="38" t="n">
        <v>6</v>
      </c>
      <c r="I1947" s="38" t="inlineStr">
        <is>
          <t>Total de tots els sexes; resposta JSON-stat de l'API d'Idescat</t>
        </is>
      </c>
    </row>
    <row r="1948" ht="15" customHeight="1" s="39">
      <c r="A1948" s="38" t="n">
        <v>2021</v>
      </c>
      <c r="B1948" s="42" t="inlineStr">
        <is>
          <t>431649</t>
        </is>
      </c>
      <c r="C1948" s="38" t="inlineStr">
        <is>
          <t>Vespella de Gaià</t>
        </is>
      </c>
      <c r="D1948" s="38" t="inlineStr">
        <is>
          <t>Y008</t>
        </is>
      </c>
      <c r="E1948" s="38" t="inlineStr">
        <is>
          <t>8 anys</t>
        </is>
      </c>
      <c r="F1948" s="38" t="n">
        <v>8</v>
      </c>
      <c r="G1948" s="38" t="n">
        <v>8</v>
      </c>
      <c r="I1948" s="38" t="inlineStr">
        <is>
          <t>Total de tots els sexes; resposta JSON-stat de l'API d'Idescat</t>
        </is>
      </c>
    </row>
    <row r="1949" ht="15" customHeight="1" s="39">
      <c r="A1949" s="38" t="n">
        <v>2021</v>
      </c>
      <c r="B1949" s="42" t="inlineStr">
        <is>
          <t>431649</t>
        </is>
      </c>
      <c r="C1949" s="38" t="inlineStr">
        <is>
          <t>Vespella de Gaià</t>
        </is>
      </c>
      <c r="D1949" s="38" t="inlineStr">
        <is>
          <t>Y009</t>
        </is>
      </c>
      <c r="E1949" s="38" t="inlineStr">
        <is>
          <t>9 anys</t>
        </is>
      </c>
      <c r="F1949" s="38" t="n">
        <v>9</v>
      </c>
      <c r="G1949" s="38" t="n">
        <v>4</v>
      </c>
      <c r="I1949" s="38" t="inlineStr">
        <is>
          <t>Total de tots els sexes; resposta JSON-stat de l'API d'Idescat</t>
        </is>
      </c>
    </row>
    <row r="1950" ht="15" customHeight="1" s="39">
      <c r="A1950" s="38" t="n">
        <v>2021</v>
      </c>
      <c r="B1950" s="42" t="inlineStr">
        <is>
          <t>431649</t>
        </is>
      </c>
      <c r="C1950" s="38" t="inlineStr">
        <is>
          <t>Vespella de Gaià</t>
        </is>
      </c>
      <c r="D1950" s="38" t="inlineStr">
        <is>
          <t>Y010</t>
        </is>
      </c>
      <c r="E1950" s="38" t="inlineStr">
        <is>
          <t>10 anys</t>
        </is>
      </c>
      <c r="F1950" s="38" t="n">
        <v>10</v>
      </c>
      <c r="G1950" s="38" t="n">
        <v>2</v>
      </c>
      <c r="I1950" s="38" t="inlineStr">
        <is>
          <t>Total de tots els sexes; resposta JSON-stat de l'API d'Idescat</t>
        </is>
      </c>
    </row>
    <row r="1951" ht="15" customHeight="1" s="39">
      <c r="A1951" s="38" t="n">
        <v>2021</v>
      </c>
      <c r="B1951" s="42" t="inlineStr">
        <is>
          <t>431649</t>
        </is>
      </c>
      <c r="C1951" s="38" t="inlineStr">
        <is>
          <t>Vespella de Gaià</t>
        </is>
      </c>
      <c r="D1951" s="38" t="inlineStr">
        <is>
          <t>Y011</t>
        </is>
      </c>
      <c r="E1951" s="38" t="inlineStr">
        <is>
          <t>11 anys</t>
        </is>
      </c>
      <c r="F1951" s="38" t="n">
        <v>11</v>
      </c>
      <c r="G1951" s="38" t="n">
        <v>6</v>
      </c>
      <c r="I1951" s="38" t="inlineStr">
        <is>
          <t>Total de tots els sexes; resposta JSON-stat de l'API d'Idescat</t>
        </is>
      </c>
    </row>
    <row r="1952" ht="15" customHeight="1" s="39">
      <c r="A1952" s="38" t="n">
        <v>2021</v>
      </c>
      <c r="B1952" s="42" t="inlineStr">
        <is>
          <t>431649</t>
        </is>
      </c>
      <c r="C1952" s="38" t="inlineStr">
        <is>
          <t>Vespella de Gaià</t>
        </is>
      </c>
      <c r="D1952" s="38" t="inlineStr">
        <is>
          <t>Y012</t>
        </is>
      </c>
      <c r="E1952" s="38" t="inlineStr">
        <is>
          <t>12 anys</t>
        </is>
      </c>
      <c r="F1952" s="38" t="n">
        <v>12</v>
      </c>
      <c r="G1952" s="38" t="n">
        <v>6</v>
      </c>
      <c r="I1952" s="38" t="inlineStr">
        <is>
          <t>Total de tots els sexes; resposta JSON-stat de l'API d'Idescat</t>
        </is>
      </c>
    </row>
    <row r="1953" ht="15" customHeight="1" s="39">
      <c r="A1953" s="38" t="n">
        <v>2021</v>
      </c>
      <c r="B1953" s="42" t="inlineStr">
        <is>
          <t>431649</t>
        </is>
      </c>
      <c r="C1953" s="38" t="inlineStr">
        <is>
          <t>Vespella de Gaià</t>
        </is>
      </c>
      <c r="D1953" s="38" t="inlineStr">
        <is>
          <t>Y013</t>
        </is>
      </c>
      <c r="E1953" s="38" t="inlineStr">
        <is>
          <t>13 anys</t>
        </is>
      </c>
      <c r="F1953" s="38" t="n">
        <v>13</v>
      </c>
      <c r="G1953" s="38" t="n">
        <v>2</v>
      </c>
      <c r="I1953" s="38" t="inlineStr">
        <is>
          <t>Total de tots els sexes; resposta JSON-stat de l'API d'Idescat</t>
        </is>
      </c>
    </row>
    <row r="1954" ht="15" customHeight="1" s="39">
      <c r="A1954" s="38" t="n">
        <v>2021</v>
      </c>
      <c r="B1954" s="42" t="inlineStr">
        <is>
          <t>431649</t>
        </is>
      </c>
      <c r="C1954" s="38" t="inlineStr">
        <is>
          <t>Vespella de Gaià</t>
        </is>
      </c>
      <c r="D1954" s="38" t="inlineStr">
        <is>
          <t>Y014</t>
        </is>
      </c>
      <c r="E1954" s="38" t="inlineStr">
        <is>
          <t>14 anys</t>
        </is>
      </c>
      <c r="F1954" s="38" t="n">
        <v>14</v>
      </c>
      <c r="G1954" s="38" t="n">
        <v>7</v>
      </c>
      <c r="I1954" s="38" t="inlineStr">
        <is>
          <t>Total de tots els sexes; resposta JSON-stat de l'API d'Idescat</t>
        </is>
      </c>
    </row>
    <row r="1955" ht="15" customHeight="1" s="39">
      <c r="A1955" s="38" t="n">
        <v>2021</v>
      </c>
      <c r="B1955" s="42" t="inlineStr">
        <is>
          <t>431649</t>
        </is>
      </c>
      <c r="C1955" s="38" t="inlineStr">
        <is>
          <t>Vespella de Gaià</t>
        </is>
      </c>
      <c r="D1955" s="38" t="inlineStr">
        <is>
          <t>Y015</t>
        </is>
      </c>
      <c r="E1955" s="38" t="inlineStr">
        <is>
          <t>15 anys</t>
        </is>
      </c>
      <c r="F1955" s="38" t="n">
        <v>15</v>
      </c>
      <c r="G1955" s="38" t="n">
        <v>4</v>
      </c>
      <c r="I1955" s="38" t="inlineStr">
        <is>
          <t>Total de tots els sexes; resposta JSON-stat de l'API d'Idescat</t>
        </is>
      </c>
    </row>
    <row r="1956" ht="15" customHeight="1" s="39">
      <c r="A1956" s="38" t="n">
        <v>2021</v>
      </c>
      <c r="B1956" s="42" t="inlineStr">
        <is>
          <t>431649</t>
        </is>
      </c>
      <c r="C1956" s="38" t="inlineStr">
        <is>
          <t>Vespella de Gaià</t>
        </is>
      </c>
      <c r="D1956" s="38" t="inlineStr">
        <is>
          <t>Y016</t>
        </is>
      </c>
      <c r="E1956" s="38" t="inlineStr">
        <is>
          <t>16 anys</t>
        </is>
      </c>
      <c r="F1956" s="38" t="n">
        <v>16</v>
      </c>
      <c r="G1956" s="38" t="n">
        <v>6</v>
      </c>
      <c r="I1956" s="38" t="inlineStr">
        <is>
          <t>Total de tots els sexes; resposta JSON-stat de l'API d'Idescat</t>
        </is>
      </c>
    </row>
    <row r="1957" ht="15" customHeight="1" s="39">
      <c r="A1957" s="38" t="n">
        <v>2021</v>
      </c>
      <c r="B1957" s="42" t="inlineStr">
        <is>
          <t>431649</t>
        </is>
      </c>
      <c r="C1957" s="38" t="inlineStr">
        <is>
          <t>Vespella de Gaià</t>
        </is>
      </c>
      <c r="D1957" s="38" t="inlineStr">
        <is>
          <t>Y017</t>
        </is>
      </c>
      <c r="E1957" s="38" t="inlineStr">
        <is>
          <t>17 anys</t>
        </is>
      </c>
      <c r="F1957" s="38" t="n">
        <v>17</v>
      </c>
      <c r="G1957" s="38" t="n">
        <v>0</v>
      </c>
      <c r="I1957" s="38" t="inlineStr">
        <is>
          <t>Total de tots els sexes; resposta JSON-stat de l'API d'Idescat</t>
        </is>
      </c>
    </row>
    <row r="1958" ht="15" customHeight="1" s="39">
      <c r="A1958" s="38" t="n">
        <v>2021</v>
      </c>
      <c r="B1958" s="42" t="inlineStr">
        <is>
          <t>431649</t>
        </is>
      </c>
      <c r="C1958" s="38" t="inlineStr">
        <is>
          <t>Vespella de Gaià</t>
        </is>
      </c>
      <c r="D1958" s="38" t="inlineStr">
        <is>
          <t>Y018</t>
        </is>
      </c>
      <c r="E1958" s="38" t="inlineStr">
        <is>
          <t>18 anys</t>
        </is>
      </c>
      <c r="F1958" s="38" t="n">
        <v>18</v>
      </c>
      <c r="G1958" s="38" t="n">
        <v>4</v>
      </c>
      <c r="I1958" s="38" t="inlineStr">
        <is>
          <t>Total de tots els sexes; resposta JSON-stat de l'API d'Idescat</t>
        </is>
      </c>
    </row>
    <row r="1959" ht="15" customHeight="1" s="39">
      <c r="A1959" s="38" t="n">
        <v>2021</v>
      </c>
      <c r="B1959" s="42" t="inlineStr">
        <is>
          <t>431649</t>
        </is>
      </c>
      <c r="C1959" s="38" t="inlineStr">
        <is>
          <t>Vespella de Gaià</t>
        </is>
      </c>
      <c r="D1959" s="38" t="inlineStr">
        <is>
          <t>Y019</t>
        </is>
      </c>
      <c r="E1959" s="38" t="inlineStr">
        <is>
          <t>19 anys</t>
        </is>
      </c>
      <c r="F1959" s="38" t="n">
        <v>19</v>
      </c>
      <c r="G1959" s="38" t="n">
        <v>0</v>
      </c>
      <c r="I1959" s="38" t="inlineStr">
        <is>
          <t>Total de tots els sexes; resposta JSON-stat de l'API d'Idescat</t>
        </is>
      </c>
    </row>
    <row r="1960" ht="15" customHeight="1" s="39">
      <c r="A1960" s="38" t="n">
        <v>2021</v>
      </c>
      <c r="B1960" s="42" t="inlineStr">
        <is>
          <t>431649</t>
        </is>
      </c>
      <c r="C1960" s="38" t="inlineStr">
        <is>
          <t>Vespella de Gaià</t>
        </is>
      </c>
      <c r="D1960" s="38" t="inlineStr">
        <is>
          <t>Y020</t>
        </is>
      </c>
      <c r="E1960" s="38" t="inlineStr">
        <is>
          <t>20 anys</t>
        </is>
      </c>
      <c r="F1960" s="38" t="n">
        <v>20</v>
      </c>
      <c r="G1960" s="38" t="n">
        <v>4</v>
      </c>
      <c r="I1960" s="38" t="inlineStr">
        <is>
          <t>Total de tots els sexes; resposta JSON-stat de l'API d'Idescat</t>
        </is>
      </c>
    </row>
    <row r="1961" ht="15" customHeight="1" s="39">
      <c r="A1961" s="38" t="n">
        <v>2021</v>
      </c>
      <c r="B1961" s="42" t="inlineStr">
        <is>
          <t>431649</t>
        </is>
      </c>
      <c r="C1961" s="38" t="inlineStr">
        <is>
          <t>Vespella de Gaià</t>
        </is>
      </c>
      <c r="D1961" s="38" t="inlineStr">
        <is>
          <t>Y021</t>
        </is>
      </c>
      <c r="E1961" s="38" t="inlineStr">
        <is>
          <t>21 anys</t>
        </is>
      </c>
      <c r="F1961" s="38" t="n">
        <v>21</v>
      </c>
      <c r="G1961" s="38" t="n">
        <v>2</v>
      </c>
      <c r="I1961" s="38" t="inlineStr">
        <is>
          <t>Total de tots els sexes; resposta JSON-stat de l'API d'Idescat</t>
        </is>
      </c>
    </row>
    <row r="1962" ht="15" customHeight="1" s="39">
      <c r="A1962" s="38" t="n">
        <v>2021</v>
      </c>
      <c r="B1962" s="42" t="inlineStr">
        <is>
          <t>431649</t>
        </is>
      </c>
      <c r="C1962" s="38" t="inlineStr">
        <is>
          <t>Vespella de Gaià</t>
        </is>
      </c>
      <c r="D1962" s="38" t="inlineStr">
        <is>
          <t>Y022</t>
        </is>
      </c>
      <c r="E1962" s="38" t="inlineStr">
        <is>
          <t>22 anys</t>
        </is>
      </c>
      <c r="F1962" s="38" t="n">
        <v>22</v>
      </c>
      <c r="G1962" s="38" t="n">
        <v>4</v>
      </c>
      <c r="I1962" s="38" t="inlineStr">
        <is>
          <t>Total de tots els sexes; resposta JSON-stat de l'API d'Idescat</t>
        </is>
      </c>
    </row>
    <row r="1963" ht="15" customHeight="1" s="39">
      <c r="A1963" s="38" t="n">
        <v>2021</v>
      </c>
      <c r="B1963" s="42" t="inlineStr">
        <is>
          <t>431649</t>
        </is>
      </c>
      <c r="C1963" s="38" t="inlineStr">
        <is>
          <t>Vespella de Gaià</t>
        </is>
      </c>
      <c r="D1963" s="38" t="inlineStr">
        <is>
          <t>Y023</t>
        </is>
      </c>
      <c r="E1963" s="38" t="inlineStr">
        <is>
          <t>23 anys</t>
        </is>
      </c>
      <c r="F1963" s="38" t="n">
        <v>23</v>
      </c>
      <c r="G1963" s="38" t="n">
        <v>3</v>
      </c>
      <c r="I1963" s="38" t="inlineStr">
        <is>
          <t>Total de tots els sexes; resposta JSON-stat de l'API d'Idescat</t>
        </is>
      </c>
    </row>
    <row r="1964" ht="15" customHeight="1" s="39">
      <c r="A1964" s="38" t="n">
        <v>2021</v>
      </c>
      <c r="B1964" s="42" t="inlineStr">
        <is>
          <t>431649</t>
        </is>
      </c>
      <c r="C1964" s="38" t="inlineStr">
        <is>
          <t>Vespella de Gaià</t>
        </is>
      </c>
      <c r="D1964" s="38" t="inlineStr">
        <is>
          <t>Y024</t>
        </is>
      </c>
      <c r="E1964" s="38" t="inlineStr">
        <is>
          <t>24 anys</t>
        </is>
      </c>
      <c r="F1964" s="38" t="n">
        <v>24</v>
      </c>
      <c r="G1964" s="38" t="n">
        <v>3</v>
      </c>
      <c r="I1964" s="38" t="inlineStr">
        <is>
          <t>Total de tots els sexes; resposta JSON-stat de l'API d'Idescat</t>
        </is>
      </c>
    </row>
    <row r="1965" ht="15" customHeight="1" s="39">
      <c r="A1965" s="38" t="n">
        <v>2021</v>
      </c>
      <c r="B1965" s="42" t="inlineStr">
        <is>
          <t>431649</t>
        </is>
      </c>
      <c r="C1965" s="38" t="inlineStr">
        <is>
          <t>Vespella de Gaià</t>
        </is>
      </c>
      <c r="D1965" s="38" t="inlineStr">
        <is>
          <t>Y025</t>
        </is>
      </c>
      <c r="E1965" s="38" t="inlineStr">
        <is>
          <t>25 anys</t>
        </is>
      </c>
      <c r="F1965" s="38" t="n">
        <v>25</v>
      </c>
      <c r="G1965" s="38" t="n">
        <v>0</v>
      </c>
      <c r="I1965" s="38" t="inlineStr">
        <is>
          <t>Total de tots els sexes; resposta JSON-stat de l'API d'Idescat</t>
        </is>
      </c>
    </row>
    <row r="1966" ht="15" customHeight="1" s="39">
      <c r="A1966" s="38" t="n">
        <v>2021</v>
      </c>
      <c r="B1966" s="42" t="inlineStr">
        <is>
          <t>431649</t>
        </is>
      </c>
      <c r="C1966" s="38" t="inlineStr">
        <is>
          <t>Vespella de Gaià</t>
        </is>
      </c>
      <c r="D1966" s="38" t="inlineStr">
        <is>
          <t>Y026</t>
        </is>
      </c>
      <c r="E1966" s="38" t="inlineStr">
        <is>
          <t>26 anys</t>
        </is>
      </c>
      <c r="F1966" s="38" t="n">
        <v>26</v>
      </c>
      <c r="G1966" s="38" t="n">
        <v>5</v>
      </c>
      <c r="I1966" s="38" t="inlineStr">
        <is>
          <t>Total de tots els sexes; resposta JSON-stat de l'API d'Idescat</t>
        </is>
      </c>
    </row>
    <row r="1967" ht="15" customHeight="1" s="39">
      <c r="A1967" s="38" t="n">
        <v>2021</v>
      </c>
      <c r="B1967" s="42" t="inlineStr">
        <is>
          <t>431649</t>
        </is>
      </c>
      <c r="C1967" s="38" t="inlineStr">
        <is>
          <t>Vespella de Gaià</t>
        </is>
      </c>
      <c r="D1967" s="38" t="inlineStr">
        <is>
          <t>Y027</t>
        </is>
      </c>
      <c r="E1967" s="38" t="inlineStr">
        <is>
          <t>27 anys</t>
        </is>
      </c>
      <c r="F1967" s="38" t="n">
        <v>27</v>
      </c>
      <c r="G1967" s="38" t="n">
        <v>1</v>
      </c>
      <c r="I1967" s="38" t="inlineStr">
        <is>
          <t>Total de tots els sexes; resposta JSON-stat de l'API d'Idescat</t>
        </is>
      </c>
    </row>
    <row r="1968" ht="15" customHeight="1" s="39">
      <c r="A1968" s="38" t="n">
        <v>2021</v>
      </c>
      <c r="B1968" s="42" t="inlineStr">
        <is>
          <t>431649</t>
        </is>
      </c>
      <c r="C1968" s="38" t="inlineStr">
        <is>
          <t>Vespella de Gaià</t>
        </is>
      </c>
      <c r="D1968" s="38" t="inlineStr">
        <is>
          <t>Y028</t>
        </is>
      </c>
      <c r="E1968" s="38" t="inlineStr">
        <is>
          <t>28 anys</t>
        </is>
      </c>
      <c r="F1968" s="38" t="n">
        <v>28</v>
      </c>
      <c r="G1968" s="38" t="n">
        <v>2</v>
      </c>
      <c r="I1968" s="38" t="inlineStr">
        <is>
          <t>Total de tots els sexes; resposta JSON-stat de l'API d'Idescat</t>
        </is>
      </c>
    </row>
    <row r="1969" ht="15" customHeight="1" s="39">
      <c r="A1969" s="38" t="n">
        <v>2021</v>
      </c>
      <c r="B1969" s="42" t="inlineStr">
        <is>
          <t>431649</t>
        </is>
      </c>
      <c r="C1969" s="38" t="inlineStr">
        <is>
          <t>Vespella de Gaià</t>
        </is>
      </c>
      <c r="D1969" s="38" t="inlineStr">
        <is>
          <t>Y029</t>
        </is>
      </c>
      <c r="E1969" s="38" t="inlineStr">
        <is>
          <t>29 anys</t>
        </is>
      </c>
      <c r="F1969" s="38" t="n">
        <v>29</v>
      </c>
      <c r="G1969" s="38" t="n">
        <v>1</v>
      </c>
      <c r="I1969" s="38" t="inlineStr">
        <is>
          <t>Total de tots els sexes; resposta JSON-stat de l'API d'Idescat</t>
        </is>
      </c>
    </row>
    <row r="1970" ht="15" customHeight="1" s="39">
      <c r="A1970" s="38" t="n">
        <v>2021</v>
      </c>
      <c r="B1970" s="42" t="inlineStr">
        <is>
          <t>431649</t>
        </is>
      </c>
      <c r="C1970" s="38" t="inlineStr">
        <is>
          <t>Vespella de Gaià</t>
        </is>
      </c>
      <c r="D1970" s="38" t="inlineStr">
        <is>
          <t>Y030</t>
        </is>
      </c>
      <c r="E1970" s="38" t="inlineStr">
        <is>
          <t>30 anys</t>
        </is>
      </c>
      <c r="F1970" s="38" t="n">
        <v>30</v>
      </c>
      <c r="G1970" s="38" t="n">
        <v>5</v>
      </c>
      <c r="I1970" s="38" t="inlineStr">
        <is>
          <t>Total de tots els sexes; resposta JSON-stat de l'API d'Idescat</t>
        </is>
      </c>
    </row>
    <row r="1971" ht="15" customHeight="1" s="39">
      <c r="A1971" s="38" t="n">
        <v>2021</v>
      </c>
      <c r="B1971" s="42" t="inlineStr">
        <is>
          <t>431649</t>
        </is>
      </c>
      <c r="C1971" s="38" t="inlineStr">
        <is>
          <t>Vespella de Gaià</t>
        </is>
      </c>
      <c r="D1971" s="38" t="inlineStr">
        <is>
          <t>Y031</t>
        </is>
      </c>
      <c r="E1971" s="38" t="inlineStr">
        <is>
          <t>31 anys</t>
        </is>
      </c>
      <c r="F1971" s="38" t="n">
        <v>31</v>
      </c>
      <c r="G1971" s="38" t="n">
        <v>4</v>
      </c>
      <c r="I1971" s="38" t="inlineStr">
        <is>
          <t>Total de tots els sexes; resposta JSON-stat de l'API d'Idescat</t>
        </is>
      </c>
    </row>
    <row r="1972" ht="15" customHeight="1" s="39">
      <c r="A1972" s="38" t="n">
        <v>2021</v>
      </c>
      <c r="B1972" s="42" t="inlineStr">
        <is>
          <t>431649</t>
        </is>
      </c>
      <c r="C1972" s="38" t="inlineStr">
        <is>
          <t>Vespella de Gaià</t>
        </is>
      </c>
      <c r="D1972" s="38" t="inlineStr">
        <is>
          <t>Y032</t>
        </is>
      </c>
      <c r="E1972" s="38" t="inlineStr">
        <is>
          <t>32 anys</t>
        </is>
      </c>
      <c r="F1972" s="38" t="n">
        <v>32</v>
      </c>
      <c r="G1972" s="38" t="n">
        <v>2</v>
      </c>
      <c r="I1972" s="38" t="inlineStr">
        <is>
          <t>Total de tots els sexes; resposta JSON-stat de l'API d'Idescat</t>
        </is>
      </c>
    </row>
    <row r="1973" ht="15" customHeight="1" s="39">
      <c r="A1973" s="38" t="n">
        <v>2021</v>
      </c>
      <c r="B1973" s="42" t="inlineStr">
        <is>
          <t>431649</t>
        </is>
      </c>
      <c r="C1973" s="38" t="inlineStr">
        <is>
          <t>Vespella de Gaià</t>
        </is>
      </c>
      <c r="D1973" s="38" t="inlineStr">
        <is>
          <t>Y033</t>
        </is>
      </c>
      <c r="E1973" s="38" t="inlineStr">
        <is>
          <t>33 anys</t>
        </is>
      </c>
      <c r="F1973" s="38" t="n">
        <v>33</v>
      </c>
      <c r="G1973" s="38" t="n">
        <v>9</v>
      </c>
      <c r="I1973" s="38" t="inlineStr">
        <is>
          <t>Total de tots els sexes; resposta JSON-stat de l'API d'Idescat</t>
        </is>
      </c>
    </row>
    <row r="1974" ht="15" customHeight="1" s="39">
      <c r="A1974" s="38" t="n">
        <v>2021</v>
      </c>
      <c r="B1974" s="42" t="inlineStr">
        <is>
          <t>431649</t>
        </is>
      </c>
      <c r="C1974" s="38" t="inlineStr">
        <is>
          <t>Vespella de Gaià</t>
        </is>
      </c>
      <c r="D1974" s="38" t="inlineStr">
        <is>
          <t>Y034</t>
        </is>
      </c>
      <c r="E1974" s="38" t="inlineStr">
        <is>
          <t>34 anys</t>
        </is>
      </c>
      <c r="F1974" s="38" t="n">
        <v>34</v>
      </c>
      <c r="G1974" s="38" t="n">
        <v>5</v>
      </c>
      <c r="I1974" s="38" t="inlineStr">
        <is>
          <t>Total de tots els sexes; resposta JSON-stat de l'API d'Idescat</t>
        </is>
      </c>
    </row>
    <row r="1975" ht="15" customHeight="1" s="39">
      <c r="A1975" s="38" t="n">
        <v>2021</v>
      </c>
      <c r="B1975" s="42" t="inlineStr">
        <is>
          <t>431649</t>
        </is>
      </c>
      <c r="C1975" s="38" t="inlineStr">
        <is>
          <t>Vespella de Gaià</t>
        </is>
      </c>
      <c r="D1975" s="38" t="inlineStr">
        <is>
          <t>Y035</t>
        </is>
      </c>
      <c r="E1975" s="38" t="inlineStr">
        <is>
          <t>35 anys</t>
        </is>
      </c>
      <c r="F1975" s="38" t="n">
        <v>35</v>
      </c>
      <c r="G1975" s="38" t="n">
        <v>5</v>
      </c>
      <c r="I1975" s="38" t="inlineStr">
        <is>
          <t>Total de tots els sexes; resposta JSON-stat de l'API d'Idescat</t>
        </is>
      </c>
    </row>
    <row r="1976" ht="15" customHeight="1" s="39">
      <c r="A1976" s="38" t="n">
        <v>2021</v>
      </c>
      <c r="B1976" s="42" t="inlineStr">
        <is>
          <t>431649</t>
        </is>
      </c>
      <c r="C1976" s="38" t="inlineStr">
        <is>
          <t>Vespella de Gaià</t>
        </is>
      </c>
      <c r="D1976" s="38" t="inlineStr">
        <is>
          <t>Y036</t>
        </is>
      </c>
      <c r="E1976" s="38" t="inlineStr">
        <is>
          <t>36 anys</t>
        </is>
      </c>
      <c r="F1976" s="38" t="n">
        <v>36</v>
      </c>
      <c r="G1976" s="38" t="n">
        <v>6</v>
      </c>
      <c r="I1976" s="38" t="inlineStr">
        <is>
          <t>Total de tots els sexes; resposta JSON-stat de l'API d'Idescat</t>
        </is>
      </c>
    </row>
    <row r="1977" ht="15" customHeight="1" s="39">
      <c r="A1977" s="38" t="n">
        <v>2021</v>
      </c>
      <c r="B1977" s="42" t="inlineStr">
        <is>
          <t>431649</t>
        </is>
      </c>
      <c r="C1977" s="38" t="inlineStr">
        <is>
          <t>Vespella de Gaià</t>
        </is>
      </c>
      <c r="D1977" s="38" t="inlineStr">
        <is>
          <t>Y037</t>
        </is>
      </c>
      <c r="E1977" s="38" t="inlineStr">
        <is>
          <t>37 anys</t>
        </is>
      </c>
      <c r="F1977" s="38" t="n">
        <v>37</v>
      </c>
      <c r="G1977" s="38" t="n">
        <v>6</v>
      </c>
      <c r="I1977" s="38" t="inlineStr">
        <is>
          <t>Total de tots els sexes; resposta JSON-stat de l'API d'Idescat</t>
        </is>
      </c>
    </row>
    <row r="1978" ht="15" customHeight="1" s="39">
      <c r="A1978" s="38" t="n">
        <v>2021</v>
      </c>
      <c r="B1978" s="42" t="inlineStr">
        <is>
          <t>431649</t>
        </is>
      </c>
      <c r="C1978" s="38" t="inlineStr">
        <is>
          <t>Vespella de Gaià</t>
        </is>
      </c>
      <c r="D1978" s="38" t="inlineStr">
        <is>
          <t>Y038</t>
        </is>
      </c>
      <c r="E1978" s="38" t="inlineStr">
        <is>
          <t>38 anys</t>
        </is>
      </c>
      <c r="F1978" s="38" t="n">
        <v>38</v>
      </c>
      <c r="G1978" s="38" t="n">
        <v>6</v>
      </c>
      <c r="I1978" s="38" t="inlineStr">
        <is>
          <t>Total de tots els sexes; resposta JSON-stat de l'API d'Idescat</t>
        </is>
      </c>
    </row>
    <row r="1979" ht="15" customHeight="1" s="39">
      <c r="A1979" s="38" t="n">
        <v>2021</v>
      </c>
      <c r="B1979" s="42" t="inlineStr">
        <is>
          <t>431649</t>
        </is>
      </c>
      <c r="C1979" s="38" t="inlineStr">
        <is>
          <t>Vespella de Gaià</t>
        </is>
      </c>
      <c r="D1979" s="38" t="inlineStr">
        <is>
          <t>Y039</t>
        </is>
      </c>
      <c r="E1979" s="38" t="inlineStr">
        <is>
          <t>39 anys</t>
        </is>
      </c>
      <c r="F1979" s="38" t="n">
        <v>39</v>
      </c>
      <c r="G1979" s="38" t="n">
        <v>8</v>
      </c>
      <c r="I1979" s="38" t="inlineStr">
        <is>
          <t>Total de tots els sexes; resposta JSON-stat de l'API d'Idescat</t>
        </is>
      </c>
    </row>
    <row r="1980" ht="15" customHeight="1" s="39">
      <c r="A1980" s="38" t="n">
        <v>2021</v>
      </c>
      <c r="B1980" s="42" t="inlineStr">
        <is>
          <t>431649</t>
        </is>
      </c>
      <c r="C1980" s="38" t="inlineStr">
        <is>
          <t>Vespella de Gaià</t>
        </is>
      </c>
      <c r="D1980" s="38" t="inlineStr">
        <is>
          <t>Y040</t>
        </is>
      </c>
      <c r="E1980" s="38" t="inlineStr">
        <is>
          <t>40 anys</t>
        </is>
      </c>
      <c r="F1980" s="38" t="n">
        <v>40</v>
      </c>
      <c r="G1980" s="38" t="n">
        <v>9</v>
      </c>
      <c r="I1980" s="38" t="inlineStr">
        <is>
          <t>Total de tots els sexes; resposta JSON-stat de l'API d'Idescat</t>
        </is>
      </c>
    </row>
    <row r="1981" ht="15" customHeight="1" s="39">
      <c r="A1981" s="38" t="n">
        <v>2021</v>
      </c>
      <c r="B1981" s="42" t="inlineStr">
        <is>
          <t>431649</t>
        </is>
      </c>
      <c r="C1981" s="38" t="inlineStr">
        <is>
          <t>Vespella de Gaià</t>
        </is>
      </c>
      <c r="D1981" s="38" t="inlineStr">
        <is>
          <t>Y041</t>
        </is>
      </c>
      <c r="E1981" s="38" t="inlineStr">
        <is>
          <t>41 anys</t>
        </is>
      </c>
      <c r="F1981" s="38" t="n">
        <v>41</v>
      </c>
      <c r="G1981" s="38" t="n">
        <v>9</v>
      </c>
      <c r="I1981" s="38" t="inlineStr">
        <is>
          <t>Total de tots els sexes; resposta JSON-stat de l'API d'Idescat</t>
        </is>
      </c>
    </row>
    <row r="1982" ht="15" customHeight="1" s="39">
      <c r="A1982" s="38" t="n">
        <v>2021</v>
      </c>
      <c r="B1982" s="42" t="inlineStr">
        <is>
          <t>431649</t>
        </is>
      </c>
      <c r="C1982" s="38" t="inlineStr">
        <is>
          <t>Vespella de Gaià</t>
        </is>
      </c>
      <c r="D1982" s="38" t="inlineStr">
        <is>
          <t>Y042</t>
        </is>
      </c>
      <c r="E1982" s="38" t="inlineStr">
        <is>
          <t>42 anys</t>
        </is>
      </c>
      <c r="F1982" s="38" t="n">
        <v>42</v>
      </c>
      <c r="G1982" s="38" t="n">
        <v>9</v>
      </c>
      <c r="I1982" s="38" t="inlineStr">
        <is>
          <t>Total de tots els sexes; resposta JSON-stat de l'API d'Idescat</t>
        </is>
      </c>
    </row>
    <row r="1983" ht="15" customHeight="1" s="39">
      <c r="A1983" s="38" t="n">
        <v>2021</v>
      </c>
      <c r="B1983" s="42" t="inlineStr">
        <is>
          <t>431649</t>
        </is>
      </c>
      <c r="C1983" s="38" t="inlineStr">
        <is>
          <t>Vespella de Gaià</t>
        </is>
      </c>
      <c r="D1983" s="38" t="inlineStr">
        <is>
          <t>Y043</t>
        </is>
      </c>
      <c r="E1983" s="38" t="inlineStr">
        <is>
          <t>43 anys</t>
        </is>
      </c>
      <c r="F1983" s="38" t="n">
        <v>43</v>
      </c>
      <c r="G1983" s="38" t="n">
        <v>9</v>
      </c>
      <c r="I1983" s="38" t="inlineStr">
        <is>
          <t>Total de tots els sexes; resposta JSON-stat de l'API d'Idescat</t>
        </is>
      </c>
    </row>
    <row r="1984" ht="15" customHeight="1" s="39">
      <c r="A1984" s="38" t="n">
        <v>2021</v>
      </c>
      <c r="B1984" s="42" t="inlineStr">
        <is>
          <t>431649</t>
        </is>
      </c>
      <c r="C1984" s="38" t="inlineStr">
        <is>
          <t>Vespella de Gaià</t>
        </is>
      </c>
      <c r="D1984" s="38" t="inlineStr">
        <is>
          <t>Y044</t>
        </is>
      </c>
      <c r="E1984" s="38" t="inlineStr">
        <is>
          <t>44 anys</t>
        </is>
      </c>
      <c r="F1984" s="38" t="n">
        <v>44</v>
      </c>
      <c r="G1984" s="38" t="n">
        <v>4</v>
      </c>
      <c r="I1984" s="38" t="inlineStr">
        <is>
          <t>Total de tots els sexes; resposta JSON-stat de l'API d'Idescat</t>
        </is>
      </c>
    </row>
    <row r="1985" ht="15" customHeight="1" s="39">
      <c r="A1985" s="38" t="n">
        <v>2021</v>
      </c>
      <c r="B1985" s="42" t="inlineStr">
        <is>
          <t>431649</t>
        </is>
      </c>
      <c r="C1985" s="38" t="inlineStr">
        <is>
          <t>Vespella de Gaià</t>
        </is>
      </c>
      <c r="D1985" s="38" t="inlineStr">
        <is>
          <t>Y045</t>
        </is>
      </c>
      <c r="E1985" s="38" t="inlineStr">
        <is>
          <t>45 anys</t>
        </is>
      </c>
      <c r="F1985" s="38" t="n">
        <v>45</v>
      </c>
      <c r="G1985" s="38" t="n">
        <v>8</v>
      </c>
      <c r="I1985" s="38" t="inlineStr">
        <is>
          <t>Total de tots els sexes; resposta JSON-stat de l'API d'Idescat</t>
        </is>
      </c>
    </row>
    <row r="1986" ht="15" customHeight="1" s="39">
      <c r="A1986" s="38" t="n">
        <v>2021</v>
      </c>
      <c r="B1986" s="42" t="inlineStr">
        <is>
          <t>431649</t>
        </is>
      </c>
      <c r="C1986" s="38" t="inlineStr">
        <is>
          <t>Vespella de Gaià</t>
        </is>
      </c>
      <c r="D1986" s="38" t="inlineStr">
        <is>
          <t>Y046</t>
        </is>
      </c>
      <c r="E1986" s="38" t="inlineStr">
        <is>
          <t>46 anys</t>
        </is>
      </c>
      <c r="F1986" s="38" t="n">
        <v>46</v>
      </c>
      <c r="G1986" s="38" t="n">
        <v>13</v>
      </c>
      <c r="I1986" s="38" t="inlineStr">
        <is>
          <t>Total de tots els sexes; resposta JSON-stat de l'API d'Idescat</t>
        </is>
      </c>
    </row>
    <row r="1987" ht="15" customHeight="1" s="39">
      <c r="A1987" s="38" t="n">
        <v>2021</v>
      </c>
      <c r="B1987" s="42" t="inlineStr">
        <is>
          <t>431649</t>
        </is>
      </c>
      <c r="C1987" s="38" t="inlineStr">
        <is>
          <t>Vespella de Gaià</t>
        </is>
      </c>
      <c r="D1987" s="38" t="inlineStr">
        <is>
          <t>Y047</t>
        </is>
      </c>
      <c r="E1987" s="38" t="inlineStr">
        <is>
          <t>47 anys</t>
        </is>
      </c>
      <c r="F1987" s="38" t="n">
        <v>47</v>
      </c>
      <c r="G1987" s="38" t="n">
        <v>6</v>
      </c>
      <c r="I1987" s="38" t="inlineStr">
        <is>
          <t>Total de tots els sexes; resposta JSON-stat de l'API d'Idescat</t>
        </is>
      </c>
    </row>
    <row r="1988" ht="15" customHeight="1" s="39">
      <c r="A1988" s="38" t="n">
        <v>2021</v>
      </c>
      <c r="B1988" s="42" t="inlineStr">
        <is>
          <t>431649</t>
        </is>
      </c>
      <c r="C1988" s="38" t="inlineStr">
        <is>
          <t>Vespella de Gaià</t>
        </is>
      </c>
      <c r="D1988" s="38" t="inlineStr">
        <is>
          <t>Y048</t>
        </is>
      </c>
      <c r="E1988" s="38" t="inlineStr">
        <is>
          <t>48 anys</t>
        </is>
      </c>
      <c r="F1988" s="38" t="n">
        <v>48</v>
      </c>
      <c r="G1988" s="38" t="n">
        <v>6</v>
      </c>
      <c r="I1988" s="38" t="inlineStr">
        <is>
          <t>Total de tots els sexes; resposta JSON-stat de l'API d'Idescat</t>
        </is>
      </c>
    </row>
    <row r="1989" ht="15" customHeight="1" s="39">
      <c r="A1989" s="38" t="n">
        <v>2021</v>
      </c>
      <c r="B1989" s="42" t="inlineStr">
        <is>
          <t>431649</t>
        </is>
      </c>
      <c r="C1989" s="38" t="inlineStr">
        <is>
          <t>Vespella de Gaià</t>
        </is>
      </c>
      <c r="D1989" s="38" t="inlineStr">
        <is>
          <t>Y049</t>
        </is>
      </c>
      <c r="E1989" s="38" t="inlineStr">
        <is>
          <t>49 anys</t>
        </is>
      </c>
      <c r="F1989" s="38" t="n">
        <v>49</v>
      </c>
      <c r="G1989" s="38" t="n">
        <v>7</v>
      </c>
      <c r="I1989" s="38" t="inlineStr">
        <is>
          <t>Total de tots els sexes; resposta JSON-stat de l'API d'Idescat</t>
        </is>
      </c>
    </row>
    <row r="1990" ht="15" customHeight="1" s="39">
      <c r="A1990" s="38" t="n">
        <v>2021</v>
      </c>
      <c r="B1990" s="42" t="inlineStr">
        <is>
          <t>431649</t>
        </is>
      </c>
      <c r="C1990" s="38" t="inlineStr">
        <is>
          <t>Vespella de Gaià</t>
        </is>
      </c>
      <c r="D1990" s="38" t="inlineStr">
        <is>
          <t>Y050</t>
        </is>
      </c>
      <c r="E1990" s="38" t="inlineStr">
        <is>
          <t>50 anys</t>
        </is>
      </c>
      <c r="F1990" s="38" t="n">
        <v>50</v>
      </c>
      <c r="G1990" s="38" t="n">
        <v>9</v>
      </c>
      <c r="I1990" s="38" t="inlineStr">
        <is>
          <t>Total de tots els sexes; resposta JSON-stat de l'API d'Idescat</t>
        </is>
      </c>
    </row>
    <row r="1991" ht="15" customHeight="1" s="39">
      <c r="A1991" s="38" t="n">
        <v>2021</v>
      </c>
      <c r="B1991" s="42" t="inlineStr">
        <is>
          <t>431649</t>
        </is>
      </c>
      <c r="C1991" s="38" t="inlineStr">
        <is>
          <t>Vespella de Gaià</t>
        </is>
      </c>
      <c r="D1991" s="38" t="inlineStr">
        <is>
          <t>Y051</t>
        </is>
      </c>
      <c r="E1991" s="38" t="inlineStr">
        <is>
          <t>51 anys</t>
        </is>
      </c>
      <c r="F1991" s="38" t="n">
        <v>51</v>
      </c>
      <c r="G1991" s="38" t="n">
        <v>11</v>
      </c>
      <c r="I1991" s="38" t="inlineStr">
        <is>
          <t>Total de tots els sexes; resposta JSON-stat de l'API d'Idescat</t>
        </is>
      </c>
    </row>
    <row r="1992" ht="15" customHeight="1" s="39">
      <c r="A1992" s="38" t="n">
        <v>2021</v>
      </c>
      <c r="B1992" s="42" t="inlineStr">
        <is>
          <t>431649</t>
        </is>
      </c>
      <c r="C1992" s="38" t="inlineStr">
        <is>
          <t>Vespella de Gaià</t>
        </is>
      </c>
      <c r="D1992" s="38" t="inlineStr">
        <is>
          <t>Y052</t>
        </is>
      </c>
      <c r="E1992" s="38" t="inlineStr">
        <is>
          <t>52 anys</t>
        </is>
      </c>
      <c r="F1992" s="38" t="n">
        <v>52</v>
      </c>
      <c r="G1992" s="38" t="n">
        <v>6</v>
      </c>
      <c r="I1992" s="38" t="inlineStr">
        <is>
          <t>Total de tots els sexes; resposta JSON-stat de l'API d'Idescat</t>
        </is>
      </c>
    </row>
    <row r="1993" ht="15" customHeight="1" s="39">
      <c r="A1993" s="38" t="n">
        <v>2021</v>
      </c>
      <c r="B1993" s="42" t="inlineStr">
        <is>
          <t>431649</t>
        </is>
      </c>
      <c r="C1993" s="38" t="inlineStr">
        <is>
          <t>Vespella de Gaià</t>
        </is>
      </c>
      <c r="D1993" s="38" t="inlineStr">
        <is>
          <t>Y053</t>
        </is>
      </c>
      <c r="E1993" s="38" t="inlineStr">
        <is>
          <t>53 anys</t>
        </is>
      </c>
      <c r="F1993" s="38" t="n">
        <v>53</v>
      </c>
      <c r="G1993" s="38" t="n">
        <v>6</v>
      </c>
      <c r="I1993" s="38" t="inlineStr">
        <is>
          <t>Total de tots els sexes; resposta JSON-stat de l'API d'Idescat</t>
        </is>
      </c>
    </row>
    <row r="1994" ht="15" customHeight="1" s="39">
      <c r="A1994" s="38" t="n">
        <v>2021</v>
      </c>
      <c r="B1994" s="42" t="inlineStr">
        <is>
          <t>431649</t>
        </is>
      </c>
      <c r="C1994" s="38" t="inlineStr">
        <is>
          <t>Vespella de Gaià</t>
        </is>
      </c>
      <c r="D1994" s="38" t="inlineStr">
        <is>
          <t>Y054</t>
        </is>
      </c>
      <c r="E1994" s="38" t="inlineStr">
        <is>
          <t>54 anys</t>
        </is>
      </c>
      <c r="F1994" s="38" t="n">
        <v>54</v>
      </c>
      <c r="G1994" s="38" t="n">
        <v>9</v>
      </c>
      <c r="I1994" s="38" t="inlineStr">
        <is>
          <t>Total de tots els sexes; resposta JSON-stat de l'API d'Idescat</t>
        </is>
      </c>
    </row>
    <row r="1995" ht="15" customHeight="1" s="39">
      <c r="A1995" s="38" t="n">
        <v>2021</v>
      </c>
      <c r="B1995" s="42" t="inlineStr">
        <is>
          <t>431649</t>
        </is>
      </c>
      <c r="C1995" s="38" t="inlineStr">
        <is>
          <t>Vespella de Gaià</t>
        </is>
      </c>
      <c r="D1995" s="38" t="inlineStr">
        <is>
          <t>Y055</t>
        </is>
      </c>
      <c r="E1995" s="38" t="inlineStr">
        <is>
          <t>55 anys</t>
        </is>
      </c>
      <c r="F1995" s="38" t="n">
        <v>55</v>
      </c>
      <c r="G1995" s="38" t="n">
        <v>3</v>
      </c>
      <c r="I1995" s="38" t="inlineStr">
        <is>
          <t>Total de tots els sexes; resposta JSON-stat de l'API d'Idescat</t>
        </is>
      </c>
    </row>
    <row r="1996" ht="15" customHeight="1" s="39">
      <c r="A1996" s="38" t="n">
        <v>2021</v>
      </c>
      <c r="B1996" s="42" t="inlineStr">
        <is>
          <t>431649</t>
        </is>
      </c>
      <c r="C1996" s="38" t="inlineStr">
        <is>
          <t>Vespella de Gaià</t>
        </is>
      </c>
      <c r="D1996" s="38" t="inlineStr">
        <is>
          <t>Y056</t>
        </is>
      </c>
      <c r="E1996" s="38" t="inlineStr">
        <is>
          <t>56 anys</t>
        </is>
      </c>
      <c r="F1996" s="38" t="n">
        <v>56</v>
      </c>
      <c r="G1996" s="38" t="n">
        <v>7</v>
      </c>
      <c r="I1996" s="38" t="inlineStr">
        <is>
          <t>Total de tots els sexes; resposta JSON-stat de l'API d'Idescat</t>
        </is>
      </c>
    </row>
    <row r="1997" ht="15" customHeight="1" s="39">
      <c r="A1997" s="38" t="n">
        <v>2021</v>
      </c>
      <c r="B1997" s="42" t="inlineStr">
        <is>
          <t>431649</t>
        </is>
      </c>
      <c r="C1997" s="38" t="inlineStr">
        <is>
          <t>Vespella de Gaià</t>
        </is>
      </c>
      <c r="D1997" s="38" t="inlineStr">
        <is>
          <t>Y057</t>
        </is>
      </c>
      <c r="E1997" s="38" t="inlineStr">
        <is>
          <t>57 anys</t>
        </is>
      </c>
      <c r="F1997" s="38" t="n">
        <v>57</v>
      </c>
      <c r="G1997" s="38" t="n">
        <v>6</v>
      </c>
      <c r="I1997" s="38" t="inlineStr">
        <is>
          <t>Total de tots els sexes; resposta JSON-stat de l'API d'Idescat</t>
        </is>
      </c>
    </row>
    <row r="1998" ht="15" customHeight="1" s="39">
      <c r="A1998" s="38" t="n">
        <v>2021</v>
      </c>
      <c r="B1998" s="42" t="inlineStr">
        <is>
          <t>431649</t>
        </is>
      </c>
      <c r="C1998" s="38" t="inlineStr">
        <is>
          <t>Vespella de Gaià</t>
        </is>
      </c>
      <c r="D1998" s="38" t="inlineStr">
        <is>
          <t>Y058</t>
        </is>
      </c>
      <c r="E1998" s="38" t="inlineStr">
        <is>
          <t>58 anys</t>
        </is>
      </c>
      <c r="F1998" s="38" t="n">
        <v>58</v>
      </c>
      <c r="G1998" s="38" t="n">
        <v>9</v>
      </c>
      <c r="I1998" s="38" t="inlineStr">
        <is>
          <t>Total de tots els sexes; resposta JSON-stat de l'API d'Idescat</t>
        </is>
      </c>
    </row>
    <row r="1999" ht="15" customHeight="1" s="39">
      <c r="A1999" s="38" t="n">
        <v>2021</v>
      </c>
      <c r="B1999" s="42" t="inlineStr">
        <is>
          <t>431649</t>
        </is>
      </c>
      <c r="C1999" s="38" t="inlineStr">
        <is>
          <t>Vespella de Gaià</t>
        </is>
      </c>
      <c r="D1999" s="38" t="inlineStr">
        <is>
          <t>Y059</t>
        </is>
      </c>
      <c r="E1999" s="38" t="inlineStr">
        <is>
          <t>59 anys</t>
        </is>
      </c>
      <c r="F1999" s="38" t="n">
        <v>59</v>
      </c>
      <c r="G1999" s="38" t="n">
        <v>5</v>
      </c>
      <c r="I1999" s="38" t="inlineStr">
        <is>
          <t>Total de tots els sexes; resposta JSON-stat de l'API d'Idescat</t>
        </is>
      </c>
    </row>
    <row r="2000" ht="15" customHeight="1" s="39">
      <c r="A2000" s="38" t="n">
        <v>2021</v>
      </c>
      <c r="B2000" s="42" t="inlineStr">
        <is>
          <t>431649</t>
        </is>
      </c>
      <c r="C2000" s="38" t="inlineStr">
        <is>
          <t>Vespella de Gaià</t>
        </is>
      </c>
      <c r="D2000" s="38" t="inlineStr">
        <is>
          <t>Y060</t>
        </is>
      </c>
      <c r="E2000" s="38" t="inlineStr">
        <is>
          <t>60 anys</t>
        </is>
      </c>
      <c r="F2000" s="38" t="n">
        <v>60</v>
      </c>
      <c r="G2000" s="38" t="n">
        <v>4</v>
      </c>
      <c r="I2000" s="38" t="inlineStr">
        <is>
          <t>Total de tots els sexes; resposta JSON-stat de l'API d'Idescat</t>
        </is>
      </c>
    </row>
    <row r="2001" ht="15" customHeight="1" s="39">
      <c r="A2001" s="38" t="n">
        <v>2021</v>
      </c>
      <c r="B2001" s="42" t="inlineStr">
        <is>
          <t>431649</t>
        </is>
      </c>
      <c r="C2001" s="38" t="inlineStr">
        <is>
          <t>Vespella de Gaià</t>
        </is>
      </c>
      <c r="D2001" s="38" t="inlineStr">
        <is>
          <t>Y061</t>
        </is>
      </c>
      <c r="E2001" s="38" t="inlineStr">
        <is>
          <t>61 anys</t>
        </is>
      </c>
      <c r="F2001" s="38" t="n">
        <v>61</v>
      </c>
      <c r="G2001" s="38" t="n">
        <v>9</v>
      </c>
      <c r="I2001" s="38" t="inlineStr">
        <is>
          <t>Total de tots els sexes; resposta JSON-stat de l'API d'Idescat</t>
        </is>
      </c>
    </row>
    <row r="2002" ht="15" customHeight="1" s="39">
      <c r="A2002" s="38" t="n">
        <v>2021</v>
      </c>
      <c r="B2002" s="42" t="inlineStr">
        <is>
          <t>431649</t>
        </is>
      </c>
      <c r="C2002" s="38" t="inlineStr">
        <is>
          <t>Vespella de Gaià</t>
        </is>
      </c>
      <c r="D2002" s="38" t="inlineStr">
        <is>
          <t>Y062</t>
        </is>
      </c>
      <c r="E2002" s="38" t="inlineStr">
        <is>
          <t>62 anys</t>
        </is>
      </c>
      <c r="F2002" s="38" t="n">
        <v>62</v>
      </c>
      <c r="G2002" s="38" t="n">
        <v>10</v>
      </c>
      <c r="I2002" s="38" t="inlineStr">
        <is>
          <t>Total de tots els sexes; resposta JSON-stat de l'API d'Idescat</t>
        </is>
      </c>
    </row>
    <row r="2003" ht="15" customHeight="1" s="39">
      <c r="A2003" s="38" t="n">
        <v>2021</v>
      </c>
      <c r="B2003" s="42" t="inlineStr">
        <is>
          <t>431649</t>
        </is>
      </c>
      <c r="C2003" s="38" t="inlineStr">
        <is>
          <t>Vespella de Gaià</t>
        </is>
      </c>
      <c r="D2003" s="38" t="inlineStr">
        <is>
          <t>Y063</t>
        </is>
      </c>
      <c r="E2003" s="38" t="inlineStr">
        <is>
          <t>63 anys</t>
        </is>
      </c>
      <c r="F2003" s="38" t="n">
        <v>63</v>
      </c>
      <c r="G2003" s="38" t="n">
        <v>6</v>
      </c>
      <c r="I2003" s="38" t="inlineStr">
        <is>
          <t>Total de tots els sexes; resposta JSON-stat de l'API d'Idescat</t>
        </is>
      </c>
    </row>
    <row r="2004" ht="15" customHeight="1" s="39">
      <c r="A2004" s="38" t="n">
        <v>2021</v>
      </c>
      <c r="B2004" s="42" t="inlineStr">
        <is>
          <t>431649</t>
        </is>
      </c>
      <c r="C2004" s="38" t="inlineStr">
        <is>
          <t>Vespella de Gaià</t>
        </is>
      </c>
      <c r="D2004" s="38" t="inlineStr">
        <is>
          <t>Y064</t>
        </is>
      </c>
      <c r="E2004" s="38" t="inlineStr">
        <is>
          <t>64 anys</t>
        </is>
      </c>
      <c r="F2004" s="38" t="n">
        <v>64</v>
      </c>
      <c r="G2004" s="38" t="n">
        <v>8</v>
      </c>
      <c r="I2004" s="38" t="inlineStr">
        <is>
          <t>Total de tots els sexes; resposta JSON-stat de l'API d'Idescat</t>
        </is>
      </c>
    </row>
    <row r="2005" ht="15" customHeight="1" s="39">
      <c r="A2005" s="38" t="n">
        <v>2021</v>
      </c>
      <c r="B2005" s="42" t="inlineStr">
        <is>
          <t>431649</t>
        </is>
      </c>
      <c r="C2005" s="38" t="inlineStr">
        <is>
          <t>Vespella de Gaià</t>
        </is>
      </c>
      <c r="D2005" s="38" t="inlineStr">
        <is>
          <t>Y065</t>
        </is>
      </c>
      <c r="E2005" s="38" t="inlineStr">
        <is>
          <t>65 anys</t>
        </is>
      </c>
      <c r="F2005" s="38" t="n">
        <v>65</v>
      </c>
      <c r="G2005" s="38" t="n">
        <v>8</v>
      </c>
      <c r="I2005" s="38" t="inlineStr">
        <is>
          <t>Total de tots els sexes; resposta JSON-stat de l'API d'Idescat</t>
        </is>
      </c>
    </row>
    <row r="2006" ht="15" customHeight="1" s="39">
      <c r="A2006" s="38" t="n">
        <v>2021</v>
      </c>
      <c r="B2006" s="42" t="inlineStr">
        <is>
          <t>431649</t>
        </is>
      </c>
      <c r="C2006" s="38" t="inlineStr">
        <is>
          <t>Vespella de Gaià</t>
        </is>
      </c>
      <c r="D2006" s="38" t="inlineStr">
        <is>
          <t>Y066</t>
        </is>
      </c>
      <c r="E2006" s="38" t="inlineStr">
        <is>
          <t>66 anys</t>
        </is>
      </c>
      <c r="F2006" s="38" t="n">
        <v>66</v>
      </c>
      <c r="G2006" s="38" t="n">
        <v>9</v>
      </c>
      <c r="I2006" s="38" t="inlineStr">
        <is>
          <t>Total de tots els sexes; resposta JSON-stat de l'API d'Idescat</t>
        </is>
      </c>
    </row>
    <row r="2007" ht="15" customHeight="1" s="39">
      <c r="A2007" s="38" t="n">
        <v>2021</v>
      </c>
      <c r="B2007" s="42" t="inlineStr">
        <is>
          <t>431649</t>
        </is>
      </c>
      <c r="C2007" s="38" t="inlineStr">
        <is>
          <t>Vespella de Gaià</t>
        </is>
      </c>
      <c r="D2007" s="38" t="inlineStr">
        <is>
          <t>Y067</t>
        </is>
      </c>
      <c r="E2007" s="38" t="inlineStr">
        <is>
          <t>67 anys</t>
        </is>
      </c>
      <c r="F2007" s="38" t="n">
        <v>67</v>
      </c>
      <c r="G2007" s="38" t="n">
        <v>6</v>
      </c>
      <c r="I2007" s="38" t="inlineStr">
        <is>
          <t>Total de tots els sexes; resposta JSON-stat de l'API d'Idescat</t>
        </is>
      </c>
    </row>
    <row r="2008" ht="15" customHeight="1" s="39">
      <c r="A2008" s="38" t="n">
        <v>2021</v>
      </c>
      <c r="B2008" s="42" t="inlineStr">
        <is>
          <t>431649</t>
        </is>
      </c>
      <c r="C2008" s="38" t="inlineStr">
        <is>
          <t>Vespella de Gaià</t>
        </is>
      </c>
      <c r="D2008" s="38" t="inlineStr">
        <is>
          <t>Y068</t>
        </is>
      </c>
      <c r="E2008" s="38" t="inlineStr">
        <is>
          <t>68 anys</t>
        </is>
      </c>
      <c r="F2008" s="38" t="n">
        <v>68</v>
      </c>
      <c r="G2008" s="38" t="n">
        <v>7</v>
      </c>
      <c r="I2008" s="38" t="inlineStr">
        <is>
          <t>Total de tots els sexes; resposta JSON-stat de l'API d'Idescat</t>
        </is>
      </c>
    </row>
    <row r="2009" ht="15" customHeight="1" s="39">
      <c r="A2009" s="38" t="n">
        <v>2021</v>
      </c>
      <c r="B2009" s="42" t="inlineStr">
        <is>
          <t>431649</t>
        </is>
      </c>
      <c r="C2009" s="38" t="inlineStr">
        <is>
          <t>Vespella de Gaià</t>
        </is>
      </c>
      <c r="D2009" s="38" t="inlineStr">
        <is>
          <t>Y069</t>
        </is>
      </c>
      <c r="E2009" s="38" t="inlineStr">
        <is>
          <t>69 anys</t>
        </is>
      </c>
      <c r="F2009" s="38" t="n">
        <v>69</v>
      </c>
      <c r="G2009" s="38" t="n">
        <v>5</v>
      </c>
      <c r="I2009" s="38" t="inlineStr">
        <is>
          <t>Total de tots els sexes; resposta JSON-stat de l'API d'Idescat</t>
        </is>
      </c>
    </row>
    <row r="2010" ht="15" customHeight="1" s="39">
      <c r="A2010" s="38" t="n">
        <v>2021</v>
      </c>
      <c r="B2010" s="42" t="inlineStr">
        <is>
          <t>431649</t>
        </is>
      </c>
      <c r="C2010" s="38" t="inlineStr">
        <is>
          <t>Vespella de Gaià</t>
        </is>
      </c>
      <c r="D2010" s="38" t="inlineStr">
        <is>
          <t>Y070</t>
        </is>
      </c>
      <c r="E2010" s="38" t="inlineStr">
        <is>
          <t>70 anys</t>
        </is>
      </c>
      <c r="F2010" s="38" t="n">
        <v>70</v>
      </c>
      <c r="G2010" s="38" t="n">
        <v>8</v>
      </c>
      <c r="I2010" s="38" t="inlineStr">
        <is>
          <t>Total de tots els sexes; resposta JSON-stat de l'API d'Idescat</t>
        </is>
      </c>
    </row>
    <row r="2011" ht="15" customHeight="1" s="39">
      <c r="A2011" s="38" t="n">
        <v>2021</v>
      </c>
      <c r="B2011" s="42" t="inlineStr">
        <is>
          <t>431649</t>
        </is>
      </c>
      <c r="C2011" s="38" t="inlineStr">
        <is>
          <t>Vespella de Gaià</t>
        </is>
      </c>
      <c r="D2011" s="38" t="inlineStr">
        <is>
          <t>Y071</t>
        </is>
      </c>
      <c r="E2011" s="38" t="inlineStr">
        <is>
          <t>71 anys</t>
        </is>
      </c>
      <c r="F2011" s="38" t="n">
        <v>71</v>
      </c>
      <c r="G2011" s="38" t="n">
        <v>5</v>
      </c>
      <c r="I2011" s="38" t="inlineStr">
        <is>
          <t>Total de tots els sexes; resposta JSON-stat de l'API d'Idescat</t>
        </is>
      </c>
    </row>
    <row r="2012" ht="15" customHeight="1" s="39">
      <c r="A2012" s="38" t="n">
        <v>2021</v>
      </c>
      <c r="B2012" s="42" t="inlineStr">
        <is>
          <t>431649</t>
        </is>
      </c>
      <c r="C2012" s="38" t="inlineStr">
        <is>
          <t>Vespella de Gaià</t>
        </is>
      </c>
      <c r="D2012" s="38" t="inlineStr">
        <is>
          <t>Y072</t>
        </is>
      </c>
      <c r="E2012" s="38" t="inlineStr">
        <is>
          <t>72 anys</t>
        </is>
      </c>
      <c r="F2012" s="38" t="n">
        <v>72</v>
      </c>
      <c r="G2012" s="38" t="n">
        <v>11</v>
      </c>
      <c r="I2012" s="38" t="inlineStr">
        <is>
          <t>Total de tots els sexes; resposta JSON-stat de l'API d'Idescat</t>
        </is>
      </c>
    </row>
    <row r="2013" ht="15" customHeight="1" s="39">
      <c r="A2013" s="38" t="n">
        <v>2021</v>
      </c>
      <c r="B2013" s="42" t="inlineStr">
        <is>
          <t>431649</t>
        </is>
      </c>
      <c r="C2013" s="38" t="inlineStr">
        <is>
          <t>Vespella de Gaià</t>
        </is>
      </c>
      <c r="D2013" s="38" t="inlineStr">
        <is>
          <t>Y073</t>
        </is>
      </c>
      <c r="E2013" s="38" t="inlineStr">
        <is>
          <t>73 anys</t>
        </is>
      </c>
      <c r="F2013" s="38" t="n">
        <v>73</v>
      </c>
      <c r="G2013" s="38" t="n">
        <v>6</v>
      </c>
      <c r="I2013" s="38" t="inlineStr">
        <is>
          <t>Total de tots els sexes; resposta JSON-stat de l'API d'Idescat</t>
        </is>
      </c>
    </row>
    <row r="2014" ht="15" customHeight="1" s="39">
      <c r="A2014" s="38" t="n">
        <v>2021</v>
      </c>
      <c r="B2014" s="42" t="inlineStr">
        <is>
          <t>431649</t>
        </is>
      </c>
      <c r="C2014" s="38" t="inlineStr">
        <is>
          <t>Vespella de Gaià</t>
        </is>
      </c>
      <c r="D2014" s="38" t="inlineStr">
        <is>
          <t>Y074</t>
        </is>
      </c>
      <c r="E2014" s="38" t="inlineStr">
        <is>
          <t>74 anys</t>
        </is>
      </c>
      <c r="F2014" s="38" t="n">
        <v>74</v>
      </c>
      <c r="G2014" s="38" t="n">
        <v>4</v>
      </c>
      <c r="I2014" s="38" t="inlineStr">
        <is>
          <t>Total de tots els sexes; resposta JSON-stat de l'API d'Idescat</t>
        </is>
      </c>
    </row>
    <row r="2015" ht="15" customHeight="1" s="39">
      <c r="A2015" s="38" t="n">
        <v>2021</v>
      </c>
      <c r="B2015" s="42" t="inlineStr">
        <is>
          <t>431649</t>
        </is>
      </c>
      <c r="C2015" s="38" t="inlineStr">
        <is>
          <t>Vespella de Gaià</t>
        </is>
      </c>
      <c r="D2015" s="38" t="inlineStr">
        <is>
          <t>Y075</t>
        </is>
      </c>
      <c r="E2015" s="38" t="inlineStr">
        <is>
          <t>75 anys</t>
        </is>
      </c>
      <c r="F2015" s="38" t="n">
        <v>75</v>
      </c>
      <c r="G2015" s="38" t="n">
        <v>4</v>
      </c>
      <c r="I2015" s="38" t="inlineStr">
        <is>
          <t>Total de tots els sexes; resposta JSON-stat de l'API d'Idescat</t>
        </is>
      </c>
    </row>
    <row r="2016" ht="15" customHeight="1" s="39">
      <c r="A2016" s="38" t="n">
        <v>2021</v>
      </c>
      <c r="B2016" s="42" t="inlineStr">
        <is>
          <t>431649</t>
        </is>
      </c>
      <c r="C2016" s="38" t="inlineStr">
        <is>
          <t>Vespella de Gaià</t>
        </is>
      </c>
      <c r="D2016" s="38" t="inlineStr">
        <is>
          <t>Y076</t>
        </is>
      </c>
      <c r="E2016" s="38" t="inlineStr">
        <is>
          <t>76 anys</t>
        </is>
      </c>
      <c r="F2016" s="38" t="n">
        <v>76</v>
      </c>
      <c r="G2016" s="38" t="n">
        <v>5</v>
      </c>
      <c r="I2016" s="38" t="inlineStr">
        <is>
          <t>Total de tots els sexes; resposta JSON-stat de l'API d'Idescat</t>
        </is>
      </c>
    </row>
    <row r="2017" ht="15" customHeight="1" s="39">
      <c r="A2017" s="38" t="n">
        <v>2021</v>
      </c>
      <c r="B2017" s="42" t="inlineStr">
        <is>
          <t>431649</t>
        </is>
      </c>
      <c r="C2017" s="38" t="inlineStr">
        <is>
          <t>Vespella de Gaià</t>
        </is>
      </c>
      <c r="D2017" s="38" t="inlineStr">
        <is>
          <t>Y077</t>
        </is>
      </c>
      <c r="E2017" s="38" t="inlineStr">
        <is>
          <t>77 anys</t>
        </is>
      </c>
      <c r="F2017" s="38" t="n">
        <v>77</v>
      </c>
      <c r="G2017" s="38" t="n">
        <v>1</v>
      </c>
      <c r="I2017" s="38" t="inlineStr">
        <is>
          <t>Total de tots els sexes; resposta JSON-stat de l'API d'Idescat</t>
        </is>
      </c>
    </row>
    <row r="2018" ht="15" customHeight="1" s="39">
      <c r="A2018" s="38" t="n">
        <v>2021</v>
      </c>
      <c r="B2018" s="42" t="inlineStr">
        <is>
          <t>431649</t>
        </is>
      </c>
      <c r="C2018" s="38" t="inlineStr">
        <is>
          <t>Vespella de Gaià</t>
        </is>
      </c>
      <c r="D2018" s="38" t="inlineStr">
        <is>
          <t>Y078</t>
        </is>
      </c>
      <c r="E2018" s="38" t="inlineStr">
        <is>
          <t>78 anys</t>
        </is>
      </c>
      <c r="F2018" s="38" t="n">
        <v>78</v>
      </c>
      <c r="G2018" s="38" t="n">
        <v>2</v>
      </c>
      <c r="I2018" s="38" t="inlineStr">
        <is>
          <t>Total de tots els sexes; resposta JSON-stat de l'API d'Idescat</t>
        </is>
      </c>
    </row>
    <row r="2019" ht="15" customHeight="1" s="39">
      <c r="A2019" s="38" t="n">
        <v>2021</v>
      </c>
      <c r="B2019" s="42" t="inlineStr">
        <is>
          <t>431649</t>
        </is>
      </c>
      <c r="C2019" s="38" t="inlineStr">
        <is>
          <t>Vespella de Gaià</t>
        </is>
      </c>
      <c r="D2019" s="38" t="inlineStr">
        <is>
          <t>Y079</t>
        </is>
      </c>
      <c r="E2019" s="38" t="inlineStr">
        <is>
          <t>79 anys</t>
        </is>
      </c>
      <c r="F2019" s="38" t="n">
        <v>79</v>
      </c>
      <c r="G2019" s="38" t="n">
        <v>4</v>
      </c>
      <c r="I2019" s="38" t="inlineStr">
        <is>
          <t>Total de tots els sexes; resposta JSON-stat de l'API d'Idescat</t>
        </is>
      </c>
    </row>
    <row r="2020" ht="15" customHeight="1" s="39">
      <c r="A2020" s="38" t="n">
        <v>2021</v>
      </c>
      <c r="B2020" s="42" t="inlineStr">
        <is>
          <t>431649</t>
        </is>
      </c>
      <c r="C2020" s="38" t="inlineStr">
        <is>
          <t>Vespella de Gaià</t>
        </is>
      </c>
      <c r="D2020" s="38" t="inlineStr">
        <is>
          <t>Y080</t>
        </is>
      </c>
      <c r="E2020" s="38" t="inlineStr">
        <is>
          <t>80 anys</t>
        </is>
      </c>
      <c r="F2020" s="38" t="n">
        <v>80</v>
      </c>
      <c r="G2020" s="38" t="n">
        <v>1</v>
      </c>
      <c r="I2020" s="38" t="inlineStr">
        <is>
          <t>Total de tots els sexes; resposta JSON-stat de l'API d'Idescat</t>
        </is>
      </c>
    </row>
    <row r="2021" ht="15" customHeight="1" s="39">
      <c r="A2021" s="38" t="n">
        <v>2021</v>
      </c>
      <c r="B2021" s="42" t="inlineStr">
        <is>
          <t>431649</t>
        </is>
      </c>
      <c r="C2021" s="38" t="inlineStr">
        <is>
          <t>Vespella de Gaià</t>
        </is>
      </c>
      <c r="D2021" s="38" t="inlineStr">
        <is>
          <t>Y081</t>
        </is>
      </c>
      <c r="E2021" s="38" t="inlineStr">
        <is>
          <t>81 anys</t>
        </is>
      </c>
      <c r="F2021" s="38" t="n">
        <v>81</v>
      </c>
      <c r="G2021" s="38" t="n">
        <v>0</v>
      </c>
      <c r="I2021" s="38" t="inlineStr">
        <is>
          <t>Total de tots els sexes; resposta JSON-stat de l'API d'Idescat</t>
        </is>
      </c>
    </row>
    <row r="2022" ht="15" customHeight="1" s="39">
      <c r="A2022" s="38" t="n">
        <v>2021</v>
      </c>
      <c r="B2022" s="42" t="inlineStr">
        <is>
          <t>431649</t>
        </is>
      </c>
      <c r="C2022" s="38" t="inlineStr">
        <is>
          <t>Vespella de Gaià</t>
        </is>
      </c>
      <c r="D2022" s="38" t="inlineStr">
        <is>
          <t>Y082</t>
        </is>
      </c>
      <c r="E2022" s="38" t="inlineStr">
        <is>
          <t>82 anys</t>
        </is>
      </c>
      <c r="F2022" s="38" t="n">
        <v>82</v>
      </c>
      <c r="G2022" s="38" t="n">
        <v>2</v>
      </c>
      <c r="I2022" s="38" t="inlineStr">
        <is>
          <t>Total de tots els sexes; resposta JSON-stat de l'API d'Idescat</t>
        </is>
      </c>
    </row>
    <row r="2023" ht="15" customHeight="1" s="39">
      <c r="A2023" s="38" t="n">
        <v>2021</v>
      </c>
      <c r="B2023" s="42" t="inlineStr">
        <is>
          <t>431649</t>
        </is>
      </c>
      <c r="C2023" s="38" t="inlineStr">
        <is>
          <t>Vespella de Gaià</t>
        </is>
      </c>
      <c r="D2023" s="38" t="inlineStr">
        <is>
          <t>Y083</t>
        </is>
      </c>
      <c r="E2023" s="38" t="inlineStr">
        <is>
          <t>83 anys</t>
        </is>
      </c>
      <c r="F2023" s="38" t="n">
        <v>83</v>
      </c>
      <c r="G2023" s="38" t="n">
        <v>2</v>
      </c>
      <c r="I2023" s="38" t="inlineStr">
        <is>
          <t>Total de tots els sexes; resposta JSON-stat de l'API d'Idescat</t>
        </is>
      </c>
    </row>
    <row r="2024" ht="15" customHeight="1" s="39">
      <c r="A2024" s="38" t="n">
        <v>2021</v>
      </c>
      <c r="B2024" s="42" t="inlineStr">
        <is>
          <t>431649</t>
        </is>
      </c>
      <c r="C2024" s="38" t="inlineStr">
        <is>
          <t>Vespella de Gaià</t>
        </is>
      </c>
      <c r="D2024" s="38" t="inlineStr">
        <is>
          <t>Y084</t>
        </is>
      </c>
      <c r="E2024" s="38" t="inlineStr">
        <is>
          <t>84 anys</t>
        </is>
      </c>
      <c r="F2024" s="38" t="n">
        <v>84</v>
      </c>
      <c r="G2024" s="38" t="n">
        <v>2</v>
      </c>
      <c r="I2024" s="38" t="inlineStr">
        <is>
          <t>Total de tots els sexes; resposta JSON-stat de l'API d'Idescat</t>
        </is>
      </c>
    </row>
    <row r="2025" ht="15" customHeight="1" s="39">
      <c r="A2025" s="38" t="n">
        <v>2021</v>
      </c>
      <c r="B2025" s="42" t="inlineStr">
        <is>
          <t>431649</t>
        </is>
      </c>
      <c r="C2025" s="38" t="inlineStr">
        <is>
          <t>Vespella de Gaià</t>
        </is>
      </c>
      <c r="D2025" s="38" t="inlineStr">
        <is>
          <t>Y085</t>
        </is>
      </c>
      <c r="E2025" s="38" t="inlineStr">
        <is>
          <t>85 anys</t>
        </is>
      </c>
      <c r="F2025" s="38" t="n">
        <v>85</v>
      </c>
      <c r="G2025" s="38" t="n">
        <v>4</v>
      </c>
      <c r="I2025" s="38" t="inlineStr">
        <is>
          <t>Total de tots els sexes; resposta JSON-stat de l'API d'Idescat</t>
        </is>
      </c>
    </row>
    <row r="2026" ht="15" customHeight="1" s="39">
      <c r="A2026" s="38" t="n">
        <v>2021</v>
      </c>
      <c r="B2026" s="42" t="inlineStr">
        <is>
          <t>431649</t>
        </is>
      </c>
      <c r="C2026" s="38" t="inlineStr">
        <is>
          <t>Vespella de Gaià</t>
        </is>
      </c>
      <c r="D2026" s="38" t="inlineStr">
        <is>
          <t>Y086</t>
        </is>
      </c>
      <c r="E2026" s="38" t="inlineStr">
        <is>
          <t>86 anys</t>
        </is>
      </c>
      <c r="F2026" s="38" t="n">
        <v>86</v>
      </c>
      <c r="G2026" s="38" t="n">
        <v>2</v>
      </c>
      <c r="I2026" s="38" t="inlineStr">
        <is>
          <t>Total de tots els sexes; resposta JSON-stat de l'API d'Idescat</t>
        </is>
      </c>
    </row>
    <row r="2027" ht="15" customHeight="1" s="39">
      <c r="A2027" s="38" t="n">
        <v>2021</v>
      </c>
      <c r="B2027" s="42" t="inlineStr">
        <is>
          <t>431649</t>
        </is>
      </c>
      <c r="C2027" s="38" t="inlineStr">
        <is>
          <t>Vespella de Gaià</t>
        </is>
      </c>
      <c r="D2027" s="38" t="inlineStr">
        <is>
          <t>Y087</t>
        </is>
      </c>
      <c r="E2027" s="38" t="inlineStr">
        <is>
          <t>87 anys</t>
        </is>
      </c>
      <c r="F2027" s="38" t="n">
        <v>87</v>
      </c>
      <c r="G2027" s="38" t="n">
        <v>2</v>
      </c>
      <c r="I2027" s="38" t="inlineStr">
        <is>
          <t>Total de tots els sexes; resposta JSON-stat de l'API d'Idescat</t>
        </is>
      </c>
    </row>
    <row r="2028" ht="15" customHeight="1" s="39">
      <c r="A2028" s="38" t="n">
        <v>2021</v>
      </c>
      <c r="B2028" s="42" t="inlineStr">
        <is>
          <t>431649</t>
        </is>
      </c>
      <c r="C2028" s="38" t="inlineStr">
        <is>
          <t>Vespella de Gaià</t>
        </is>
      </c>
      <c r="D2028" s="38" t="inlineStr">
        <is>
          <t>Y088</t>
        </is>
      </c>
      <c r="E2028" s="38" t="inlineStr">
        <is>
          <t>88 anys</t>
        </is>
      </c>
      <c r="F2028" s="38" t="n">
        <v>88</v>
      </c>
      <c r="G2028" s="38" t="n">
        <v>1</v>
      </c>
      <c r="I2028" s="38" t="inlineStr">
        <is>
          <t>Total de tots els sexes; resposta JSON-stat de l'API d'Idescat</t>
        </is>
      </c>
    </row>
    <row r="2029" ht="15" customHeight="1" s="39">
      <c r="A2029" s="38" t="n">
        <v>2021</v>
      </c>
      <c r="B2029" s="42" t="inlineStr">
        <is>
          <t>431649</t>
        </is>
      </c>
      <c r="C2029" s="38" t="inlineStr">
        <is>
          <t>Vespella de Gaià</t>
        </is>
      </c>
      <c r="D2029" s="38" t="inlineStr">
        <is>
          <t>Y089</t>
        </is>
      </c>
      <c r="E2029" s="38" t="inlineStr">
        <is>
          <t>89 anys</t>
        </is>
      </c>
      <c r="F2029" s="38" t="n">
        <v>89</v>
      </c>
      <c r="G2029" s="38" t="n">
        <v>2</v>
      </c>
      <c r="I2029" s="38" t="inlineStr">
        <is>
          <t>Total de tots els sexes; resposta JSON-stat de l'API d'Idescat</t>
        </is>
      </c>
    </row>
    <row r="2030" ht="15" customHeight="1" s="39">
      <c r="A2030" s="38" t="n">
        <v>2021</v>
      </c>
      <c r="B2030" s="42" t="inlineStr">
        <is>
          <t>431649</t>
        </is>
      </c>
      <c r="C2030" s="38" t="inlineStr">
        <is>
          <t>Vespella de Gaià</t>
        </is>
      </c>
      <c r="D2030" s="38" t="inlineStr">
        <is>
          <t>Y090</t>
        </is>
      </c>
      <c r="E2030" s="38" t="inlineStr">
        <is>
          <t>90 anys</t>
        </is>
      </c>
      <c r="F2030" s="38" t="n">
        <v>90</v>
      </c>
      <c r="G2030" s="38" t="n">
        <v>1</v>
      </c>
      <c r="I2030" s="38" t="inlineStr">
        <is>
          <t>Total de tots els sexes; resposta JSON-stat de l'API d'Idescat</t>
        </is>
      </c>
    </row>
    <row r="2031" ht="15" customHeight="1" s="39">
      <c r="A2031" s="38" t="n">
        <v>2021</v>
      </c>
      <c r="B2031" s="42" t="inlineStr">
        <is>
          <t>431649</t>
        </is>
      </c>
      <c r="C2031" s="38" t="inlineStr">
        <is>
          <t>Vespella de Gaià</t>
        </is>
      </c>
      <c r="D2031" s="38" t="inlineStr">
        <is>
          <t>Y091</t>
        </is>
      </c>
      <c r="E2031" s="38" t="inlineStr">
        <is>
          <t>91 anys</t>
        </is>
      </c>
      <c r="F2031" s="38" t="n">
        <v>91</v>
      </c>
      <c r="G2031" s="38" t="n">
        <v>0</v>
      </c>
      <c r="I2031" s="38" t="inlineStr">
        <is>
          <t>Total de tots els sexes; resposta JSON-stat de l'API d'Idescat</t>
        </is>
      </c>
    </row>
    <row r="2032" ht="15" customHeight="1" s="39">
      <c r="A2032" s="38" t="n">
        <v>2021</v>
      </c>
      <c r="B2032" s="42" t="inlineStr">
        <is>
          <t>431649</t>
        </is>
      </c>
      <c r="C2032" s="38" t="inlineStr">
        <is>
          <t>Vespella de Gaià</t>
        </is>
      </c>
      <c r="D2032" s="38" t="inlineStr">
        <is>
          <t>Y092</t>
        </is>
      </c>
      <c r="E2032" s="38" t="inlineStr">
        <is>
          <t>92 anys</t>
        </is>
      </c>
      <c r="F2032" s="38" t="n">
        <v>92</v>
      </c>
      <c r="G2032" s="38" t="n">
        <v>0</v>
      </c>
      <c r="I2032" s="38" t="inlineStr">
        <is>
          <t>Total de tots els sexes; resposta JSON-stat de l'API d'Idescat</t>
        </is>
      </c>
    </row>
    <row r="2033" ht="15" customHeight="1" s="39">
      <c r="A2033" s="38" t="n">
        <v>2021</v>
      </c>
      <c r="B2033" s="42" t="inlineStr">
        <is>
          <t>431649</t>
        </is>
      </c>
      <c r="C2033" s="38" t="inlineStr">
        <is>
          <t>Vespella de Gaià</t>
        </is>
      </c>
      <c r="D2033" s="38" t="inlineStr">
        <is>
          <t>Y093</t>
        </is>
      </c>
      <c r="E2033" s="38" t="inlineStr">
        <is>
          <t>93 anys</t>
        </is>
      </c>
      <c r="F2033" s="38" t="n">
        <v>93</v>
      </c>
      <c r="G2033" s="38" t="n">
        <v>0</v>
      </c>
      <c r="I2033" s="38" t="inlineStr">
        <is>
          <t>Total de tots els sexes; resposta JSON-stat de l'API d'Idescat</t>
        </is>
      </c>
    </row>
    <row r="2034" ht="15" customHeight="1" s="39">
      <c r="A2034" s="38" t="n">
        <v>2021</v>
      </c>
      <c r="B2034" s="42" t="inlineStr">
        <is>
          <t>431649</t>
        </is>
      </c>
      <c r="C2034" s="38" t="inlineStr">
        <is>
          <t>Vespella de Gaià</t>
        </is>
      </c>
      <c r="D2034" s="38" t="inlineStr">
        <is>
          <t>Y094</t>
        </is>
      </c>
      <c r="E2034" s="38" t="inlineStr">
        <is>
          <t>94 anys</t>
        </is>
      </c>
      <c r="F2034" s="38" t="n">
        <v>94</v>
      </c>
      <c r="G2034" s="38" t="n">
        <v>1</v>
      </c>
      <c r="I2034" s="38" t="inlineStr">
        <is>
          <t>Total de tots els sexes; resposta JSON-stat de l'API d'Idescat</t>
        </is>
      </c>
    </row>
    <row r="2035" ht="15" customHeight="1" s="39">
      <c r="A2035" s="38" t="n">
        <v>2021</v>
      </c>
      <c r="B2035" s="42" t="inlineStr">
        <is>
          <t>431649</t>
        </is>
      </c>
      <c r="C2035" s="38" t="inlineStr">
        <is>
          <t>Vespella de Gaià</t>
        </is>
      </c>
      <c r="D2035" s="38" t="inlineStr">
        <is>
          <t>Y095</t>
        </is>
      </c>
      <c r="E2035" s="38" t="inlineStr">
        <is>
          <t>95 anys</t>
        </is>
      </c>
      <c r="F2035" s="38" t="n">
        <v>95</v>
      </c>
      <c r="G2035" s="38" t="n">
        <v>0</v>
      </c>
      <c r="I2035" s="38" t="inlineStr">
        <is>
          <t>Total de tots els sexes; resposta JSON-stat de l'API d'Idescat</t>
        </is>
      </c>
    </row>
    <row r="2036" ht="15" customHeight="1" s="39">
      <c r="A2036" s="38" t="n">
        <v>2021</v>
      </c>
      <c r="B2036" s="42" t="inlineStr">
        <is>
          <t>431649</t>
        </is>
      </c>
      <c r="C2036" s="38" t="inlineStr">
        <is>
          <t>Vespella de Gaià</t>
        </is>
      </c>
      <c r="D2036" s="38" t="inlineStr">
        <is>
          <t>Y096</t>
        </is>
      </c>
      <c r="E2036" s="38" t="inlineStr">
        <is>
          <t>96 anys</t>
        </is>
      </c>
      <c r="F2036" s="38" t="n">
        <v>96</v>
      </c>
      <c r="G2036" s="38" t="n">
        <v>0</v>
      </c>
      <c r="I2036" s="38" t="inlineStr">
        <is>
          <t>Total de tots els sexes; resposta JSON-stat de l'API d'Idescat</t>
        </is>
      </c>
    </row>
    <row r="2037" ht="15" customHeight="1" s="39">
      <c r="A2037" s="38" t="n">
        <v>2021</v>
      </c>
      <c r="B2037" s="42" t="inlineStr">
        <is>
          <t>431649</t>
        </is>
      </c>
      <c r="C2037" s="38" t="inlineStr">
        <is>
          <t>Vespella de Gaià</t>
        </is>
      </c>
      <c r="D2037" s="38" t="inlineStr">
        <is>
          <t>Y097</t>
        </is>
      </c>
      <c r="E2037" s="38" t="inlineStr">
        <is>
          <t>97 anys</t>
        </is>
      </c>
      <c r="F2037" s="38" t="n">
        <v>97</v>
      </c>
      <c r="G2037" s="38" t="n">
        <v>0</v>
      </c>
      <c r="I2037" s="38" t="inlineStr">
        <is>
          <t>Total de tots els sexes; resposta JSON-stat de l'API d'Idescat</t>
        </is>
      </c>
    </row>
    <row r="2038" ht="15" customHeight="1" s="39">
      <c r="A2038" s="38" t="n">
        <v>2021</v>
      </c>
      <c r="B2038" s="42" t="inlineStr">
        <is>
          <t>431649</t>
        </is>
      </c>
      <c r="C2038" s="38" t="inlineStr">
        <is>
          <t>Vespella de Gaià</t>
        </is>
      </c>
      <c r="D2038" s="38" t="inlineStr">
        <is>
          <t>Y098</t>
        </is>
      </c>
      <c r="E2038" s="38" t="inlineStr">
        <is>
          <t>98 anys</t>
        </is>
      </c>
      <c r="F2038" s="38" t="n">
        <v>98</v>
      </c>
      <c r="G2038" s="38" t="n">
        <v>0</v>
      </c>
      <c r="I2038" s="38" t="inlineStr">
        <is>
          <t>Total de tots els sexes; resposta JSON-stat de l'API d'Idescat</t>
        </is>
      </c>
    </row>
    <row r="2039" ht="15" customHeight="1" s="39">
      <c r="A2039" s="38" t="n">
        <v>2021</v>
      </c>
      <c r="B2039" s="42" t="inlineStr">
        <is>
          <t>431649</t>
        </is>
      </c>
      <c r="C2039" s="38" t="inlineStr">
        <is>
          <t>Vespella de Gaià</t>
        </is>
      </c>
      <c r="D2039" s="38" t="inlineStr">
        <is>
          <t>Y099</t>
        </is>
      </c>
      <c r="E2039" s="38" t="inlineStr">
        <is>
          <t>99 anys</t>
        </is>
      </c>
      <c r="F2039" s="38" t="n">
        <v>99</v>
      </c>
      <c r="G2039" s="38" t="n">
        <v>0</v>
      </c>
      <c r="I2039" s="38" t="inlineStr">
        <is>
          <t>Total de tots els sexes; resposta JSON-stat de l'API d'Idescat</t>
        </is>
      </c>
    </row>
    <row r="2040" ht="15" customHeight="1" s="39">
      <c r="A2040" s="38" t="n">
        <v>2021</v>
      </c>
      <c r="B2040" s="42" t="inlineStr">
        <is>
          <t>431649</t>
        </is>
      </c>
      <c r="C2040" s="38" t="inlineStr">
        <is>
          <t>Vespella de Gaià</t>
        </is>
      </c>
      <c r="D2040" s="38" t="inlineStr">
        <is>
          <t>Y_GE100</t>
        </is>
      </c>
      <c r="E2040" s="38" t="inlineStr">
        <is>
          <t>100 anys o més</t>
        </is>
      </c>
      <c r="F2040" s="38" t="n">
        <v>100</v>
      </c>
      <c r="G2040" s="38" t="n">
        <v>0</v>
      </c>
      <c r="I2040" s="38" t="inlineStr">
        <is>
          <t>Total de tots els sexes; resposta JSON-stat de l'API d'Idescat</t>
        </is>
      </c>
    </row>
    <row r="2041" ht="15" customHeight="1" s="39">
      <c r="A2041" s="38" t="n">
        <v>2021</v>
      </c>
      <c r="B2041" s="42" t="inlineStr">
        <is>
          <t>431649</t>
        </is>
      </c>
      <c r="C2041" s="38" t="inlineStr">
        <is>
          <t>Vespella de Gaià</t>
        </is>
      </c>
      <c r="D2041" s="38" t="inlineStr">
        <is>
          <t>TOTAL</t>
        </is>
      </c>
      <c r="E2041" s="38" t="inlineStr">
        <is>
          <t>total</t>
        </is>
      </c>
      <c r="G2041" s="38" t="n">
        <v>459</v>
      </c>
      <c r="I2041" s="38" t="inlineStr">
        <is>
          <t>Total de tots els sexes; resposta JSON-stat de l'API d'Idescat</t>
        </is>
      </c>
    </row>
    <row r="2042" ht="15" customHeight="1" s="39">
      <c r="A2042" s="38" t="n">
        <v>2021</v>
      </c>
      <c r="B2042" s="42" t="inlineStr">
        <is>
          <t>431665</t>
        </is>
      </c>
      <c r="C2042" s="38" t="inlineStr">
        <is>
          <t>Vilallonga del Camp</t>
        </is>
      </c>
      <c r="D2042" s="38" t="inlineStr">
        <is>
          <t>Y000</t>
        </is>
      </c>
      <c r="E2042" s="38" t="inlineStr">
        <is>
          <t>0 anys</t>
        </is>
      </c>
      <c r="F2042" s="38" t="n">
        <v>0</v>
      </c>
      <c r="G2042" s="38" t="n">
        <v>24</v>
      </c>
      <c r="I2042" s="38" t="inlineStr">
        <is>
          <t>Total de tots els sexes; resposta JSON-stat de l'API d'Idescat</t>
        </is>
      </c>
    </row>
    <row r="2043" ht="15" customHeight="1" s="39">
      <c r="A2043" s="38" t="n">
        <v>2021</v>
      </c>
      <c r="B2043" s="42" t="inlineStr">
        <is>
          <t>431665</t>
        </is>
      </c>
      <c r="C2043" s="38" t="inlineStr">
        <is>
          <t>Vilallonga del Camp</t>
        </is>
      </c>
      <c r="D2043" s="38" t="inlineStr">
        <is>
          <t>Y001</t>
        </is>
      </c>
      <c r="E2043" s="38" t="inlineStr">
        <is>
          <t>1 any</t>
        </is>
      </c>
      <c r="F2043" s="38" t="n">
        <v>1</v>
      </c>
      <c r="G2043" s="38" t="n">
        <v>28</v>
      </c>
      <c r="I2043" s="38" t="inlineStr">
        <is>
          <t>Total de tots els sexes; resposta JSON-stat de l'API d'Idescat</t>
        </is>
      </c>
    </row>
    <row r="2044" ht="15" customHeight="1" s="39">
      <c r="A2044" s="38" t="n">
        <v>2021</v>
      </c>
      <c r="B2044" s="42" t="inlineStr">
        <is>
          <t>431665</t>
        </is>
      </c>
      <c r="C2044" s="38" t="inlineStr">
        <is>
          <t>Vilallonga del Camp</t>
        </is>
      </c>
      <c r="D2044" s="38" t="inlineStr">
        <is>
          <t>Y002</t>
        </is>
      </c>
      <c r="E2044" s="38" t="inlineStr">
        <is>
          <t>2 anys</t>
        </is>
      </c>
      <c r="F2044" s="38" t="n">
        <v>2</v>
      </c>
      <c r="G2044" s="38" t="n">
        <v>31</v>
      </c>
      <c r="I2044" s="38" t="inlineStr">
        <is>
          <t>Total de tots els sexes; resposta JSON-stat de l'API d'Idescat</t>
        </is>
      </c>
    </row>
    <row r="2045" ht="15" customHeight="1" s="39">
      <c r="A2045" s="38" t="n">
        <v>2021</v>
      </c>
      <c r="B2045" s="42" t="inlineStr">
        <is>
          <t>431665</t>
        </is>
      </c>
      <c r="C2045" s="38" t="inlineStr">
        <is>
          <t>Vilallonga del Camp</t>
        </is>
      </c>
      <c r="D2045" s="38" t="inlineStr">
        <is>
          <t>Y003</t>
        </is>
      </c>
      <c r="E2045" s="38" t="inlineStr">
        <is>
          <t>3 anys</t>
        </is>
      </c>
      <c r="F2045" s="38" t="n">
        <v>3</v>
      </c>
      <c r="G2045" s="38" t="n">
        <v>22</v>
      </c>
      <c r="I2045" s="38" t="inlineStr">
        <is>
          <t>Total de tots els sexes; resposta JSON-stat de l'API d'Idescat</t>
        </is>
      </c>
    </row>
    <row r="2046" ht="15" customHeight="1" s="39">
      <c r="A2046" s="38" t="n">
        <v>2021</v>
      </c>
      <c r="B2046" s="42" t="inlineStr">
        <is>
          <t>431665</t>
        </is>
      </c>
      <c r="C2046" s="38" t="inlineStr">
        <is>
          <t>Vilallonga del Camp</t>
        </is>
      </c>
      <c r="D2046" s="38" t="inlineStr">
        <is>
          <t>Y004</t>
        </is>
      </c>
      <c r="E2046" s="38" t="inlineStr">
        <is>
          <t>4 anys</t>
        </is>
      </c>
      <c r="F2046" s="38" t="n">
        <v>4</v>
      </c>
      <c r="G2046" s="38" t="n">
        <v>47</v>
      </c>
      <c r="I2046" s="38" t="inlineStr">
        <is>
          <t>Total de tots els sexes; resposta JSON-stat de l'API d'Idescat</t>
        </is>
      </c>
    </row>
    <row r="2047" ht="15" customHeight="1" s="39">
      <c r="A2047" s="38" t="n">
        <v>2021</v>
      </c>
      <c r="B2047" s="42" t="inlineStr">
        <is>
          <t>431665</t>
        </is>
      </c>
      <c r="C2047" s="38" t="inlineStr">
        <is>
          <t>Vilallonga del Camp</t>
        </is>
      </c>
      <c r="D2047" s="38" t="inlineStr">
        <is>
          <t>Y005</t>
        </is>
      </c>
      <c r="E2047" s="38" t="inlineStr">
        <is>
          <t>5 anys</t>
        </is>
      </c>
      <c r="F2047" s="38" t="n">
        <v>5</v>
      </c>
      <c r="G2047" s="38" t="n">
        <v>36</v>
      </c>
      <c r="I2047" s="38" t="inlineStr">
        <is>
          <t>Total de tots els sexes; resposta JSON-stat de l'API d'Idescat</t>
        </is>
      </c>
    </row>
    <row r="2048" ht="15" customHeight="1" s="39">
      <c r="A2048" s="38" t="n">
        <v>2021</v>
      </c>
      <c r="B2048" s="42" t="inlineStr">
        <is>
          <t>431665</t>
        </is>
      </c>
      <c r="C2048" s="38" t="inlineStr">
        <is>
          <t>Vilallonga del Camp</t>
        </is>
      </c>
      <c r="D2048" s="38" t="inlineStr">
        <is>
          <t>Y006</t>
        </is>
      </c>
      <c r="E2048" s="38" t="inlineStr">
        <is>
          <t>6 anys</t>
        </is>
      </c>
      <c r="F2048" s="38" t="n">
        <v>6</v>
      </c>
      <c r="G2048" s="38" t="n">
        <v>34</v>
      </c>
      <c r="I2048" s="38" t="inlineStr">
        <is>
          <t>Total de tots els sexes; resposta JSON-stat de l'API d'Idescat</t>
        </is>
      </c>
    </row>
    <row r="2049" ht="15" customHeight="1" s="39">
      <c r="A2049" s="38" t="n">
        <v>2021</v>
      </c>
      <c r="B2049" s="42" t="inlineStr">
        <is>
          <t>431665</t>
        </is>
      </c>
      <c r="C2049" s="38" t="inlineStr">
        <is>
          <t>Vilallonga del Camp</t>
        </is>
      </c>
      <c r="D2049" s="38" t="inlineStr">
        <is>
          <t>Y007</t>
        </is>
      </c>
      <c r="E2049" s="38" t="inlineStr">
        <is>
          <t>7 anys</t>
        </is>
      </c>
      <c r="F2049" s="38" t="n">
        <v>7</v>
      </c>
      <c r="G2049" s="38" t="n">
        <v>26</v>
      </c>
      <c r="I2049" s="38" t="inlineStr">
        <is>
          <t>Total de tots els sexes; resposta JSON-stat de l'API d'Idescat</t>
        </is>
      </c>
    </row>
    <row r="2050" ht="15" customHeight="1" s="39">
      <c r="A2050" s="38" t="n">
        <v>2021</v>
      </c>
      <c r="B2050" s="42" t="inlineStr">
        <is>
          <t>431665</t>
        </is>
      </c>
      <c r="C2050" s="38" t="inlineStr">
        <is>
          <t>Vilallonga del Camp</t>
        </is>
      </c>
      <c r="D2050" s="38" t="inlineStr">
        <is>
          <t>Y008</t>
        </is>
      </c>
      <c r="E2050" s="38" t="inlineStr">
        <is>
          <t>8 anys</t>
        </is>
      </c>
      <c r="F2050" s="38" t="n">
        <v>8</v>
      </c>
      <c r="G2050" s="38" t="n">
        <v>37</v>
      </c>
      <c r="I2050" s="38" t="inlineStr">
        <is>
          <t>Total de tots els sexes; resposta JSON-stat de l'API d'Idescat</t>
        </is>
      </c>
    </row>
    <row r="2051" ht="15" customHeight="1" s="39">
      <c r="A2051" s="38" t="n">
        <v>2021</v>
      </c>
      <c r="B2051" s="42" t="inlineStr">
        <is>
          <t>431665</t>
        </is>
      </c>
      <c r="C2051" s="38" t="inlineStr">
        <is>
          <t>Vilallonga del Camp</t>
        </is>
      </c>
      <c r="D2051" s="38" t="inlineStr">
        <is>
          <t>Y009</t>
        </is>
      </c>
      <c r="E2051" s="38" t="inlineStr">
        <is>
          <t>9 anys</t>
        </is>
      </c>
      <c r="F2051" s="38" t="n">
        <v>9</v>
      </c>
      <c r="G2051" s="38" t="n">
        <v>32</v>
      </c>
      <c r="I2051" s="38" t="inlineStr">
        <is>
          <t>Total de tots els sexes; resposta JSON-stat de l'API d'Idescat</t>
        </is>
      </c>
    </row>
    <row r="2052" ht="15" customHeight="1" s="39">
      <c r="A2052" s="38" t="n">
        <v>2021</v>
      </c>
      <c r="B2052" s="42" t="inlineStr">
        <is>
          <t>431665</t>
        </is>
      </c>
      <c r="C2052" s="38" t="inlineStr">
        <is>
          <t>Vilallonga del Camp</t>
        </is>
      </c>
      <c r="D2052" s="38" t="inlineStr">
        <is>
          <t>Y010</t>
        </is>
      </c>
      <c r="E2052" s="38" t="inlineStr">
        <is>
          <t>10 anys</t>
        </is>
      </c>
      <c r="F2052" s="38" t="n">
        <v>10</v>
      </c>
      <c r="G2052" s="38" t="n">
        <v>52</v>
      </c>
      <c r="I2052" s="38" t="inlineStr">
        <is>
          <t>Total de tots els sexes; resposta JSON-stat de l'API d'Idescat</t>
        </is>
      </c>
    </row>
    <row r="2053" ht="15" customHeight="1" s="39">
      <c r="A2053" s="38" t="n">
        <v>2021</v>
      </c>
      <c r="B2053" s="42" t="inlineStr">
        <is>
          <t>431665</t>
        </is>
      </c>
      <c r="C2053" s="38" t="inlineStr">
        <is>
          <t>Vilallonga del Camp</t>
        </is>
      </c>
      <c r="D2053" s="38" t="inlineStr">
        <is>
          <t>Y011</t>
        </is>
      </c>
      <c r="E2053" s="38" t="inlineStr">
        <is>
          <t>11 anys</t>
        </is>
      </c>
      <c r="F2053" s="38" t="n">
        <v>11</v>
      </c>
      <c r="G2053" s="38" t="n">
        <v>34</v>
      </c>
      <c r="I2053" s="38" t="inlineStr">
        <is>
          <t>Total de tots els sexes; resposta JSON-stat de l'API d'Idescat</t>
        </is>
      </c>
    </row>
    <row r="2054" ht="15" customHeight="1" s="39">
      <c r="A2054" s="38" t="n">
        <v>2021</v>
      </c>
      <c r="B2054" s="42" t="inlineStr">
        <is>
          <t>431665</t>
        </is>
      </c>
      <c r="C2054" s="38" t="inlineStr">
        <is>
          <t>Vilallonga del Camp</t>
        </is>
      </c>
      <c r="D2054" s="38" t="inlineStr">
        <is>
          <t>Y012</t>
        </is>
      </c>
      <c r="E2054" s="38" t="inlineStr">
        <is>
          <t>12 anys</t>
        </is>
      </c>
      <c r="F2054" s="38" t="n">
        <v>12</v>
      </c>
      <c r="G2054" s="38" t="n">
        <v>37</v>
      </c>
      <c r="I2054" s="38" t="inlineStr">
        <is>
          <t>Total de tots els sexes; resposta JSON-stat de l'API d'Idescat</t>
        </is>
      </c>
    </row>
    <row r="2055" ht="15" customHeight="1" s="39">
      <c r="A2055" s="38" t="n">
        <v>2021</v>
      </c>
      <c r="B2055" s="42" t="inlineStr">
        <is>
          <t>431665</t>
        </is>
      </c>
      <c r="C2055" s="38" t="inlineStr">
        <is>
          <t>Vilallonga del Camp</t>
        </is>
      </c>
      <c r="D2055" s="38" t="inlineStr">
        <is>
          <t>Y013</t>
        </is>
      </c>
      <c r="E2055" s="38" t="inlineStr">
        <is>
          <t>13 anys</t>
        </is>
      </c>
      <c r="F2055" s="38" t="n">
        <v>13</v>
      </c>
      <c r="G2055" s="38" t="n">
        <v>41</v>
      </c>
      <c r="I2055" s="38" t="inlineStr">
        <is>
          <t>Total de tots els sexes; resposta JSON-stat de l'API d'Idescat</t>
        </is>
      </c>
    </row>
    <row r="2056" ht="15" customHeight="1" s="39">
      <c r="A2056" s="38" t="n">
        <v>2021</v>
      </c>
      <c r="B2056" s="42" t="inlineStr">
        <is>
          <t>431665</t>
        </is>
      </c>
      <c r="C2056" s="38" t="inlineStr">
        <is>
          <t>Vilallonga del Camp</t>
        </is>
      </c>
      <c r="D2056" s="38" t="inlineStr">
        <is>
          <t>Y014</t>
        </is>
      </c>
      <c r="E2056" s="38" t="inlineStr">
        <is>
          <t>14 anys</t>
        </is>
      </c>
      <c r="F2056" s="38" t="n">
        <v>14</v>
      </c>
      <c r="G2056" s="38" t="n">
        <v>33</v>
      </c>
      <c r="I2056" s="38" t="inlineStr">
        <is>
          <t>Total de tots els sexes; resposta JSON-stat de l'API d'Idescat</t>
        </is>
      </c>
    </row>
    <row r="2057" ht="15" customHeight="1" s="39">
      <c r="A2057" s="38" t="n">
        <v>2021</v>
      </c>
      <c r="B2057" s="42" t="inlineStr">
        <is>
          <t>431665</t>
        </is>
      </c>
      <c r="C2057" s="38" t="inlineStr">
        <is>
          <t>Vilallonga del Camp</t>
        </is>
      </c>
      <c r="D2057" s="38" t="inlineStr">
        <is>
          <t>Y015</t>
        </is>
      </c>
      <c r="E2057" s="38" t="inlineStr">
        <is>
          <t>15 anys</t>
        </is>
      </c>
      <c r="F2057" s="38" t="n">
        <v>15</v>
      </c>
      <c r="G2057" s="38" t="n">
        <v>16</v>
      </c>
      <c r="I2057" s="38" t="inlineStr">
        <is>
          <t>Total de tots els sexes; resposta JSON-stat de l'API d'Idescat</t>
        </is>
      </c>
    </row>
    <row r="2058" ht="15" customHeight="1" s="39">
      <c r="A2058" s="38" t="n">
        <v>2021</v>
      </c>
      <c r="B2058" s="42" t="inlineStr">
        <is>
          <t>431665</t>
        </is>
      </c>
      <c r="C2058" s="38" t="inlineStr">
        <is>
          <t>Vilallonga del Camp</t>
        </is>
      </c>
      <c r="D2058" s="38" t="inlineStr">
        <is>
          <t>Y016</t>
        </is>
      </c>
      <c r="E2058" s="38" t="inlineStr">
        <is>
          <t>16 anys</t>
        </is>
      </c>
      <c r="F2058" s="38" t="n">
        <v>16</v>
      </c>
      <c r="G2058" s="38" t="n">
        <v>20</v>
      </c>
      <c r="I2058" s="38" t="inlineStr">
        <is>
          <t>Total de tots els sexes; resposta JSON-stat de l'API d'Idescat</t>
        </is>
      </c>
    </row>
    <row r="2059" ht="15" customHeight="1" s="39">
      <c r="A2059" s="38" t="n">
        <v>2021</v>
      </c>
      <c r="B2059" s="42" t="inlineStr">
        <is>
          <t>431665</t>
        </is>
      </c>
      <c r="C2059" s="38" t="inlineStr">
        <is>
          <t>Vilallonga del Camp</t>
        </is>
      </c>
      <c r="D2059" s="38" t="inlineStr">
        <is>
          <t>Y017</t>
        </is>
      </c>
      <c r="E2059" s="38" t="inlineStr">
        <is>
          <t>17 anys</t>
        </is>
      </c>
      <c r="F2059" s="38" t="n">
        <v>17</v>
      </c>
      <c r="G2059" s="38" t="n">
        <v>23</v>
      </c>
      <c r="I2059" s="38" t="inlineStr">
        <is>
          <t>Total de tots els sexes; resposta JSON-stat de l'API d'Idescat</t>
        </is>
      </c>
    </row>
    <row r="2060" ht="15" customHeight="1" s="39">
      <c r="A2060" s="38" t="n">
        <v>2021</v>
      </c>
      <c r="B2060" s="42" t="inlineStr">
        <is>
          <t>431665</t>
        </is>
      </c>
      <c r="C2060" s="38" t="inlineStr">
        <is>
          <t>Vilallonga del Camp</t>
        </is>
      </c>
      <c r="D2060" s="38" t="inlineStr">
        <is>
          <t>Y018</t>
        </is>
      </c>
      <c r="E2060" s="38" t="inlineStr">
        <is>
          <t>18 anys</t>
        </is>
      </c>
      <c r="F2060" s="38" t="n">
        <v>18</v>
      </c>
      <c r="G2060" s="38" t="n">
        <v>25</v>
      </c>
      <c r="I2060" s="38" t="inlineStr">
        <is>
          <t>Total de tots els sexes; resposta JSON-stat de l'API d'Idescat</t>
        </is>
      </c>
    </row>
    <row r="2061" ht="15" customHeight="1" s="39">
      <c r="A2061" s="38" t="n">
        <v>2021</v>
      </c>
      <c r="B2061" s="42" t="inlineStr">
        <is>
          <t>431665</t>
        </is>
      </c>
      <c r="C2061" s="38" t="inlineStr">
        <is>
          <t>Vilallonga del Camp</t>
        </is>
      </c>
      <c r="D2061" s="38" t="inlineStr">
        <is>
          <t>Y019</t>
        </is>
      </c>
      <c r="E2061" s="38" t="inlineStr">
        <is>
          <t>19 anys</t>
        </is>
      </c>
      <c r="F2061" s="38" t="n">
        <v>19</v>
      </c>
      <c r="G2061" s="38" t="n">
        <v>14</v>
      </c>
      <c r="I2061" s="38" t="inlineStr">
        <is>
          <t>Total de tots els sexes; resposta JSON-stat de l'API d'Idescat</t>
        </is>
      </c>
    </row>
    <row r="2062" ht="15" customHeight="1" s="39">
      <c r="A2062" s="38" t="n">
        <v>2021</v>
      </c>
      <c r="B2062" s="42" t="inlineStr">
        <is>
          <t>431665</t>
        </is>
      </c>
      <c r="C2062" s="38" t="inlineStr">
        <is>
          <t>Vilallonga del Camp</t>
        </is>
      </c>
      <c r="D2062" s="38" t="inlineStr">
        <is>
          <t>Y020</t>
        </is>
      </c>
      <c r="E2062" s="38" t="inlineStr">
        <is>
          <t>20 anys</t>
        </is>
      </c>
      <c r="F2062" s="38" t="n">
        <v>20</v>
      </c>
      <c r="G2062" s="38" t="n">
        <v>18</v>
      </c>
      <c r="I2062" s="38" t="inlineStr">
        <is>
          <t>Total de tots els sexes; resposta JSON-stat de l'API d'Idescat</t>
        </is>
      </c>
    </row>
    <row r="2063" ht="15" customHeight="1" s="39">
      <c r="A2063" s="38" t="n">
        <v>2021</v>
      </c>
      <c r="B2063" s="42" t="inlineStr">
        <is>
          <t>431665</t>
        </is>
      </c>
      <c r="C2063" s="38" t="inlineStr">
        <is>
          <t>Vilallonga del Camp</t>
        </is>
      </c>
      <c r="D2063" s="38" t="inlineStr">
        <is>
          <t>Y021</t>
        </is>
      </c>
      <c r="E2063" s="38" t="inlineStr">
        <is>
          <t>21 anys</t>
        </is>
      </c>
      <c r="F2063" s="38" t="n">
        <v>21</v>
      </c>
      <c r="G2063" s="38" t="n">
        <v>19</v>
      </c>
      <c r="I2063" s="38" t="inlineStr">
        <is>
          <t>Total de tots els sexes; resposta JSON-stat de l'API d'Idescat</t>
        </is>
      </c>
    </row>
    <row r="2064" ht="15" customHeight="1" s="39">
      <c r="A2064" s="38" t="n">
        <v>2021</v>
      </c>
      <c r="B2064" s="42" t="inlineStr">
        <is>
          <t>431665</t>
        </is>
      </c>
      <c r="C2064" s="38" t="inlineStr">
        <is>
          <t>Vilallonga del Camp</t>
        </is>
      </c>
      <c r="D2064" s="38" t="inlineStr">
        <is>
          <t>Y022</t>
        </is>
      </c>
      <c r="E2064" s="38" t="inlineStr">
        <is>
          <t>22 anys</t>
        </is>
      </c>
      <c r="F2064" s="38" t="n">
        <v>22</v>
      </c>
      <c r="G2064" s="38" t="n">
        <v>13</v>
      </c>
      <c r="I2064" s="38" t="inlineStr">
        <is>
          <t>Total de tots els sexes; resposta JSON-stat de l'API d'Idescat</t>
        </is>
      </c>
    </row>
    <row r="2065" ht="15" customHeight="1" s="39">
      <c r="A2065" s="38" t="n">
        <v>2021</v>
      </c>
      <c r="B2065" s="42" t="inlineStr">
        <is>
          <t>431665</t>
        </is>
      </c>
      <c r="C2065" s="38" t="inlineStr">
        <is>
          <t>Vilallonga del Camp</t>
        </is>
      </c>
      <c r="D2065" s="38" t="inlineStr">
        <is>
          <t>Y023</t>
        </is>
      </c>
      <c r="E2065" s="38" t="inlineStr">
        <is>
          <t>23 anys</t>
        </is>
      </c>
      <c r="F2065" s="38" t="n">
        <v>23</v>
      </c>
      <c r="G2065" s="38" t="n">
        <v>21</v>
      </c>
      <c r="I2065" s="38" t="inlineStr">
        <is>
          <t>Total de tots els sexes; resposta JSON-stat de l'API d'Idescat</t>
        </is>
      </c>
    </row>
    <row r="2066" ht="15" customHeight="1" s="39">
      <c r="A2066" s="38" t="n">
        <v>2021</v>
      </c>
      <c r="B2066" s="42" t="inlineStr">
        <is>
          <t>431665</t>
        </is>
      </c>
      <c r="C2066" s="38" t="inlineStr">
        <is>
          <t>Vilallonga del Camp</t>
        </is>
      </c>
      <c r="D2066" s="38" t="inlineStr">
        <is>
          <t>Y024</t>
        </is>
      </c>
      <c r="E2066" s="38" t="inlineStr">
        <is>
          <t>24 anys</t>
        </is>
      </c>
      <c r="F2066" s="38" t="n">
        <v>24</v>
      </c>
      <c r="G2066" s="38" t="n">
        <v>27</v>
      </c>
      <c r="I2066" s="38" t="inlineStr">
        <is>
          <t>Total de tots els sexes; resposta JSON-stat de l'API d'Idescat</t>
        </is>
      </c>
    </row>
    <row r="2067" ht="15" customHeight="1" s="39">
      <c r="A2067" s="38" t="n">
        <v>2021</v>
      </c>
      <c r="B2067" s="42" t="inlineStr">
        <is>
          <t>431665</t>
        </is>
      </c>
      <c r="C2067" s="38" t="inlineStr">
        <is>
          <t>Vilallonga del Camp</t>
        </is>
      </c>
      <c r="D2067" s="38" t="inlineStr">
        <is>
          <t>Y025</t>
        </is>
      </c>
      <c r="E2067" s="38" t="inlineStr">
        <is>
          <t>25 anys</t>
        </is>
      </c>
      <c r="F2067" s="38" t="n">
        <v>25</v>
      </c>
      <c r="G2067" s="38" t="n">
        <v>21</v>
      </c>
      <c r="I2067" s="38" t="inlineStr">
        <is>
          <t>Total de tots els sexes; resposta JSON-stat de l'API d'Idescat</t>
        </is>
      </c>
    </row>
    <row r="2068" ht="15" customHeight="1" s="39">
      <c r="A2068" s="38" t="n">
        <v>2021</v>
      </c>
      <c r="B2068" s="42" t="inlineStr">
        <is>
          <t>431665</t>
        </is>
      </c>
      <c r="C2068" s="38" t="inlineStr">
        <is>
          <t>Vilallonga del Camp</t>
        </is>
      </c>
      <c r="D2068" s="38" t="inlineStr">
        <is>
          <t>Y026</t>
        </is>
      </c>
      <c r="E2068" s="38" t="inlineStr">
        <is>
          <t>26 anys</t>
        </is>
      </c>
      <c r="F2068" s="38" t="n">
        <v>26</v>
      </c>
      <c r="G2068" s="38" t="n">
        <v>18</v>
      </c>
      <c r="I2068" s="38" t="inlineStr">
        <is>
          <t>Total de tots els sexes; resposta JSON-stat de l'API d'Idescat</t>
        </is>
      </c>
    </row>
    <row r="2069" ht="15" customHeight="1" s="39">
      <c r="A2069" s="38" t="n">
        <v>2021</v>
      </c>
      <c r="B2069" s="42" t="inlineStr">
        <is>
          <t>431665</t>
        </is>
      </c>
      <c r="C2069" s="38" t="inlineStr">
        <is>
          <t>Vilallonga del Camp</t>
        </is>
      </c>
      <c r="D2069" s="38" t="inlineStr">
        <is>
          <t>Y027</t>
        </is>
      </c>
      <c r="E2069" s="38" t="inlineStr">
        <is>
          <t>27 anys</t>
        </is>
      </c>
      <c r="F2069" s="38" t="n">
        <v>27</v>
      </c>
      <c r="G2069" s="38" t="n">
        <v>25</v>
      </c>
      <c r="I2069" s="38" t="inlineStr">
        <is>
          <t>Total de tots els sexes; resposta JSON-stat de l'API d'Idescat</t>
        </is>
      </c>
    </row>
    <row r="2070" ht="15" customHeight="1" s="39">
      <c r="A2070" s="38" t="n">
        <v>2021</v>
      </c>
      <c r="B2070" s="42" t="inlineStr">
        <is>
          <t>431665</t>
        </is>
      </c>
      <c r="C2070" s="38" t="inlineStr">
        <is>
          <t>Vilallonga del Camp</t>
        </is>
      </c>
      <c r="D2070" s="38" t="inlineStr">
        <is>
          <t>Y028</t>
        </is>
      </c>
      <c r="E2070" s="38" t="inlineStr">
        <is>
          <t>28 anys</t>
        </is>
      </c>
      <c r="F2070" s="38" t="n">
        <v>28</v>
      </c>
      <c r="G2070" s="38" t="n">
        <v>28</v>
      </c>
      <c r="I2070" s="38" t="inlineStr">
        <is>
          <t>Total de tots els sexes; resposta JSON-stat de l'API d'Idescat</t>
        </is>
      </c>
    </row>
    <row r="2071" ht="15" customHeight="1" s="39">
      <c r="A2071" s="38" t="n">
        <v>2021</v>
      </c>
      <c r="B2071" s="42" t="inlineStr">
        <is>
          <t>431665</t>
        </is>
      </c>
      <c r="C2071" s="38" t="inlineStr">
        <is>
          <t>Vilallonga del Camp</t>
        </is>
      </c>
      <c r="D2071" s="38" t="inlineStr">
        <is>
          <t>Y029</t>
        </is>
      </c>
      <c r="E2071" s="38" t="inlineStr">
        <is>
          <t>29 anys</t>
        </is>
      </c>
      <c r="F2071" s="38" t="n">
        <v>29</v>
      </c>
      <c r="G2071" s="38" t="n">
        <v>25</v>
      </c>
      <c r="I2071" s="38" t="inlineStr">
        <is>
          <t>Total de tots els sexes; resposta JSON-stat de l'API d'Idescat</t>
        </is>
      </c>
    </row>
    <row r="2072" ht="15" customHeight="1" s="39">
      <c r="A2072" s="38" t="n">
        <v>2021</v>
      </c>
      <c r="B2072" s="42" t="inlineStr">
        <is>
          <t>431665</t>
        </is>
      </c>
      <c r="C2072" s="38" t="inlineStr">
        <is>
          <t>Vilallonga del Camp</t>
        </is>
      </c>
      <c r="D2072" s="38" t="inlineStr">
        <is>
          <t>Y030</t>
        </is>
      </c>
      <c r="E2072" s="38" t="inlineStr">
        <is>
          <t>30 anys</t>
        </is>
      </c>
      <c r="F2072" s="38" t="n">
        <v>30</v>
      </c>
      <c r="G2072" s="38" t="n">
        <v>21</v>
      </c>
      <c r="I2072" s="38" t="inlineStr">
        <is>
          <t>Total de tots els sexes; resposta JSON-stat de l'API d'Idescat</t>
        </is>
      </c>
    </row>
    <row r="2073" ht="15" customHeight="1" s="39">
      <c r="A2073" s="38" t="n">
        <v>2021</v>
      </c>
      <c r="B2073" s="42" t="inlineStr">
        <is>
          <t>431665</t>
        </is>
      </c>
      <c r="C2073" s="38" t="inlineStr">
        <is>
          <t>Vilallonga del Camp</t>
        </is>
      </c>
      <c r="D2073" s="38" t="inlineStr">
        <is>
          <t>Y031</t>
        </is>
      </c>
      <c r="E2073" s="38" t="inlineStr">
        <is>
          <t>31 anys</t>
        </is>
      </c>
      <c r="F2073" s="38" t="n">
        <v>31</v>
      </c>
      <c r="G2073" s="38" t="n">
        <v>30</v>
      </c>
      <c r="I2073" s="38" t="inlineStr">
        <is>
          <t>Total de tots els sexes; resposta JSON-stat de l'API d'Idescat</t>
        </is>
      </c>
    </row>
    <row r="2074" ht="15" customHeight="1" s="39">
      <c r="A2074" s="38" t="n">
        <v>2021</v>
      </c>
      <c r="B2074" s="42" t="inlineStr">
        <is>
          <t>431665</t>
        </is>
      </c>
      <c r="C2074" s="38" t="inlineStr">
        <is>
          <t>Vilallonga del Camp</t>
        </is>
      </c>
      <c r="D2074" s="38" t="inlineStr">
        <is>
          <t>Y032</t>
        </is>
      </c>
      <c r="E2074" s="38" t="inlineStr">
        <is>
          <t>32 anys</t>
        </is>
      </c>
      <c r="F2074" s="38" t="n">
        <v>32</v>
      </c>
      <c r="G2074" s="38" t="n">
        <v>30</v>
      </c>
      <c r="I2074" s="38" t="inlineStr">
        <is>
          <t>Total de tots els sexes; resposta JSON-stat de l'API d'Idescat</t>
        </is>
      </c>
    </row>
    <row r="2075" ht="15" customHeight="1" s="39">
      <c r="A2075" s="38" t="n">
        <v>2021</v>
      </c>
      <c r="B2075" s="42" t="inlineStr">
        <is>
          <t>431665</t>
        </is>
      </c>
      <c r="C2075" s="38" t="inlineStr">
        <is>
          <t>Vilallonga del Camp</t>
        </is>
      </c>
      <c r="D2075" s="38" t="inlineStr">
        <is>
          <t>Y033</t>
        </is>
      </c>
      <c r="E2075" s="38" t="inlineStr">
        <is>
          <t>33 anys</t>
        </is>
      </c>
      <c r="F2075" s="38" t="n">
        <v>33</v>
      </c>
      <c r="G2075" s="38" t="n">
        <v>28</v>
      </c>
      <c r="I2075" s="38" t="inlineStr">
        <is>
          <t>Total de tots els sexes; resposta JSON-stat de l'API d'Idescat</t>
        </is>
      </c>
    </row>
    <row r="2076" ht="15" customHeight="1" s="39">
      <c r="A2076" s="38" t="n">
        <v>2021</v>
      </c>
      <c r="B2076" s="42" t="inlineStr">
        <is>
          <t>431665</t>
        </is>
      </c>
      <c r="C2076" s="38" t="inlineStr">
        <is>
          <t>Vilallonga del Camp</t>
        </is>
      </c>
      <c r="D2076" s="38" t="inlineStr">
        <is>
          <t>Y034</t>
        </is>
      </c>
      <c r="E2076" s="38" t="inlineStr">
        <is>
          <t>34 anys</t>
        </is>
      </c>
      <c r="F2076" s="38" t="n">
        <v>34</v>
      </c>
      <c r="G2076" s="38" t="n">
        <v>43</v>
      </c>
      <c r="I2076" s="38" t="inlineStr">
        <is>
          <t>Total de tots els sexes; resposta JSON-stat de l'API d'Idescat</t>
        </is>
      </c>
    </row>
    <row r="2077" ht="15" customHeight="1" s="39">
      <c r="A2077" s="38" t="n">
        <v>2021</v>
      </c>
      <c r="B2077" s="42" t="inlineStr">
        <is>
          <t>431665</t>
        </is>
      </c>
      <c r="C2077" s="38" t="inlineStr">
        <is>
          <t>Vilallonga del Camp</t>
        </is>
      </c>
      <c r="D2077" s="38" t="inlineStr">
        <is>
          <t>Y035</t>
        </is>
      </c>
      <c r="E2077" s="38" t="inlineStr">
        <is>
          <t>35 anys</t>
        </is>
      </c>
      <c r="F2077" s="38" t="n">
        <v>35</v>
      </c>
      <c r="G2077" s="38" t="n">
        <v>44</v>
      </c>
      <c r="I2077" s="38" t="inlineStr">
        <is>
          <t>Total de tots els sexes; resposta JSON-stat de l'API d'Idescat</t>
        </is>
      </c>
    </row>
    <row r="2078" ht="15" customHeight="1" s="39">
      <c r="A2078" s="38" t="n">
        <v>2021</v>
      </c>
      <c r="B2078" s="42" t="inlineStr">
        <is>
          <t>431665</t>
        </is>
      </c>
      <c r="C2078" s="38" t="inlineStr">
        <is>
          <t>Vilallonga del Camp</t>
        </is>
      </c>
      <c r="D2078" s="38" t="inlineStr">
        <is>
          <t>Y036</t>
        </is>
      </c>
      <c r="E2078" s="38" t="inlineStr">
        <is>
          <t>36 anys</t>
        </is>
      </c>
      <c r="F2078" s="38" t="n">
        <v>36</v>
      </c>
      <c r="G2078" s="38" t="n">
        <v>39</v>
      </c>
      <c r="I2078" s="38" t="inlineStr">
        <is>
          <t>Total de tots els sexes; resposta JSON-stat de l'API d'Idescat</t>
        </is>
      </c>
    </row>
    <row r="2079" ht="15" customHeight="1" s="39">
      <c r="A2079" s="38" t="n">
        <v>2021</v>
      </c>
      <c r="B2079" s="42" t="inlineStr">
        <is>
          <t>431665</t>
        </is>
      </c>
      <c r="C2079" s="38" t="inlineStr">
        <is>
          <t>Vilallonga del Camp</t>
        </is>
      </c>
      <c r="D2079" s="38" t="inlineStr">
        <is>
          <t>Y037</t>
        </is>
      </c>
      <c r="E2079" s="38" t="inlineStr">
        <is>
          <t>37 anys</t>
        </is>
      </c>
      <c r="F2079" s="38" t="n">
        <v>37</v>
      </c>
      <c r="G2079" s="38" t="n">
        <v>42</v>
      </c>
      <c r="I2079" s="38" t="inlineStr">
        <is>
          <t>Total de tots els sexes; resposta JSON-stat de l'API d'Idescat</t>
        </is>
      </c>
    </row>
    <row r="2080" ht="15" customHeight="1" s="39">
      <c r="A2080" s="38" t="n">
        <v>2021</v>
      </c>
      <c r="B2080" s="42" t="inlineStr">
        <is>
          <t>431665</t>
        </is>
      </c>
      <c r="C2080" s="38" t="inlineStr">
        <is>
          <t>Vilallonga del Camp</t>
        </is>
      </c>
      <c r="D2080" s="38" t="inlineStr">
        <is>
          <t>Y038</t>
        </is>
      </c>
      <c r="E2080" s="38" t="inlineStr">
        <is>
          <t>38 anys</t>
        </is>
      </c>
      <c r="F2080" s="38" t="n">
        <v>38</v>
      </c>
      <c r="G2080" s="38" t="n">
        <v>51</v>
      </c>
      <c r="I2080" s="38" t="inlineStr">
        <is>
          <t>Total de tots els sexes; resposta JSON-stat de l'API d'Idescat</t>
        </is>
      </c>
    </row>
    <row r="2081" ht="15" customHeight="1" s="39">
      <c r="A2081" s="38" t="n">
        <v>2021</v>
      </c>
      <c r="B2081" s="42" t="inlineStr">
        <is>
          <t>431665</t>
        </is>
      </c>
      <c r="C2081" s="38" t="inlineStr">
        <is>
          <t>Vilallonga del Camp</t>
        </is>
      </c>
      <c r="D2081" s="38" t="inlineStr">
        <is>
          <t>Y039</t>
        </is>
      </c>
      <c r="E2081" s="38" t="inlineStr">
        <is>
          <t>39 anys</t>
        </is>
      </c>
      <c r="F2081" s="38" t="n">
        <v>39</v>
      </c>
      <c r="G2081" s="38" t="n">
        <v>47</v>
      </c>
      <c r="I2081" s="38" t="inlineStr">
        <is>
          <t>Total de tots els sexes; resposta JSON-stat de l'API d'Idescat</t>
        </is>
      </c>
    </row>
    <row r="2082" ht="15" customHeight="1" s="39">
      <c r="A2082" s="38" t="n">
        <v>2021</v>
      </c>
      <c r="B2082" s="42" t="inlineStr">
        <is>
          <t>431665</t>
        </is>
      </c>
      <c r="C2082" s="38" t="inlineStr">
        <is>
          <t>Vilallonga del Camp</t>
        </is>
      </c>
      <c r="D2082" s="38" t="inlineStr">
        <is>
          <t>Y040</t>
        </is>
      </c>
      <c r="E2082" s="38" t="inlineStr">
        <is>
          <t>40 anys</t>
        </is>
      </c>
      <c r="F2082" s="38" t="n">
        <v>40</v>
      </c>
      <c r="G2082" s="38" t="n">
        <v>57</v>
      </c>
      <c r="I2082" s="38" t="inlineStr">
        <is>
          <t>Total de tots els sexes; resposta JSON-stat de l'API d'Idescat</t>
        </is>
      </c>
    </row>
    <row r="2083" ht="15" customHeight="1" s="39">
      <c r="A2083" s="38" t="n">
        <v>2021</v>
      </c>
      <c r="B2083" s="42" t="inlineStr">
        <is>
          <t>431665</t>
        </is>
      </c>
      <c r="C2083" s="38" t="inlineStr">
        <is>
          <t>Vilallonga del Camp</t>
        </is>
      </c>
      <c r="D2083" s="38" t="inlineStr">
        <is>
          <t>Y041</t>
        </is>
      </c>
      <c r="E2083" s="38" t="inlineStr">
        <is>
          <t>41 anys</t>
        </is>
      </c>
      <c r="F2083" s="38" t="n">
        <v>41</v>
      </c>
      <c r="G2083" s="38" t="n">
        <v>42</v>
      </c>
      <c r="I2083" s="38" t="inlineStr">
        <is>
          <t>Total de tots els sexes; resposta JSON-stat de l'API d'Idescat</t>
        </is>
      </c>
    </row>
    <row r="2084" ht="15" customHeight="1" s="39">
      <c r="A2084" s="38" t="n">
        <v>2021</v>
      </c>
      <c r="B2084" s="42" t="inlineStr">
        <is>
          <t>431665</t>
        </is>
      </c>
      <c r="C2084" s="38" t="inlineStr">
        <is>
          <t>Vilallonga del Camp</t>
        </is>
      </c>
      <c r="D2084" s="38" t="inlineStr">
        <is>
          <t>Y042</t>
        </is>
      </c>
      <c r="E2084" s="38" t="inlineStr">
        <is>
          <t>42 anys</t>
        </is>
      </c>
      <c r="F2084" s="38" t="n">
        <v>42</v>
      </c>
      <c r="G2084" s="38" t="n">
        <v>59</v>
      </c>
      <c r="I2084" s="38" t="inlineStr">
        <is>
          <t>Total de tots els sexes; resposta JSON-stat de l'API d'Idescat</t>
        </is>
      </c>
    </row>
    <row r="2085" ht="15" customHeight="1" s="39">
      <c r="A2085" s="38" t="n">
        <v>2021</v>
      </c>
      <c r="B2085" s="42" t="inlineStr">
        <is>
          <t>431665</t>
        </is>
      </c>
      <c r="C2085" s="38" t="inlineStr">
        <is>
          <t>Vilallonga del Camp</t>
        </is>
      </c>
      <c r="D2085" s="38" t="inlineStr">
        <is>
          <t>Y043</t>
        </is>
      </c>
      <c r="E2085" s="38" t="inlineStr">
        <is>
          <t>43 anys</t>
        </is>
      </c>
      <c r="F2085" s="38" t="n">
        <v>43</v>
      </c>
      <c r="G2085" s="38" t="n">
        <v>61</v>
      </c>
      <c r="I2085" s="38" t="inlineStr">
        <is>
          <t>Total de tots els sexes; resposta JSON-stat de l'API d'Idescat</t>
        </is>
      </c>
    </row>
    <row r="2086" ht="15" customHeight="1" s="39">
      <c r="A2086" s="38" t="n">
        <v>2021</v>
      </c>
      <c r="B2086" s="42" t="inlineStr">
        <is>
          <t>431665</t>
        </is>
      </c>
      <c r="C2086" s="38" t="inlineStr">
        <is>
          <t>Vilallonga del Camp</t>
        </is>
      </c>
      <c r="D2086" s="38" t="inlineStr">
        <is>
          <t>Y044</t>
        </is>
      </c>
      <c r="E2086" s="38" t="inlineStr">
        <is>
          <t>44 anys</t>
        </is>
      </c>
      <c r="F2086" s="38" t="n">
        <v>44</v>
      </c>
      <c r="G2086" s="38" t="n">
        <v>44</v>
      </c>
      <c r="I2086" s="38" t="inlineStr">
        <is>
          <t>Total de tots els sexes; resposta JSON-stat de l'API d'Idescat</t>
        </is>
      </c>
    </row>
    <row r="2087" ht="15" customHeight="1" s="39">
      <c r="A2087" s="38" t="n">
        <v>2021</v>
      </c>
      <c r="B2087" s="42" t="inlineStr">
        <is>
          <t>431665</t>
        </is>
      </c>
      <c r="C2087" s="38" t="inlineStr">
        <is>
          <t>Vilallonga del Camp</t>
        </is>
      </c>
      <c r="D2087" s="38" t="inlineStr">
        <is>
          <t>Y045</t>
        </is>
      </c>
      <c r="E2087" s="38" t="inlineStr">
        <is>
          <t>45 anys</t>
        </is>
      </c>
      <c r="F2087" s="38" t="n">
        <v>45</v>
      </c>
      <c r="G2087" s="38" t="n">
        <v>60</v>
      </c>
      <c r="I2087" s="38" t="inlineStr">
        <is>
          <t>Total de tots els sexes; resposta JSON-stat de l'API d'Idescat</t>
        </is>
      </c>
    </row>
    <row r="2088" ht="15" customHeight="1" s="39">
      <c r="A2088" s="38" t="n">
        <v>2021</v>
      </c>
      <c r="B2088" s="42" t="inlineStr">
        <is>
          <t>431665</t>
        </is>
      </c>
      <c r="C2088" s="38" t="inlineStr">
        <is>
          <t>Vilallonga del Camp</t>
        </is>
      </c>
      <c r="D2088" s="38" t="inlineStr">
        <is>
          <t>Y046</t>
        </is>
      </c>
      <c r="E2088" s="38" t="inlineStr">
        <is>
          <t>46 anys</t>
        </is>
      </c>
      <c r="F2088" s="38" t="n">
        <v>46</v>
      </c>
      <c r="G2088" s="38" t="n">
        <v>44</v>
      </c>
      <c r="I2088" s="38" t="inlineStr">
        <is>
          <t>Total de tots els sexes; resposta JSON-stat de l'API d'Idescat</t>
        </is>
      </c>
    </row>
    <row r="2089" ht="15" customHeight="1" s="39">
      <c r="A2089" s="38" t="n">
        <v>2021</v>
      </c>
      <c r="B2089" s="42" t="inlineStr">
        <is>
          <t>431665</t>
        </is>
      </c>
      <c r="C2089" s="38" t="inlineStr">
        <is>
          <t>Vilallonga del Camp</t>
        </is>
      </c>
      <c r="D2089" s="38" t="inlineStr">
        <is>
          <t>Y047</t>
        </is>
      </c>
      <c r="E2089" s="38" t="inlineStr">
        <is>
          <t>47 anys</t>
        </is>
      </c>
      <c r="F2089" s="38" t="n">
        <v>47</v>
      </c>
      <c r="G2089" s="38" t="n">
        <v>43</v>
      </c>
      <c r="I2089" s="38" t="inlineStr">
        <is>
          <t>Total de tots els sexes; resposta JSON-stat de l'API d'Idescat</t>
        </is>
      </c>
    </row>
    <row r="2090" ht="15" customHeight="1" s="39">
      <c r="A2090" s="38" t="n">
        <v>2021</v>
      </c>
      <c r="B2090" s="42" t="inlineStr">
        <is>
          <t>431665</t>
        </is>
      </c>
      <c r="C2090" s="38" t="inlineStr">
        <is>
          <t>Vilallonga del Camp</t>
        </is>
      </c>
      <c r="D2090" s="38" t="inlineStr">
        <is>
          <t>Y048</t>
        </is>
      </c>
      <c r="E2090" s="38" t="inlineStr">
        <is>
          <t>48 anys</t>
        </is>
      </c>
      <c r="F2090" s="38" t="n">
        <v>48</v>
      </c>
      <c r="G2090" s="38" t="n">
        <v>38</v>
      </c>
      <c r="I2090" s="38" t="inlineStr">
        <is>
          <t>Total de tots els sexes; resposta JSON-stat de l'API d'Idescat</t>
        </is>
      </c>
    </row>
    <row r="2091" ht="15" customHeight="1" s="39">
      <c r="A2091" s="38" t="n">
        <v>2021</v>
      </c>
      <c r="B2091" s="42" t="inlineStr">
        <is>
          <t>431665</t>
        </is>
      </c>
      <c r="C2091" s="38" t="inlineStr">
        <is>
          <t>Vilallonga del Camp</t>
        </is>
      </c>
      <c r="D2091" s="38" t="inlineStr">
        <is>
          <t>Y049</t>
        </is>
      </c>
      <c r="E2091" s="38" t="inlineStr">
        <is>
          <t>49 anys</t>
        </is>
      </c>
      <c r="F2091" s="38" t="n">
        <v>49</v>
      </c>
      <c r="G2091" s="38" t="n">
        <v>38</v>
      </c>
      <c r="I2091" s="38" t="inlineStr">
        <is>
          <t>Total de tots els sexes; resposta JSON-stat de l'API d'Idescat</t>
        </is>
      </c>
    </row>
    <row r="2092" ht="15" customHeight="1" s="39">
      <c r="A2092" s="38" t="n">
        <v>2021</v>
      </c>
      <c r="B2092" s="42" t="inlineStr">
        <is>
          <t>431665</t>
        </is>
      </c>
      <c r="C2092" s="38" t="inlineStr">
        <is>
          <t>Vilallonga del Camp</t>
        </is>
      </c>
      <c r="D2092" s="38" t="inlineStr">
        <is>
          <t>Y050</t>
        </is>
      </c>
      <c r="E2092" s="38" t="inlineStr">
        <is>
          <t>50 anys</t>
        </is>
      </c>
      <c r="F2092" s="38" t="n">
        <v>50</v>
      </c>
      <c r="G2092" s="38" t="n">
        <v>25</v>
      </c>
      <c r="I2092" s="38" t="inlineStr">
        <is>
          <t>Total de tots els sexes; resposta JSON-stat de l'API d'Idescat</t>
        </is>
      </c>
    </row>
    <row r="2093" ht="15" customHeight="1" s="39">
      <c r="A2093" s="38" t="n">
        <v>2021</v>
      </c>
      <c r="B2093" s="42" t="inlineStr">
        <is>
          <t>431665</t>
        </is>
      </c>
      <c r="C2093" s="38" t="inlineStr">
        <is>
          <t>Vilallonga del Camp</t>
        </is>
      </c>
      <c r="D2093" s="38" t="inlineStr">
        <is>
          <t>Y051</t>
        </is>
      </c>
      <c r="E2093" s="38" t="inlineStr">
        <is>
          <t>51 anys</t>
        </is>
      </c>
      <c r="F2093" s="38" t="n">
        <v>51</v>
      </c>
      <c r="G2093" s="38" t="n">
        <v>38</v>
      </c>
      <c r="I2093" s="38" t="inlineStr">
        <is>
          <t>Total de tots els sexes; resposta JSON-stat de l'API d'Idescat</t>
        </is>
      </c>
    </row>
    <row r="2094" ht="15" customHeight="1" s="39">
      <c r="A2094" s="38" t="n">
        <v>2021</v>
      </c>
      <c r="B2094" s="42" t="inlineStr">
        <is>
          <t>431665</t>
        </is>
      </c>
      <c r="C2094" s="38" t="inlineStr">
        <is>
          <t>Vilallonga del Camp</t>
        </is>
      </c>
      <c r="D2094" s="38" t="inlineStr">
        <is>
          <t>Y052</t>
        </is>
      </c>
      <c r="E2094" s="38" t="inlineStr">
        <is>
          <t>52 anys</t>
        </is>
      </c>
      <c r="F2094" s="38" t="n">
        <v>52</v>
      </c>
      <c r="G2094" s="38" t="n">
        <v>25</v>
      </c>
      <c r="I2094" s="38" t="inlineStr">
        <is>
          <t>Total de tots els sexes; resposta JSON-stat de l'API d'Idescat</t>
        </is>
      </c>
    </row>
    <row r="2095" ht="15" customHeight="1" s="39">
      <c r="A2095" s="38" t="n">
        <v>2021</v>
      </c>
      <c r="B2095" s="42" t="inlineStr">
        <is>
          <t>431665</t>
        </is>
      </c>
      <c r="C2095" s="38" t="inlineStr">
        <is>
          <t>Vilallonga del Camp</t>
        </is>
      </c>
      <c r="D2095" s="38" t="inlineStr">
        <is>
          <t>Y053</t>
        </is>
      </c>
      <c r="E2095" s="38" t="inlineStr">
        <is>
          <t>53 anys</t>
        </is>
      </c>
      <c r="F2095" s="38" t="n">
        <v>53</v>
      </c>
      <c r="G2095" s="38" t="n">
        <v>25</v>
      </c>
      <c r="I2095" s="38" t="inlineStr">
        <is>
          <t>Total de tots els sexes; resposta JSON-stat de l'API d'Idescat</t>
        </is>
      </c>
    </row>
    <row r="2096" ht="15" customHeight="1" s="39">
      <c r="A2096" s="38" t="n">
        <v>2021</v>
      </c>
      <c r="B2096" s="42" t="inlineStr">
        <is>
          <t>431665</t>
        </is>
      </c>
      <c r="C2096" s="38" t="inlineStr">
        <is>
          <t>Vilallonga del Camp</t>
        </is>
      </c>
      <c r="D2096" s="38" t="inlineStr">
        <is>
          <t>Y054</t>
        </is>
      </c>
      <c r="E2096" s="38" t="inlineStr">
        <is>
          <t>54 anys</t>
        </is>
      </c>
      <c r="F2096" s="38" t="n">
        <v>54</v>
      </c>
      <c r="G2096" s="38" t="n">
        <v>24</v>
      </c>
      <c r="I2096" s="38" t="inlineStr">
        <is>
          <t>Total de tots els sexes; resposta JSON-stat de l'API d'Idescat</t>
        </is>
      </c>
    </row>
    <row r="2097" ht="15" customHeight="1" s="39">
      <c r="A2097" s="38" t="n">
        <v>2021</v>
      </c>
      <c r="B2097" s="42" t="inlineStr">
        <is>
          <t>431665</t>
        </is>
      </c>
      <c r="C2097" s="38" t="inlineStr">
        <is>
          <t>Vilallonga del Camp</t>
        </is>
      </c>
      <c r="D2097" s="38" t="inlineStr">
        <is>
          <t>Y055</t>
        </is>
      </c>
      <c r="E2097" s="38" t="inlineStr">
        <is>
          <t>55 anys</t>
        </is>
      </c>
      <c r="F2097" s="38" t="n">
        <v>55</v>
      </c>
      <c r="G2097" s="38" t="n">
        <v>20</v>
      </c>
      <c r="I2097" s="38" t="inlineStr">
        <is>
          <t>Total de tots els sexes; resposta JSON-stat de l'API d'Idescat</t>
        </is>
      </c>
    </row>
    <row r="2098" ht="15" customHeight="1" s="39">
      <c r="A2098" s="38" t="n">
        <v>2021</v>
      </c>
      <c r="B2098" s="42" t="inlineStr">
        <is>
          <t>431665</t>
        </is>
      </c>
      <c r="C2098" s="38" t="inlineStr">
        <is>
          <t>Vilallonga del Camp</t>
        </is>
      </c>
      <c r="D2098" s="38" t="inlineStr">
        <is>
          <t>Y056</t>
        </is>
      </c>
      <c r="E2098" s="38" t="inlineStr">
        <is>
          <t>56 anys</t>
        </is>
      </c>
      <c r="F2098" s="38" t="n">
        <v>56</v>
      </c>
      <c r="G2098" s="38" t="n">
        <v>28</v>
      </c>
      <c r="I2098" s="38" t="inlineStr">
        <is>
          <t>Total de tots els sexes; resposta JSON-stat de l'API d'Idescat</t>
        </is>
      </c>
    </row>
    <row r="2099" ht="15" customHeight="1" s="39">
      <c r="A2099" s="38" t="n">
        <v>2021</v>
      </c>
      <c r="B2099" s="42" t="inlineStr">
        <is>
          <t>431665</t>
        </is>
      </c>
      <c r="C2099" s="38" t="inlineStr">
        <is>
          <t>Vilallonga del Camp</t>
        </is>
      </c>
      <c r="D2099" s="38" t="inlineStr">
        <is>
          <t>Y057</t>
        </is>
      </c>
      <c r="E2099" s="38" t="inlineStr">
        <is>
          <t>57 anys</t>
        </is>
      </c>
      <c r="F2099" s="38" t="n">
        <v>57</v>
      </c>
      <c r="G2099" s="38" t="n">
        <v>26</v>
      </c>
      <c r="I2099" s="38" t="inlineStr">
        <is>
          <t>Total de tots els sexes; resposta JSON-stat de l'API d'Idescat</t>
        </is>
      </c>
    </row>
    <row r="2100" ht="15" customHeight="1" s="39">
      <c r="A2100" s="38" t="n">
        <v>2021</v>
      </c>
      <c r="B2100" s="42" t="inlineStr">
        <is>
          <t>431665</t>
        </is>
      </c>
      <c r="C2100" s="38" t="inlineStr">
        <is>
          <t>Vilallonga del Camp</t>
        </is>
      </c>
      <c r="D2100" s="38" t="inlineStr">
        <is>
          <t>Y058</t>
        </is>
      </c>
      <c r="E2100" s="38" t="inlineStr">
        <is>
          <t>58 anys</t>
        </is>
      </c>
      <c r="F2100" s="38" t="n">
        <v>58</v>
      </c>
      <c r="G2100" s="38" t="n">
        <v>24</v>
      </c>
      <c r="I2100" s="38" t="inlineStr">
        <is>
          <t>Total de tots els sexes; resposta JSON-stat de l'API d'Idescat</t>
        </is>
      </c>
    </row>
    <row r="2101" ht="15" customHeight="1" s="39">
      <c r="A2101" s="38" t="n">
        <v>2021</v>
      </c>
      <c r="B2101" s="42" t="inlineStr">
        <is>
          <t>431665</t>
        </is>
      </c>
      <c r="C2101" s="38" t="inlineStr">
        <is>
          <t>Vilallonga del Camp</t>
        </is>
      </c>
      <c r="D2101" s="38" t="inlineStr">
        <is>
          <t>Y059</t>
        </is>
      </c>
      <c r="E2101" s="38" t="inlineStr">
        <is>
          <t>59 anys</t>
        </is>
      </c>
      <c r="F2101" s="38" t="n">
        <v>59</v>
      </c>
      <c r="G2101" s="38" t="n">
        <v>23</v>
      </c>
      <c r="I2101" s="38" t="inlineStr">
        <is>
          <t>Total de tots els sexes; resposta JSON-stat de l'API d'Idescat</t>
        </is>
      </c>
    </row>
    <row r="2102" ht="15" customHeight="1" s="39">
      <c r="A2102" s="38" t="n">
        <v>2021</v>
      </c>
      <c r="B2102" s="42" t="inlineStr">
        <is>
          <t>431665</t>
        </is>
      </c>
      <c r="C2102" s="38" t="inlineStr">
        <is>
          <t>Vilallonga del Camp</t>
        </is>
      </c>
      <c r="D2102" s="38" t="inlineStr">
        <is>
          <t>Y060</t>
        </is>
      </c>
      <c r="E2102" s="38" t="inlineStr">
        <is>
          <t>60 anys</t>
        </is>
      </c>
      <c r="F2102" s="38" t="n">
        <v>60</v>
      </c>
      <c r="G2102" s="38" t="n">
        <v>29</v>
      </c>
      <c r="I2102" s="38" t="inlineStr">
        <is>
          <t>Total de tots els sexes; resposta JSON-stat de l'API d'Idescat</t>
        </is>
      </c>
    </row>
    <row r="2103" ht="15" customHeight="1" s="39">
      <c r="A2103" s="38" t="n">
        <v>2021</v>
      </c>
      <c r="B2103" s="42" t="inlineStr">
        <is>
          <t>431665</t>
        </is>
      </c>
      <c r="C2103" s="38" t="inlineStr">
        <is>
          <t>Vilallonga del Camp</t>
        </is>
      </c>
      <c r="D2103" s="38" t="inlineStr">
        <is>
          <t>Y061</t>
        </is>
      </c>
      <c r="E2103" s="38" t="inlineStr">
        <is>
          <t>61 anys</t>
        </is>
      </c>
      <c r="F2103" s="38" t="n">
        <v>61</v>
      </c>
      <c r="G2103" s="38" t="n">
        <v>15</v>
      </c>
      <c r="I2103" s="38" t="inlineStr">
        <is>
          <t>Total de tots els sexes; resposta JSON-stat de l'API d'Idescat</t>
        </is>
      </c>
    </row>
    <row r="2104" ht="15" customHeight="1" s="39">
      <c r="A2104" s="38" t="n">
        <v>2021</v>
      </c>
      <c r="B2104" s="42" t="inlineStr">
        <is>
          <t>431665</t>
        </is>
      </c>
      <c r="C2104" s="38" t="inlineStr">
        <is>
          <t>Vilallonga del Camp</t>
        </is>
      </c>
      <c r="D2104" s="38" t="inlineStr">
        <is>
          <t>Y062</t>
        </is>
      </c>
      <c r="E2104" s="38" t="inlineStr">
        <is>
          <t>62 anys</t>
        </is>
      </c>
      <c r="F2104" s="38" t="n">
        <v>62</v>
      </c>
      <c r="G2104" s="38" t="n">
        <v>18</v>
      </c>
      <c r="I2104" s="38" t="inlineStr">
        <is>
          <t>Total de tots els sexes; resposta JSON-stat de l'API d'Idescat</t>
        </is>
      </c>
    </row>
    <row r="2105" ht="15" customHeight="1" s="39">
      <c r="A2105" s="38" t="n">
        <v>2021</v>
      </c>
      <c r="B2105" s="42" t="inlineStr">
        <is>
          <t>431665</t>
        </is>
      </c>
      <c r="C2105" s="38" t="inlineStr">
        <is>
          <t>Vilallonga del Camp</t>
        </is>
      </c>
      <c r="D2105" s="38" t="inlineStr">
        <is>
          <t>Y063</t>
        </is>
      </c>
      <c r="E2105" s="38" t="inlineStr">
        <is>
          <t>63 anys</t>
        </is>
      </c>
      <c r="F2105" s="38" t="n">
        <v>63</v>
      </c>
      <c r="G2105" s="38" t="n">
        <v>24</v>
      </c>
      <c r="I2105" s="38" t="inlineStr">
        <is>
          <t>Total de tots els sexes; resposta JSON-stat de l'API d'Idescat</t>
        </is>
      </c>
    </row>
    <row r="2106" ht="15" customHeight="1" s="39">
      <c r="A2106" s="38" t="n">
        <v>2021</v>
      </c>
      <c r="B2106" s="42" t="inlineStr">
        <is>
          <t>431665</t>
        </is>
      </c>
      <c r="C2106" s="38" t="inlineStr">
        <is>
          <t>Vilallonga del Camp</t>
        </is>
      </c>
      <c r="D2106" s="38" t="inlineStr">
        <is>
          <t>Y064</t>
        </is>
      </c>
      <c r="E2106" s="38" t="inlineStr">
        <is>
          <t>64 anys</t>
        </is>
      </c>
      <c r="F2106" s="38" t="n">
        <v>64</v>
      </c>
      <c r="G2106" s="38" t="n">
        <v>14</v>
      </c>
      <c r="I2106" s="38" t="inlineStr">
        <is>
          <t>Total de tots els sexes; resposta JSON-stat de l'API d'Idescat</t>
        </is>
      </c>
    </row>
    <row r="2107" ht="15" customHeight="1" s="39">
      <c r="A2107" s="38" t="n">
        <v>2021</v>
      </c>
      <c r="B2107" s="42" t="inlineStr">
        <is>
          <t>431665</t>
        </is>
      </c>
      <c r="C2107" s="38" t="inlineStr">
        <is>
          <t>Vilallonga del Camp</t>
        </is>
      </c>
      <c r="D2107" s="38" t="inlineStr">
        <is>
          <t>Y065</t>
        </is>
      </c>
      <c r="E2107" s="38" t="inlineStr">
        <is>
          <t>65 anys</t>
        </is>
      </c>
      <c r="F2107" s="38" t="n">
        <v>65</v>
      </c>
      <c r="G2107" s="38" t="n">
        <v>24</v>
      </c>
      <c r="I2107" s="38" t="inlineStr">
        <is>
          <t>Total de tots els sexes; resposta JSON-stat de l'API d'Idescat</t>
        </is>
      </c>
    </row>
    <row r="2108" ht="15" customHeight="1" s="39">
      <c r="A2108" s="38" t="n">
        <v>2021</v>
      </c>
      <c r="B2108" s="42" t="inlineStr">
        <is>
          <t>431665</t>
        </is>
      </c>
      <c r="C2108" s="38" t="inlineStr">
        <is>
          <t>Vilallonga del Camp</t>
        </is>
      </c>
      <c r="D2108" s="38" t="inlineStr">
        <is>
          <t>Y066</t>
        </is>
      </c>
      <c r="E2108" s="38" t="inlineStr">
        <is>
          <t>66 anys</t>
        </is>
      </c>
      <c r="F2108" s="38" t="n">
        <v>66</v>
      </c>
      <c r="G2108" s="38" t="n">
        <v>23</v>
      </c>
      <c r="I2108" s="38" t="inlineStr">
        <is>
          <t>Total de tots els sexes; resposta JSON-stat de l'API d'Idescat</t>
        </is>
      </c>
    </row>
    <row r="2109" ht="15" customHeight="1" s="39">
      <c r="A2109" s="38" t="n">
        <v>2021</v>
      </c>
      <c r="B2109" s="42" t="inlineStr">
        <is>
          <t>431665</t>
        </is>
      </c>
      <c r="C2109" s="38" t="inlineStr">
        <is>
          <t>Vilallonga del Camp</t>
        </is>
      </c>
      <c r="D2109" s="38" t="inlineStr">
        <is>
          <t>Y067</t>
        </is>
      </c>
      <c r="E2109" s="38" t="inlineStr">
        <is>
          <t>67 anys</t>
        </is>
      </c>
      <c r="F2109" s="38" t="n">
        <v>67</v>
      </c>
      <c r="G2109" s="38" t="n">
        <v>15</v>
      </c>
      <c r="I2109" s="38" t="inlineStr">
        <is>
          <t>Total de tots els sexes; resposta JSON-stat de l'API d'Idescat</t>
        </is>
      </c>
    </row>
    <row r="2110" ht="15" customHeight="1" s="39">
      <c r="A2110" s="38" t="n">
        <v>2021</v>
      </c>
      <c r="B2110" s="42" t="inlineStr">
        <is>
          <t>431665</t>
        </is>
      </c>
      <c r="C2110" s="38" t="inlineStr">
        <is>
          <t>Vilallonga del Camp</t>
        </is>
      </c>
      <c r="D2110" s="38" t="inlineStr">
        <is>
          <t>Y068</t>
        </is>
      </c>
      <c r="E2110" s="38" t="inlineStr">
        <is>
          <t>68 anys</t>
        </is>
      </c>
      <c r="F2110" s="38" t="n">
        <v>68</v>
      </c>
      <c r="G2110" s="38" t="n">
        <v>26</v>
      </c>
      <c r="I2110" s="38" t="inlineStr">
        <is>
          <t>Total de tots els sexes; resposta JSON-stat de l'API d'Idescat</t>
        </is>
      </c>
    </row>
    <row r="2111" ht="15" customHeight="1" s="39">
      <c r="A2111" s="38" t="n">
        <v>2021</v>
      </c>
      <c r="B2111" s="42" t="inlineStr">
        <is>
          <t>431665</t>
        </is>
      </c>
      <c r="C2111" s="38" t="inlineStr">
        <is>
          <t>Vilallonga del Camp</t>
        </is>
      </c>
      <c r="D2111" s="38" t="inlineStr">
        <is>
          <t>Y069</t>
        </is>
      </c>
      <c r="E2111" s="38" t="inlineStr">
        <is>
          <t>69 anys</t>
        </is>
      </c>
      <c r="F2111" s="38" t="n">
        <v>69</v>
      </c>
      <c r="G2111" s="38" t="n">
        <v>14</v>
      </c>
      <c r="I2111" s="38" t="inlineStr">
        <is>
          <t>Total de tots els sexes; resposta JSON-stat de l'API d'Idescat</t>
        </is>
      </c>
    </row>
    <row r="2112" ht="15" customHeight="1" s="39">
      <c r="A2112" s="38" t="n">
        <v>2021</v>
      </c>
      <c r="B2112" s="42" t="inlineStr">
        <is>
          <t>431665</t>
        </is>
      </c>
      <c r="C2112" s="38" t="inlineStr">
        <is>
          <t>Vilallonga del Camp</t>
        </is>
      </c>
      <c r="D2112" s="38" t="inlineStr">
        <is>
          <t>Y070</t>
        </is>
      </c>
      <c r="E2112" s="38" t="inlineStr">
        <is>
          <t>70 anys</t>
        </is>
      </c>
      <c r="F2112" s="38" t="n">
        <v>70</v>
      </c>
      <c r="G2112" s="38" t="n">
        <v>17</v>
      </c>
      <c r="I2112" s="38" t="inlineStr">
        <is>
          <t>Total de tots els sexes; resposta JSON-stat de l'API d'Idescat</t>
        </is>
      </c>
    </row>
    <row r="2113" ht="15" customHeight="1" s="39">
      <c r="A2113" s="38" t="n">
        <v>2021</v>
      </c>
      <c r="B2113" s="42" t="inlineStr">
        <is>
          <t>431665</t>
        </is>
      </c>
      <c r="C2113" s="38" t="inlineStr">
        <is>
          <t>Vilallonga del Camp</t>
        </is>
      </c>
      <c r="D2113" s="38" t="inlineStr">
        <is>
          <t>Y071</t>
        </is>
      </c>
      <c r="E2113" s="38" t="inlineStr">
        <is>
          <t>71 anys</t>
        </is>
      </c>
      <c r="F2113" s="38" t="n">
        <v>71</v>
      </c>
      <c r="G2113" s="38" t="n">
        <v>15</v>
      </c>
      <c r="I2113" s="38" t="inlineStr">
        <is>
          <t>Total de tots els sexes; resposta JSON-stat de l'API d'Idescat</t>
        </is>
      </c>
    </row>
    <row r="2114" ht="15" customHeight="1" s="39">
      <c r="A2114" s="38" t="n">
        <v>2021</v>
      </c>
      <c r="B2114" s="42" t="inlineStr">
        <is>
          <t>431665</t>
        </is>
      </c>
      <c r="C2114" s="38" t="inlineStr">
        <is>
          <t>Vilallonga del Camp</t>
        </is>
      </c>
      <c r="D2114" s="38" t="inlineStr">
        <is>
          <t>Y072</t>
        </is>
      </c>
      <c r="E2114" s="38" t="inlineStr">
        <is>
          <t>72 anys</t>
        </is>
      </c>
      <c r="F2114" s="38" t="n">
        <v>72</v>
      </c>
      <c r="G2114" s="38" t="n">
        <v>16</v>
      </c>
      <c r="I2114" s="38" t="inlineStr">
        <is>
          <t>Total de tots els sexes; resposta JSON-stat de l'API d'Idescat</t>
        </is>
      </c>
    </row>
    <row r="2115" ht="15" customHeight="1" s="39">
      <c r="A2115" s="38" t="n">
        <v>2021</v>
      </c>
      <c r="B2115" s="42" t="inlineStr">
        <is>
          <t>431665</t>
        </is>
      </c>
      <c r="C2115" s="38" t="inlineStr">
        <is>
          <t>Vilallonga del Camp</t>
        </is>
      </c>
      <c r="D2115" s="38" t="inlineStr">
        <is>
          <t>Y073</t>
        </is>
      </c>
      <c r="E2115" s="38" t="inlineStr">
        <is>
          <t>73 anys</t>
        </is>
      </c>
      <c r="F2115" s="38" t="n">
        <v>73</v>
      </c>
      <c r="G2115" s="38" t="n">
        <v>13</v>
      </c>
      <c r="I2115" s="38" t="inlineStr">
        <is>
          <t>Total de tots els sexes; resposta JSON-stat de l'API d'Idescat</t>
        </is>
      </c>
    </row>
    <row r="2116" ht="15" customHeight="1" s="39">
      <c r="A2116" s="38" t="n">
        <v>2021</v>
      </c>
      <c r="B2116" s="42" t="inlineStr">
        <is>
          <t>431665</t>
        </is>
      </c>
      <c r="C2116" s="38" t="inlineStr">
        <is>
          <t>Vilallonga del Camp</t>
        </is>
      </c>
      <c r="D2116" s="38" t="inlineStr">
        <is>
          <t>Y074</t>
        </is>
      </c>
      <c r="E2116" s="38" t="inlineStr">
        <is>
          <t>74 anys</t>
        </is>
      </c>
      <c r="F2116" s="38" t="n">
        <v>74</v>
      </c>
      <c r="G2116" s="38" t="n">
        <v>16</v>
      </c>
      <c r="I2116" s="38" t="inlineStr">
        <is>
          <t>Total de tots els sexes; resposta JSON-stat de l'API d'Idescat</t>
        </is>
      </c>
    </row>
    <row r="2117" ht="15" customHeight="1" s="39">
      <c r="A2117" s="38" t="n">
        <v>2021</v>
      </c>
      <c r="B2117" s="42" t="inlineStr">
        <is>
          <t>431665</t>
        </is>
      </c>
      <c r="C2117" s="38" t="inlineStr">
        <is>
          <t>Vilallonga del Camp</t>
        </is>
      </c>
      <c r="D2117" s="38" t="inlineStr">
        <is>
          <t>Y075</t>
        </is>
      </c>
      <c r="E2117" s="38" t="inlineStr">
        <is>
          <t>75 anys</t>
        </is>
      </c>
      <c r="F2117" s="38" t="n">
        <v>75</v>
      </c>
      <c r="G2117" s="38" t="n">
        <v>13</v>
      </c>
      <c r="I2117" s="38" t="inlineStr">
        <is>
          <t>Total de tots els sexes; resposta JSON-stat de l'API d'Idescat</t>
        </is>
      </c>
    </row>
    <row r="2118" ht="15" customHeight="1" s="39">
      <c r="A2118" s="38" t="n">
        <v>2021</v>
      </c>
      <c r="B2118" s="42" t="inlineStr">
        <is>
          <t>431665</t>
        </is>
      </c>
      <c r="C2118" s="38" t="inlineStr">
        <is>
          <t>Vilallonga del Camp</t>
        </is>
      </c>
      <c r="D2118" s="38" t="inlineStr">
        <is>
          <t>Y076</t>
        </is>
      </c>
      <c r="E2118" s="38" t="inlineStr">
        <is>
          <t>76 anys</t>
        </is>
      </c>
      <c r="F2118" s="38" t="n">
        <v>76</v>
      </c>
      <c r="G2118" s="38" t="n">
        <v>15</v>
      </c>
      <c r="I2118" s="38" t="inlineStr">
        <is>
          <t>Total de tots els sexes; resposta JSON-stat de l'API d'Idescat</t>
        </is>
      </c>
    </row>
    <row r="2119" ht="15" customHeight="1" s="39">
      <c r="A2119" s="38" t="n">
        <v>2021</v>
      </c>
      <c r="B2119" s="42" t="inlineStr">
        <is>
          <t>431665</t>
        </is>
      </c>
      <c r="C2119" s="38" t="inlineStr">
        <is>
          <t>Vilallonga del Camp</t>
        </is>
      </c>
      <c r="D2119" s="38" t="inlineStr">
        <is>
          <t>Y077</t>
        </is>
      </c>
      <c r="E2119" s="38" t="inlineStr">
        <is>
          <t>77 anys</t>
        </is>
      </c>
      <c r="F2119" s="38" t="n">
        <v>77</v>
      </c>
      <c r="G2119" s="38" t="n">
        <v>13</v>
      </c>
      <c r="I2119" s="38" t="inlineStr">
        <is>
          <t>Total de tots els sexes; resposta JSON-stat de l'API d'Idescat</t>
        </is>
      </c>
    </row>
    <row r="2120" ht="15" customHeight="1" s="39">
      <c r="A2120" s="38" t="n">
        <v>2021</v>
      </c>
      <c r="B2120" s="42" t="inlineStr">
        <is>
          <t>431665</t>
        </is>
      </c>
      <c r="C2120" s="38" t="inlineStr">
        <is>
          <t>Vilallonga del Camp</t>
        </is>
      </c>
      <c r="D2120" s="38" t="inlineStr">
        <is>
          <t>Y078</t>
        </is>
      </c>
      <c r="E2120" s="38" t="inlineStr">
        <is>
          <t>78 anys</t>
        </is>
      </c>
      <c r="F2120" s="38" t="n">
        <v>78</v>
      </c>
      <c r="G2120" s="38" t="n">
        <v>15</v>
      </c>
      <c r="I2120" s="38" t="inlineStr">
        <is>
          <t>Total de tots els sexes; resposta JSON-stat de l'API d'Idescat</t>
        </is>
      </c>
    </row>
    <row r="2121" ht="15" customHeight="1" s="39">
      <c r="A2121" s="38" t="n">
        <v>2021</v>
      </c>
      <c r="B2121" s="42" t="inlineStr">
        <is>
          <t>431665</t>
        </is>
      </c>
      <c r="C2121" s="38" t="inlineStr">
        <is>
          <t>Vilallonga del Camp</t>
        </is>
      </c>
      <c r="D2121" s="38" t="inlineStr">
        <is>
          <t>Y079</t>
        </is>
      </c>
      <c r="E2121" s="38" t="inlineStr">
        <is>
          <t>79 anys</t>
        </is>
      </c>
      <c r="F2121" s="38" t="n">
        <v>79</v>
      </c>
      <c r="G2121" s="38" t="n">
        <v>13</v>
      </c>
      <c r="I2121" s="38" t="inlineStr">
        <is>
          <t>Total de tots els sexes; resposta JSON-stat de l'API d'Idescat</t>
        </is>
      </c>
    </row>
    <row r="2122" ht="15" customHeight="1" s="39">
      <c r="A2122" s="38" t="n">
        <v>2021</v>
      </c>
      <c r="B2122" s="42" t="inlineStr">
        <is>
          <t>431665</t>
        </is>
      </c>
      <c r="C2122" s="38" t="inlineStr">
        <is>
          <t>Vilallonga del Camp</t>
        </is>
      </c>
      <c r="D2122" s="38" t="inlineStr">
        <is>
          <t>Y080</t>
        </is>
      </c>
      <c r="E2122" s="38" t="inlineStr">
        <is>
          <t>80 anys</t>
        </is>
      </c>
      <c r="F2122" s="38" t="n">
        <v>80</v>
      </c>
      <c r="G2122" s="38" t="n">
        <v>8</v>
      </c>
      <c r="I2122" s="38" t="inlineStr">
        <is>
          <t>Total de tots els sexes; resposta JSON-stat de l'API d'Idescat</t>
        </is>
      </c>
    </row>
    <row r="2123" ht="15" customHeight="1" s="39">
      <c r="A2123" s="38" t="n">
        <v>2021</v>
      </c>
      <c r="B2123" s="42" t="inlineStr">
        <is>
          <t>431665</t>
        </is>
      </c>
      <c r="C2123" s="38" t="inlineStr">
        <is>
          <t>Vilallonga del Camp</t>
        </is>
      </c>
      <c r="D2123" s="38" t="inlineStr">
        <is>
          <t>Y081</t>
        </is>
      </c>
      <c r="E2123" s="38" t="inlineStr">
        <is>
          <t>81 anys</t>
        </is>
      </c>
      <c r="F2123" s="38" t="n">
        <v>81</v>
      </c>
      <c r="G2123" s="38" t="n">
        <v>3</v>
      </c>
      <c r="I2123" s="38" t="inlineStr">
        <is>
          <t>Total de tots els sexes; resposta JSON-stat de l'API d'Idescat</t>
        </is>
      </c>
    </row>
    <row r="2124" ht="15" customHeight="1" s="39">
      <c r="A2124" s="38" t="n">
        <v>2021</v>
      </c>
      <c r="B2124" s="42" t="inlineStr">
        <is>
          <t>431665</t>
        </is>
      </c>
      <c r="C2124" s="38" t="inlineStr">
        <is>
          <t>Vilallonga del Camp</t>
        </is>
      </c>
      <c r="D2124" s="38" t="inlineStr">
        <is>
          <t>Y082</t>
        </is>
      </c>
      <c r="E2124" s="38" t="inlineStr">
        <is>
          <t>82 anys</t>
        </is>
      </c>
      <c r="F2124" s="38" t="n">
        <v>82</v>
      </c>
      <c r="G2124" s="38" t="n">
        <v>4</v>
      </c>
      <c r="I2124" s="38" t="inlineStr">
        <is>
          <t>Total de tots els sexes; resposta JSON-stat de l'API d'Idescat</t>
        </is>
      </c>
    </row>
    <row r="2125" ht="15" customHeight="1" s="39">
      <c r="A2125" s="38" t="n">
        <v>2021</v>
      </c>
      <c r="B2125" s="42" t="inlineStr">
        <is>
          <t>431665</t>
        </is>
      </c>
      <c r="C2125" s="38" t="inlineStr">
        <is>
          <t>Vilallonga del Camp</t>
        </is>
      </c>
      <c r="D2125" s="38" t="inlineStr">
        <is>
          <t>Y083</t>
        </is>
      </c>
      <c r="E2125" s="38" t="inlineStr">
        <is>
          <t>83 anys</t>
        </is>
      </c>
      <c r="F2125" s="38" t="n">
        <v>83</v>
      </c>
      <c r="G2125" s="38" t="n">
        <v>7</v>
      </c>
      <c r="I2125" s="38" t="inlineStr">
        <is>
          <t>Total de tots els sexes; resposta JSON-stat de l'API d'Idescat</t>
        </is>
      </c>
    </row>
    <row r="2126" ht="15" customHeight="1" s="39">
      <c r="A2126" s="38" t="n">
        <v>2021</v>
      </c>
      <c r="B2126" s="42" t="inlineStr">
        <is>
          <t>431665</t>
        </is>
      </c>
      <c r="C2126" s="38" t="inlineStr">
        <is>
          <t>Vilallonga del Camp</t>
        </is>
      </c>
      <c r="D2126" s="38" t="inlineStr">
        <is>
          <t>Y084</t>
        </is>
      </c>
      <c r="E2126" s="38" t="inlineStr">
        <is>
          <t>84 anys</t>
        </is>
      </c>
      <c r="F2126" s="38" t="n">
        <v>84</v>
      </c>
      <c r="G2126" s="38" t="n">
        <v>18</v>
      </c>
      <c r="I2126" s="38" t="inlineStr">
        <is>
          <t>Total de tots els sexes; resposta JSON-stat de l'API d'Idescat</t>
        </is>
      </c>
    </row>
    <row r="2127" ht="15" customHeight="1" s="39">
      <c r="A2127" s="38" t="n">
        <v>2021</v>
      </c>
      <c r="B2127" s="42" t="inlineStr">
        <is>
          <t>431665</t>
        </is>
      </c>
      <c r="C2127" s="38" t="inlineStr">
        <is>
          <t>Vilallonga del Camp</t>
        </is>
      </c>
      <c r="D2127" s="38" t="inlineStr">
        <is>
          <t>Y085</t>
        </is>
      </c>
      <c r="E2127" s="38" t="inlineStr">
        <is>
          <t>85 anys</t>
        </is>
      </c>
      <c r="F2127" s="38" t="n">
        <v>85</v>
      </c>
      <c r="G2127" s="38" t="n">
        <v>6</v>
      </c>
      <c r="I2127" s="38" t="inlineStr">
        <is>
          <t>Total de tots els sexes; resposta JSON-stat de l'API d'Idescat</t>
        </is>
      </c>
    </row>
    <row r="2128" ht="15" customHeight="1" s="39">
      <c r="A2128" s="38" t="n">
        <v>2021</v>
      </c>
      <c r="B2128" s="42" t="inlineStr">
        <is>
          <t>431665</t>
        </is>
      </c>
      <c r="C2128" s="38" t="inlineStr">
        <is>
          <t>Vilallonga del Camp</t>
        </is>
      </c>
      <c r="D2128" s="38" t="inlineStr">
        <is>
          <t>Y086</t>
        </is>
      </c>
      <c r="E2128" s="38" t="inlineStr">
        <is>
          <t>86 anys</t>
        </is>
      </c>
      <c r="F2128" s="38" t="n">
        <v>86</v>
      </c>
      <c r="G2128" s="38" t="n">
        <v>7</v>
      </c>
      <c r="I2128" s="38" t="inlineStr">
        <is>
          <t>Total de tots els sexes; resposta JSON-stat de l'API d'Idescat</t>
        </is>
      </c>
    </row>
    <row r="2129" ht="15" customHeight="1" s="39">
      <c r="A2129" s="38" t="n">
        <v>2021</v>
      </c>
      <c r="B2129" s="42" t="inlineStr">
        <is>
          <t>431665</t>
        </is>
      </c>
      <c r="C2129" s="38" t="inlineStr">
        <is>
          <t>Vilallonga del Camp</t>
        </is>
      </c>
      <c r="D2129" s="38" t="inlineStr">
        <is>
          <t>Y087</t>
        </is>
      </c>
      <c r="E2129" s="38" t="inlineStr">
        <is>
          <t>87 anys</t>
        </is>
      </c>
      <c r="F2129" s="38" t="n">
        <v>87</v>
      </c>
      <c r="G2129" s="38" t="n">
        <v>8</v>
      </c>
      <c r="I2129" s="38" t="inlineStr">
        <is>
          <t>Total de tots els sexes; resposta JSON-stat de l'API d'Idescat</t>
        </is>
      </c>
    </row>
    <row r="2130" ht="15" customHeight="1" s="39">
      <c r="A2130" s="38" t="n">
        <v>2021</v>
      </c>
      <c r="B2130" s="42" t="inlineStr">
        <is>
          <t>431665</t>
        </is>
      </c>
      <c r="C2130" s="38" t="inlineStr">
        <is>
          <t>Vilallonga del Camp</t>
        </is>
      </c>
      <c r="D2130" s="38" t="inlineStr">
        <is>
          <t>Y088</t>
        </is>
      </c>
      <c r="E2130" s="38" t="inlineStr">
        <is>
          <t>88 anys</t>
        </is>
      </c>
      <c r="F2130" s="38" t="n">
        <v>88</v>
      </c>
      <c r="G2130" s="38" t="n">
        <v>6</v>
      </c>
      <c r="I2130" s="38" t="inlineStr">
        <is>
          <t>Total de tots els sexes; resposta JSON-stat de l'API d'Idescat</t>
        </is>
      </c>
    </row>
    <row r="2131" ht="15" customHeight="1" s="39">
      <c r="A2131" s="38" t="n">
        <v>2021</v>
      </c>
      <c r="B2131" s="42" t="inlineStr">
        <is>
          <t>431665</t>
        </is>
      </c>
      <c r="C2131" s="38" t="inlineStr">
        <is>
          <t>Vilallonga del Camp</t>
        </is>
      </c>
      <c r="D2131" s="38" t="inlineStr">
        <is>
          <t>Y089</t>
        </is>
      </c>
      <c r="E2131" s="38" t="inlineStr">
        <is>
          <t>89 anys</t>
        </is>
      </c>
      <c r="F2131" s="38" t="n">
        <v>89</v>
      </c>
      <c r="G2131" s="38" t="n">
        <v>2</v>
      </c>
      <c r="I2131" s="38" t="inlineStr">
        <is>
          <t>Total de tots els sexes; resposta JSON-stat de l'API d'Idescat</t>
        </is>
      </c>
    </row>
    <row r="2132" ht="15" customHeight="1" s="39">
      <c r="A2132" s="38" t="n">
        <v>2021</v>
      </c>
      <c r="B2132" s="42" t="inlineStr">
        <is>
          <t>431665</t>
        </is>
      </c>
      <c r="C2132" s="38" t="inlineStr">
        <is>
          <t>Vilallonga del Camp</t>
        </is>
      </c>
      <c r="D2132" s="38" t="inlineStr">
        <is>
          <t>Y090</t>
        </is>
      </c>
      <c r="E2132" s="38" t="inlineStr">
        <is>
          <t>90 anys</t>
        </is>
      </c>
      <c r="F2132" s="38" t="n">
        <v>90</v>
      </c>
      <c r="G2132" s="38" t="n">
        <v>5</v>
      </c>
      <c r="I2132" s="38" t="inlineStr">
        <is>
          <t>Total de tots els sexes; resposta JSON-stat de l'API d'Idescat</t>
        </is>
      </c>
    </row>
    <row r="2133" ht="15" customHeight="1" s="39">
      <c r="A2133" s="38" t="n">
        <v>2021</v>
      </c>
      <c r="B2133" s="42" t="inlineStr">
        <is>
          <t>431665</t>
        </is>
      </c>
      <c r="C2133" s="38" t="inlineStr">
        <is>
          <t>Vilallonga del Camp</t>
        </is>
      </c>
      <c r="D2133" s="38" t="inlineStr">
        <is>
          <t>Y091</t>
        </is>
      </c>
      <c r="E2133" s="38" t="inlineStr">
        <is>
          <t>91 anys</t>
        </is>
      </c>
      <c r="F2133" s="38" t="n">
        <v>91</v>
      </c>
      <c r="G2133" s="38" t="n">
        <v>0</v>
      </c>
      <c r="I2133" s="38" t="inlineStr">
        <is>
          <t>Total de tots els sexes; resposta JSON-stat de l'API d'Idescat</t>
        </is>
      </c>
    </row>
    <row r="2134" ht="15" customHeight="1" s="39">
      <c r="A2134" s="38" t="n">
        <v>2021</v>
      </c>
      <c r="B2134" s="42" t="inlineStr">
        <is>
          <t>431665</t>
        </is>
      </c>
      <c r="C2134" s="38" t="inlineStr">
        <is>
          <t>Vilallonga del Camp</t>
        </is>
      </c>
      <c r="D2134" s="38" t="inlineStr">
        <is>
          <t>Y092</t>
        </is>
      </c>
      <c r="E2134" s="38" t="inlineStr">
        <is>
          <t>92 anys</t>
        </is>
      </c>
      <c r="F2134" s="38" t="n">
        <v>92</v>
      </c>
      <c r="G2134" s="38" t="n">
        <v>5</v>
      </c>
      <c r="I2134" s="38" t="inlineStr">
        <is>
          <t>Total de tots els sexes; resposta JSON-stat de l'API d'Idescat</t>
        </is>
      </c>
    </row>
    <row r="2135" ht="15" customHeight="1" s="39">
      <c r="A2135" s="38" t="n">
        <v>2021</v>
      </c>
      <c r="B2135" s="42" t="inlineStr">
        <is>
          <t>431665</t>
        </is>
      </c>
      <c r="C2135" s="38" t="inlineStr">
        <is>
          <t>Vilallonga del Camp</t>
        </is>
      </c>
      <c r="D2135" s="38" t="inlineStr">
        <is>
          <t>Y093</t>
        </is>
      </c>
      <c r="E2135" s="38" t="inlineStr">
        <is>
          <t>93 anys</t>
        </is>
      </c>
      <c r="F2135" s="38" t="n">
        <v>93</v>
      </c>
      <c r="G2135" s="38" t="n">
        <v>4</v>
      </c>
      <c r="I2135" s="38" t="inlineStr">
        <is>
          <t>Total de tots els sexes; resposta JSON-stat de l'API d'Idescat</t>
        </is>
      </c>
    </row>
    <row r="2136" ht="15" customHeight="1" s="39">
      <c r="A2136" s="38" t="n">
        <v>2021</v>
      </c>
      <c r="B2136" s="42" t="inlineStr">
        <is>
          <t>431665</t>
        </is>
      </c>
      <c r="C2136" s="38" t="inlineStr">
        <is>
          <t>Vilallonga del Camp</t>
        </is>
      </c>
      <c r="D2136" s="38" t="inlineStr">
        <is>
          <t>Y094</t>
        </is>
      </c>
      <c r="E2136" s="38" t="inlineStr">
        <is>
          <t>94 anys</t>
        </is>
      </c>
      <c r="F2136" s="38" t="n">
        <v>94</v>
      </c>
      <c r="G2136" s="38" t="n">
        <v>4</v>
      </c>
      <c r="I2136" s="38" t="inlineStr">
        <is>
          <t>Total de tots els sexes; resposta JSON-stat de l'API d'Idescat</t>
        </is>
      </c>
    </row>
    <row r="2137" ht="15" customHeight="1" s="39">
      <c r="A2137" s="38" t="n">
        <v>2021</v>
      </c>
      <c r="B2137" s="42" t="inlineStr">
        <is>
          <t>431665</t>
        </is>
      </c>
      <c r="C2137" s="38" t="inlineStr">
        <is>
          <t>Vilallonga del Camp</t>
        </is>
      </c>
      <c r="D2137" s="38" t="inlineStr">
        <is>
          <t>Y095</t>
        </is>
      </c>
      <c r="E2137" s="38" t="inlineStr">
        <is>
          <t>95 anys</t>
        </is>
      </c>
      <c r="F2137" s="38" t="n">
        <v>95</v>
      </c>
      <c r="G2137" s="38" t="n">
        <v>1</v>
      </c>
      <c r="I2137" s="38" t="inlineStr">
        <is>
          <t>Total de tots els sexes; resposta JSON-stat de l'API d'Idescat</t>
        </is>
      </c>
    </row>
    <row r="2138" ht="15" customHeight="1" s="39">
      <c r="A2138" s="38" t="n">
        <v>2021</v>
      </c>
      <c r="B2138" s="42" t="inlineStr">
        <is>
          <t>431665</t>
        </is>
      </c>
      <c r="C2138" s="38" t="inlineStr">
        <is>
          <t>Vilallonga del Camp</t>
        </is>
      </c>
      <c r="D2138" s="38" t="inlineStr">
        <is>
          <t>Y096</t>
        </is>
      </c>
      <c r="E2138" s="38" t="inlineStr">
        <is>
          <t>96 anys</t>
        </is>
      </c>
      <c r="F2138" s="38" t="n">
        <v>96</v>
      </c>
      <c r="G2138" s="38" t="n">
        <v>3</v>
      </c>
      <c r="I2138" s="38" t="inlineStr">
        <is>
          <t>Total de tots els sexes; resposta JSON-stat de l'API d'Idescat</t>
        </is>
      </c>
    </row>
    <row r="2139" ht="15" customHeight="1" s="39">
      <c r="A2139" s="38" t="n">
        <v>2021</v>
      </c>
      <c r="B2139" s="42" t="inlineStr">
        <is>
          <t>431665</t>
        </is>
      </c>
      <c r="C2139" s="38" t="inlineStr">
        <is>
          <t>Vilallonga del Camp</t>
        </is>
      </c>
      <c r="D2139" s="38" t="inlineStr">
        <is>
          <t>Y097</t>
        </is>
      </c>
      <c r="E2139" s="38" t="inlineStr">
        <is>
          <t>97 anys</t>
        </is>
      </c>
      <c r="F2139" s="38" t="n">
        <v>97</v>
      </c>
      <c r="G2139" s="38" t="n">
        <v>0</v>
      </c>
      <c r="I2139" s="38" t="inlineStr">
        <is>
          <t>Total de tots els sexes; resposta JSON-stat de l'API d'Idescat</t>
        </is>
      </c>
    </row>
    <row r="2140" ht="15" customHeight="1" s="39">
      <c r="A2140" s="38" t="n">
        <v>2021</v>
      </c>
      <c r="B2140" s="42" t="inlineStr">
        <is>
          <t>431665</t>
        </is>
      </c>
      <c r="C2140" s="38" t="inlineStr">
        <is>
          <t>Vilallonga del Camp</t>
        </is>
      </c>
      <c r="D2140" s="38" t="inlineStr">
        <is>
          <t>Y098</t>
        </is>
      </c>
      <c r="E2140" s="38" t="inlineStr">
        <is>
          <t>98 anys</t>
        </is>
      </c>
      <c r="F2140" s="38" t="n">
        <v>98</v>
      </c>
      <c r="G2140" s="38" t="n">
        <v>0</v>
      </c>
      <c r="I2140" s="38" t="inlineStr">
        <is>
          <t>Total de tots els sexes; resposta JSON-stat de l'API d'Idescat</t>
        </is>
      </c>
    </row>
    <row r="2141" ht="15" customHeight="1" s="39">
      <c r="A2141" s="38" t="n">
        <v>2021</v>
      </c>
      <c r="B2141" s="42" t="inlineStr">
        <is>
          <t>431665</t>
        </is>
      </c>
      <c r="C2141" s="38" t="inlineStr">
        <is>
          <t>Vilallonga del Camp</t>
        </is>
      </c>
      <c r="D2141" s="38" t="inlineStr">
        <is>
          <t>Y099</t>
        </is>
      </c>
      <c r="E2141" s="38" t="inlineStr">
        <is>
          <t>99 anys</t>
        </is>
      </c>
      <c r="F2141" s="38" t="n">
        <v>99</v>
      </c>
      <c r="G2141" s="38" t="n">
        <v>2</v>
      </c>
      <c r="I2141" s="38" t="inlineStr">
        <is>
          <t>Total de tots els sexes; resposta JSON-stat de l'API d'Idescat</t>
        </is>
      </c>
    </row>
    <row r="2142" ht="15" customHeight="1" s="39">
      <c r="A2142" s="38" t="n">
        <v>2021</v>
      </c>
      <c r="B2142" s="42" t="inlineStr">
        <is>
          <t>431665</t>
        </is>
      </c>
      <c r="C2142" s="38" t="inlineStr">
        <is>
          <t>Vilallonga del Camp</t>
        </is>
      </c>
      <c r="D2142" s="38" t="inlineStr">
        <is>
          <t>Y_GE100</t>
        </is>
      </c>
      <c r="E2142" s="38" t="inlineStr">
        <is>
          <t>100 anys o més</t>
        </is>
      </c>
      <c r="F2142" s="38" t="n">
        <v>100</v>
      </c>
      <c r="G2142" s="38" t="n">
        <v>0</v>
      </c>
      <c r="I2142" s="38" t="inlineStr">
        <is>
          <t>Total de tots els sexes; resposta JSON-stat de l'API d'Idescat</t>
        </is>
      </c>
    </row>
    <row r="2143" ht="15" customHeight="1" s="39">
      <c r="A2143" s="38" t="n">
        <v>2021</v>
      </c>
      <c r="B2143" s="42" t="inlineStr">
        <is>
          <t>431665</t>
        </is>
      </c>
      <c r="C2143" s="38" t="inlineStr">
        <is>
          <t>Vilallonga del Camp</t>
        </is>
      </c>
      <c r="D2143" s="38" t="inlineStr">
        <is>
          <t>TOTAL</t>
        </is>
      </c>
      <c r="E2143" s="38" t="inlineStr">
        <is>
          <t>total</t>
        </is>
      </c>
      <c r="G2143" s="38" t="n">
        <v>2387</v>
      </c>
      <c r="I2143" s="38" t="inlineStr">
        <is>
          <t>Total de tots els sexes; resposta JSON-stat de l'API d'Idescat</t>
        </is>
      </c>
    </row>
    <row r="2144" ht="15" customHeight="1" s="39">
      <c r="A2144" s="38" t="n">
        <v>2021</v>
      </c>
      <c r="B2144" s="42" t="inlineStr">
        <is>
          <t>431711</t>
        </is>
      </c>
      <c r="C2144" s="38" t="inlineStr">
        <is>
          <t>Vila-seca</t>
        </is>
      </c>
      <c r="D2144" s="38" t="inlineStr">
        <is>
          <t>Y000</t>
        </is>
      </c>
      <c r="E2144" s="38" t="inlineStr">
        <is>
          <t>0 anys</t>
        </is>
      </c>
      <c r="F2144" s="38" t="n">
        <v>0</v>
      </c>
      <c r="G2144" s="38" t="n">
        <v>201</v>
      </c>
      <c r="I2144" s="38" t="inlineStr">
        <is>
          <t>Total de tots els sexes; resposta JSON-stat de l'API d'Idescat</t>
        </is>
      </c>
    </row>
    <row r="2145" ht="15" customHeight="1" s="39">
      <c r="A2145" s="38" t="n">
        <v>2021</v>
      </c>
      <c r="B2145" s="42" t="inlineStr">
        <is>
          <t>431711</t>
        </is>
      </c>
      <c r="C2145" s="38" t="inlineStr">
        <is>
          <t>Vila-seca</t>
        </is>
      </c>
      <c r="D2145" s="38" t="inlineStr">
        <is>
          <t>Y001</t>
        </is>
      </c>
      <c r="E2145" s="38" t="inlineStr">
        <is>
          <t>1 any</t>
        </is>
      </c>
      <c r="F2145" s="38" t="n">
        <v>1</v>
      </c>
      <c r="G2145" s="38" t="n">
        <v>200</v>
      </c>
      <c r="I2145" s="38" t="inlineStr">
        <is>
          <t>Total de tots els sexes; resposta JSON-stat de l'API d'Idescat</t>
        </is>
      </c>
    </row>
    <row r="2146" ht="15" customHeight="1" s="39">
      <c r="A2146" s="38" t="n">
        <v>2021</v>
      </c>
      <c r="B2146" s="42" t="inlineStr">
        <is>
          <t>431711</t>
        </is>
      </c>
      <c r="C2146" s="38" t="inlineStr">
        <is>
          <t>Vila-seca</t>
        </is>
      </c>
      <c r="D2146" s="38" t="inlineStr">
        <is>
          <t>Y002</t>
        </is>
      </c>
      <c r="E2146" s="38" t="inlineStr">
        <is>
          <t>2 anys</t>
        </is>
      </c>
      <c r="F2146" s="38" t="n">
        <v>2</v>
      </c>
      <c r="G2146" s="38" t="n">
        <v>241</v>
      </c>
      <c r="I2146" s="38" t="inlineStr">
        <is>
          <t>Total de tots els sexes; resposta JSON-stat de l'API d'Idescat</t>
        </is>
      </c>
    </row>
    <row r="2147" ht="15" customHeight="1" s="39">
      <c r="A2147" s="38" t="n">
        <v>2021</v>
      </c>
      <c r="B2147" s="42" t="inlineStr">
        <is>
          <t>431711</t>
        </is>
      </c>
      <c r="C2147" s="38" t="inlineStr">
        <is>
          <t>Vila-seca</t>
        </is>
      </c>
      <c r="D2147" s="38" t="inlineStr">
        <is>
          <t>Y003</t>
        </is>
      </c>
      <c r="E2147" s="38" t="inlineStr">
        <is>
          <t>3 anys</t>
        </is>
      </c>
      <c r="F2147" s="38" t="n">
        <v>3</v>
      </c>
      <c r="G2147" s="38" t="n">
        <v>251</v>
      </c>
      <c r="I2147" s="38" t="inlineStr">
        <is>
          <t>Total de tots els sexes; resposta JSON-stat de l'API d'Idescat</t>
        </is>
      </c>
    </row>
    <row r="2148" ht="15" customHeight="1" s="39">
      <c r="A2148" s="38" t="n">
        <v>2021</v>
      </c>
      <c r="B2148" s="42" t="inlineStr">
        <is>
          <t>431711</t>
        </is>
      </c>
      <c r="C2148" s="38" t="inlineStr">
        <is>
          <t>Vila-seca</t>
        </is>
      </c>
      <c r="D2148" s="38" t="inlineStr">
        <is>
          <t>Y004</t>
        </is>
      </c>
      <c r="E2148" s="38" t="inlineStr">
        <is>
          <t>4 anys</t>
        </is>
      </c>
      <c r="F2148" s="38" t="n">
        <v>4</v>
      </c>
      <c r="G2148" s="38" t="n">
        <v>267</v>
      </c>
      <c r="I2148" s="38" t="inlineStr">
        <is>
          <t>Total de tots els sexes; resposta JSON-stat de l'API d'Idescat</t>
        </is>
      </c>
    </row>
    <row r="2149" ht="15" customHeight="1" s="39">
      <c r="A2149" s="38" t="n">
        <v>2021</v>
      </c>
      <c r="B2149" s="42" t="inlineStr">
        <is>
          <t>431711</t>
        </is>
      </c>
      <c r="C2149" s="38" t="inlineStr">
        <is>
          <t>Vila-seca</t>
        </is>
      </c>
      <c r="D2149" s="38" t="inlineStr">
        <is>
          <t>Y005</t>
        </is>
      </c>
      <c r="E2149" s="38" t="inlineStr">
        <is>
          <t>5 anys</t>
        </is>
      </c>
      <c r="F2149" s="38" t="n">
        <v>5</v>
      </c>
      <c r="G2149" s="38" t="n">
        <v>297</v>
      </c>
      <c r="I2149" s="38" t="inlineStr">
        <is>
          <t>Total de tots els sexes; resposta JSON-stat de l'API d'Idescat</t>
        </is>
      </c>
    </row>
    <row r="2150" ht="15" customHeight="1" s="39">
      <c r="A2150" s="38" t="n">
        <v>2021</v>
      </c>
      <c r="B2150" s="42" t="inlineStr">
        <is>
          <t>431711</t>
        </is>
      </c>
      <c r="C2150" s="38" t="inlineStr">
        <is>
          <t>Vila-seca</t>
        </is>
      </c>
      <c r="D2150" s="38" t="inlineStr">
        <is>
          <t>Y006</t>
        </is>
      </c>
      <c r="E2150" s="38" t="inlineStr">
        <is>
          <t>6 anys</t>
        </is>
      </c>
      <c r="F2150" s="38" t="n">
        <v>6</v>
      </c>
      <c r="G2150" s="38" t="n">
        <v>333</v>
      </c>
      <c r="I2150" s="38" t="inlineStr">
        <is>
          <t>Total de tots els sexes; resposta JSON-stat de l'API d'Idescat</t>
        </is>
      </c>
    </row>
    <row r="2151" ht="15" customHeight="1" s="39">
      <c r="A2151" s="38" t="n">
        <v>2021</v>
      </c>
      <c r="B2151" s="42" t="inlineStr">
        <is>
          <t>431711</t>
        </is>
      </c>
      <c r="C2151" s="38" t="inlineStr">
        <is>
          <t>Vila-seca</t>
        </is>
      </c>
      <c r="D2151" s="38" t="inlineStr">
        <is>
          <t>Y007</t>
        </is>
      </c>
      <c r="E2151" s="38" t="inlineStr">
        <is>
          <t>7 anys</t>
        </is>
      </c>
      <c r="F2151" s="38" t="n">
        <v>7</v>
      </c>
      <c r="G2151" s="38" t="n">
        <v>297</v>
      </c>
      <c r="I2151" s="38" t="inlineStr">
        <is>
          <t>Total de tots els sexes; resposta JSON-stat de l'API d'Idescat</t>
        </is>
      </c>
    </row>
    <row r="2152" ht="15" customHeight="1" s="39">
      <c r="A2152" s="38" t="n">
        <v>2021</v>
      </c>
      <c r="B2152" s="42" t="inlineStr">
        <is>
          <t>431711</t>
        </is>
      </c>
      <c r="C2152" s="38" t="inlineStr">
        <is>
          <t>Vila-seca</t>
        </is>
      </c>
      <c r="D2152" s="38" t="inlineStr">
        <is>
          <t>Y008</t>
        </is>
      </c>
      <c r="E2152" s="38" t="inlineStr">
        <is>
          <t>8 anys</t>
        </is>
      </c>
      <c r="F2152" s="38" t="n">
        <v>8</v>
      </c>
      <c r="G2152" s="38" t="n">
        <v>272</v>
      </c>
      <c r="I2152" s="38" t="inlineStr">
        <is>
          <t>Total de tots els sexes; resposta JSON-stat de l'API d'Idescat</t>
        </is>
      </c>
    </row>
    <row r="2153" ht="15" customHeight="1" s="39">
      <c r="A2153" s="38" t="n">
        <v>2021</v>
      </c>
      <c r="B2153" s="42" t="inlineStr">
        <is>
          <t>431711</t>
        </is>
      </c>
      <c r="C2153" s="38" t="inlineStr">
        <is>
          <t>Vila-seca</t>
        </is>
      </c>
      <c r="D2153" s="38" t="inlineStr">
        <is>
          <t>Y009</t>
        </is>
      </c>
      <c r="E2153" s="38" t="inlineStr">
        <is>
          <t>9 anys</t>
        </is>
      </c>
      <c r="F2153" s="38" t="n">
        <v>9</v>
      </c>
      <c r="G2153" s="38" t="n">
        <v>316</v>
      </c>
      <c r="I2153" s="38" t="inlineStr">
        <is>
          <t>Total de tots els sexes; resposta JSON-stat de l'API d'Idescat</t>
        </is>
      </c>
    </row>
    <row r="2154" ht="15" customHeight="1" s="39">
      <c r="A2154" s="38" t="n">
        <v>2021</v>
      </c>
      <c r="B2154" s="42" t="inlineStr">
        <is>
          <t>431711</t>
        </is>
      </c>
      <c r="C2154" s="38" t="inlineStr">
        <is>
          <t>Vila-seca</t>
        </is>
      </c>
      <c r="D2154" s="38" t="inlineStr">
        <is>
          <t>Y010</t>
        </is>
      </c>
      <c r="E2154" s="38" t="inlineStr">
        <is>
          <t>10 anys</t>
        </is>
      </c>
      <c r="F2154" s="38" t="n">
        <v>10</v>
      </c>
      <c r="G2154" s="38" t="n">
        <v>312</v>
      </c>
      <c r="I2154" s="38" t="inlineStr">
        <is>
          <t>Total de tots els sexes; resposta JSON-stat de l'API d'Idescat</t>
        </is>
      </c>
    </row>
    <row r="2155" ht="15" customHeight="1" s="39">
      <c r="A2155" s="38" t="n">
        <v>2021</v>
      </c>
      <c r="B2155" s="42" t="inlineStr">
        <is>
          <t>431711</t>
        </is>
      </c>
      <c r="C2155" s="38" t="inlineStr">
        <is>
          <t>Vila-seca</t>
        </is>
      </c>
      <c r="D2155" s="38" t="inlineStr">
        <is>
          <t>Y011</t>
        </is>
      </c>
      <c r="E2155" s="38" t="inlineStr">
        <is>
          <t>11 anys</t>
        </is>
      </c>
      <c r="F2155" s="38" t="n">
        <v>11</v>
      </c>
      <c r="G2155" s="38" t="n">
        <v>317</v>
      </c>
      <c r="I2155" s="38" t="inlineStr">
        <is>
          <t>Total de tots els sexes; resposta JSON-stat de l'API d'Idescat</t>
        </is>
      </c>
    </row>
    <row r="2156" ht="15" customHeight="1" s="39">
      <c r="A2156" s="38" t="n">
        <v>2021</v>
      </c>
      <c r="B2156" s="42" t="inlineStr">
        <is>
          <t>431711</t>
        </is>
      </c>
      <c r="C2156" s="38" t="inlineStr">
        <is>
          <t>Vila-seca</t>
        </is>
      </c>
      <c r="D2156" s="38" t="inlineStr">
        <is>
          <t>Y012</t>
        </is>
      </c>
      <c r="E2156" s="38" t="inlineStr">
        <is>
          <t>12 anys</t>
        </is>
      </c>
      <c r="F2156" s="38" t="n">
        <v>12</v>
      </c>
      <c r="G2156" s="38" t="n">
        <v>323</v>
      </c>
      <c r="I2156" s="38" t="inlineStr">
        <is>
          <t>Total de tots els sexes; resposta JSON-stat de l'API d'Idescat</t>
        </is>
      </c>
    </row>
    <row r="2157" ht="15" customHeight="1" s="39">
      <c r="A2157" s="38" t="n">
        <v>2021</v>
      </c>
      <c r="B2157" s="42" t="inlineStr">
        <is>
          <t>431711</t>
        </is>
      </c>
      <c r="C2157" s="38" t="inlineStr">
        <is>
          <t>Vila-seca</t>
        </is>
      </c>
      <c r="D2157" s="38" t="inlineStr">
        <is>
          <t>Y013</t>
        </is>
      </c>
      <c r="E2157" s="38" t="inlineStr">
        <is>
          <t>13 anys</t>
        </is>
      </c>
      <c r="F2157" s="38" t="n">
        <v>13</v>
      </c>
      <c r="G2157" s="38" t="n">
        <v>251</v>
      </c>
      <c r="I2157" s="38" t="inlineStr">
        <is>
          <t>Total de tots els sexes; resposta JSON-stat de l'API d'Idescat</t>
        </is>
      </c>
    </row>
    <row r="2158" ht="15" customHeight="1" s="39">
      <c r="A2158" s="38" t="n">
        <v>2021</v>
      </c>
      <c r="B2158" s="42" t="inlineStr">
        <is>
          <t>431711</t>
        </is>
      </c>
      <c r="C2158" s="38" t="inlineStr">
        <is>
          <t>Vila-seca</t>
        </is>
      </c>
      <c r="D2158" s="38" t="inlineStr">
        <is>
          <t>Y014</t>
        </is>
      </c>
      <c r="E2158" s="38" t="inlineStr">
        <is>
          <t>14 anys</t>
        </is>
      </c>
      <c r="F2158" s="38" t="n">
        <v>14</v>
      </c>
      <c r="G2158" s="38" t="n">
        <v>277</v>
      </c>
      <c r="I2158" s="38" t="inlineStr">
        <is>
          <t>Total de tots els sexes; resposta JSON-stat de l'API d'Idescat</t>
        </is>
      </c>
    </row>
    <row r="2159" ht="15" customHeight="1" s="39">
      <c r="A2159" s="38" t="n">
        <v>2021</v>
      </c>
      <c r="B2159" s="42" t="inlineStr">
        <is>
          <t>431711</t>
        </is>
      </c>
      <c r="C2159" s="38" t="inlineStr">
        <is>
          <t>Vila-seca</t>
        </is>
      </c>
      <c r="D2159" s="38" t="inlineStr">
        <is>
          <t>Y015</t>
        </is>
      </c>
      <c r="E2159" s="38" t="inlineStr">
        <is>
          <t>15 anys</t>
        </is>
      </c>
      <c r="F2159" s="38" t="n">
        <v>15</v>
      </c>
      <c r="G2159" s="38" t="n">
        <v>268</v>
      </c>
      <c r="I2159" s="38" t="inlineStr">
        <is>
          <t>Total de tots els sexes; resposta JSON-stat de l'API d'Idescat</t>
        </is>
      </c>
    </row>
    <row r="2160" ht="15" customHeight="1" s="39">
      <c r="A2160" s="38" t="n">
        <v>2021</v>
      </c>
      <c r="B2160" s="42" t="inlineStr">
        <is>
          <t>431711</t>
        </is>
      </c>
      <c r="C2160" s="38" t="inlineStr">
        <is>
          <t>Vila-seca</t>
        </is>
      </c>
      <c r="D2160" s="38" t="inlineStr">
        <is>
          <t>Y016</t>
        </is>
      </c>
      <c r="E2160" s="38" t="inlineStr">
        <is>
          <t>16 anys</t>
        </is>
      </c>
      <c r="F2160" s="38" t="n">
        <v>16</v>
      </c>
      <c r="G2160" s="38" t="n">
        <v>216</v>
      </c>
      <c r="I2160" s="38" t="inlineStr">
        <is>
          <t>Total de tots els sexes; resposta JSON-stat de l'API d'Idescat</t>
        </is>
      </c>
    </row>
    <row r="2161" ht="15" customHeight="1" s="39">
      <c r="A2161" s="38" t="n">
        <v>2021</v>
      </c>
      <c r="B2161" s="42" t="inlineStr">
        <is>
          <t>431711</t>
        </is>
      </c>
      <c r="C2161" s="38" t="inlineStr">
        <is>
          <t>Vila-seca</t>
        </is>
      </c>
      <c r="D2161" s="38" t="inlineStr">
        <is>
          <t>Y017</t>
        </is>
      </c>
      <c r="E2161" s="38" t="inlineStr">
        <is>
          <t>17 anys</t>
        </is>
      </c>
      <c r="F2161" s="38" t="n">
        <v>17</v>
      </c>
      <c r="G2161" s="38" t="n">
        <v>227</v>
      </c>
      <c r="I2161" s="38" t="inlineStr">
        <is>
          <t>Total de tots els sexes; resposta JSON-stat de l'API d'Idescat</t>
        </is>
      </c>
    </row>
    <row r="2162" ht="15" customHeight="1" s="39">
      <c r="A2162" s="38" t="n">
        <v>2021</v>
      </c>
      <c r="B2162" s="42" t="inlineStr">
        <is>
          <t>431711</t>
        </is>
      </c>
      <c r="C2162" s="38" t="inlineStr">
        <is>
          <t>Vila-seca</t>
        </is>
      </c>
      <c r="D2162" s="38" t="inlineStr">
        <is>
          <t>Y018</t>
        </is>
      </c>
      <c r="E2162" s="38" t="inlineStr">
        <is>
          <t>18 anys</t>
        </is>
      </c>
      <c r="F2162" s="38" t="n">
        <v>18</v>
      </c>
      <c r="G2162" s="38" t="n">
        <v>221</v>
      </c>
      <c r="I2162" s="38" t="inlineStr">
        <is>
          <t>Total de tots els sexes; resposta JSON-stat de l'API d'Idescat</t>
        </is>
      </c>
    </row>
    <row r="2163" ht="15" customHeight="1" s="39">
      <c r="A2163" s="38" t="n">
        <v>2021</v>
      </c>
      <c r="B2163" s="42" t="inlineStr">
        <is>
          <t>431711</t>
        </is>
      </c>
      <c r="C2163" s="38" t="inlineStr">
        <is>
          <t>Vila-seca</t>
        </is>
      </c>
      <c r="D2163" s="38" t="inlineStr">
        <is>
          <t>Y019</t>
        </is>
      </c>
      <c r="E2163" s="38" t="inlineStr">
        <is>
          <t>19 anys</t>
        </is>
      </c>
      <c r="F2163" s="38" t="n">
        <v>19</v>
      </c>
      <c r="G2163" s="38" t="n">
        <v>207</v>
      </c>
      <c r="I2163" s="38" t="inlineStr">
        <is>
          <t>Total de tots els sexes; resposta JSON-stat de l'API d'Idescat</t>
        </is>
      </c>
    </row>
    <row r="2164" ht="15" customHeight="1" s="39">
      <c r="A2164" s="38" t="n">
        <v>2021</v>
      </c>
      <c r="B2164" s="42" t="inlineStr">
        <is>
          <t>431711</t>
        </is>
      </c>
      <c r="C2164" s="38" t="inlineStr">
        <is>
          <t>Vila-seca</t>
        </is>
      </c>
      <c r="D2164" s="38" t="inlineStr">
        <is>
          <t>Y020</t>
        </is>
      </c>
      <c r="E2164" s="38" t="inlineStr">
        <is>
          <t>20 anys</t>
        </is>
      </c>
      <c r="F2164" s="38" t="n">
        <v>20</v>
      </c>
      <c r="G2164" s="38" t="n">
        <v>231</v>
      </c>
      <c r="I2164" s="38" t="inlineStr">
        <is>
          <t>Total de tots els sexes; resposta JSON-stat de l'API d'Idescat</t>
        </is>
      </c>
    </row>
    <row r="2165" ht="15" customHeight="1" s="39">
      <c r="A2165" s="38" t="n">
        <v>2021</v>
      </c>
      <c r="B2165" s="42" t="inlineStr">
        <is>
          <t>431711</t>
        </is>
      </c>
      <c r="C2165" s="38" t="inlineStr">
        <is>
          <t>Vila-seca</t>
        </is>
      </c>
      <c r="D2165" s="38" t="inlineStr">
        <is>
          <t>Y021</t>
        </is>
      </c>
      <c r="E2165" s="38" t="inlineStr">
        <is>
          <t>21 anys</t>
        </is>
      </c>
      <c r="F2165" s="38" t="n">
        <v>21</v>
      </c>
      <c r="G2165" s="38" t="n">
        <v>193</v>
      </c>
      <c r="I2165" s="38" t="inlineStr">
        <is>
          <t>Total de tots els sexes; resposta JSON-stat de l'API d'Idescat</t>
        </is>
      </c>
    </row>
    <row r="2166" ht="15" customHeight="1" s="39">
      <c r="A2166" s="38" t="n">
        <v>2021</v>
      </c>
      <c r="B2166" s="42" t="inlineStr">
        <is>
          <t>431711</t>
        </is>
      </c>
      <c r="C2166" s="38" t="inlineStr">
        <is>
          <t>Vila-seca</t>
        </is>
      </c>
      <c r="D2166" s="38" t="inlineStr">
        <is>
          <t>Y022</t>
        </is>
      </c>
      <c r="E2166" s="38" t="inlineStr">
        <is>
          <t>22 anys</t>
        </is>
      </c>
      <c r="F2166" s="38" t="n">
        <v>22</v>
      </c>
      <c r="G2166" s="38" t="n">
        <v>226</v>
      </c>
      <c r="I2166" s="38" t="inlineStr">
        <is>
          <t>Total de tots els sexes; resposta JSON-stat de l'API d'Idescat</t>
        </is>
      </c>
    </row>
    <row r="2167" ht="15" customHeight="1" s="39">
      <c r="A2167" s="38" t="n">
        <v>2021</v>
      </c>
      <c r="B2167" s="42" t="inlineStr">
        <is>
          <t>431711</t>
        </is>
      </c>
      <c r="C2167" s="38" t="inlineStr">
        <is>
          <t>Vila-seca</t>
        </is>
      </c>
      <c r="D2167" s="38" t="inlineStr">
        <is>
          <t>Y023</t>
        </is>
      </c>
      <c r="E2167" s="38" t="inlineStr">
        <is>
          <t>23 anys</t>
        </is>
      </c>
      <c r="F2167" s="38" t="n">
        <v>23</v>
      </c>
      <c r="G2167" s="38" t="n">
        <v>201</v>
      </c>
      <c r="I2167" s="38" t="inlineStr">
        <is>
          <t>Total de tots els sexes; resposta JSON-stat de l'API d'Idescat</t>
        </is>
      </c>
    </row>
    <row r="2168" ht="15" customHeight="1" s="39">
      <c r="A2168" s="38" t="n">
        <v>2021</v>
      </c>
      <c r="B2168" s="42" t="inlineStr">
        <is>
          <t>431711</t>
        </is>
      </c>
      <c r="C2168" s="38" t="inlineStr">
        <is>
          <t>Vila-seca</t>
        </is>
      </c>
      <c r="D2168" s="38" t="inlineStr">
        <is>
          <t>Y024</t>
        </is>
      </c>
      <c r="E2168" s="38" t="inlineStr">
        <is>
          <t>24 anys</t>
        </is>
      </c>
      <c r="F2168" s="38" t="n">
        <v>24</v>
      </c>
      <c r="G2168" s="38" t="n">
        <v>214</v>
      </c>
      <c r="I2168" s="38" t="inlineStr">
        <is>
          <t>Total de tots els sexes; resposta JSON-stat de l'API d'Idescat</t>
        </is>
      </c>
    </row>
    <row r="2169" ht="15" customHeight="1" s="39">
      <c r="A2169" s="38" t="n">
        <v>2021</v>
      </c>
      <c r="B2169" s="42" t="inlineStr">
        <is>
          <t>431711</t>
        </is>
      </c>
      <c r="C2169" s="38" t="inlineStr">
        <is>
          <t>Vila-seca</t>
        </is>
      </c>
      <c r="D2169" s="38" t="inlineStr">
        <is>
          <t>Y025</t>
        </is>
      </c>
      <c r="E2169" s="38" t="inlineStr">
        <is>
          <t>25 anys</t>
        </is>
      </c>
      <c r="F2169" s="38" t="n">
        <v>25</v>
      </c>
      <c r="G2169" s="38" t="n">
        <v>181</v>
      </c>
      <c r="I2169" s="38" t="inlineStr">
        <is>
          <t>Total de tots els sexes; resposta JSON-stat de l'API d'Idescat</t>
        </is>
      </c>
    </row>
    <row r="2170" ht="15" customHeight="1" s="39">
      <c r="A2170" s="38" t="n">
        <v>2021</v>
      </c>
      <c r="B2170" s="42" t="inlineStr">
        <is>
          <t>431711</t>
        </is>
      </c>
      <c r="C2170" s="38" t="inlineStr">
        <is>
          <t>Vila-seca</t>
        </is>
      </c>
      <c r="D2170" s="38" t="inlineStr">
        <is>
          <t>Y026</t>
        </is>
      </c>
      <c r="E2170" s="38" t="inlineStr">
        <is>
          <t>26 anys</t>
        </is>
      </c>
      <c r="F2170" s="38" t="n">
        <v>26</v>
      </c>
      <c r="G2170" s="38" t="n">
        <v>222</v>
      </c>
      <c r="I2170" s="38" t="inlineStr">
        <is>
          <t>Total de tots els sexes; resposta JSON-stat de l'API d'Idescat</t>
        </is>
      </c>
    </row>
    <row r="2171" ht="15" customHeight="1" s="39">
      <c r="A2171" s="38" t="n">
        <v>2021</v>
      </c>
      <c r="B2171" s="42" t="inlineStr">
        <is>
          <t>431711</t>
        </is>
      </c>
      <c r="C2171" s="38" t="inlineStr">
        <is>
          <t>Vila-seca</t>
        </is>
      </c>
      <c r="D2171" s="38" t="inlineStr">
        <is>
          <t>Y027</t>
        </is>
      </c>
      <c r="E2171" s="38" t="inlineStr">
        <is>
          <t>27 anys</t>
        </is>
      </c>
      <c r="F2171" s="38" t="n">
        <v>27</v>
      </c>
      <c r="G2171" s="38" t="n">
        <v>218</v>
      </c>
      <c r="I2171" s="38" t="inlineStr">
        <is>
          <t>Total de tots els sexes; resposta JSON-stat de l'API d'Idescat</t>
        </is>
      </c>
    </row>
    <row r="2172" ht="15" customHeight="1" s="39">
      <c r="A2172" s="38" t="n">
        <v>2021</v>
      </c>
      <c r="B2172" s="42" t="inlineStr">
        <is>
          <t>431711</t>
        </is>
      </c>
      <c r="C2172" s="38" t="inlineStr">
        <is>
          <t>Vila-seca</t>
        </is>
      </c>
      <c r="D2172" s="38" t="inlineStr">
        <is>
          <t>Y028</t>
        </is>
      </c>
      <c r="E2172" s="38" t="inlineStr">
        <is>
          <t>28 anys</t>
        </is>
      </c>
      <c r="F2172" s="38" t="n">
        <v>28</v>
      </c>
      <c r="G2172" s="38" t="n">
        <v>218</v>
      </c>
      <c r="I2172" s="38" t="inlineStr">
        <is>
          <t>Total de tots els sexes; resposta JSON-stat de l'API d'Idescat</t>
        </is>
      </c>
    </row>
    <row r="2173" ht="15" customHeight="1" s="39">
      <c r="A2173" s="38" t="n">
        <v>2021</v>
      </c>
      <c r="B2173" s="42" t="inlineStr">
        <is>
          <t>431711</t>
        </is>
      </c>
      <c r="C2173" s="38" t="inlineStr">
        <is>
          <t>Vila-seca</t>
        </is>
      </c>
      <c r="D2173" s="38" t="inlineStr">
        <is>
          <t>Y029</t>
        </is>
      </c>
      <c r="E2173" s="38" t="inlineStr">
        <is>
          <t>29 anys</t>
        </is>
      </c>
      <c r="F2173" s="38" t="n">
        <v>29</v>
      </c>
      <c r="G2173" s="38" t="n">
        <v>252</v>
      </c>
      <c r="I2173" s="38" t="inlineStr">
        <is>
          <t>Total de tots els sexes; resposta JSON-stat de l'API d'Idescat</t>
        </is>
      </c>
    </row>
    <row r="2174" ht="15" customHeight="1" s="39">
      <c r="A2174" s="38" t="n">
        <v>2021</v>
      </c>
      <c r="B2174" s="42" t="inlineStr">
        <is>
          <t>431711</t>
        </is>
      </c>
      <c r="C2174" s="38" t="inlineStr">
        <is>
          <t>Vila-seca</t>
        </is>
      </c>
      <c r="D2174" s="38" t="inlineStr">
        <is>
          <t>Y030</t>
        </is>
      </c>
      <c r="E2174" s="38" t="inlineStr">
        <is>
          <t>30 anys</t>
        </is>
      </c>
      <c r="F2174" s="38" t="n">
        <v>30</v>
      </c>
      <c r="G2174" s="38" t="n">
        <v>292</v>
      </c>
      <c r="I2174" s="38" t="inlineStr">
        <is>
          <t>Total de tots els sexes; resposta JSON-stat de l'API d'Idescat</t>
        </is>
      </c>
    </row>
    <row r="2175" ht="15" customHeight="1" s="39">
      <c r="A2175" s="38" t="n">
        <v>2021</v>
      </c>
      <c r="B2175" s="42" t="inlineStr">
        <is>
          <t>431711</t>
        </is>
      </c>
      <c r="C2175" s="38" t="inlineStr">
        <is>
          <t>Vila-seca</t>
        </is>
      </c>
      <c r="D2175" s="38" t="inlineStr">
        <is>
          <t>Y031</t>
        </is>
      </c>
      <c r="E2175" s="38" t="inlineStr">
        <is>
          <t>31 anys</t>
        </is>
      </c>
      <c r="F2175" s="38" t="n">
        <v>31</v>
      </c>
      <c r="G2175" s="38" t="n">
        <v>240</v>
      </c>
      <c r="I2175" s="38" t="inlineStr">
        <is>
          <t>Total de tots els sexes; resposta JSON-stat de l'API d'Idescat</t>
        </is>
      </c>
    </row>
    <row r="2176" ht="15" customHeight="1" s="39">
      <c r="A2176" s="38" t="n">
        <v>2021</v>
      </c>
      <c r="B2176" s="42" t="inlineStr">
        <is>
          <t>431711</t>
        </is>
      </c>
      <c r="C2176" s="38" t="inlineStr">
        <is>
          <t>Vila-seca</t>
        </is>
      </c>
      <c r="D2176" s="38" t="inlineStr">
        <is>
          <t>Y032</t>
        </is>
      </c>
      <c r="E2176" s="38" t="inlineStr">
        <is>
          <t>32 anys</t>
        </is>
      </c>
      <c r="F2176" s="38" t="n">
        <v>32</v>
      </c>
      <c r="G2176" s="38" t="n">
        <v>297</v>
      </c>
      <c r="I2176" s="38" t="inlineStr">
        <is>
          <t>Total de tots els sexes; resposta JSON-stat de l'API d'Idescat</t>
        </is>
      </c>
    </row>
    <row r="2177" ht="15" customHeight="1" s="39">
      <c r="A2177" s="38" t="n">
        <v>2021</v>
      </c>
      <c r="B2177" s="42" t="inlineStr">
        <is>
          <t>431711</t>
        </is>
      </c>
      <c r="C2177" s="38" t="inlineStr">
        <is>
          <t>Vila-seca</t>
        </is>
      </c>
      <c r="D2177" s="38" t="inlineStr">
        <is>
          <t>Y033</t>
        </is>
      </c>
      <c r="E2177" s="38" t="inlineStr">
        <is>
          <t>33 anys</t>
        </is>
      </c>
      <c r="F2177" s="38" t="n">
        <v>33</v>
      </c>
      <c r="G2177" s="38" t="n">
        <v>342</v>
      </c>
      <c r="I2177" s="38" t="inlineStr">
        <is>
          <t>Total de tots els sexes; resposta JSON-stat de l'API d'Idescat</t>
        </is>
      </c>
    </row>
    <row r="2178" ht="15" customHeight="1" s="39">
      <c r="A2178" s="38" t="n">
        <v>2021</v>
      </c>
      <c r="B2178" s="42" t="inlineStr">
        <is>
          <t>431711</t>
        </is>
      </c>
      <c r="C2178" s="38" t="inlineStr">
        <is>
          <t>Vila-seca</t>
        </is>
      </c>
      <c r="D2178" s="38" t="inlineStr">
        <is>
          <t>Y034</t>
        </is>
      </c>
      <c r="E2178" s="38" t="inlineStr">
        <is>
          <t>34 anys</t>
        </is>
      </c>
      <c r="F2178" s="38" t="n">
        <v>34</v>
      </c>
      <c r="G2178" s="38" t="n">
        <v>353</v>
      </c>
      <c r="I2178" s="38" t="inlineStr">
        <is>
          <t>Total de tots els sexes; resposta JSON-stat de l'API d'Idescat</t>
        </is>
      </c>
    </row>
    <row r="2179" ht="15" customHeight="1" s="39">
      <c r="A2179" s="38" t="n">
        <v>2021</v>
      </c>
      <c r="B2179" s="42" t="inlineStr">
        <is>
          <t>431711</t>
        </is>
      </c>
      <c r="C2179" s="38" t="inlineStr">
        <is>
          <t>Vila-seca</t>
        </is>
      </c>
      <c r="D2179" s="38" t="inlineStr">
        <is>
          <t>Y035</t>
        </is>
      </c>
      <c r="E2179" s="38" t="inlineStr">
        <is>
          <t>35 anys</t>
        </is>
      </c>
      <c r="F2179" s="38" t="n">
        <v>35</v>
      </c>
      <c r="G2179" s="38" t="n">
        <v>330</v>
      </c>
      <c r="I2179" s="38" t="inlineStr">
        <is>
          <t>Total de tots els sexes; resposta JSON-stat de l'API d'Idescat</t>
        </is>
      </c>
    </row>
    <row r="2180" ht="15" customHeight="1" s="39">
      <c r="A2180" s="38" t="n">
        <v>2021</v>
      </c>
      <c r="B2180" s="42" t="inlineStr">
        <is>
          <t>431711</t>
        </is>
      </c>
      <c r="C2180" s="38" t="inlineStr">
        <is>
          <t>Vila-seca</t>
        </is>
      </c>
      <c r="D2180" s="38" t="inlineStr">
        <is>
          <t>Y036</t>
        </is>
      </c>
      <c r="E2180" s="38" t="inlineStr">
        <is>
          <t>36 anys</t>
        </is>
      </c>
      <c r="F2180" s="38" t="n">
        <v>36</v>
      </c>
      <c r="G2180" s="38" t="n">
        <v>376</v>
      </c>
      <c r="I2180" s="38" t="inlineStr">
        <is>
          <t>Total de tots els sexes; resposta JSON-stat de l'API d'Idescat</t>
        </is>
      </c>
    </row>
    <row r="2181" ht="15" customHeight="1" s="39">
      <c r="A2181" s="38" t="n">
        <v>2021</v>
      </c>
      <c r="B2181" s="42" t="inlineStr">
        <is>
          <t>431711</t>
        </is>
      </c>
      <c r="C2181" s="38" t="inlineStr">
        <is>
          <t>Vila-seca</t>
        </is>
      </c>
      <c r="D2181" s="38" t="inlineStr">
        <is>
          <t>Y037</t>
        </is>
      </c>
      <c r="E2181" s="38" t="inlineStr">
        <is>
          <t>37 anys</t>
        </is>
      </c>
      <c r="F2181" s="38" t="n">
        <v>37</v>
      </c>
      <c r="G2181" s="38" t="n">
        <v>390</v>
      </c>
      <c r="I2181" s="38" t="inlineStr">
        <is>
          <t>Total de tots els sexes; resposta JSON-stat de l'API d'Idescat</t>
        </is>
      </c>
    </row>
    <row r="2182" ht="15" customHeight="1" s="39">
      <c r="A2182" s="38" t="n">
        <v>2021</v>
      </c>
      <c r="B2182" s="42" t="inlineStr">
        <is>
          <t>431711</t>
        </is>
      </c>
      <c r="C2182" s="38" t="inlineStr">
        <is>
          <t>Vila-seca</t>
        </is>
      </c>
      <c r="D2182" s="38" t="inlineStr">
        <is>
          <t>Y038</t>
        </is>
      </c>
      <c r="E2182" s="38" t="inlineStr">
        <is>
          <t>38 anys</t>
        </is>
      </c>
      <c r="F2182" s="38" t="n">
        <v>38</v>
      </c>
      <c r="G2182" s="38" t="n">
        <v>429</v>
      </c>
      <c r="I2182" s="38" t="inlineStr">
        <is>
          <t>Total de tots els sexes; resposta JSON-stat de l'API d'Idescat</t>
        </is>
      </c>
    </row>
    <row r="2183" ht="15" customHeight="1" s="39">
      <c r="A2183" s="38" t="n">
        <v>2021</v>
      </c>
      <c r="B2183" s="42" t="inlineStr">
        <is>
          <t>431711</t>
        </is>
      </c>
      <c r="C2183" s="38" t="inlineStr">
        <is>
          <t>Vila-seca</t>
        </is>
      </c>
      <c r="D2183" s="38" t="inlineStr">
        <is>
          <t>Y039</t>
        </is>
      </c>
      <c r="E2183" s="38" t="inlineStr">
        <is>
          <t>39 anys</t>
        </is>
      </c>
      <c r="F2183" s="38" t="n">
        <v>39</v>
      </c>
      <c r="G2183" s="38" t="n">
        <v>445</v>
      </c>
      <c r="I2183" s="38" t="inlineStr">
        <is>
          <t>Total de tots els sexes; resposta JSON-stat de l'API d'Idescat</t>
        </is>
      </c>
    </row>
    <row r="2184" ht="15" customHeight="1" s="39">
      <c r="A2184" s="38" t="n">
        <v>2021</v>
      </c>
      <c r="B2184" s="42" t="inlineStr">
        <is>
          <t>431711</t>
        </is>
      </c>
      <c r="C2184" s="38" t="inlineStr">
        <is>
          <t>Vila-seca</t>
        </is>
      </c>
      <c r="D2184" s="38" t="inlineStr">
        <is>
          <t>Y040</t>
        </is>
      </c>
      <c r="E2184" s="38" t="inlineStr">
        <is>
          <t>40 anys</t>
        </is>
      </c>
      <c r="F2184" s="38" t="n">
        <v>40</v>
      </c>
      <c r="G2184" s="38" t="n">
        <v>478</v>
      </c>
      <c r="I2184" s="38" t="inlineStr">
        <is>
          <t>Total de tots els sexes; resposta JSON-stat de l'API d'Idescat</t>
        </is>
      </c>
    </row>
    <row r="2185" ht="15" customHeight="1" s="39">
      <c r="A2185" s="38" t="n">
        <v>2021</v>
      </c>
      <c r="B2185" s="42" t="inlineStr">
        <is>
          <t>431711</t>
        </is>
      </c>
      <c r="C2185" s="38" t="inlineStr">
        <is>
          <t>Vila-seca</t>
        </is>
      </c>
      <c r="D2185" s="38" t="inlineStr">
        <is>
          <t>Y041</t>
        </is>
      </c>
      <c r="E2185" s="38" t="inlineStr">
        <is>
          <t>41 anys</t>
        </is>
      </c>
      <c r="F2185" s="38" t="n">
        <v>41</v>
      </c>
      <c r="G2185" s="38" t="n">
        <v>477</v>
      </c>
      <c r="I2185" s="38" t="inlineStr">
        <is>
          <t>Total de tots els sexes; resposta JSON-stat de l'API d'Idescat</t>
        </is>
      </c>
    </row>
    <row r="2186" ht="15" customHeight="1" s="39">
      <c r="A2186" s="38" t="n">
        <v>2021</v>
      </c>
      <c r="B2186" s="42" t="inlineStr">
        <is>
          <t>431711</t>
        </is>
      </c>
      <c r="C2186" s="38" t="inlineStr">
        <is>
          <t>Vila-seca</t>
        </is>
      </c>
      <c r="D2186" s="38" t="inlineStr">
        <is>
          <t>Y042</t>
        </is>
      </c>
      <c r="E2186" s="38" t="inlineStr">
        <is>
          <t>42 anys</t>
        </is>
      </c>
      <c r="F2186" s="38" t="n">
        <v>42</v>
      </c>
      <c r="G2186" s="38" t="n">
        <v>501</v>
      </c>
      <c r="I2186" s="38" t="inlineStr">
        <is>
          <t>Total de tots els sexes; resposta JSON-stat de l'API d'Idescat</t>
        </is>
      </c>
    </row>
    <row r="2187" ht="15" customHeight="1" s="39">
      <c r="A2187" s="38" t="n">
        <v>2021</v>
      </c>
      <c r="B2187" s="42" t="inlineStr">
        <is>
          <t>431711</t>
        </is>
      </c>
      <c r="C2187" s="38" t="inlineStr">
        <is>
          <t>Vila-seca</t>
        </is>
      </c>
      <c r="D2187" s="38" t="inlineStr">
        <is>
          <t>Y043</t>
        </is>
      </c>
      <c r="E2187" s="38" t="inlineStr">
        <is>
          <t>43 anys</t>
        </is>
      </c>
      <c r="F2187" s="38" t="n">
        <v>43</v>
      </c>
      <c r="G2187" s="38" t="n">
        <v>501</v>
      </c>
      <c r="I2187" s="38" t="inlineStr">
        <is>
          <t>Total de tots els sexes; resposta JSON-stat de l'API d'Idescat</t>
        </is>
      </c>
    </row>
    <row r="2188" ht="15" customHeight="1" s="39">
      <c r="A2188" s="38" t="n">
        <v>2021</v>
      </c>
      <c r="B2188" s="42" t="inlineStr">
        <is>
          <t>431711</t>
        </is>
      </c>
      <c r="C2188" s="38" t="inlineStr">
        <is>
          <t>Vila-seca</t>
        </is>
      </c>
      <c r="D2188" s="38" t="inlineStr">
        <is>
          <t>Y044</t>
        </is>
      </c>
      <c r="E2188" s="38" t="inlineStr">
        <is>
          <t>44 anys</t>
        </is>
      </c>
      <c r="F2188" s="38" t="n">
        <v>44</v>
      </c>
      <c r="G2188" s="38" t="n">
        <v>497</v>
      </c>
      <c r="I2188" s="38" t="inlineStr">
        <is>
          <t>Total de tots els sexes; resposta JSON-stat de l'API d'Idescat</t>
        </is>
      </c>
    </row>
    <row r="2189" ht="15" customHeight="1" s="39">
      <c r="A2189" s="38" t="n">
        <v>2021</v>
      </c>
      <c r="B2189" s="42" t="inlineStr">
        <is>
          <t>431711</t>
        </is>
      </c>
      <c r="C2189" s="38" t="inlineStr">
        <is>
          <t>Vila-seca</t>
        </is>
      </c>
      <c r="D2189" s="38" t="inlineStr">
        <is>
          <t>Y045</t>
        </is>
      </c>
      <c r="E2189" s="38" t="inlineStr">
        <is>
          <t>45 anys</t>
        </is>
      </c>
      <c r="F2189" s="38" t="n">
        <v>45</v>
      </c>
      <c r="G2189" s="38" t="n">
        <v>439</v>
      </c>
      <c r="I2189" s="38" t="inlineStr">
        <is>
          <t>Total de tots els sexes; resposta JSON-stat de l'API d'Idescat</t>
        </is>
      </c>
    </row>
    <row r="2190" ht="15" customHeight="1" s="39">
      <c r="A2190" s="38" t="n">
        <v>2021</v>
      </c>
      <c r="B2190" s="42" t="inlineStr">
        <is>
          <t>431711</t>
        </is>
      </c>
      <c r="C2190" s="38" t="inlineStr">
        <is>
          <t>Vila-seca</t>
        </is>
      </c>
      <c r="D2190" s="38" t="inlineStr">
        <is>
          <t>Y046</t>
        </is>
      </c>
      <c r="E2190" s="38" t="inlineStr">
        <is>
          <t>46 anys</t>
        </is>
      </c>
      <c r="F2190" s="38" t="n">
        <v>46</v>
      </c>
      <c r="G2190" s="38" t="n">
        <v>411</v>
      </c>
      <c r="I2190" s="38" t="inlineStr">
        <is>
          <t>Total de tots els sexes; resposta JSON-stat de l'API d'Idescat</t>
        </is>
      </c>
    </row>
    <row r="2191" ht="15" customHeight="1" s="39">
      <c r="A2191" s="38" t="n">
        <v>2021</v>
      </c>
      <c r="B2191" s="42" t="inlineStr">
        <is>
          <t>431711</t>
        </is>
      </c>
      <c r="C2191" s="38" t="inlineStr">
        <is>
          <t>Vila-seca</t>
        </is>
      </c>
      <c r="D2191" s="38" t="inlineStr">
        <is>
          <t>Y047</t>
        </is>
      </c>
      <c r="E2191" s="38" t="inlineStr">
        <is>
          <t>47 anys</t>
        </is>
      </c>
      <c r="F2191" s="38" t="n">
        <v>47</v>
      </c>
      <c r="G2191" s="38" t="n">
        <v>402</v>
      </c>
      <c r="I2191" s="38" t="inlineStr">
        <is>
          <t>Total de tots els sexes; resposta JSON-stat de l'API d'Idescat</t>
        </is>
      </c>
    </row>
    <row r="2192" ht="15" customHeight="1" s="39">
      <c r="A2192" s="38" t="n">
        <v>2021</v>
      </c>
      <c r="B2192" s="42" t="inlineStr">
        <is>
          <t>431711</t>
        </is>
      </c>
      <c r="C2192" s="38" t="inlineStr">
        <is>
          <t>Vila-seca</t>
        </is>
      </c>
      <c r="D2192" s="38" t="inlineStr">
        <is>
          <t>Y048</t>
        </is>
      </c>
      <c r="E2192" s="38" t="inlineStr">
        <is>
          <t>48 anys</t>
        </is>
      </c>
      <c r="F2192" s="38" t="n">
        <v>48</v>
      </c>
      <c r="G2192" s="38" t="n">
        <v>359</v>
      </c>
      <c r="I2192" s="38" t="inlineStr">
        <is>
          <t>Total de tots els sexes; resposta JSON-stat de l'API d'Idescat</t>
        </is>
      </c>
    </row>
    <row r="2193" ht="15" customHeight="1" s="39">
      <c r="A2193" s="38" t="n">
        <v>2021</v>
      </c>
      <c r="B2193" s="42" t="inlineStr">
        <is>
          <t>431711</t>
        </is>
      </c>
      <c r="C2193" s="38" t="inlineStr">
        <is>
          <t>Vila-seca</t>
        </is>
      </c>
      <c r="D2193" s="38" t="inlineStr">
        <is>
          <t>Y049</t>
        </is>
      </c>
      <c r="E2193" s="38" t="inlineStr">
        <is>
          <t>49 anys</t>
        </is>
      </c>
      <c r="F2193" s="38" t="n">
        <v>49</v>
      </c>
      <c r="G2193" s="38" t="n">
        <v>341</v>
      </c>
      <c r="I2193" s="38" t="inlineStr">
        <is>
          <t>Total de tots els sexes; resposta JSON-stat de l'API d'Idescat</t>
        </is>
      </c>
    </row>
    <row r="2194" ht="15" customHeight="1" s="39">
      <c r="A2194" s="38" t="n">
        <v>2021</v>
      </c>
      <c r="B2194" s="42" t="inlineStr">
        <is>
          <t>431711</t>
        </is>
      </c>
      <c r="C2194" s="38" t="inlineStr">
        <is>
          <t>Vila-seca</t>
        </is>
      </c>
      <c r="D2194" s="38" t="inlineStr">
        <is>
          <t>Y050</t>
        </is>
      </c>
      <c r="E2194" s="38" t="inlineStr">
        <is>
          <t>50 anys</t>
        </is>
      </c>
      <c r="F2194" s="38" t="n">
        <v>50</v>
      </c>
      <c r="G2194" s="38" t="n">
        <v>325</v>
      </c>
      <c r="I2194" s="38" t="inlineStr">
        <is>
          <t>Total de tots els sexes; resposta JSON-stat de l'API d'Idescat</t>
        </is>
      </c>
    </row>
    <row r="2195" ht="15" customHeight="1" s="39">
      <c r="A2195" s="38" t="n">
        <v>2021</v>
      </c>
      <c r="B2195" s="42" t="inlineStr">
        <is>
          <t>431711</t>
        </is>
      </c>
      <c r="C2195" s="38" t="inlineStr">
        <is>
          <t>Vila-seca</t>
        </is>
      </c>
      <c r="D2195" s="38" t="inlineStr">
        <is>
          <t>Y051</t>
        </is>
      </c>
      <c r="E2195" s="38" t="inlineStr">
        <is>
          <t>51 anys</t>
        </is>
      </c>
      <c r="F2195" s="38" t="n">
        <v>51</v>
      </c>
      <c r="G2195" s="38" t="n">
        <v>326</v>
      </c>
      <c r="I2195" s="38" t="inlineStr">
        <is>
          <t>Total de tots els sexes; resposta JSON-stat de l'API d'Idescat</t>
        </is>
      </c>
    </row>
    <row r="2196" ht="15" customHeight="1" s="39">
      <c r="A2196" s="38" t="n">
        <v>2021</v>
      </c>
      <c r="B2196" s="42" t="inlineStr">
        <is>
          <t>431711</t>
        </is>
      </c>
      <c r="C2196" s="38" t="inlineStr">
        <is>
          <t>Vila-seca</t>
        </is>
      </c>
      <c r="D2196" s="38" t="inlineStr">
        <is>
          <t>Y052</t>
        </is>
      </c>
      <c r="E2196" s="38" t="inlineStr">
        <is>
          <t>52 anys</t>
        </is>
      </c>
      <c r="F2196" s="38" t="n">
        <v>52</v>
      </c>
      <c r="G2196" s="38" t="n">
        <v>282</v>
      </c>
      <c r="I2196" s="38" t="inlineStr">
        <is>
          <t>Total de tots els sexes; resposta JSON-stat de l'API d'Idescat</t>
        </is>
      </c>
    </row>
    <row r="2197" ht="15" customHeight="1" s="39">
      <c r="A2197" s="38" t="n">
        <v>2021</v>
      </c>
      <c r="B2197" s="42" t="inlineStr">
        <is>
          <t>431711</t>
        </is>
      </c>
      <c r="C2197" s="38" t="inlineStr">
        <is>
          <t>Vila-seca</t>
        </is>
      </c>
      <c r="D2197" s="38" t="inlineStr">
        <is>
          <t>Y053</t>
        </is>
      </c>
      <c r="E2197" s="38" t="inlineStr">
        <is>
          <t>53 anys</t>
        </is>
      </c>
      <c r="F2197" s="38" t="n">
        <v>53</v>
      </c>
      <c r="G2197" s="38" t="n">
        <v>300</v>
      </c>
      <c r="I2197" s="38" t="inlineStr">
        <is>
          <t>Total de tots els sexes; resposta JSON-stat de l'API d'Idescat</t>
        </is>
      </c>
    </row>
    <row r="2198" ht="15" customHeight="1" s="39">
      <c r="A2198" s="38" t="n">
        <v>2021</v>
      </c>
      <c r="B2198" s="42" t="inlineStr">
        <is>
          <t>431711</t>
        </is>
      </c>
      <c r="C2198" s="38" t="inlineStr">
        <is>
          <t>Vila-seca</t>
        </is>
      </c>
      <c r="D2198" s="38" t="inlineStr">
        <is>
          <t>Y054</t>
        </is>
      </c>
      <c r="E2198" s="38" t="inlineStr">
        <is>
          <t>54 anys</t>
        </is>
      </c>
      <c r="F2198" s="38" t="n">
        <v>54</v>
      </c>
      <c r="G2198" s="38" t="n">
        <v>323</v>
      </c>
      <c r="I2198" s="38" t="inlineStr">
        <is>
          <t>Total de tots els sexes; resposta JSON-stat de l'API d'Idescat</t>
        </is>
      </c>
    </row>
    <row r="2199" ht="15" customHeight="1" s="39">
      <c r="A2199" s="38" t="n">
        <v>2021</v>
      </c>
      <c r="B2199" s="42" t="inlineStr">
        <is>
          <t>431711</t>
        </is>
      </c>
      <c r="C2199" s="38" t="inlineStr">
        <is>
          <t>Vila-seca</t>
        </is>
      </c>
      <c r="D2199" s="38" t="inlineStr">
        <is>
          <t>Y055</t>
        </is>
      </c>
      <c r="E2199" s="38" t="inlineStr">
        <is>
          <t>55 anys</t>
        </is>
      </c>
      <c r="F2199" s="38" t="n">
        <v>55</v>
      </c>
      <c r="G2199" s="38" t="n">
        <v>289</v>
      </c>
      <c r="I2199" s="38" t="inlineStr">
        <is>
          <t>Total de tots els sexes; resposta JSON-stat de l'API d'Idescat</t>
        </is>
      </c>
    </row>
    <row r="2200" ht="15" customHeight="1" s="39">
      <c r="A2200" s="38" t="n">
        <v>2021</v>
      </c>
      <c r="B2200" s="42" t="inlineStr">
        <is>
          <t>431711</t>
        </is>
      </c>
      <c r="C2200" s="38" t="inlineStr">
        <is>
          <t>Vila-seca</t>
        </is>
      </c>
      <c r="D2200" s="38" t="inlineStr">
        <is>
          <t>Y056</t>
        </is>
      </c>
      <c r="E2200" s="38" t="inlineStr">
        <is>
          <t>56 anys</t>
        </is>
      </c>
      <c r="F2200" s="38" t="n">
        <v>56</v>
      </c>
      <c r="G2200" s="38" t="n">
        <v>307</v>
      </c>
      <c r="I2200" s="38" t="inlineStr">
        <is>
          <t>Total de tots els sexes; resposta JSON-stat de l'API d'Idescat</t>
        </is>
      </c>
    </row>
    <row r="2201" ht="15" customHeight="1" s="39">
      <c r="A2201" s="38" t="n">
        <v>2021</v>
      </c>
      <c r="B2201" s="42" t="inlineStr">
        <is>
          <t>431711</t>
        </is>
      </c>
      <c r="C2201" s="38" t="inlineStr">
        <is>
          <t>Vila-seca</t>
        </is>
      </c>
      <c r="D2201" s="38" t="inlineStr">
        <is>
          <t>Y057</t>
        </is>
      </c>
      <c r="E2201" s="38" t="inlineStr">
        <is>
          <t>57 anys</t>
        </is>
      </c>
      <c r="F2201" s="38" t="n">
        <v>57</v>
      </c>
      <c r="G2201" s="38" t="n">
        <v>287</v>
      </c>
      <c r="I2201" s="38" t="inlineStr">
        <is>
          <t>Total de tots els sexes; resposta JSON-stat de l'API d'Idescat</t>
        </is>
      </c>
    </row>
    <row r="2202" ht="15" customHeight="1" s="39">
      <c r="A2202" s="38" t="n">
        <v>2021</v>
      </c>
      <c r="B2202" s="42" t="inlineStr">
        <is>
          <t>431711</t>
        </is>
      </c>
      <c r="C2202" s="38" t="inlineStr">
        <is>
          <t>Vila-seca</t>
        </is>
      </c>
      <c r="D2202" s="38" t="inlineStr">
        <is>
          <t>Y058</t>
        </is>
      </c>
      <c r="E2202" s="38" t="inlineStr">
        <is>
          <t>58 anys</t>
        </is>
      </c>
      <c r="F2202" s="38" t="n">
        <v>58</v>
      </c>
      <c r="G2202" s="38" t="n">
        <v>254</v>
      </c>
      <c r="I2202" s="38" t="inlineStr">
        <is>
          <t>Total de tots els sexes; resposta JSON-stat de l'API d'Idescat</t>
        </is>
      </c>
    </row>
    <row r="2203" ht="15" customHeight="1" s="39">
      <c r="A2203" s="38" t="n">
        <v>2021</v>
      </c>
      <c r="B2203" s="42" t="inlineStr">
        <is>
          <t>431711</t>
        </is>
      </c>
      <c r="C2203" s="38" t="inlineStr">
        <is>
          <t>Vila-seca</t>
        </is>
      </c>
      <c r="D2203" s="38" t="inlineStr">
        <is>
          <t>Y059</t>
        </is>
      </c>
      <c r="E2203" s="38" t="inlineStr">
        <is>
          <t>59 anys</t>
        </is>
      </c>
      <c r="F2203" s="38" t="n">
        <v>59</v>
      </c>
      <c r="G2203" s="38" t="n">
        <v>246</v>
      </c>
      <c r="I2203" s="38" t="inlineStr">
        <is>
          <t>Total de tots els sexes; resposta JSON-stat de l'API d'Idescat</t>
        </is>
      </c>
    </row>
    <row r="2204" ht="15" customHeight="1" s="39">
      <c r="A2204" s="38" t="n">
        <v>2021</v>
      </c>
      <c r="B2204" s="42" t="inlineStr">
        <is>
          <t>431711</t>
        </is>
      </c>
      <c r="C2204" s="38" t="inlineStr">
        <is>
          <t>Vila-seca</t>
        </is>
      </c>
      <c r="D2204" s="38" t="inlineStr">
        <is>
          <t>Y060</t>
        </is>
      </c>
      <c r="E2204" s="38" t="inlineStr">
        <is>
          <t>60 anys</t>
        </is>
      </c>
      <c r="F2204" s="38" t="n">
        <v>60</v>
      </c>
      <c r="G2204" s="38" t="n">
        <v>246</v>
      </c>
      <c r="I2204" s="38" t="inlineStr">
        <is>
          <t>Total de tots els sexes; resposta JSON-stat de l'API d'Idescat</t>
        </is>
      </c>
    </row>
    <row r="2205" ht="15" customHeight="1" s="39">
      <c r="A2205" s="38" t="n">
        <v>2021</v>
      </c>
      <c r="B2205" s="42" t="inlineStr">
        <is>
          <t>431711</t>
        </is>
      </c>
      <c r="C2205" s="38" t="inlineStr">
        <is>
          <t>Vila-seca</t>
        </is>
      </c>
      <c r="D2205" s="38" t="inlineStr">
        <is>
          <t>Y061</t>
        </is>
      </c>
      <c r="E2205" s="38" t="inlineStr">
        <is>
          <t>61 anys</t>
        </is>
      </c>
      <c r="F2205" s="38" t="n">
        <v>61</v>
      </c>
      <c r="G2205" s="38" t="n">
        <v>245</v>
      </c>
      <c r="I2205" s="38" t="inlineStr">
        <is>
          <t>Total de tots els sexes; resposta JSON-stat de l'API d'Idescat</t>
        </is>
      </c>
    </row>
    <row r="2206" ht="15" customHeight="1" s="39">
      <c r="A2206" s="38" t="n">
        <v>2021</v>
      </c>
      <c r="B2206" s="42" t="inlineStr">
        <is>
          <t>431711</t>
        </is>
      </c>
      <c r="C2206" s="38" t="inlineStr">
        <is>
          <t>Vila-seca</t>
        </is>
      </c>
      <c r="D2206" s="38" t="inlineStr">
        <is>
          <t>Y062</t>
        </is>
      </c>
      <c r="E2206" s="38" t="inlineStr">
        <is>
          <t>62 anys</t>
        </is>
      </c>
      <c r="F2206" s="38" t="n">
        <v>62</v>
      </c>
      <c r="G2206" s="38" t="n">
        <v>234</v>
      </c>
      <c r="I2206" s="38" t="inlineStr">
        <is>
          <t>Total de tots els sexes; resposta JSON-stat de l'API d'Idescat</t>
        </is>
      </c>
    </row>
    <row r="2207" ht="15" customHeight="1" s="39">
      <c r="A2207" s="38" t="n">
        <v>2021</v>
      </c>
      <c r="B2207" s="42" t="inlineStr">
        <is>
          <t>431711</t>
        </is>
      </c>
      <c r="C2207" s="38" t="inlineStr">
        <is>
          <t>Vila-seca</t>
        </is>
      </c>
      <c r="D2207" s="38" t="inlineStr">
        <is>
          <t>Y063</t>
        </is>
      </c>
      <c r="E2207" s="38" t="inlineStr">
        <is>
          <t>63 anys</t>
        </is>
      </c>
      <c r="F2207" s="38" t="n">
        <v>63</v>
      </c>
      <c r="G2207" s="38" t="n">
        <v>237</v>
      </c>
      <c r="I2207" s="38" t="inlineStr">
        <is>
          <t>Total de tots els sexes; resposta JSON-stat de l'API d'Idescat</t>
        </is>
      </c>
    </row>
    <row r="2208" ht="15" customHeight="1" s="39">
      <c r="A2208" s="38" t="n">
        <v>2021</v>
      </c>
      <c r="B2208" s="42" t="inlineStr">
        <is>
          <t>431711</t>
        </is>
      </c>
      <c r="C2208" s="38" t="inlineStr">
        <is>
          <t>Vila-seca</t>
        </is>
      </c>
      <c r="D2208" s="38" t="inlineStr">
        <is>
          <t>Y064</t>
        </is>
      </c>
      <c r="E2208" s="38" t="inlineStr">
        <is>
          <t>64 anys</t>
        </is>
      </c>
      <c r="F2208" s="38" t="n">
        <v>64</v>
      </c>
      <c r="G2208" s="38" t="n">
        <v>230</v>
      </c>
      <c r="I2208" s="38" t="inlineStr">
        <is>
          <t>Total de tots els sexes; resposta JSON-stat de l'API d'Idescat</t>
        </is>
      </c>
    </row>
    <row r="2209" ht="15" customHeight="1" s="39">
      <c r="A2209" s="38" t="n">
        <v>2021</v>
      </c>
      <c r="B2209" s="42" t="inlineStr">
        <is>
          <t>431711</t>
        </is>
      </c>
      <c r="C2209" s="38" t="inlineStr">
        <is>
          <t>Vila-seca</t>
        </is>
      </c>
      <c r="D2209" s="38" t="inlineStr">
        <is>
          <t>Y065</t>
        </is>
      </c>
      <c r="E2209" s="38" t="inlineStr">
        <is>
          <t>65 anys</t>
        </is>
      </c>
      <c r="F2209" s="38" t="n">
        <v>65</v>
      </c>
      <c r="G2209" s="38" t="n">
        <v>255</v>
      </c>
      <c r="I2209" s="38" t="inlineStr">
        <is>
          <t>Total de tots els sexes; resposta JSON-stat de l'API d'Idescat</t>
        </is>
      </c>
    </row>
    <row r="2210" ht="15" customHeight="1" s="39">
      <c r="A2210" s="38" t="n">
        <v>2021</v>
      </c>
      <c r="B2210" s="42" t="inlineStr">
        <is>
          <t>431711</t>
        </is>
      </c>
      <c r="C2210" s="38" t="inlineStr">
        <is>
          <t>Vila-seca</t>
        </is>
      </c>
      <c r="D2210" s="38" t="inlineStr">
        <is>
          <t>Y066</t>
        </is>
      </c>
      <c r="E2210" s="38" t="inlineStr">
        <is>
          <t>66 anys</t>
        </is>
      </c>
      <c r="F2210" s="38" t="n">
        <v>66</v>
      </c>
      <c r="G2210" s="38" t="n">
        <v>205</v>
      </c>
      <c r="I2210" s="38" t="inlineStr">
        <is>
          <t>Total de tots els sexes; resposta JSON-stat de l'API d'Idescat</t>
        </is>
      </c>
    </row>
    <row r="2211" ht="15" customHeight="1" s="39">
      <c r="A2211" s="38" t="n">
        <v>2021</v>
      </c>
      <c r="B2211" s="42" t="inlineStr">
        <is>
          <t>431711</t>
        </is>
      </c>
      <c r="C2211" s="38" t="inlineStr">
        <is>
          <t>Vila-seca</t>
        </is>
      </c>
      <c r="D2211" s="38" t="inlineStr">
        <is>
          <t>Y067</t>
        </is>
      </c>
      <c r="E2211" s="38" t="inlineStr">
        <is>
          <t>67 anys</t>
        </is>
      </c>
      <c r="F2211" s="38" t="n">
        <v>67</v>
      </c>
      <c r="G2211" s="38" t="n">
        <v>233</v>
      </c>
      <c r="I2211" s="38" t="inlineStr">
        <is>
          <t>Total de tots els sexes; resposta JSON-stat de l'API d'Idescat</t>
        </is>
      </c>
    </row>
    <row r="2212" ht="15" customHeight="1" s="39">
      <c r="A2212" s="38" t="n">
        <v>2021</v>
      </c>
      <c r="B2212" s="42" t="inlineStr">
        <is>
          <t>431711</t>
        </is>
      </c>
      <c r="C2212" s="38" t="inlineStr">
        <is>
          <t>Vila-seca</t>
        </is>
      </c>
      <c r="D2212" s="38" t="inlineStr">
        <is>
          <t>Y068</t>
        </is>
      </c>
      <c r="E2212" s="38" t="inlineStr">
        <is>
          <t>68 anys</t>
        </is>
      </c>
      <c r="F2212" s="38" t="n">
        <v>68</v>
      </c>
      <c r="G2212" s="38" t="n">
        <v>219</v>
      </c>
      <c r="I2212" s="38" t="inlineStr">
        <is>
          <t>Total de tots els sexes; resposta JSON-stat de l'API d'Idescat</t>
        </is>
      </c>
    </row>
    <row r="2213" ht="15" customHeight="1" s="39">
      <c r="A2213" s="38" t="n">
        <v>2021</v>
      </c>
      <c r="B2213" s="42" t="inlineStr">
        <is>
          <t>431711</t>
        </is>
      </c>
      <c r="C2213" s="38" t="inlineStr">
        <is>
          <t>Vila-seca</t>
        </is>
      </c>
      <c r="D2213" s="38" t="inlineStr">
        <is>
          <t>Y069</t>
        </is>
      </c>
      <c r="E2213" s="38" t="inlineStr">
        <is>
          <t>69 anys</t>
        </is>
      </c>
      <c r="F2213" s="38" t="n">
        <v>69</v>
      </c>
      <c r="G2213" s="38" t="n">
        <v>193</v>
      </c>
      <c r="I2213" s="38" t="inlineStr">
        <is>
          <t>Total de tots els sexes; resposta JSON-stat de l'API d'Idescat</t>
        </is>
      </c>
    </row>
    <row r="2214" ht="15" customHeight="1" s="39">
      <c r="A2214" s="38" t="n">
        <v>2021</v>
      </c>
      <c r="B2214" s="42" t="inlineStr">
        <is>
          <t>431711</t>
        </is>
      </c>
      <c r="C2214" s="38" t="inlineStr">
        <is>
          <t>Vila-seca</t>
        </is>
      </c>
      <c r="D2214" s="38" t="inlineStr">
        <is>
          <t>Y070</t>
        </is>
      </c>
      <c r="E2214" s="38" t="inlineStr">
        <is>
          <t>70 anys</t>
        </is>
      </c>
      <c r="F2214" s="38" t="n">
        <v>70</v>
      </c>
      <c r="G2214" s="38" t="n">
        <v>175</v>
      </c>
      <c r="I2214" s="38" t="inlineStr">
        <is>
          <t>Total de tots els sexes; resposta JSON-stat de l'API d'Idescat</t>
        </is>
      </c>
    </row>
    <row r="2215" ht="15" customHeight="1" s="39">
      <c r="A2215" s="38" t="n">
        <v>2021</v>
      </c>
      <c r="B2215" s="42" t="inlineStr">
        <is>
          <t>431711</t>
        </is>
      </c>
      <c r="C2215" s="38" t="inlineStr">
        <is>
          <t>Vila-seca</t>
        </is>
      </c>
      <c r="D2215" s="38" t="inlineStr">
        <is>
          <t>Y071</t>
        </is>
      </c>
      <c r="E2215" s="38" t="inlineStr">
        <is>
          <t>71 anys</t>
        </is>
      </c>
      <c r="F2215" s="38" t="n">
        <v>71</v>
      </c>
      <c r="G2215" s="38" t="n">
        <v>182</v>
      </c>
      <c r="I2215" s="38" t="inlineStr">
        <is>
          <t>Total de tots els sexes; resposta JSON-stat de l'API d'Idescat</t>
        </is>
      </c>
    </row>
    <row r="2216" ht="15" customHeight="1" s="39">
      <c r="A2216" s="38" t="n">
        <v>2021</v>
      </c>
      <c r="B2216" s="42" t="inlineStr">
        <is>
          <t>431711</t>
        </is>
      </c>
      <c r="C2216" s="38" t="inlineStr">
        <is>
          <t>Vila-seca</t>
        </is>
      </c>
      <c r="D2216" s="38" t="inlineStr">
        <is>
          <t>Y072</t>
        </is>
      </c>
      <c r="E2216" s="38" t="inlineStr">
        <is>
          <t>72 anys</t>
        </is>
      </c>
      <c r="F2216" s="38" t="n">
        <v>72</v>
      </c>
      <c r="G2216" s="38" t="n">
        <v>176</v>
      </c>
      <c r="I2216" s="38" t="inlineStr">
        <is>
          <t>Total de tots els sexes; resposta JSON-stat de l'API d'Idescat</t>
        </is>
      </c>
    </row>
    <row r="2217" ht="15" customHeight="1" s="39">
      <c r="A2217" s="38" t="n">
        <v>2021</v>
      </c>
      <c r="B2217" s="42" t="inlineStr">
        <is>
          <t>431711</t>
        </is>
      </c>
      <c r="C2217" s="38" t="inlineStr">
        <is>
          <t>Vila-seca</t>
        </is>
      </c>
      <c r="D2217" s="38" t="inlineStr">
        <is>
          <t>Y073</t>
        </is>
      </c>
      <c r="E2217" s="38" t="inlineStr">
        <is>
          <t>73 anys</t>
        </is>
      </c>
      <c r="F2217" s="38" t="n">
        <v>73</v>
      </c>
      <c r="G2217" s="38" t="n">
        <v>174</v>
      </c>
      <c r="I2217" s="38" t="inlineStr">
        <is>
          <t>Total de tots els sexes; resposta JSON-stat de l'API d'Idescat</t>
        </is>
      </c>
    </row>
    <row r="2218" ht="15" customHeight="1" s="39">
      <c r="A2218" s="38" t="n">
        <v>2021</v>
      </c>
      <c r="B2218" s="42" t="inlineStr">
        <is>
          <t>431711</t>
        </is>
      </c>
      <c r="C2218" s="38" t="inlineStr">
        <is>
          <t>Vila-seca</t>
        </is>
      </c>
      <c r="D2218" s="38" t="inlineStr">
        <is>
          <t>Y074</t>
        </is>
      </c>
      <c r="E2218" s="38" t="inlineStr">
        <is>
          <t>74 anys</t>
        </is>
      </c>
      <c r="F2218" s="38" t="n">
        <v>74</v>
      </c>
      <c r="G2218" s="38" t="n">
        <v>137</v>
      </c>
      <c r="I2218" s="38" t="inlineStr">
        <is>
          <t>Total de tots els sexes; resposta JSON-stat de l'API d'Idescat</t>
        </is>
      </c>
    </row>
    <row r="2219" ht="15" customHeight="1" s="39">
      <c r="A2219" s="38" t="n">
        <v>2021</v>
      </c>
      <c r="B2219" s="42" t="inlineStr">
        <is>
          <t>431711</t>
        </is>
      </c>
      <c r="C2219" s="38" t="inlineStr">
        <is>
          <t>Vila-seca</t>
        </is>
      </c>
      <c r="D2219" s="38" t="inlineStr">
        <is>
          <t>Y075</t>
        </is>
      </c>
      <c r="E2219" s="38" t="inlineStr">
        <is>
          <t>75 anys</t>
        </is>
      </c>
      <c r="F2219" s="38" t="n">
        <v>75</v>
      </c>
      <c r="G2219" s="38" t="n">
        <v>133</v>
      </c>
      <c r="I2219" s="38" t="inlineStr">
        <is>
          <t>Total de tots els sexes; resposta JSON-stat de l'API d'Idescat</t>
        </is>
      </c>
    </row>
    <row r="2220" ht="15" customHeight="1" s="39">
      <c r="A2220" s="38" t="n">
        <v>2021</v>
      </c>
      <c r="B2220" s="42" t="inlineStr">
        <is>
          <t>431711</t>
        </is>
      </c>
      <c r="C2220" s="38" t="inlineStr">
        <is>
          <t>Vila-seca</t>
        </is>
      </c>
      <c r="D2220" s="38" t="inlineStr">
        <is>
          <t>Y076</t>
        </is>
      </c>
      <c r="E2220" s="38" t="inlineStr">
        <is>
          <t>76 anys</t>
        </is>
      </c>
      <c r="F2220" s="38" t="n">
        <v>76</v>
      </c>
      <c r="G2220" s="38" t="n">
        <v>120</v>
      </c>
      <c r="I2220" s="38" t="inlineStr">
        <is>
          <t>Total de tots els sexes; resposta JSON-stat de l'API d'Idescat</t>
        </is>
      </c>
    </row>
    <row r="2221" ht="15" customHeight="1" s="39">
      <c r="A2221" s="38" t="n">
        <v>2021</v>
      </c>
      <c r="B2221" s="42" t="inlineStr">
        <is>
          <t>431711</t>
        </is>
      </c>
      <c r="C2221" s="38" t="inlineStr">
        <is>
          <t>Vila-seca</t>
        </is>
      </c>
      <c r="D2221" s="38" t="inlineStr">
        <is>
          <t>Y077</t>
        </is>
      </c>
      <c r="E2221" s="38" t="inlineStr">
        <is>
          <t>77 anys</t>
        </is>
      </c>
      <c r="F2221" s="38" t="n">
        <v>77</v>
      </c>
      <c r="G2221" s="38" t="n">
        <v>126</v>
      </c>
      <c r="I2221" s="38" t="inlineStr">
        <is>
          <t>Total de tots els sexes; resposta JSON-stat de l'API d'Idescat</t>
        </is>
      </c>
    </row>
    <row r="2222" ht="15" customHeight="1" s="39">
      <c r="A2222" s="38" t="n">
        <v>2021</v>
      </c>
      <c r="B2222" s="42" t="inlineStr">
        <is>
          <t>431711</t>
        </is>
      </c>
      <c r="C2222" s="38" t="inlineStr">
        <is>
          <t>Vila-seca</t>
        </is>
      </c>
      <c r="D2222" s="38" t="inlineStr">
        <is>
          <t>Y078</t>
        </is>
      </c>
      <c r="E2222" s="38" t="inlineStr">
        <is>
          <t>78 anys</t>
        </is>
      </c>
      <c r="F2222" s="38" t="n">
        <v>78</v>
      </c>
      <c r="G2222" s="38" t="n">
        <v>94</v>
      </c>
      <c r="I2222" s="38" t="inlineStr">
        <is>
          <t>Total de tots els sexes; resposta JSON-stat de l'API d'Idescat</t>
        </is>
      </c>
    </row>
    <row r="2223" ht="15" customHeight="1" s="39">
      <c r="A2223" s="38" t="n">
        <v>2021</v>
      </c>
      <c r="B2223" s="42" t="inlineStr">
        <is>
          <t>431711</t>
        </is>
      </c>
      <c r="C2223" s="38" t="inlineStr">
        <is>
          <t>Vila-seca</t>
        </is>
      </c>
      <c r="D2223" s="38" t="inlineStr">
        <is>
          <t>Y079</t>
        </is>
      </c>
      <c r="E2223" s="38" t="inlineStr">
        <is>
          <t>79 anys</t>
        </is>
      </c>
      <c r="F2223" s="38" t="n">
        <v>79</v>
      </c>
      <c r="G2223" s="38" t="n">
        <v>79</v>
      </c>
      <c r="I2223" s="38" t="inlineStr">
        <is>
          <t>Total de tots els sexes; resposta JSON-stat de l'API d'Idescat</t>
        </is>
      </c>
    </row>
    <row r="2224" ht="15" customHeight="1" s="39">
      <c r="A2224" s="38" t="n">
        <v>2021</v>
      </c>
      <c r="B2224" s="42" t="inlineStr">
        <is>
          <t>431711</t>
        </is>
      </c>
      <c r="C2224" s="38" t="inlineStr">
        <is>
          <t>Vila-seca</t>
        </is>
      </c>
      <c r="D2224" s="38" t="inlineStr">
        <is>
          <t>Y080</t>
        </is>
      </c>
      <c r="E2224" s="38" t="inlineStr">
        <is>
          <t>80 anys</t>
        </is>
      </c>
      <c r="F2224" s="38" t="n">
        <v>80</v>
      </c>
      <c r="G2224" s="38" t="n">
        <v>104</v>
      </c>
      <c r="I2224" s="38" t="inlineStr">
        <is>
          <t>Total de tots els sexes; resposta JSON-stat de l'API d'Idescat</t>
        </is>
      </c>
    </row>
    <row r="2225" ht="15" customHeight="1" s="39">
      <c r="A2225" s="38" t="n">
        <v>2021</v>
      </c>
      <c r="B2225" s="42" t="inlineStr">
        <is>
          <t>431711</t>
        </is>
      </c>
      <c r="C2225" s="38" t="inlineStr">
        <is>
          <t>Vila-seca</t>
        </is>
      </c>
      <c r="D2225" s="38" t="inlineStr">
        <is>
          <t>Y081</t>
        </is>
      </c>
      <c r="E2225" s="38" t="inlineStr">
        <is>
          <t>81 anys</t>
        </is>
      </c>
      <c r="F2225" s="38" t="n">
        <v>81</v>
      </c>
      <c r="G2225" s="38" t="n">
        <v>56</v>
      </c>
      <c r="I2225" s="38" t="inlineStr">
        <is>
          <t>Total de tots els sexes; resposta JSON-stat de l'API d'Idescat</t>
        </is>
      </c>
    </row>
    <row r="2226" ht="15" customHeight="1" s="39">
      <c r="A2226" s="38" t="n">
        <v>2021</v>
      </c>
      <c r="B2226" s="42" t="inlineStr">
        <is>
          <t>431711</t>
        </is>
      </c>
      <c r="C2226" s="38" t="inlineStr">
        <is>
          <t>Vila-seca</t>
        </is>
      </c>
      <c r="D2226" s="38" t="inlineStr">
        <is>
          <t>Y082</t>
        </is>
      </c>
      <c r="E2226" s="38" t="inlineStr">
        <is>
          <t>82 anys</t>
        </is>
      </c>
      <c r="F2226" s="38" t="n">
        <v>82</v>
      </c>
      <c r="G2226" s="38" t="n">
        <v>71</v>
      </c>
      <c r="I2226" s="38" t="inlineStr">
        <is>
          <t>Total de tots els sexes; resposta JSON-stat de l'API d'Idescat</t>
        </is>
      </c>
    </row>
    <row r="2227" ht="15" customHeight="1" s="39">
      <c r="A2227" s="38" t="n">
        <v>2021</v>
      </c>
      <c r="B2227" s="42" t="inlineStr">
        <is>
          <t>431711</t>
        </is>
      </c>
      <c r="C2227" s="38" t="inlineStr">
        <is>
          <t>Vila-seca</t>
        </is>
      </c>
      <c r="D2227" s="38" t="inlineStr">
        <is>
          <t>Y083</t>
        </is>
      </c>
      <c r="E2227" s="38" t="inlineStr">
        <is>
          <t>83 anys</t>
        </is>
      </c>
      <c r="F2227" s="38" t="n">
        <v>83</v>
      </c>
      <c r="G2227" s="38" t="n">
        <v>87</v>
      </c>
      <c r="I2227" s="38" t="inlineStr">
        <is>
          <t>Total de tots els sexes; resposta JSON-stat de l'API d'Idescat</t>
        </is>
      </c>
    </row>
    <row r="2228" ht="15" customHeight="1" s="39">
      <c r="A2228" s="38" t="n">
        <v>2021</v>
      </c>
      <c r="B2228" s="42" t="inlineStr">
        <is>
          <t>431711</t>
        </is>
      </c>
      <c r="C2228" s="38" t="inlineStr">
        <is>
          <t>Vila-seca</t>
        </is>
      </c>
      <c r="D2228" s="38" t="inlineStr">
        <is>
          <t>Y084</t>
        </is>
      </c>
      <c r="E2228" s="38" t="inlineStr">
        <is>
          <t>84 anys</t>
        </is>
      </c>
      <c r="F2228" s="38" t="n">
        <v>84</v>
      </c>
      <c r="G2228" s="38" t="n">
        <v>70</v>
      </c>
      <c r="I2228" s="38" t="inlineStr">
        <is>
          <t>Total de tots els sexes; resposta JSON-stat de l'API d'Idescat</t>
        </is>
      </c>
    </row>
    <row r="2229" ht="15" customHeight="1" s="39">
      <c r="A2229" s="38" t="n">
        <v>2021</v>
      </c>
      <c r="B2229" s="42" t="inlineStr">
        <is>
          <t>431711</t>
        </is>
      </c>
      <c r="C2229" s="38" t="inlineStr">
        <is>
          <t>Vila-seca</t>
        </is>
      </c>
      <c r="D2229" s="38" t="inlineStr">
        <is>
          <t>Y085</t>
        </is>
      </c>
      <c r="E2229" s="38" t="inlineStr">
        <is>
          <t>85 anys</t>
        </is>
      </c>
      <c r="F2229" s="38" t="n">
        <v>85</v>
      </c>
      <c r="G2229" s="38" t="n">
        <v>67</v>
      </c>
      <c r="I2229" s="38" t="inlineStr">
        <is>
          <t>Total de tots els sexes; resposta JSON-stat de l'API d'Idescat</t>
        </is>
      </c>
    </row>
    <row r="2230" ht="15" customHeight="1" s="39">
      <c r="A2230" s="38" t="n">
        <v>2021</v>
      </c>
      <c r="B2230" s="42" t="inlineStr">
        <is>
          <t>431711</t>
        </is>
      </c>
      <c r="C2230" s="38" t="inlineStr">
        <is>
          <t>Vila-seca</t>
        </is>
      </c>
      <c r="D2230" s="38" t="inlineStr">
        <is>
          <t>Y086</t>
        </is>
      </c>
      <c r="E2230" s="38" t="inlineStr">
        <is>
          <t>86 anys</t>
        </is>
      </c>
      <c r="F2230" s="38" t="n">
        <v>86</v>
      </c>
      <c r="G2230" s="38" t="n">
        <v>69</v>
      </c>
      <c r="I2230" s="38" t="inlineStr">
        <is>
          <t>Total de tots els sexes; resposta JSON-stat de l'API d'Idescat</t>
        </is>
      </c>
    </row>
    <row r="2231" ht="15" customHeight="1" s="39">
      <c r="A2231" s="38" t="n">
        <v>2021</v>
      </c>
      <c r="B2231" s="42" t="inlineStr">
        <is>
          <t>431711</t>
        </is>
      </c>
      <c r="C2231" s="38" t="inlineStr">
        <is>
          <t>Vila-seca</t>
        </is>
      </c>
      <c r="D2231" s="38" t="inlineStr">
        <is>
          <t>Y087</t>
        </is>
      </c>
      <c r="E2231" s="38" t="inlineStr">
        <is>
          <t>87 anys</t>
        </is>
      </c>
      <c r="F2231" s="38" t="n">
        <v>87</v>
      </c>
      <c r="G2231" s="38" t="n">
        <v>48</v>
      </c>
      <c r="I2231" s="38" t="inlineStr">
        <is>
          <t>Total de tots els sexes; resposta JSON-stat de l'API d'Idescat</t>
        </is>
      </c>
    </row>
    <row r="2232" ht="15" customHeight="1" s="39">
      <c r="A2232" s="38" t="n">
        <v>2021</v>
      </c>
      <c r="B2232" s="42" t="inlineStr">
        <is>
          <t>431711</t>
        </is>
      </c>
      <c r="C2232" s="38" t="inlineStr">
        <is>
          <t>Vila-seca</t>
        </is>
      </c>
      <c r="D2232" s="38" t="inlineStr">
        <is>
          <t>Y088</t>
        </is>
      </c>
      <c r="E2232" s="38" t="inlineStr">
        <is>
          <t>88 anys</t>
        </is>
      </c>
      <c r="F2232" s="38" t="n">
        <v>88</v>
      </c>
      <c r="G2232" s="38" t="n">
        <v>37</v>
      </c>
      <c r="I2232" s="38" t="inlineStr">
        <is>
          <t>Total de tots els sexes; resposta JSON-stat de l'API d'Idescat</t>
        </is>
      </c>
    </row>
    <row r="2233" ht="15" customHeight="1" s="39">
      <c r="A2233" s="38" t="n">
        <v>2021</v>
      </c>
      <c r="B2233" s="42" t="inlineStr">
        <is>
          <t>431711</t>
        </is>
      </c>
      <c r="C2233" s="38" t="inlineStr">
        <is>
          <t>Vila-seca</t>
        </is>
      </c>
      <c r="D2233" s="38" t="inlineStr">
        <is>
          <t>Y089</t>
        </is>
      </c>
      <c r="E2233" s="38" t="inlineStr">
        <is>
          <t>89 anys</t>
        </is>
      </c>
      <c r="F2233" s="38" t="n">
        <v>89</v>
      </c>
      <c r="G2233" s="38" t="n">
        <v>36</v>
      </c>
      <c r="I2233" s="38" t="inlineStr">
        <is>
          <t>Total de tots els sexes; resposta JSON-stat de l'API d'Idescat</t>
        </is>
      </c>
    </row>
    <row r="2234" ht="15" customHeight="1" s="39">
      <c r="A2234" s="38" t="n">
        <v>2021</v>
      </c>
      <c r="B2234" s="42" t="inlineStr">
        <is>
          <t>431711</t>
        </is>
      </c>
      <c r="C2234" s="38" t="inlineStr">
        <is>
          <t>Vila-seca</t>
        </is>
      </c>
      <c r="D2234" s="38" t="inlineStr">
        <is>
          <t>Y090</t>
        </is>
      </c>
      <c r="E2234" s="38" t="inlineStr">
        <is>
          <t>90 anys</t>
        </is>
      </c>
      <c r="F2234" s="38" t="n">
        <v>90</v>
      </c>
      <c r="G2234" s="38" t="n">
        <v>30</v>
      </c>
      <c r="I2234" s="38" t="inlineStr">
        <is>
          <t>Total de tots els sexes; resposta JSON-stat de l'API d'Idescat</t>
        </is>
      </c>
    </row>
    <row r="2235" ht="15" customHeight="1" s="39">
      <c r="A2235" s="38" t="n">
        <v>2021</v>
      </c>
      <c r="B2235" s="42" t="inlineStr">
        <is>
          <t>431711</t>
        </is>
      </c>
      <c r="C2235" s="38" t="inlineStr">
        <is>
          <t>Vila-seca</t>
        </is>
      </c>
      <c r="D2235" s="38" t="inlineStr">
        <is>
          <t>Y091</t>
        </is>
      </c>
      <c r="E2235" s="38" t="inlineStr">
        <is>
          <t>91 anys</t>
        </is>
      </c>
      <c r="F2235" s="38" t="n">
        <v>91</v>
      </c>
      <c r="G2235" s="38" t="n">
        <v>37</v>
      </c>
      <c r="I2235" s="38" t="inlineStr">
        <is>
          <t>Total de tots els sexes; resposta JSON-stat de l'API d'Idescat</t>
        </is>
      </c>
    </row>
    <row r="2236" ht="15" customHeight="1" s="39">
      <c r="A2236" s="38" t="n">
        <v>2021</v>
      </c>
      <c r="B2236" s="42" t="inlineStr">
        <is>
          <t>431711</t>
        </is>
      </c>
      <c r="C2236" s="38" t="inlineStr">
        <is>
          <t>Vila-seca</t>
        </is>
      </c>
      <c r="D2236" s="38" t="inlineStr">
        <is>
          <t>Y092</t>
        </is>
      </c>
      <c r="E2236" s="38" t="inlineStr">
        <is>
          <t>92 anys</t>
        </is>
      </c>
      <c r="F2236" s="38" t="n">
        <v>92</v>
      </c>
      <c r="G2236" s="38" t="n">
        <v>15</v>
      </c>
      <c r="I2236" s="38" t="inlineStr">
        <is>
          <t>Total de tots els sexes; resposta JSON-stat de l'API d'Idescat</t>
        </is>
      </c>
    </row>
    <row r="2237" ht="15" customHeight="1" s="39">
      <c r="A2237" s="38" t="n">
        <v>2021</v>
      </c>
      <c r="B2237" s="42" t="inlineStr">
        <is>
          <t>431711</t>
        </is>
      </c>
      <c r="C2237" s="38" t="inlineStr">
        <is>
          <t>Vila-seca</t>
        </is>
      </c>
      <c r="D2237" s="38" t="inlineStr">
        <is>
          <t>Y093</t>
        </is>
      </c>
      <c r="E2237" s="38" t="inlineStr">
        <is>
          <t>93 anys</t>
        </is>
      </c>
      <c r="F2237" s="38" t="n">
        <v>93</v>
      </c>
      <c r="G2237" s="38" t="n">
        <v>11</v>
      </c>
      <c r="I2237" s="38" t="inlineStr">
        <is>
          <t>Total de tots els sexes; resposta JSON-stat de l'API d'Idescat</t>
        </is>
      </c>
    </row>
    <row r="2238" ht="15" customHeight="1" s="39">
      <c r="A2238" s="38" t="n">
        <v>2021</v>
      </c>
      <c r="B2238" s="42" t="inlineStr">
        <is>
          <t>431711</t>
        </is>
      </c>
      <c r="C2238" s="38" t="inlineStr">
        <is>
          <t>Vila-seca</t>
        </is>
      </c>
      <c r="D2238" s="38" t="inlineStr">
        <is>
          <t>Y094</t>
        </is>
      </c>
      <c r="E2238" s="38" t="inlineStr">
        <is>
          <t>94 anys</t>
        </is>
      </c>
      <c r="F2238" s="38" t="n">
        <v>94</v>
      </c>
      <c r="G2238" s="38" t="n">
        <v>23</v>
      </c>
      <c r="I2238" s="38" t="inlineStr">
        <is>
          <t>Total de tots els sexes; resposta JSON-stat de l'API d'Idescat</t>
        </is>
      </c>
    </row>
    <row r="2239" ht="15" customHeight="1" s="39">
      <c r="A2239" s="38" t="n">
        <v>2021</v>
      </c>
      <c r="B2239" s="42" t="inlineStr">
        <is>
          <t>431711</t>
        </is>
      </c>
      <c r="C2239" s="38" t="inlineStr">
        <is>
          <t>Vila-seca</t>
        </is>
      </c>
      <c r="D2239" s="38" t="inlineStr">
        <is>
          <t>Y095</t>
        </is>
      </c>
      <c r="E2239" s="38" t="inlineStr">
        <is>
          <t>95 anys</t>
        </is>
      </c>
      <c r="F2239" s="38" t="n">
        <v>95</v>
      </c>
      <c r="G2239" s="38" t="n">
        <v>12</v>
      </c>
      <c r="I2239" s="38" t="inlineStr">
        <is>
          <t>Total de tots els sexes; resposta JSON-stat de l'API d'Idescat</t>
        </is>
      </c>
    </row>
    <row r="2240" ht="15" customHeight="1" s="39">
      <c r="A2240" s="38" t="n">
        <v>2021</v>
      </c>
      <c r="B2240" s="42" t="inlineStr">
        <is>
          <t>431711</t>
        </is>
      </c>
      <c r="C2240" s="38" t="inlineStr">
        <is>
          <t>Vila-seca</t>
        </is>
      </c>
      <c r="D2240" s="38" t="inlineStr">
        <is>
          <t>Y096</t>
        </is>
      </c>
      <c r="E2240" s="38" t="inlineStr">
        <is>
          <t>96 anys</t>
        </is>
      </c>
      <c r="F2240" s="38" t="n">
        <v>96</v>
      </c>
      <c r="G2240" s="38" t="n">
        <v>8</v>
      </c>
      <c r="I2240" s="38" t="inlineStr">
        <is>
          <t>Total de tots els sexes; resposta JSON-stat de l'API d'Idescat</t>
        </is>
      </c>
    </row>
    <row r="2241" ht="15" customHeight="1" s="39">
      <c r="A2241" s="38" t="n">
        <v>2021</v>
      </c>
      <c r="B2241" s="42" t="inlineStr">
        <is>
          <t>431711</t>
        </is>
      </c>
      <c r="C2241" s="38" t="inlineStr">
        <is>
          <t>Vila-seca</t>
        </is>
      </c>
      <c r="D2241" s="38" t="inlineStr">
        <is>
          <t>Y097</t>
        </is>
      </c>
      <c r="E2241" s="38" t="inlineStr">
        <is>
          <t>97 anys</t>
        </is>
      </c>
      <c r="F2241" s="38" t="n">
        <v>97</v>
      </c>
      <c r="G2241" s="38" t="n">
        <v>6</v>
      </c>
      <c r="I2241" s="38" t="inlineStr">
        <is>
          <t>Total de tots els sexes; resposta JSON-stat de l'API d'Idescat</t>
        </is>
      </c>
    </row>
    <row r="2242" ht="15" customHeight="1" s="39">
      <c r="A2242" s="38" t="n">
        <v>2021</v>
      </c>
      <c r="B2242" s="42" t="inlineStr">
        <is>
          <t>431711</t>
        </is>
      </c>
      <c r="C2242" s="38" t="inlineStr">
        <is>
          <t>Vila-seca</t>
        </is>
      </c>
      <c r="D2242" s="38" t="inlineStr">
        <is>
          <t>Y098</t>
        </is>
      </c>
      <c r="E2242" s="38" t="inlineStr">
        <is>
          <t>98 anys</t>
        </is>
      </c>
      <c r="F2242" s="38" t="n">
        <v>98</v>
      </c>
      <c r="G2242" s="38" t="n">
        <v>5</v>
      </c>
      <c r="I2242" s="38" t="inlineStr">
        <is>
          <t>Total de tots els sexes; resposta JSON-stat de l'API d'Idescat</t>
        </is>
      </c>
    </row>
    <row r="2243" ht="15" customHeight="1" s="39">
      <c r="A2243" s="38" t="n">
        <v>2021</v>
      </c>
      <c r="B2243" s="42" t="inlineStr">
        <is>
          <t>431711</t>
        </is>
      </c>
      <c r="C2243" s="38" t="inlineStr">
        <is>
          <t>Vila-seca</t>
        </is>
      </c>
      <c r="D2243" s="38" t="inlineStr">
        <is>
          <t>Y099</t>
        </is>
      </c>
      <c r="E2243" s="38" t="inlineStr">
        <is>
          <t>99 anys</t>
        </is>
      </c>
      <c r="F2243" s="38" t="n">
        <v>99</v>
      </c>
      <c r="G2243" s="38" t="n">
        <v>3</v>
      </c>
      <c r="I2243" s="38" t="inlineStr">
        <is>
          <t>Total de tots els sexes; resposta JSON-stat de l'API d'Idescat</t>
        </is>
      </c>
    </row>
    <row r="2244" ht="15" customHeight="1" s="39">
      <c r="A2244" s="38" t="n">
        <v>2021</v>
      </c>
      <c r="B2244" s="42" t="inlineStr">
        <is>
          <t>431711</t>
        </is>
      </c>
      <c r="C2244" s="38" t="inlineStr">
        <is>
          <t>Vila-seca</t>
        </is>
      </c>
      <c r="D2244" s="38" t="inlineStr">
        <is>
          <t>Y_GE100</t>
        </is>
      </c>
      <c r="E2244" s="38" t="inlineStr">
        <is>
          <t>100 anys o més</t>
        </is>
      </c>
      <c r="F2244" s="38" t="n">
        <v>100</v>
      </c>
      <c r="G2244" s="38" t="n">
        <v>4</v>
      </c>
      <c r="I2244" s="38" t="inlineStr">
        <is>
          <t>Total de tots els sexes; resposta JSON-stat de l'API d'Idescat</t>
        </is>
      </c>
    </row>
    <row r="2245" ht="15" customHeight="1" s="39">
      <c r="A2245" s="38" t="n">
        <v>2021</v>
      </c>
      <c r="B2245" s="42" t="inlineStr">
        <is>
          <t>431711</t>
        </is>
      </c>
      <c r="C2245" s="38" t="inlineStr">
        <is>
          <t>Vila-seca</t>
        </is>
      </c>
      <c r="D2245" s="38" t="inlineStr">
        <is>
          <t>TOTAL</t>
        </is>
      </c>
      <c r="E2245" s="38" t="inlineStr">
        <is>
          <t>total</t>
        </is>
      </c>
      <c r="G2245" s="38" t="n">
        <v>22781</v>
      </c>
      <c r="I2245" s="38" t="inlineStr">
        <is>
          <t>Total de tots els sexes; resposta JSON-stat de l'API d'Idescat</t>
        </is>
      </c>
    </row>
  </sheetData>
  <autoFilter ref="A1:I224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42" customWidth="1" style="38" min="1" max="1"/>
    <col width="19" customWidth="1" style="38" min="2" max="2"/>
    <col width="39" customWidth="1" style="38" min="3" max="3"/>
    <col width="15" customWidth="1" style="38" min="4" max="4"/>
    <col width="14" customWidth="1" style="38" min="5" max="5"/>
    <col width="18" customWidth="1" style="38" min="6" max="6"/>
    <col width="14" customWidth="1" style="38" min="7" max="7"/>
    <col width="42" customWidth="1" style="38" min="8" max="8"/>
  </cols>
  <sheetData>
    <row r="1" ht="30.75" customHeight="1" s="39">
      <c r="A1" s="40" t="inlineStr">
        <is>
          <t>raw_municipality</t>
        </is>
      </c>
      <c r="B1" s="41" t="inlineStr">
        <is>
          <t>municipality_code</t>
        </is>
      </c>
      <c r="C1" s="40" t="inlineStr">
        <is>
          <t>municipality_name</t>
        </is>
      </c>
      <c r="D1" s="40" t="inlineStr">
        <is>
          <t>housing_total</t>
        </is>
      </c>
      <c r="E1" s="40" t="inlineStr">
        <is>
          <t>housing_main</t>
        </is>
      </c>
      <c r="F1" s="40" t="inlineStr">
        <is>
          <t>housing_non_main</t>
        </is>
      </c>
      <c r="G1" s="40" t="inlineStr">
        <is>
          <t>value_status</t>
        </is>
      </c>
      <c r="H1" s="40" t="inlineStr">
        <is>
          <t>import_notes</t>
        </is>
      </c>
    </row>
    <row r="2" ht="15" customHeight="1" s="39">
      <c r="A2" s="38" t="inlineStr">
        <is>
          <t>[250019] Abella de la Conca</t>
        </is>
      </c>
      <c r="B2" s="42" t="inlineStr">
        <is>
          <t>250019</t>
        </is>
      </c>
      <c r="C2" s="38" t="inlineStr">
        <is>
          <t>Abella de la Conca</t>
        </is>
      </c>
      <c r="D2" s="38" t="n">
        <v>117</v>
      </c>
      <c r="E2" s="38" t="n">
        <v>65</v>
      </c>
      <c r="F2" s="38" t="n">
        <v>52</v>
      </c>
      <c r="H2" s="38" t="inlineStr">
        <is>
          <t>Total habitatges familiars; principal i no principal provenen de les categories publicades</t>
        </is>
      </c>
    </row>
    <row r="3" ht="15" customHeight="1" s="39">
      <c r="A3" s="38" t="inlineStr">
        <is>
          <t>[080018] Abrera</t>
        </is>
      </c>
      <c r="B3" s="42" t="inlineStr">
        <is>
          <t>080018</t>
        </is>
      </c>
      <c r="C3" s="38" t="inlineStr">
        <is>
          <t>Abrera</t>
        </is>
      </c>
      <c r="D3" s="38" t="n">
        <v>5266</v>
      </c>
      <c r="E3" s="38" t="n">
        <v>4643</v>
      </c>
      <c r="F3" s="38" t="n">
        <v>623</v>
      </c>
      <c r="H3" s="38" t="inlineStr">
        <is>
          <t>Total habitatges familiars; principal i no principal provenen de les categories publicades</t>
        </is>
      </c>
    </row>
    <row r="4" ht="15" customHeight="1" s="39">
      <c r="A4" s="38" t="inlineStr">
        <is>
          <t>[250024] Àger</t>
        </is>
      </c>
      <c r="B4" s="42" t="inlineStr">
        <is>
          <t>250024</t>
        </is>
      </c>
      <c r="C4" s="38" t="inlineStr">
        <is>
          <t>Àger</t>
        </is>
      </c>
      <c r="D4" s="38" t="n">
        <v>692</v>
      </c>
      <c r="E4" s="38" t="n">
        <v>239</v>
      </c>
      <c r="F4" s="38" t="n">
        <v>453</v>
      </c>
      <c r="H4" s="38" t="inlineStr">
        <is>
          <t>Total habitatges familiars; principal i no principal provenen de les categories publicades</t>
        </is>
      </c>
    </row>
    <row r="5" ht="15" customHeight="1" s="39">
      <c r="A5" s="38" t="inlineStr">
        <is>
          <t>[250030] Agramunt</t>
        </is>
      </c>
      <c r="B5" s="42" t="inlineStr">
        <is>
          <t>250030</t>
        </is>
      </c>
      <c r="C5" s="38" t="inlineStr">
        <is>
          <t>Agramunt</t>
        </is>
      </c>
      <c r="D5" s="38" t="n">
        <v>2745</v>
      </c>
      <c r="E5" s="38" t="n">
        <v>2049</v>
      </c>
      <c r="F5" s="38" t="n">
        <v>696</v>
      </c>
      <c r="H5" s="38" t="inlineStr">
        <is>
          <t>Total habitatges familiars; principal i no principal provenen de les categories publicades</t>
        </is>
      </c>
    </row>
    <row r="6" ht="15" customHeight="1" s="39">
      <c r="A6" s="38" t="inlineStr">
        <is>
          <t>[080023] Aguilar de Segarra</t>
        </is>
      </c>
      <c r="B6" s="42" t="inlineStr">
        <is>
          <t>080023</t>
        </is>
      </c>
      <c r="C6" s="38" t="inlineStr">
        <is>
          <t>Aguilar de Segarra</t>
        </is>
      </c>
      <c r="D6" s="38" t="n">
        <v>151</v>
      </c>
      <c r="E6" s="38" t="n">
        <v>99</v>
      </c>
      <c r="F6" s="38" t="n">
        <v>52</v>
      </c>
      <c r="H6" s="38" t="inlineStr">
        <is>
          <t>Total habitatges familiars; principal i no principal provenen de les categories publicades</t>
        </is>
      </c>
    </row>
    <row r="7" ht="15" customHeight="1" s="39">
      <c r="A7" s="38" t="inlineStr">
        <is>
          <t>[170010] Agullana</t>
        </is>
      </c>
      <c r="B7" s="42" t="inlineStr">
        <is>
          <t>170010</t>
        </is>
      </c>
      <c r="C7" s="38" t="inlineStr">
        <is>
          <t>Agullana</t>
        </is>
      </c>
      <c r="D7" s="38" t="n">
        <v>589</v>
      </c>
      <c r="E7" s="38" t="n">
        <v>350</v>
      </c>
      <c r="F7" s="38" t="n">
        <v>239</v>
      </c>
      <c r="H7" s="38" t="inlineStr">
        <is>
          <t>Total habitatges familiars; principal i no principal provenen de les categories publicades</t>
        </is>
      </c>
    </row>
    <row r="8" ht="15" customHeight="1" s="39">
      <c r="A8" s="38" t="inlineStr">
        <is>
          <t>[080142] Aiguafreda</t>
        </is>
      </c>
      <c r="B8" s="42" t="inlineStr">
        <is>
          <t>080142</t>
        </is>
      </c>
      <c r="C8" s="38" t="inlineStr">
        <is>
          <t>Aiguafreda</t>
        </is>
      </c>
      <c r="D8" s="38" t="n">
        <v>1298</v>
      </c>
      <c r="E8" s="38" t="n">
        <v>1013</v>
      </c>
      <c r="F8" s="38" t="n">
        <v>285</v>
      </c>
      <c r="H8" s="38" t="inlineStr">
        <is>
          <t>Total habitatges familiars; principal i no principal provenen de les categories publicades</t>
        </is>
      </c>
    </row>
    <row r="9" ht="15" customHeight="1" s="39">
      <c r="A9" s="38" t="inlineStr">
        <is>
          <t>[430017] Aiguamúrcia</t>
        </is>
      </c>
      <c r="B9" s="42" t="inlineStr">
        <is>
          <t>430017</t>
        </is>
      </c>
      <c r="C9" s="38" t="inlineStr">
        <is>
          <t>Aiguamúrcia</t>
        </is>
      </c>
      <c r="D9" s="38" t="n">
        <v>876</v>
      </c>
      <c r="E9" s="38" t="n">
        <v>404</v>
      </c>
      <c r="F9" s="38" t="n">
        <v>472</v>
      </c>
      <c r="H9" s="38" t="inlineStr">
        <is>
          <t>Total habitatges familiars; principal i no principal provenen de les categories publicades</t>
        </is>
      </c>
    </row>
    <row r="10" ht="15" customHeight="1" s="39">
      <c r="A10" s="38" t="inlineStr">
        <is>
          <t>[170025] Aiguaviva</t>
        </is>
      </c>
      <c r="B10" s="42" t="inlineStr">
        <is>
          <t>170025</t>
        </is>
      </c>
      <c r="C10" s="38" t="inlineStr">
        <is>
          <t>Aiguaviva</t>
        </is>
      </c>
      <c r="D10" s="38" t="n">
        <v>298</v>
      </c>
      <c r="E10" s="38" t="n">
        <v>243</v>
      </c>
      <c r="F10" s="38" t="n">
        <v>55</v>
      </c>
      <c r="H10" s="38" t="inlineStr">
        <is>
          <t>Total habitatges familiars; principal i no principal provenen de les categories publicades</t>
        </is>
      </c>
    </row>
    <row r="11" ht="15" customHeight="1" s="39">
      <c r="A11" s="38" t="inlineStr">
        <is>
          <t>[250387] Aitona</t>
        </is>
      </c>
      <c r="B11" s="42" t="inlineStr">
        <is>
          <t>250387</t>
        </is>
      </c>
      <c r="C11" s="38" t="inlineStr">
        <is>
          <t>Aitona</t>
        </is>
      </c>
      <c r="D11" s="38" t="n">
        <v>1218</v>
      </c>
      <c r="E11" s="38" t="n">
        <v>834</v>
      </c>
      <c r="F11" s="38" t="n">
        <v>384</v>
      </c>
      <c r="H11" s="38" t="inlineStr">
        <is>
          <t>Total habitatges familiars; principal i no principal provenen de les categories publicades</t>
        </is>
      </c>
    </row>
    <row r="12" ht="15" customHeight="1" s="39">
      <c r="A12" s="38" t="inlineStr">
        <is>
          <t>[250045] Alamús, els</t>
        </is>
      </c>
      <c r="B12" s="42" t="inlineStr">
        <is>
          <t>250045</t>
        </is>
      </c>
      <c r="C12" s="38" t="inlineStr">
        <is>
          <t>Alamús, els</t>
        </is>
      </c>
      <c r="D12" s="38" t="n">
        <v>472</v>
      </c>
      <c r="E12" s="38" t="n">
        <v>293</v>
      </c>
      <c r="F12" s="38" t="n">
        <v>179</v>
      </c>
      <c r="H12" s="38" t="inlineStr">
        <is>
          <t>Total habitatges familiars; principal i no principal provenen de les categories publicades</t>
        </is>
      </c>
    </row>
    <row r="13" ht="15" customHeight="1" s="39">
      <c r="A13" s="38" t="inlineStr">
        <is>
          <t>[250058] Alàs i Cerc</t>
        </is>
      </c>
      <c r="B13" s="42" t="inlineStr">
        <is>
          <t>250058</t>
        </is>
      </c>
      <c r="C13" s="38" t="inlineStr">
        <is>
          <t>Alàs i Cerc</t>
        </is>
      </c>
      <c r="D13" s="38" t="n">
        <v>305</v>
      </c>
      <c r="E13" s="38" t="n">
        <v>142</v>
      </c>
      <c r="F13" s="38" t="n">
        <v>163</v>
      </c>
      <c r="H13" s="38" t="inlineStr">
        <is>
          <t>Total habitatges familiars; principal i no principal provenen de les categories publicades</t>
        </is>
      </c>
    </row>
    <row r="14" ht="15" customHeight="1" s="39">
      <c r="A14" s="38" t="inlineStr">
        <is>
          <t>[250061] Albagés, l'</t>
        </is>
      </c>
      <c r="B14" s="42" t="inlineStr">
        <is>
          <t>250061</t>
        </is>
      </c>
      <c r="C14" s="38" t="inlineStr">
        <is>
          <t>Albagés, l'</t>
        </is>
      </c>
      <c r="D14" s="38" t="n">
        <v>251</v>
      </c>
      <c r="E14" s="38" t="n">
        <v>136</v>
      </c>
      <c r="F14" s="38" t="n">
        <v>115</v>
      </c>
      <c r="H14" s="38" t="inlineStr">
        <is>
          <t>Total habitatges familiars; principal i no principal provenen de les categories publicades</t>
        </is>
      </c>
    </row>
    <row r="15" ht="15" customHeight="1" s="39">
      <c r="A15" s="38" t="inlineStr">
        <is>
          <t>[170031] Albanyà</t>
        </is>
      </c>
      <c r="B15" s="42" t="inlineStr">
        <is>
          <t>170031</t>
        </is>
      </c>
      <c r="C15" s="38" t="inlineStr">
        <is>
          <t>Albanyà</t>
        </is>
      </c>
      <c r="D15" s="38" t="n">
        <v>142</v>
      </c>
      <c r="E15" s="38" t="n">
        <v>65</v>
      </c>
      <c r="F15" s="38" t="n">
        <v>77</v>
      </c>
      <c r="H15" s="38" t="inlineStr">
        <is>
          <t>Total habitatges familiars; principal i no principal provenen de les categories publicades</t>
        </is>
      </c>
    </row>
    <row r="16" ht="15" customHeight="1" s="39">
      <c r="A16" s="38" t="inlineStr">
        <is>
          <t>[250077] Albatàrrec</t>
        </is>
      </c>
      <c r="B16" s="42" t="inlineStr">
        <is>
          <t>250077</t>
        </is>
      </c>
      <c r="C16" s="38" t="inlineStr">
        <is>
          <t>Albatàrrec</t>
        </is>
      </c>
      <c r="D16" s="38" t="n">
        <v>909</v>
      </c>
      <c r="E16" s="38" t="n">
        <v>749</v>
      </c>
      <c r="F16" s="38" t="n">
        <v>160</v>
      </c>
      <c r="H16" s="38" t="inlineStr">
        <is>
          <t>Total habitatges familiars; principal i no principal provenen de les categories publicades</t>
        </is>
      </c>
    </row>
    <row r="17" ht="15" customHeight="1" s="39">
      <c r="A17" s="38" t="inlineStr">
        <is>
          <t>[250083] Albesa</t>
        </is>
      </c>
      <c r="B17" s="42" t="inlineStr">
        <is>
          <t>250083</t>
        </is>
      </c>
      <c r="C17" s="38" t="inlineStr">
        <is>
          <t>Albesa</t>
        </is>
      </c>
      <c r="D17" s="38" t="n">
        <v>777</v>
      </c>
      <c r="E17" s="38" t="n">
        <v>559</v>
      </c>
      <c r="F17" s="38" t="n">
        <v>218</v>
      </c>
      <c r="H17" s="38" t="inlineStr">
        <is>
          <t>Total habitatges familiars; principal i no principal provenen de les categories publicades</t>
        </is>
      </c>
    </row>
    <row r="18" ht="15" customHeight="1" s="39">
      <c r="A18" s="38" t="inlineStr">
        <is>
          <t>[250096] Albi, l'</t>
        </is>
      </c>
      <c r="B18" s="42" t="inlineStr">
        <is>
          <t>250096</t>
        </is>
      </c>
      <c r="C18" s="38" t="inlineStr">
        <is>
          <t>Albi, l'</t>
        </is>
      </c>
      <c r="D18" s="38" t="n">
        <v>517</v>
      </c>
      <c r="E18" s="38" t="n">
        <v>292</v>
      </c>
      <c r="F18" s="38" t="n">
        <v>225</v>
      </c>
      <c r="H18" s="38" t="inlineStr">
        <is>
          <t>Total habitatges familiars; principal i no principal provenen de les categories publicades</t>
        </is>
      </c>
    </row>
    <row r="19" ht="15" customHeight="1" s="39">
      <c r="A19" s="38" t="inlineStr">
        <is>
          <t>[430022] Albinyana</t>
        </is>
      </c>
      <c r="B19" s="42" t="inlineStr">
        <is>
          <t>430022</t>
        </is>
      </c>
      <c r="C19" s="38" t="inlineStr">
        <is>
          <t>Albinyana</t>
        </is>
      </c>
      <c r="D19" s="38" t="n">
        <v>1586</v>
      </c>
      <c r="E19" s="38" t="n">
        <v>948</v>
      </c>
      <c r="F19" s="38" t="n">
        <v>638</v>
      </c>
      <c r="H19" s="38" t="inlineStr">
        <is>
          <t>Total habitatges familiars; principal i no principal provenen de les categories publicades</t>
        </is>
      </c>
    </row>
    <row r="20" ht="15" customHeight="1" s="39">
      <c r="A20" s="38" t="inlineStr">
        <is>
          <t>[430038] Albiol, l'</t>
        </is>
      </c>
      <c r="B20" s="42" t="inlineStr">
        <is>
          <t>430038</t>
        </is>
      </c>
      <c r="C20" s="38" t="inlineStr">
        <is>
          <t>Albiol, l'</t>
        </is>
      </c>
      <c r="D20" s="38" t="n">
        <v>272</v>
      </c>
      <c r="E20" s="38" t="n">
        <v>180</v>
      </c>
      <c r="F20" s="38" t="n">
        <v>92</v>
      </c>
      <c r="H20" s="38" t="inlineStr">
        <is>
          <t>Total habitatges familiars; principal i no principal provenen de les categories publicades</t>
        </is>
      </c>
    </row>
    <row r="21" ht="15" customHeight="1" s="39">
      <c r="A21" s="38" t="inlineStr">
        <is>
          <t>[170046] Albons</t>
        </is>
      </c>
      <c r="B21" s="42" t="inlineStr">
        <is>
          <t>170046</t>
        </is>
      </c>
      <c r="C21" s="38" t="inlineStr">
        <is>
          <t>Albons</t>
        </is>
      </c>
      <c r="D21" s="38" t="n">
        <v>551</v>
      </c>
      <c r="E21" s="38" t="n">
        <v>301</v>
      </c>
      <c r="F21" s="38" t="n">
        <v>250</v>
      </c>
      <c r="H21" s="38" t="inlineStr">
        <is>
          <t>Total habitatges familiars; principal i no principal provenen de les categories publicades</t>
        </is>
      </c>
    </row>
    <row r="22" ht="15" customHeight="1" s="39">
      <c r="A22" s="38" t="inlineStr">
        <is>
          <t>[430043] Alcanar</t>
        </is>
      </c>
      <c r="B22" s="42" t="inlineStr">
        <is>
          <t>430043</t>
        </is>
      </c>
      <c r="C22" s="38" t="inlineStr">
        <is>
          <t>Alcanar</t>
        </is>
      </c>
      <c r="D22" s="38" t="n">
        <v>8589</v>
      </c>
      <c r="E22" s="38" t="n">
        <v>3808</v>
      </c>
      <c r="F22" s="38" t="n">
        <v>4781</v>
      </c>
      <c r="H22" s="38" t="inlineStr">
        <is>
          <t>Total habitatges familiars; principal i no principal provenen de les categories publicades</t>
        </is>
      </c>
    </row>
    <row r="23" ht="15" customHeight="1" s="39">
      <c r="A23" s="38" t="inlineStr">
        <is>
          <t>[250100] Alcanó</t>
        </is>
      </c>
      <c r="B23" s="42" t="inlineStr">
        <is>
          <t>250100</t>
        </is>
      </c>
      <c r="C23" s="38" t="inlineStr">
        <is>
          <t>Alcanó</t>
        </is>
      </c>
      <c r="D23" s="38" t="n">
        <v>142</v>
      </c>
      <c r="E23" s="38" t="n">
        <v>91</v>
      </c>
      <c r="F23" s="38" t="n">
        <v>51</v>
      </c>
      <c r="H23" s="38" t="inlineStr">
        <is>
          <t>Total habitatges familiars; principal i no principal provenen de les categories publicades</t>
        </is>
      </c>
    </row>
    <row r="24" ht="15" customHeight="1" s="39">
      <c r="A24" s="38" t="inlineStr">
        <is>
          <t>[250117] Alcarràs</t>
        </is>
      </c>
      <c r="B24" s="42" t="inlineStr">
        <is>
          <t>250117</t>
        </is>
      </c>
      <c r="C24" s="38" t="inlineStr">
        <is>
          <t>Alcarràs</t>
        </is>
      </c>
      <c r="D24" s="38" t="n">
        <v>4790</v>
      </c>
      <c r="E24" s="38" t="n">
        <v>3717</v>
      </c>
      <c r="F24" s="38" t="n">
        <v>1073</v>
      </c>
      <c r="H24" s="38" t="inlineStr">
        <is>
          <t>Total habitatges familiars; principal i no principal provenen de les categories publicades</t>
        </is>
      </c>
    </row>
    <row r="25" ht="15" customHeight="1" s="39">
      <c r="A25" s="38" t="inlineStr">
        <is>
          <t>[250122] Alcoletge</t>
        </is>
      </c>
      <c r="B25" s="42" t="inlineStr">
        <is>
          <t>250122</t>
        </is>
      </c>
      <c r="C25" s="38" t="inlineStr">
        <is>
          <t>Alcoletge</t>
        </is>
      </c>
      <c r="D25" s="38" t="n">
        <v>1671</v>
      </c>
      <c r="E25" s="38" t="n">
        <v>1260</v>
      </c>
      <c r="F25" s="38" t="n">
        <v>411</v>
      </c>
      <c r="H25" s="38" t="inlineStr">
        <is>
          <t>Total habitatges familiars; principal i no principal provenen de les categories publicades</t>
        </is>
      </c>
    </row>
    <row r="26" ht="15" customHeight="1" s="39">
      <c r="A26" s="38" t="inlineStr">
        <is>
          <t>[430056] Alcover</t>
        </is>
      </c>
      <c r="B26" s="42" t="inlineStr">
        <is>
          <t>430056</t>
        </is>
      </c>
      <c r="C26" s="38" t="inlineStr">
        <is>
          <t>Alcover</t>
        </is>
      </c>
      <c r="D26" s="38" t="n">
        <v>2733</v>
      </c>
      <c r="E26" s="38" t="n">
        <v>1925</v>
      </c>
      <c r="F26" s="38" t="n">
        <v>808</v>
      </c>
      <c r="H26" s="38" t="inlineStr">
        <is>
          <t>Total habitatges familiars; principal i no principal provenen de les categories publicades</t>
        </is>
      </c>
    </row>
    <row r="27" ht="15" customHeight="1" s="39">
      <c r="A27" s="38" t="inlineStr">
        <is>
          <t>[439044] Aldea, l'</t>
        </is>
      </c>
      <c r="B27" s="42" t="inlineStr">
        <is>
          <t>439044</t>
        </is>
      </c>
      <c r="C27" s="38" t="inlineStr">
        <is>
          <t>Aldea, l'</t>
        </is>
      </c>
      <c r="D27" s="38" t="n">
        <v>2560</v>
      </c>
      <c r="E27" s="38" t="n">
        <v>1634</v>
      </c>
      <c r="F27" s="38" t="n">
        <v>926</v>
      </c>
      <c r="H27" s="38" t="inlineStr">
        <is>
          <t>Total habitatges familiars; principal i no principal provenen de les categories publicades</t>
        </is>
      </c>
    </row>
    <row r="28" ht="15" customHeight="1" s="39">
      <c r="A28" s="38" t="inlineStr">
        <is>
          <t>[430069] Aldover</t>
        </is>
      </c>
      <c r="B28" s="42" t="inlineStr">
        <is>
          <t>430069</t>
        </is>
      </c>
      <c r="C28" s="38" t="inlineStr">
        <is>
          <t>Aldover</t>
        </is>
      </c>
      <c r="D28" s="38" t="n">
        <v>641</v>
      </c>
      <c r="E28" s="38" t="n">
        <v>350</v>
      </c>
      <c r="F28" s="38" t="n">
        <v>291</v>
      </c>
      <c r="H28" s="38" t="inlineStr">
        <is>
          <t>Total habitatges familiars; principal i no principal provenen de les categories publicades</t>
        </is>
      </c>
    </row>
    <row r="29" ht="15" customHeight="1" s="39">
      <c r="A29" s="38" t="inlineStr">
        <is>
          <t>[430075] Aleixar, l'</t>
        </is>
      </c>
      <c r="B29" s="42" t="inlineStr">
        <is>
          <t>430075</t>
        </is>
      </c>
      <c r="C29" s="38" t="inlineStr">
        <is>
          <t>Aleixar, l'</t>
        </is>
      </c>
      <c r="D29" s="38" t="n">
        <v>660</v>
      </c>
      <c r="E29" s="38" t="n">
        <v>347</v>
      </c>
      <c r="F29" s="38" t="n">
        <v>313</v>
      </c>
      <c r="H29" s="38" t="inlineStr">
        <is>
          <t>Total habitatges familiars; principal i no principal provenen de les categories publicades</t>
        </is>
      </c>
    </row>
    <row r="30" ht="15" customHeight="1" s="39">
      <c r="A30" s="38" t="inlineStr">
        <is>
          <t>[080039] Alella</t>
        </is>
      </c>
      <c r="B30" s="42" t="inlineStr">
        <is>
          <t>080039</t>
        </is>
      </c>
      <c r="C30" s="38" t="inlineStr">
        <is>
          <t>Alella</t>
        </is>
      </c>
      <c r="D30" s="38" t="n">
        <v>3958</v>
      </c>
      <c r="E30" s="38" t="n">
        <v>3419</v>
      </c>
      <c r="F30" s="38" t="n">
        <v>539</v>
      </c>
      <c r="H30" s="38" t="inlineStr">
        <is>
          <t>Total habitatges familiars; principal i no principal provenen de les categories publicades</t>
        </is>
      </c>
    </row>
    <row r="31" ht="15" customHeight="1" s="39">
      <c r="A31" s="38" t="inlineStr">
        <is>
          <t>[430081] Alfara de Carles</t>
        </is>
      </c>
      <c r="B31" s="42" t="inlineStr">
        <is>
          <t>430081</t>
        </is>
      </c>
      <c r="C31" s="38" t="inlineStr">
        <is>
          <t>Alfara de Carles</t>
        </is>
      </c>
      <c r="D31" s="38" t="n">
        <v>472</v>
      </c>
      <c r="E31" s="38" t="n">
        <v>164</v>
      </c>
      <c r="F31" s="38" t="n">
        <v>308</v>
      </c>
      <c r="H31" s="38" t="inlineStr">
        <is>
          <t>Total habitatges familiars; principal i no principal provenen de les categories publicades</t>
        </is>
      </c>
    </row>
    <row r="32" ht="15" customHeight="1" s="39">
      <c r="A32" s="38" t="inlineStr">
        <is>
          <t>[250138] Alfarràs</t>
        </is>
      </c>
      <c r="B32" s="42" t="inlineStr">
        <is>
          <t>250138</t>
        </is>
      </c>
      <c r="C32" s="38" t="inlineStr">
        <is>
          <t>Alfarràs</t>
        </is>
      </c>
      <c r="D32" s="38" t="n">
        <v>1602</v>
      </c>
      <c r="E32" s="38" t="n">
        <v>1085</v>
      </c>
      <c r="F32" s="38" t="n">
        <v>517</v>
      </c>
      <c r="H32" s="38" t="inlineStr">
        <is>
          <t>Total habitatges familiars; principal i no principal provenen de les categories publicades</t>
        </is>
      </c>
    </row>
    <row r="33" ht="15" customHeight="1" s="39">
      <c r="A33" s="38" t="inlineStr">
        <is>
          <t>[250143] Alfés</t>
        </is>
      </c>
      <c r="B33" s="42" t="inlineStr">
        <is>
          <t>250143</t>
        </is>
      </c>
      <c r="C33" s="38" t="inlineStr">
        <is>
          <t>Alfés</t>
        </is>
      </c>
      <c r="D33" s="38" t="n">
        <v>205</v>
      </c>
      <c r="E33" s="38" t="n">
        <v>125</v>
      </c>
      <c r="F33" s="38" t="n">
        <v>80</v>
      </c>
      <c r="H33" s="38" t="inlineStr">
        <is>
          <t>Total habitatges familiars; principal i no principal provenen de les categories publicades</t>
        </is>
      </c>
    </row>
    <row r="34" ht="15" customHeight="1" s="39">
      <c r="A34" s="38" t="inlineStr">
        <is>
          <t>[430094] Alforja</t>
        </is>
      </c>
      <c r="B34" s="42" t="inlineStr">
        <is>
          <t>430094</t>
        </is>
      </c>
      <c r="C34" s="38" t="inlineStr">
        <is>
          <t>Alforja</t>
        </is>
      </c>
      <c r="D34" s="38" t="n">
        <v>1242</v>
      </c>
      <c r="E34" s="38" t="n">
        <v>745</v>
      </c>
      <c r="F34" s="38" t="n">
        <v>497</v>
      </c>
      <c r="H34" s="38" t="inlineStr">
        <is>
          <t>Total habitatges familiars; principal i no principal provenen de les categories publicades</t>
        </is>
      </c>
    </row>
    <row r="35" ht="15" customHeight="1" s="39">
      <c r="A35" s="38" t="inlineStr">
        <is>
          <t>[250156] Algerri</t>
        </is>
      </c>
      <c r="B35" s="42" t="inlineStr">
        <is>
          <t>250156</t>
        </is>
      </c>
      <c r="C35" s="38" t="inlineStr">
        <is>
          <t>Algerri</t>
        </is>
      </c>
      <c r="D35" s="38" t="n">
        <v>285</v>
      </c>
      <c r="E35" s="38" t="n">
        <v>177</v>
      </c>
      <c r="F35" s="38" t="n">
        <v>108</v>
      </c>
      <c r="H35" s="38" t="inlineStr">
        <is>
          <t>Total habitatges familiars; principal i no principal provenen de les categories publicades</t>
        </is>
      </c>
    </row>
    <row r="36" ht="15" customHeight="1" s="39">
      <c r="A36" s="38" t="inlineStr">
        <is>
          <t>[250169] Alguaire</t>
        </is>
      </c>
      <c r="B36" s="42" t="inlineStr">
        <is>
          <t>250169</t>
        </is>
      </c>
      <c r="C36" s="38" t="inlineStr">
        <is>
          <t>Alguaire</t>
        </is>
      </c>
      <c r="D36" s="38" t="n">
        <v>1612</v>
      </c>
      <c r="E36" s="38" t="n">
        <v>1103</v>
      </c>
      <c r="F36" s="38" t="n">
        <v>509</v>
      </c>
      <c r="H36" s="38" t="inlineStr">
        <is>
          <t>Total habitatges familiars; principal i no principal provenen de les categories publicades</t>
        </is>
      </c>
    </row>
    <row r="37" ht="15" customHeight="1" s="39">
      <c r="A37" s="38" t="inlineStr">
        <is>
          <t>[250175] Alins</t>
        </is>
      </c>
      <c r="B37" s="42" t="inlineStr">
        <is>
          <t>250175</t>
        </is>
      </c>
      <c r="C37" s="38" t="inlineStr">
        <is>
          <t>Alins</t>
        </is>
      </c>
      <c r="D37" s="38" t="n">
        <v>292</v>
      </c>
      <c r="E37" s="38" t="n">
        <v>118</v>
      </c>
      <c r="F37" s="38" t="n">
        <v>174</v>
      </c>
      <c r="H37" s="38" t="inlineStr">
        <is>
          <t>Total habitatges familiars; principal i no principal provenen de les categories publicades</t>
        </is>
      </c>
    </row>
    <row r="38" ht="15" customHeight="1" s="39">
      <c r="A38" s="38" t="inlineStr">
        <is>
          <t>[430108] Alió</t>
        </is>
      </c>
      <c r="B38" s="42" t="inlineStr">
        <is>
          <t>430108</t>
        </is>
      </c>
      <c r="C38" s="38" t="inlineStr">
        <is>
          <t>Alió</t>
        </is>
      </c>
      <c r="D38" s="38" t="n">
        <v>262</v>
      </c>
      <c r="E38" s="38" t="n">
        <v>168</v>
      </c>
      <c r="F38" s="38" t="n">
        <v>94</v>
      </c>
      <c r="H38" s="38" t="inlineStr">
        <is>
          <t>Total habitatges familiars; principal i no principal provenen de les categories publicades</t>
        </is>
      </c>
    </row>
    <row r="39" ht="15" customHeight="1" s="39">
      <c r="A39" s="38" t="inlineStr">
        <is>
          <t>[250194] Almacelles</t>
        </is>
      </c>
      <c r="B39" s="42" t="inlineStr">
        <is>
          <t>250194</t>
        </is>
      </c>
      <c r="C39" s="38" t="inlineStr">
        <is>
          <t>Almacelles</t>
        </is>
      </c>
      <c r="D39" s="38" t="n">
        <v>3499</v>
      </c>
      <c r="E39" s="38" t="n">
        <v>2553</v>
      </c>
      <c r="F39" s="38" t="n">
        <v>946</v>
      </c>
      <c r="H39" s="38" t="inlineStr">
        <is>
          <t>Total habitatges familiars; principal i no principal provenen de les categories publicades</t>
        </is>
      </c>
    </row>
    <row r="40" ht="15" customHeight="1" s="39">
      <c r="A40" s="38" t="inlineStr">
        <is>
          <t>[250208] Almatret</t>
        </is>
      </c>
      <c r="B40" s="42" t="inlineStr">
        <is>
          <t>250208</t>
        </is>
      </c>
      <c r="C40" s="38" t="inlineStr">
        <is>
          <t>Almatret</t>
        </is>
      </c>
      <c r="D40" s="38" t="n">
        <v>337</v>
      </c>
      <c r="E40" s="38" t="n">
        <v>141</v>
      </c>
      <c r="F40" s="38" t="n">
        <v>196</v>
      </c>
      <c r="H40" s="38" t="inlineStr">
        <is>
          <t>Total habitatges familiars; principal i no principal provenen de les categories publicades</t>
        </is>
      </c>
    </row>
    <row r="41" ht="15" customHeight="1" s="39">
      <c r="A41" s="38" t="inlineStr">
        <is>
          <t>[250215] Almenar</t>
        </is>
      </c>
      <c r="B41" s="42" t="inlineStr">
        <is>
          <t>250215</t>
        </is>
      </c>
      <c r="C41" s="38" t="inlineStr">
        <is>
          <t>Almenar</t>
        </is>
      </c>
      <c r="D41" s="38" t="n">
        <v>1887</v>
      </c>
      <c r="E41" s="38" t="n">
        <v>1253</v>
      </c>
      <c r="F41" s="38" t="n">
        <v>634</v>
      </c>
      <c r="H41" s="38" t="inlineStr">
        <is>
          <t>Total habitatges familiars; principal i no principal provenen de les categories publicades</t>
        </is>
      </c>
    </row>
    <row r="42" ht="15" customHeight="1" s="39">
      <c r="A42" s="38" t="inlineStr">
        <is>
          <t>[430115] Almoster</t>
        </is>
      </c>
      <c r="B42" s="42" t="inlineStr">
        <is>
          <t>430115</t>
        </is>
      </c>
      <c r="C42" s="38" t="inlineStr">
        <is>
          <t>Almoster</t>
        </is>
      </c>
      <c r="D42" s="38" t="n">
        <v>633</v>
      </c>
      <c r="E42" s="38" t="n">
        <v>472</v>
      </c>
      <c r="F42" s="38" t="n">
        <v>161</v>
      </c>
      <c r="H42" s="38" t="inlineStr">
        <is>
          <t>Total habitatges familiars; principal i no principal provenen de les categories publicades</t>
        </is>
      </c>
    </row>
    <row r="43" ht="15" customHeight="1" s="39">
      <c r="A43" s="38" t="inlineStr">
        <is>
          <t>[250220] Alòs de Balaguer</t>
        </is>
      </c>
      <c r="B43" s="42" t="inlineStr">
        <is>
          <t>250220</t>
        </is>
      </c>
      <c r="C43" s="38" t="inlineStr">
        <is>
          <t>Alòs de Balaguer</t>
        </is>
      </c>
      <c r="D43" s="38" t="n">
        <v>156</v>
      </c>
      <c r="E43" s="38" t="n">
        <v>58</v>
      </c>
      <c r="F43" s="38" t="n">
        <v>98</v>
      </c>
      <c r="H43" s="38" t="inlineStr">
        <is>
          <t>Total habitatges familiars; principal i no principal provenen de les categories publicades</t>
        </is>
      </c>
    </row>
    <row r="44" ht="15" customHeight="1" s="39">
      <c r="A44" s="38" t="inlineStr">
        <is>
          <t>[170062] Alp</t>
        </is>
      </c>
      <c r="B44" s="42" t="inlineStr">
        <is>
          <t>170062</t>
        </is>
      </c>
      <c r="C44" s="38" t="inlineStr">
        <is>
          <t>Alp</t>
        </is>
      </c>
      <c r="D44" s="38" t="n">
        <v>3418</v>
      </c>
      <c r="E44" s="38" t="n">
        <v>711</v>
      </c>
      <c r="F44" s="38" t="n">
        <v>2707</v>
      </c>
      <c r="H44" s="38" t="inlineStr">
        <is>
          <t>Total habitatges familiars; principal i no principal provenen de les categories publicades</t>
        </is>
      </c>
    </row>
    <row r="45" ht="15" customHeight="1" s="39">
      <c r="A45" s="38" t="inlineStr">
        <is>
          <t>[080044] Alpens</t>
        </is>
      </c>
      <c r="B45" s="42" t="inlineStr">
        <is>
          <t>080044</t>
        </is>
      </c>
      <c r="C45" s="38" t="inlineStr">
        <is>
          <t>Alpens</t>
        </is>
      </c>
      <c r="D45" s="38" t="n">
        <v>241</v>
      </c>
      <c r="E45" s="38" t="n">
        <v>117</v>
      </c>
      <c r="F45" s="38" t="n">
        <v>124</v>
      </c>
      <c r="H45" s="38" t="inlineStr">
        <is>
          <t>Total habitatges familiars; principal i no principal provenen de les categories publicades</t>
        </is>
      </c>
    </row>
    <row r="46" ht="15" customHeight="1" s="39">
      <c r="A46" s="38" t="inlineStr">
        <is>
          <t>[250236] Alpicat</t>
        </is>
      </c>
      <c r="B46" s="42" t="inlineStr">
        <is>
          <t>250236</t>
        </is>
      </c>
      <c r="C46" s="38" t="inlineStr">
        <is>
          <t>Alpicat</t>
        </is>
      </c>
      <c r="D46" s="38" t="n">
        <v>2665</v>
      </c>
      <c r="E46" s="38" t="n">
        <v>2179</v>
      </c>
      <c r="F46" s="38" t="n">
        <v>486</v>
      </c>
      <c r="H46" s="38" t="inlineStr">
        <is>
          <t>Total habitatges familiars; principal i no principal provenen de les categories publicades</t>
        </is>
      </c>
    </row>
    <row r="47" ht="15" customHeight="1" s="39">
      <c r="A47" s="38" t="inlineStr">
        <is>
          <t>[250241] Alt Àneu</t>
        </is>
      </c>
      <c r="B47" s="42" t="inlineStr">
        <is>
          <t>250241</t>
        </is>
      </c>
      <c r="C47" s="38" t="inlineStr">
        <is>
          <t>Alt Àneu</t>
        </is>
      </c>
      <c r="D47" s="38" t="n">
        <v>775</v>
      </c>
      <c r="E47" s="38" t="n">
        <v>183</v>
      </c>
      <c r="F47" s="38" t="n">
        <v>592</v>
      </c>
      <c r="H47" s="38" t="inlineStr">
        <is>
          <t>Total habitatges familiars; principal i no principal provenen de les categories publicades</t>
        </is>
      </c>
    </row>
    <row r="48" ht="15" customHeight="1" s="39">
      <c r="A48" s="38" t="inlineStr">
        <is>
          <t>[430120] Altafulla</t>
        </is>
      </c>
      <c r="B48" s="42" t="inlineStr">
        <is>
          <t>430120</t>
        </is>
      </c>
      <c r="C48" s="38" t="inlineStr">
        <is>
          <t>Altafulla</t>
        </is>
      </c>
      <c r="D48" s="38" t="n">
        <v>4851</v>
      </c>
      <c r="E48" s="38" t="n">
        <v>2162</v>
      </c>
      <c r="F48" s="38" t="n">
        <v>2689</v>
      </c>
      <c r="H48" s="38" t="inlineStr">
        <is>
          <t>Total habitatges familiars; principal i no principal provenen de les categories publicades</t>
        </is>
      </c>
    </row>
    <row r="49" ht="15" customHeight="1" s="39">
      <c r="A49" s="38" t="inlineStr">
        <is>
          <t>[170078] Amer</t>
        </is>
      </c>
      <c r="B49" s="42" t="inlineStr">
        <is>
          <t>170078</t>
        </is>
      </c>
      <c r="C49" s="38" t="inlineStr">
        <is>
          <t>Amer</t>
        </is>
      </c>
      <c r="D49" s="38" t="n">
        <v>1385</v>
      </c>
      <c r="E49" s="38" t="n">
        <v>912</v>
      </c>
      <c r="F49" s="38" t="n">
        <v>473</v>
      </c>
      <c r="H49" s="38" t="inlineStr">
        <is>
          <t>Total habitatges familiars; principal i no principal provenen de les categories publicades</t>
        </is>
      </c>
    </row>
    <row r="50" ht="15" customHeight="1" s="39">
      <c r="A50" s="38" t="inlineStr">
        <is>
          <t>[430136] Ametlla de Mar, l'</t>
        </is>
      </c>
      <c r="B50" s="42" t="inlineStr">
        <is>
          <t>430136</t>
        </is>
      </c>
      <c r="C50" s="38" t="inlineStr">
        <is>
          <t>Ametlla de Mar, l'</t>
        </is>
      </c>
      <c r="D50" s="38" t="n">
        <v>8286</v>
      </c>
      <c r="E50" s="38" t="n">
        <v>3048</v>
      </c>
      <c r="F50" s="38" t="n">
        <v>5238</v>
      </c>
      <c r="H50" s="38" t="inlineStr">
        <is>
          <t>Total habitatges familiars; principal i no principal provenen de les categories publicades</t>
        </is>
      </c>
    </row>
    <row r="51" ht="15" customHeight="1" s="39">
      <c r="A51" s="38" t="inlineStr">
        <is>
          <t>[080057] Ametlla del Vallès, l'</t>
        </is>
      </c>
      <c r="B51" s="42" t="inlineStr">
        <is>
          <t>080057</t>
        </is>
      </c>
      <c r="C51" s="38" t="inlineStr">
        <is>
          <t>Ametlla del Vallès, l'</t>
        </is>
      </c>
      <c r="D51" s="38" t="n">
        <v>3608</v>
      </c>
      <c r="E51" s="38" t="n">
        <v>2975</v>
      </c>
      <c r="F51" s="38" t="n">
        <v>633</v>
      </c>
      <c r="H51" s="38" t="inlineStr">
        <is>
          <t>Total habitatges familiars; principal i no principal provenen de les categories publicades</t>
        </is>
      </c>
    </row>
    <row r="52" ht="15" customHeight="1" s="39">
      <c r="A52" s="38" t="inlineStr">
        <is>
          <t>[439060] Ampolla, l'</t>
        </is>
      </c>
      <c r="B52" s="42" t="inlineStr">
        <is>
          <t>439060</t>
        </is>
      </c>
      <c r="C52" s="38" t="inlineStr">
        <is>
          <t>Ampolla, l'</t>
        </is>
      </c>
      <c r="D52" s="38" t="n">
        <v>5035</v>
      </c>
      <c r="E52" s="38" t="n">
        <v>1579</v>
      </c>
      <c r="F52" s="38" t="n">
        <v>3456</v>
      </c>
      <c r="H52" s="38" t="inlineStr">
        <is>
          <t>Total habitatges familiars; principal i no principal provenen de les categories publicades</t>
        </is>
      </c>
    </row>
    <row r="53" ht="15" customHeight="1" s="39">
      <c r="A53" s="38" t="inlineStr">
        <is>
          <t>[430141] Amposta</t>
        </is>
      </c>
      <c r="B53" s="42" t="inlineStr">
        <is>
          <t>430141</t>
        </is>
      </c>
      <c r="C53" s="38" t="inlineStr">
        <is>
          <t>Amposta</t>
        </is>
      </c>
      <c r="D53" s="38" t="n">
        <v>11872</v>
      </c>
      <c r="E53" s="38" t="n">
        <v>8225</v>
      </c>
      <c r="F53" s="38" t="n">
        <v>3647</v>
      </c>
      <c r="H53" s="38" t="inlineStr">
        <is>
          <t>Total habitatges familiars; principal i no principal provenen de les categories publicades</t>
        </is>
      </c>
    </row>
    <row r="54" ht="15" customHeight="1" s="39">
      <c r="A54" s="38" t="inlineStr">
        <is>
          <t>[170084] Anglès</t>
        </is>
      </c>
      <c r="B54" s="42" t="inlineStr">
        <is>
          <t>170084</t>
        </is>
      </c>
      <c r="C54" s="38" t="inlineStr">
        <is>
          <t>Anglès</t>
        </is>
      </c>
      <c r="D54" s="38" t="n">
        <v>2737</v>
      </c>
      <c r="E54" s="38" t="n">
        <v>2101</v>
      </c>
      <c r="F54" s="38" t="n">
        <v>636</v>
      </c>
      <c r="H54" s="38" t="inlineStr">
        <is>
          <t>Total habitatges familiars; principal i no principal provenen de les categories publicades</t>
        </is>
      </c>
    </row>
    <row r="55" ht="15" customHeight="1" s="39">
      <c r="A55" s="38" t="inlineStr">
        <is>
          <t>[250273] Anglesola</t>
        </is>
      </c>
      <c r="B55" s="42" t="inlineStr">
        <is>
          <t>250273</t>
        </is>
      </c>
      <c r="C55" s="38" t="inlineStr">
        <is>
          <t>Anglesola</t>
        </is>
      </c>
      <c r="D55" s="38" t="n">
        <v>703</v>
      </c>
      <c r="E55" s="38" t="n">
        <v>524</v>
      </c>
      <c r="F55" s="38" t="n">
        <v>179</v>
      </c>
      <c r="H55" s="38" t="inlineStr">
        <is>
          <t>Total habitatges familiars; principal i no principal provenen de les categories publicades</t>
        </is>
      </c>
    </row>
    <row r="56" ht="15" customHeight="1" s="39">
      <c r="A56" s="38" t="inlineStr">
        <is>
          <t>[250292] Arbeca</t>
        </is>
      </c>
      <c r="B56" s="42" t="inlineStr">
        <is>
          <t>250292</t>
        </is>
      </c>
      <c r="C56" s="38" t="inlineStr">
        <is>
          <t>Arbeca</t>
        </is>
      </c>
      <c r="D56" s="38" t="n">
        <v>1564</v>
      </c>
      <c r="E56" s="38" t="n">
        <v>856</v>
      </c>
      <c r="F56" s="38" t="n">
        <v>708</v>
      </c>
      <c r="H56" s="38" t="inlineStr">
        <is>
          <t>Total habitatges familiars; principal i no principal provenen de les categories publicades</t>
        </is>
      </c>
    </row>
    <row r="57" ht="15" customHeight="1" s="39">
      <c r="A57" s="38" t="inlineStr">
        <is>
          <t>[430167] Arboç, l'</t>
        </is>
      </c>
      <c r="B57" s="42" t="inlineStr">
        <is>
          <t>430167</t>
        </is>
      </c>
      <c r="C57" s="38" t="inlineStr">
        <is>
          <t>Arboç, l'</t>
        </is>
      </c>
      <c r="D57" s="38" t="n">
        <v>2431</v>
      </c>
      <c r="E57" s="38" t="n">
        <v>2054</v>
      </c>
      <c r="F57" s="38" t="n">
        <v>377</v>
      </c>
      <c r="H57" s="38" t="inlineStr">
        <is>
          <t>Total habitatges familiars; principal i no principal provenen de les categories publicades</t>
        </is>
      </c>
    </row>
    <row r="58" ht="15" customHeight="1" s="39">
      <c r="A58" s="38" t="inlineStr">
        <is>
          <t>[430154] Arbolí</t>
        </is>
      </c>
      <c r="B58" s="42" t="inlineStr">
        <is>
          <t>430154</t>
        </is>
      </c>
      <c r="C58" s="38" t="inlineStr">
        <is>
          <t>Arbolí</t>
        </is>
      </c>
      <c r="D58" s="38" t="n">
        <v>116</v>
      </c>
      <c r="E58" s="38" t="n">
        <v>55</v>
      </c>
      <c r="F58" s="38" t="n">
        <v>61</v>
      </c>
      <c r="H58" s="38" t="inlineStr">
        <is>
          <t>Total habitatges familiars; principal i no principal provenen de les categories publicades</t>
        </is>
      </c>
    </row>
    <row r="59" ht="15" customHeight="1" s="39">
      <c r="A59" s="38" t="inlineStr">
        <is>
          <t>[170097] Arbúcies</t>
        </is>
      </c>
      <c r="B59" s="42" t="inlineStr">
        <is>
          <t>170097</t>
        </is>
      </c>
      <c r="C59" s="38" t="inlineStr">
        <is>
          <t>Arbúcies</t>
        </is>
      </c>
      <c r="D59" s="38" t="n">
        <v>3332</v>
      </c>
      <c r="E59" s="38" t="n">
        <v>2389</v>
      </c>
      <c r="F59" s="38" t="n">
        <v>943</v>
      </c>
      <c r="H59" s="38" t="inlineStr">
        <is>
          <t>Total habitatges familiars; principal i no principal provenen de les categories publicades</t>
        </is>
      </c>
    </row>
    <row r="60" ht="15" customHeight="1" s="39">
      <c r="A60" s="38" t="inlineStr">
        <is>
          <t>[080060] Arenys de Mar</t>
        </is>
      </c>
      <c r="B60" s="42" t="inlineStr">
        <is>
          <t>080060</t>
        </is>
      </c>
      <c r="C60" s="38" t="inlineStr">
        <is>
          <t>Arenys de Mar</t>
        </is>
      </c>
      <c r="D60" s="38" t="n">
        <v>8413</v>
      </c>
      <c r="E60" s="38" t="n">
        <v>6292</v>
      </c>
      <c r="F60" s="38" t="n">
        <v>2121</v>
      </c>
      <c r="H60" s="38" t="inlineStr">
        <is>
          <t>Total habitatges familiars; principal i no principal provenen de les categories publicades</t>
        </is>
      </c>
    </row>
    <row r="61" ht="15" customHeight="1" s="39">
      <c r="A61" s="38" t="inlineStr">
        <is>
          <t>[080076] Arenys de Munt</t>
        </is>
      </c>
      <c r="B61" s="42" t="inlineStr">
        <is>
          <t>080076</t>
        </is>
      </c>
      <c r="C61" s="38" t="inlineStr">
        <is>
          <t>Arenys de Munt</t>
        </is>
      </c>
      <c r="D61" s="38" t="n">
        <v>4439</v>
      </c>
      <c r="E61" s="38" t="n">
        <v>3497</v>
      </c>
      <c r="F61" s="38" t="n">
        <v>942</v>
      </c>
      <c r="H61" s="38" t="inlineStr">
        <is>
          <t>Total habitatges familiars; principal i no principal provenen de les categories publicades</t>
        </is>
      </c>
    </row>
    <row r="62" ht="15" customHeight="1" s="39">
      <c r="A62" s="38" t="inlineStr">
        <is>
          <t>[170101] Argelaguer</t>
        </is>
      </c>
      <c r="B62" s="42" t="inlineStr">
        <is>
          <t>170101</t>
        </is>
      </c>
      <c r="C62" s="38" t="inlineStr">
        <is>
          <t>Argelaguer</t>
        </is>
      </c>
      <c r="D62" s="38" t="n">
        <v>251</v>
      </c>
      <c r="E62" s="38" t="n">
        <v>171</v>
      </c>
      <c r="F62" s="38" t="n">
        <v>80</v>
      </c>
      <c r="H62" s="38" t="inlineStr">
        <is>
          <t>Total habitatges familiars; principal i no principal provenen de les categories publicades</t>
        </is>
      </c>
    </row>
    <row r="63" ht="15" customHeight="1" s="39">
      <c r="A63" s="38" t="inlineStr">
        <is>
          <t>[080082] Argençola</t>
        </is>
      </c>
      <c r="B63" s="42" t="inlineStr">
        <is>
          <t>080082</t>
        </is>
      </c>
      <c r="C63" s="38" t="inlineStr">
        <is>
          <t>Argençola</t>
        </is>
      </c>
      <c r="D63" s="38" t="n">
        <v>169</v>
      </c>
      <c r="E63" s="38" t="n">
        <v>93</v>
      </c>
      <c r="F63" s="38" t="n">
        <v>76</v>
      </c>
      <c r="H63" s="38" t="inlineStr">
        <is>
          <t>Total habitatges familiars; principal i no principal provenen de les categories publicades</t>
        </is>
      </c>
    </row>
    <row r="64" ht="15" customHeight="1" s="39">
      <c r="A64" s="38" t="inlineStr">
        <is>
          <t>[430173] Argentera, l'</t>
        </is>
      </c>
      <c r="B64" s="42" t="inlineStr">
        <is>
          <t>430173</t>
        </is>
      </c>
      <c r="C64" s="38" t="inlineStr">
        <is>
          <t>Argentera, l'</t>
        </is>
      </c>
      <c r="D64" s="38" t="n">
        <v>140</v>
      </c>
      <c r="E64" s="38" t="n">
        <v>61</v>
      </c>
      <c r="F64" s="38" t="n">
        <v>79</v>
      </c>
      <c r="H64" s="38" t="inlineStr">
        <is>
          <t>Total habitatges familiars; principal i no principal provenen de les categories publicades</t>
        </is>
      </c>
    </row>
    <row r="65" ht="15" customHeight="1" s="39">
      <c r="A65" s="38" t="inlineStr">
        <is>
          <t>[080095] Argentona</t>
        </is>
      </c>
      <c r="B65" s="42" t="inlineStr">
        <is>
          <t>080095</t>
        </is>
      </c>
      <c r="C65" s="38" t="inlineStr">
        <is>
          <t>Argentona</t>
        </is>
      </c>
      <c r="D65" s="38" t="n">
        <v>5223</v>
      </c>
      <c r="E65" s="38" t="n">
        <v>4514</v>
      </c>
      <c r="F65" s="38" t="n">
        <v>709</v>
      </c>
      <c r="H65" s="38" t="inlineStr">
        <is>
          <t>Total habitatges familiars; principal i no principal provenen de les categories publicades</t>
        </is>
      </c>
    </row>
    <row r="66" ht="15" customHeight="1" s="39">
      <c r="A66" s="38" t="inlineStr">
        <is>
          <t>[170118] Armentera, l'</t>
        </is>
      </c>
      <c r="B66" s="42" t="inlineStr">
        <is>
          <t>170118</t>
        </is>
      </c>
      <c r="C66" s="38" t="inlineStr">
        <is>
          <t>Armentera, l'</t>
        </is>
      </c>
      <c r="D66" s="38" t="n">
        <v>728</v>
      </c>
      <c r="E66" s="38" t="n">
        <v>395</v>
      </c>
      <c r="F66" s="38" t="n">
        <v>333</v>
      </c>
      <c r="H66" s="38" t="inlineStr">
        <is>
          <t>Total habitatges familiars; principal i no principal provenen de les categories publicades</t>
        </is>
      </c>
    </row>
    <row r="67" ht="15" customHeight="1" s="39">
      <c r="A67" s="38" t="inlineStr">
        <is>
          <t>[430189] Arnes</t>
        </is>
      </c>
      <c r="B67" s="42" t="inlineStr">
        <is>
          <t>430189</t>
        </is>
      </c>
      <c r="C67" s="38" t="inlineStr">
        <is>
          <t>Arnes</t>
        </is>
      </c>
      <c r="D67" s="38" t="n">
        <v>504</v>
      </c>
      <c r="E67" s="38" t="n">
        <v>183</v>
      </c>
      <c r="F67" s="38" t="n">
        <v>321</v>
      </c>
      <c r="H67" s="38" t="inlineStr">
        <is>
          <t>Total habitatges familiars; principal i no principal provenen de les categories publicades</t>
        </is>
      </c>
    </row>
    <row r="68" ht="15" customHeight="1" s="39">
      <c r="A68" s="38" t="inlineStr">
        <is>
          <t>[250313] Arres</t>
        </is>
      </c>
      <c r="B68" s="42" t="inlineStr">
        <is>
          <t>250313</t>
        </is>
      </c>
      <c r="C68" s="38" t="inlineStr">
        <is>
          <t>Arres</t>
        </is>
      </c>
      <c r="D68" s="38" t="n">
        <v>87</v>
      </c>
      <c r="E68" s="38" t="n">
        <v>29</v>
      </c>
      <c r="F68" s="38" t="n">
        <v>58</v>
      </c>
      <c r="H68" s="38" t="inlineStr">
        <is>
          <t>Total habitatges familiars; principal i no principal provenen de les categories publicades</t>
        </is>
      </c>
    </row>
    <row r="69" ht="15" customHeight="1" s="39">
      <c r="A69" s="38" t="inlineStr">
        <is>
          <t>[250328] Arsèguel</t>
        </is>
      </c>
      <c r="B69" s="42" t="inlineStr">
        <is>
          <t>250328</t>
        </is>
      </c>
      <c r="C69" s="38" t="inlineStr">
        <is>
          <t>Arsèguel</t>
        </is>
      </c>
      <c r="D69" s="38" t="n">
        <v>93</v>
      </c>
      <c r="E69" s="38" t="n">
        <v>37</v>
      </c>
      <c r="F69" s="38" t="n">
        <v>56</v>
      </c>
      <c r="H69" s="38" t="inlineStr">
        <is>
          <t>Total habitatges familiars; principal i no principal provenen de les categories publicades</t>
        </is>
      </c>
    </row>
    <row r="70" ht="15" customHeight="1" s="39">
      <c r="A70" s="38" t="inlineStr">
        <is>
          <t>[080109] Artés</t>
        </is>
      </c>
      <c r="B70" s="42" t="inlineStr">
        <is>
          <t>080109</t>
        </is>
      </c>
      <c r="C70" s="38" t="inlineStr">
        <is>
          <t>Artés</t>
        </is>
      </c>
      <c r="D70" s="38" t="n">
        <v>2655</v>
      </c>
      <c r="E70" s="38" t="n">
        <v>2207</v>
      </c>
      <c r="F70" s="38" t="n">
        <v>448</v>
      </c>
      <c r="H70" s="38" t="inlineStr">
        <is>
          <t>Total habitatges familiars; principal i no principal provenen de les categories publicades</t>
        </is>
      </c>
    </row>
    <row r="71" ht="15" customHeight="1" s="39">
      <c r="A71" s="38" t="inlineStr">
        <is>
          <t>[250334] Artesa de Lleida</t>
        </is>
      </c>
      <c r="B71" s="42" t="inlineStr">
        <is>
          <t>250334</t>
        </is>
      </c>
      <c r="C71" s="38" t="inlineStr">
        <is>
          <t>Artesa de Lleida</t>
        </is>
      </c>
      <c r="D71" s="38" t="n">
        <v>672</v>
      </c>
      <c r="E71" s="38" t="n">
        <v>551</v>
      </c>
      <c r="F71" s="38" t="n">
        <v>121</v>
      </c>
      <c r="H71" s="38" t="inlineStr">
        <is>
          <t>Total habitatges familiars; principal i no principal provenen de les categories publicades</t>
        </is>
      </c>
    </row>
    <row r="72" ht="15" customHeight="1" s="39">
      <c r="A72" s="38" t="inlineStr">
        <is>
          <t>[250349] Artesa de Segre</t>
        </is>
      </c>
      <c r="B72" s="42" t="inlineStr">
        <is>
          <t>250349</t>
        </is>
      </c>
      <c r="C72" s="38" t="inlineStr">
        <is>
          <t>Artesa de Segre</t>
        </is>
      </c>
      <c r="D72" s="38" t="n">
        <v>2284</v>
      </c>
      <c r="E72" s="38" t="n">
        <v>1388</v>
      </c>
      <c r="F72" s="38" t="n">
        <v>896</v>
      </c>
      <c r="H72" s="38" t="inlineStr">
        <is>
          <t>Total habitatges familiars; principal i no principal provenen de les categories publicades</t>
        </is>
      </c>
    </row>
    <row r="73" ht="15" customHeight="1" s="39">
      <c r="A73" s="38" t="inlineStr">
        <is>
          <t>[430192] Ascó</t>
        </is>
      </c>
      <c r="B73" s="42" t="inlineStr">
        <is>
          <t>430192</t>
        </is>
      </c>
      <c r="C73" s="38" t="inlineStr">
        <is>
          <t>Ascó</t>
        </is>
      </c>
      <c r="D73" s="38" t="n">
        <v>929</v>
      </c>
      <c r="E73" s="38" t="n">
        <v>659</v>
      </c>
      <c r="F73" s="38" t="n">
        <v>270</v>
      </c>
      <c r="H73" s="38" t="inlineStr">
        <is>
          <t>Total habitatges familiars; principal i no principal provenen de les categories publicades</t>
        </is>
      </c>
    </row>
    <row r="74" ht="15" customHeight="1" s="39">
      <c r="A74" s="38" t="inlineStr">
        <is>
          <t>[250365] Aspa</t>
        </is>
      </c>
      <c r="B74" s="42" t="inlineStr">
        <is>
          <t>250365</t>
        </is>
      </c>
      <c r="C74" s="38" t="inlineStr">
        <is>
          <t>Aspa</t>
        </is>
      </c>
      <c r="D74" s="38" t="n">
        <v>167</v>
      </c>
      <c r="E74" s="38" t="n">
        <v>96</v>
      </c>
      <c r="F74" s="38" t="n">
        <v>71</v>
      </c>
      <c r="H74" s="38" t="inlineStr">
        <is>
          <t>Total habitatges familiars; principal i no principal provenen de les categories publicades</t>
        </is>
      </c>
    </row>
    <row r="75" ht="15" customHeight="1" s="39">
      <c r="A75" s="38" t="inlineStr">
        <is>
          <t>[250371] Avellanes i Santa Linya, les</t>
        </is>
      </c>
      <c r="B75" s="42" t="inlineStr">
        <is>
          <t>250371</t>
        </is>
      </c>
      <c r="C75" s="38" t="inlineStr">
        <is>
          <t>Avellanes i Santa Linya, les</t>
        </is>
      </c>
      <c r="D75" s="38" t="n">
        <v>392</v>
      </c>
      <c r="E75" s="38" t="n">
        <v>179</v>
      </c>
      <c r="F75" s="38" t="n">
        <v>213</v>
      </c>
      <c r="H75" s="38" t="inlineStr">
        <is>
          <t>Total habitatges familiars; principal i no principal provenen de les categories publicades</t>
        </is>
      </c>
    </row>
    <row r="76" ht="15" customHeight="1" s="39">
      <c r="A76" s="38" t="inlineStr">
        <is>
          <t>[080116] Avià</t>
        </is>
      </c>
      <c r="B76" s="42" t="inlineStr">
        <is>
          <t>080116</t>
        </is>
      </c>
      <c r="C76" s="38" t="inlineStr">
        <is>
          <t>Avià</t>
        </is>
      </c>
      <c r="D76" s="38" t="n">
        <v>1107</v>
      </c>
      <c r="E76" s="38" t="n">
        <v>824</v>
      </c>
      <c r="F76" s="38" t="n">
        <v>283</v>
      </c>
      <c r="H76" s="38" t="inlineStr">
        <is>
          <t>Total habitatges familiars; principal i no principal provenen de les categories publicades</t>
        </is>
      </c>
    </row>
    <row r="77" ht="15" customHeight="1" s="39">
      <c r="A77" s="38" t="inlineStr">
        <is>
          <t>[080121] Avinyó</t>
        </is>
      </c>
      <c r="B77" s="42" t="inlineStr">
        <is>
          <t>080121</t>
        </is>
      </c>
      <c r="C77" s="38" t="inlineStr">
        <is>
          <t>Avinyó</t>
        </is>
      </c>
      <c r="D77" s="38" t="n">
        <v>1113</v>
      </c>
      <c r="E77" s="38" t="n">
        <v>869</v>
      </c>
      <c r="F77" s="38" t="n">
        <v>244</v>
      </c>
      <c r="H77" s="38" t="inlineStr">
        <is>
          <t>Total habitatges familiars; principal i no principal provenen de les categories publicades</t>
        </is>
      </c>
    </row>
    <row r="78" ht="15" customHeight="1" s="39">
      <c r="A78" s="38" t="inlineStr">
        <is>
          <t>[170123] Avinyonet de Puigventós</t>
        </is>
      </c>
      <c r="B78" s="42" t="inlineStr">
        <is>
          <t>170123</t>
        </is>
      </c>
      <c r="C78" s="38" t="inlineStr">
        <is>
          <t>Avinyonet de Puigventós</t>
        </is>
      </c>
      <c r="D78" s="38" t="n">
        <v>625</v>
      </c>
      <c r="E78" s="38" t="n">
        <v>535</v>
      </c>
      <c r="F78" s="38" t="n">
        <v>90</v>
      </c>
      <c r="H78" s="38" t="inlineStr">
        <is>
          <t>Total habitatges familiars; principal i no principal provenen de les categories publicades</t>
        </is>
      </c>
    </row>
    <row r="79" ht="15" customHeight="1" s="39">
      <c r="A79" s="38" t="inlineStr">
        <is>
          <t>[080137] Avinyonet del Penedès</t>
        </is>
      </c>
      <c r="B79" s="42" t="inlineStr">
        <is>
          <t>080137</t>
        </is>
      </c>
      <c r="C79" s="38" t="inlineStr">
        <is>
          <t>Avinyonet del Penedès</t>
        </is>
      </c>
      <c r="D79" s="38" t="n">
        <v>898</v>
      </c>
      <c r="E79" s="38" t="n">
        <v>655</v>
      </c>
      <c r="F79" s="38" t="n">
        <v>243</v>
      </c>
      <c r="H79" s="38" t="inlineStr">
        <is>
          <t>Total habitatges familiars; principal i no principal provenen de les categories publicades</t>
        </is>
      </c>
    </row>
    <row r="80" ht="15" customHeight="1" s="39">
      <c r="A80" s="38" t="inlineStr">
        <is>
          <t>[080155] Badalona</t>
        </is>
      </c>
      <c r="B80" s="42" t="inlineStr">
        <is>
          <t>080155</t>
        </is>
      </c>
      <c r="C80" s="38" t="inlineStr">
        <is>
          <t>Badalona</t>
        </is>
      </c>
      <c r="D80" s="38" t="n">
        <v>91915</v>
      </c>
      <c r="E80" s="38" t="n">
        <v>83337</v>
      </c>
      <c r="F80" s="38" t="n">
        <v>8578</v>
      </c>
      <c r="H80" s="38" t="inlineStr">
        <is>
          <t>Total habitatges familiars; principal i no principal provenen de les categories publicades</t>
        </is>
      </c>
    </row>
    <row r="81" ht="15" customHeight="1" s="39">
      <c r="A81" s="38" t="inlineStr">
        <is>
          <t>[089045] Badia del Vallès</t>
        </is>
      </c>
      <c r="B81" s="42" t="inlineStr">
        <is>
          <t>089045</t>
        </is>
      </c>
      <c r="C81" s="38" t="inlineStr">
        <is>
          <t>Badia del Vallès</t>
        </is>
      </c>
      <c r="D81" s="38" t="n">
        <v>5447</v>
      </c>
      <c r="E81" s="38" t="n">
        <v>5178</v>
      </c>
      <c r="F81" s="38" t="n">
        <v>269</v>
      </c>
      <c r="H81" s="38" t="inlineStr">
        <is>
          <t>Total habitatges familiars; principal i no principal provenen de les categories publicades</t>
        </is>
      </c>
    </row>
    <row r="82" ht="15" customHeight="1" s="39">
      <c r="A82" s="38" t="inlineStr">
        <is>
          <t>[080168] Bagà</t>
        </is>
      </c>
      <c r="B82" s="42" t="inlineStr">
        <is>
          <t>080168</t>
        </is>
      </c>
      <c r="C82" s="38" t="inlineStr">
        <is>
          <t>Bagà</t>
        </is>
      </c>
      <c r="D82" s="38" t="n">
        <v>1696</v>
      </c>
      <c r="E82" s="38" t="n">
        <v>909</v>
      </c>
      <c r="F82" s="38" t="n">
        <v>787</v>
      </c>
      <c r="H82" s="38" t="inlineStr">
        <is>
          <t>Total habitatges familiars; principal i no principal provenen de les categories publicades</t>
        </is>
      </c>
    </row>
    <row r="83" ht="15" customHeight="1" s="39">
      <c r="A83" s="38" t="inlineStr">
        <is>
          <t>[250390] Baix Pallars</t>
        </is>
      </c>
      <c r="B83" s="42" t="inlineStr">
        <is>
          <t>250390</t>
        </is>
      </c>
      <c r="C83" s="38" t="inlineStr">
        <is>
          <t>Baix Pallars</t>
        </is>
      </c>
      <c r="D83" s="38" t="n">
        <v>420</v>
      </c>
      <c r="E83" s="38" t="n">
        <v>156</v>
      </c>
      <c r="F83" s="38" t="n">
        <v>264</v>
      </c>
      <c r="H83" s="38" t="inlineStr">
        <is>
          <t>Total habitatges familiars; principal i no principal provenen de les categories publicades</t>
        </is>
      </c>
    </row>
    <row r="84" ht="15" customHeight="1" s="39">
      <c r="A84" s="38" t="inlineStr">
        <is>
          <t>[250404] Balaguer</t>
        </is>
      </c>
      <c r="B84" s="42" t="inlineStr">
        <is>
          <t>250404</t>
        </is>
      </c>
      <c r="C84" s="38" t="inlineStr">
        <is>
          <t>Balaguer</t>
        </is>
      </c>
      <c r="D84" s="38" t="n">
        <v>8855</v>
      </c>
      <c r="E84" s="38" t="n">
        <v>6484</v>
      </c>
      <c r="F84" s="38" t="n">
        <v>2371</v>
      </c>
      <c r="H84" s="38" t="inlineStr">
        <is>
          <t>Total habitatges familiars; principal i no principal provenen de les categories publicades</t>
        </is>
      </c>
    </row>
    <row r="85" ht="15" customHeight="1" s="39">
      <c r="A85" s="38" t="inlineStr">
        <is>
          <t>[080174] Balenyà</t>
        </is>
      </c>
      <c r="B85" s="42" t="inlineStr">
        <is>
          <t>080174</t>
        </is>
      </c>
      <c r="C85" s="38" t="inlineStr">
        <is>
          <t>Balenyà</t>
        </is>
      </c>
      <c r="D85" s="38" t="n">
        <v>1730</v>
      </c>
      <c r="E85" s="38" t="n">
        <v>1446</v>
      </c>
      <c r="F85" s="38" t="n">
        <v>284</v>
      </c>
      <c r="H85" s="38" t="inlineStr">
        <is>
          <t>Total habitatges familiars; principal i no principal provenen de les categories publicades</t>
        </is>
      </c>
    </row>
    <row r="86" ht="15" customHeight="1" s="39">
      <c r="A86" s="38" t="inlineStr">
        <is>
          <t>[080180] Balsareny</t>
        </is>
      </c>
      <c r="B86" s="42" t="inlineStr">
        <is>
          <t>080180</t>
        </is>
      </c>
      <c r="C86" s="38" t="inlineStr">
        <is>
          <t>Balsareny</t>
        </is>
      </c>
      <c r="D86" s="38" t="n">
        <v>1710</v>
      </c>
      <c r="E86" s="38" t="n">
        <v>1301</v>
      </c>
      <c r="F86" s="38" t="n">
        <v>409</v>
      </c>
      <c r="H86" s="38" t="inlineStr">
        <is>
          <t>Total habitatges familiars; principal i no principal provenen de les categories publicades</t>
        </is>
      </c>
    </row>
    <row r="87" ht="15" customHeight="1" s="39">
      <c r="A87" s="38" t="inlineStr">
        <is>
          <t>[430206] Banyeres del Penedès</t>
        </is>
      </c>
      <c r="B87" s="42" t="inlineStr">
        <is>
          <t>430206</t>
        </is>
      </c>
      <c r="C87" s="38" t="inlineStr">
        <is>
          <t>Banyeres del Penedès</t>
        </is>
      </c>
      <c r="D87" s="38" t="n">
        <v>1623</v>
      </c>
      <c r="E87" s="38" t="n">
        <v>1223</v>
      </c>
      <c r="F87" s="38" t="n">
        <v>400</v>
      </c>
      <c r="H87" s="38" t="inlineStr">
        <is>
          <t>Total habitatges familiars; principal i no principal provenen de les categories publicades</t>
        </is>
      </c>
    </row>
    <row r="88" ht="15" customHeight="1" s="39">
      <c r="A88" s="38" t="inlineStr">
        <is>
          <t>[170157] Banyoles</t>
        </is>
      </c>
      <c r="B88" s="42" t="inlineStr">
        <is>
          <t>170157</t>
        </is>
      </c>
      <c r="C88" s="38" t="inlineStr">
        <is>
          <t>Banyoles</t>
        </is>
      </c>
      <c r="D88" s="38" t="n">
        <v>9064</v>
      </c>
      <c r="E88" s="38" t="n">
        <v>7325</v>
      </c>
      <c r="F88" s="38" t="n">
        <v>1739</v>
      </c>
      <c r="H88" s="38" t="inlineStr">
        <is>
          <t>Total habitatges familiars; principal i no principal provenen de les categories publicades</t>
        </is>
      </c>
    </row>
    <row r="89" ht="15" customHeight="1" s="39">
      <c r="A89" s="38" t="inlineStr">
        <is>
          <t>[250411] Barbens</t>
        </is>
      </c>
      <c r="B89" s="42" t="inlineStr">
        <is>
          <t>250411</t>
        </is>
      </c>
      <c r="C89" s="38" t="inlineStr">
        <is>
          <t>Barbens</t>
        </is>
      </c>
      <c r="D89" s="38" t="n">
        <v>391</v>
      </c>
      <c r="E89" s="38" t="n">
        <v>333</v>
      </c>
      <c r="F89" s="38" t="n">
        <v>58</v>
      </c>
      <c r="H89" s="38" t="inlineStr">
        <is>
          <t>Total habitatges familiars; principal i no principal provenen de les categories publicades</t>
        </is>
      </c>
    </row>
    <row r="90" ht="15" customHeight="1" s="39">
      <c r="A90" s="38" t="inlineStr">
        <is>
          <t>[430213] Barberà de la Conca</t>
        </is>
      </c>
      <c r="B90" s="42" t="inlineStr">
        <is>
          <t>430213</t>
        </is>
      </c>
      <c r="C90" s="38" t="inlineStr">
        <is>
          <t>Barberà de la Conca</t>
        </is>
      </c>
      <c r="D90" s="38" t="n">
        <v>442</v>
      </c>
      <c r="E90" s="38" t="n">
        <v>204</v>
      </c>
      <c r="F90" s="38" t="n">
        <v>238</v>
      </c>
      <c r="H90" s="38" t="inlineStr">
        <is>
          <t>Total habitatges familiars; principal i no principal provenen de les categories publicades</t>
        </is>
      </c>
    </row>
    <row r="91" ht="15" customHeight="1" s="39">
      <c r="A91" s="38" t="inlineStr">
        <is>
          <t>[082520] Barberà del Vallès</t>
        </is>
      </c>
      <c r="B91" s="42" t="inlineStr">
        <is>
          <t>082520</t>
        </is>
      </c>
      <c r="C91" s="38" t="inlineStr">
        <is>
          <t>Barberà del Vallès</t>
        </is>
      </c>
      <c r="D91" s="38" t="n">
        <v>13768</v>
      </c>
      <c r="E91" s="38" t="n">
        <v>12153</v>
      </c>
      <c r="F91" s="38" t="n">
        <v>1615</v>
      </c>
      <c r="H91" s="38" t="inlineStr">
        <is>
          <t>Total habitatges familiars; principal i no principal provenen de les categories publicades</t>
        </is>
      </c>
    </row>
    <row r="92" ht="15" customHeight="1" s="39">
      <c r="A92" s="38" t="inlineStr">
        <is>
          <t>[080193] Barcelona</t>
        </is>
      </c>
      <c r="B92" s="42" t="inlineStr">
        <is>
          <t>080193</t>
        </is>
      </c>
      <c r="C92" s="38" t="inlineStr">
        <is>
          <t>Barcelona</t>
        </is>
      </c>
      <c r="D92" s="38" t="n">
        <v>808751</v>
      </c>
      <c r="E92" s="38" t="n">
        <v>671177</v>
      </c>
      <c r="F92" s="38" t="n">
        <v>137574</v>
      </c>
      <c r="H92" s="38" t="inlineStr">
        <is>
          <t>Total habitatges familiars; principal i no principal provenen de les categories publicades</t>
        </is>
      </c>
    </row>
    <row r="93" ht="15" customHeight="1" s="39">
      <c r="A93" s="38" t="inlineStr">
        <is>
          <t>[250426] Baronia de Rialb, la</t>
        </is>
      </c>
      <c r="B93" s="42" t="inlineStr">
        <is>
          <t>250426</t>
        </is>
      </c>
      <c r="C93" s="38" t="inlineStr">
        <is>
          <t>Baronia de Rialb, la</t>
        </is>
      </c>
      <c r="D93" s="38" t="n">
        <v>144</v>
      </c>
      <c r="E93" s="38" t="n">
        <v>88</v>
      </c>
      <c r="F93" s="38" t="n">
        <v>56</v>
      </c>
      <c r="H93" s="38" t="inlineStr">
        <is>
          <t>Total habitatges familiars; principal i no principal provenen de les categories publicades</t>
        </is>
      </c>
    </row>
    <row r="94" ht="15" customHeight="1" s="39">
      <c r="A94" s="38" t="inlineStr">
        <is>
          <t>[170160] Bàscara</t>
        </is>
      </c>
      <c r="B94" s="42" t="inlineStr">
        <is>
          <t>170160</t>
        </is>
      </c>
      <c r="C94" s="38" t="inlineStr">
        <is>
          <t>Bàscara</t>
        </is>
      </c>
      <c r="D94" s="38" t="n">
        <v>549</v>
      </c>
      <c r="E94" s="38" t="n">
        <v>382</v>
      </c>
      <c r="F94" s="38" t="n">
        <v>167</v>
      </c>
      <c r="H94" s="38" t="inlineStr">
        <is>
          <t>Total habitatges familiars; principal i no principal provenen de les categories publicades</t>
        </is>
      </c>
    </row>
    <row r="95" ht="15" customHeight="1" s="39">
      <c r="A95" s="38" t="inlineStr">
        <is>
          <t>[250447] Bassella</t>
        </is>
      </c>
      <c r="B95" s="42" t="inlineStr">
        <is>
          <t>250447</t>
        </is>
      </c>
      <c r="C95" s="38" t="inlineStr">
        <is>
          <t>Bassella</t>
        </is>
      </c>
      <c r="D95" s="38" t="n">
        <v>117</v>
      </c>
      <c r="E95" s="38" t="n">
        <v>82</v>
      </c>
      <c r="F95" s="38" t="n">
        <v>35</v>
      </c>
      <c r="H95" s="38" t="inlineStr">
        <is>
          <t>Total habitatges familiars; principal i no principal provenen de les categories publicades</t>
        </is>
      </c>
    </row>
    <row r="96" ht="15" customHeight="1" s="39">
      <c r="A96" s="38" t="inlineStr">
        <is>
          <t>[430228] Batea</t>
        </is>
      </c>
      <c r="B96" s="42" t="inlineStr">
        <is>
          <t>430228</t>
        </is>
      </c>
      <c r="C96" s="38" t="inlineStr">
        <is>
          <t>Batea</t>
        </is>
      </c>
      <c r="D96" s="38" t="n">
        <v>1106</v>
      </c>
      <c r="E96" s="38" t="n">
        <v>691</v>
      </c>
      <c r="F96" s="38" t="n">
        <v>415</v>
      </c>
      <c r="H96" s="38" t="inlineStr">
        <is>
          <t>Total habitatges familiars; principal i no principal provenen de les categories publicades</t>
        </is>
      </c>
    </row>
    <row r="97" ht="15" customHeight="1" s="39">
      <c r="A97" s="38" t="inlineStr">
        <is>
          <t>[250450] Bausen</t>
        </is>
      </c>
      <c r="B97" s="42" t="inlineStr">
        <is>
          <t>250450</t>
        </is>
      </c>
      <c r="C97" s="38" t="inlineStr">
        <is>
          <t>Bausen</t>
        </is>
      </c>
      <c r="D97" s="38" t="n">
        <v>88</v>
      </c>
      <c r="E97" s="38" t="n">
        <v>35</v>
      </c>
      <c r="F97" s="38" t="n">
        <v>53</v>
      </c>
      <c r="H97" s="38" t="inlineStr">
        <is>
          <t>Total habitatges familiars; principal i no principal provenen de les categories publicades</t>
        </is>
      </c>
    </row>
    <row r="98" ht="15" customHeight="1" s="39">
      <c r="A98" s="38" t="inlineStr">
        <is>
          <t>[080207] Begues</t>
        </is>
      </c>
      <c r="B98" s="42" t="inlineStr">
        <is>
          <t>080207</t>
        </is>
      </c>
      <c r="C98" s="38" t="inlineStr">
        <is>
          <t>Begues</t>
        </is>
      </c>
      <c r="D98" s="38" t="n">
        <v>2935</v>
      </c>
      <c r="E98" s="38" t="n">
        <v>2486</v>
      </c>
      <c r="F98" s="38" t="n">
        <v>449</v>
      </c>
      <c r="H98" s="38" t="inlineStr">
        <is>
          <t>Total habitatges familiars; principal i no principal provenen de les categories publicades</t>
        </is>
      </c>
    </row>
    <row r="99" ht="15" customHeight="1" s="39">
      <c r="A99" s="38" t="inlineStr">
        <is>
          <t>[170139] Begur</t>
        </is>
      </c>
      <c r="B99" s="42" t="inlineStr">
        <is>
          <t>170139</t>
        </is>
      </c>
      <c r="C99" s="38" t="inlineStr">
        <is>
          <t>Begur</t>
        </is>
      </c>
      <c r="D99" s="38" t="n">
        <v>5620</v>
      </c>
      <c r="E99" s="38" t="n">
        <v>1650</v>
      </c>
      <c r="F99" s="38" t="n">
        <v>3970</v>
      </c>
      <c r="H99" s="38" t="inlineStr">
        <is>
          <t>Total habitatges familiars; principal i no principal provenen de les categories publicades</t>
        </is>
      </c>
    </row>
    <row r="100" ht="15" customHeight="1" s="39">
      <c r="A100" s="38" t="inlineStr">
        <is>
          <t>[250463] Belianes</t>
        </is>
      </c>
      <c r="B100" s="42" t="inlineStr">
        <is>
          <t>250463</t>
        </is>
      </c>
      <c r="C100" s="38" t="inlineStr">
        <is>
          <t>Belianes</t>
        </is>
      </c>
      <c r="D100" s="38" t="n">
        <v>431</v>
      </c>
      <c r="E100" s="38" t="n">
        <v>219</v>
      </c>
      <c r="F100" s="38" t="n">
        <v>212</v>
      </c>
      <c r="H100" s="38" t="inlineStr">
        <is>
          <t>Total habitatges familiars; principal i no principal provenen de les categories publicades</t>
        </is>
      </c>
    </row>
    <row r="101" ht="15" customHeight="1" s="39">
      <c r="A101" s="38" t="inlineStr">
        <is>
          <t>[251706] Bellaguarda</t>
        </is>
      </c>
      <c r="B101" s="42" t="inlineStr">
        <is>
          <t>251706</t>
        </is>
      </c>
      <c r="C101" s="38" t="inlineStr">
        <is>
          <t>Bellaguarda</t>
        </is>
      </c>
      <c r="D101" s="38" t="n">
        <v>207</v>
      </c>
      <c r="E101" s="38" t="n">
        <v>112</v>
      </c>
      <c r="F101" s="38" t="n">
        <v>95</v>
      </c>
      <c r="H101" s="38" t="inlineStr">
        <is>
          <t>Total habitatges familiars; principal i no principal provenen de les categories publicades</t>
        </is>
      </c>
    </row>
    <row r="102" ht="15" customHeight="1" s="39">
      <c r="A102" s="38" t="inlineStr">
        <is>
          <t>[170182] Bellcaire d'Empordà</t>
        </is>
      </c>
      <c r="B102" s="42" t="inlineStr">
        <is>
          <t>170182</t>
        </is>
      </c>
      <c r="C102" s="38" t="inlineStr">
        <is>
          <t>Bellcaire d'Empordà</t>
        </is>
      </c>
      <c r="D102" s="38" t="n">
        <v>511</v>
      </c>
      <c r="E102" s="38" t="n">
        <v>280</v>
      </c>
      <c r="F102" s="38" t="n">
        <v>231</v>
      </c>
      <c r="H102" s="38" t="inlineStr">
        <is>
          <t>Total habitatges familiars; principal i no principal provenen de les categories publicades</t>
        </is>
      </c>
    </row>
    <row r="103" ht="15" customHeight="1" s="39">
      <c r="A103" s="38" t="inlineStr">
        <is>
          <t>[250479] Bellcaire d'Urgell</t>
        </is>
      </c>
      <c r="B103" s="42" t="inlineStr">
        <is>
          <t>250479</t>
        </is>
      </c>
      <c r="C103" s="38" t="inlineStr">
        <is>
          <t>Bellcaire d'Urgell</t>
        </is>
      </c>
      <c r="D103" s="38" t="n">
        <v>707</v>
      </c>
      <c r="E103" s="38" t="n">
        <v>487</v>
      </c>
      <c r="F103" s="38" t="n">
        <v>220</v>
      </c>
      <c r="H103" s="38" t="inlineStr">
        <is>
          <t>Total habitatges familiars; principal i no principal provenen de les categories publicades</t>
        </is>
      </c>
    </row>
    <row r="104" ht="15" customHeight="1" s="39">
      <c r="A104" s="38" t="inlineStr">
        <is>
          <t>[250485] Bell-lloc d'Urgell</t>
        </is>
      </c>
      <c r="B104" s="42" t="inlineStr">
        <is>
          <t>250485</t>
        </is>
      </c>
      <c r="C104" s="38" t="inlineStr">
        <is>
          <t>Bell-lloc d'Urgell</t>
        </is>
      </c>
      <c r="D104" s="38" t="n">
        <v>1086</v>
      </c>
      <c r="E104" s="38" t="n">
        <v>837</v>
      </c>
      <c r="F104" s="38" t="n">
        <v>249</v>
      </c>
      <c r="H104" s="38" t="inlineStr">
        <is>
          <t>Total habitatges familiars; principal i no principal provenen de les categories publicades</t>
        </is>
      </c>
    </row>
    <row r="105" ht="15" customHeight="1" s="39">
      <c r="A105" s="38" t="inlineStr">
        <is>
          <t>[250498] Bellmunt d'Urgell</t>
        </is>
      </c>
      <c r="B105" s="42" t="inlineStr">
        <is>
          <t>250498</t>
        </is>
      </c>
      <c r="C105" s="38" t="inlineStr">
        <is>
          <t>Bellmunt d'Urgell</t>
        </is>
      </c>
      <c r="D105" s="38" t="n">
        <v>128</v>
      </c>
      <c r="E105" s="38" t="n">
        <v>67</v>
      </c>
      <c r="F105" s="38" t="n">
        <v>61</v>
      </c>
      <c r="H105" s="38" t="inlineStr">
        <is>
          <t>Total habitatges familiars; principal i no principal provenen de les categories publicades</t>
        </is>
      </c>
    </row>
    <row r="106" ht="15" customHeight="1" s="39">
      <c r="A106" s="38" t="inlineStr">
        <is>
          <t>[430234] Bellmunt del Priorat</t>
        </is>
      </c>
      <c r="B106" s="42" t="inlineStr">
        <is>
          <t>430234</t>
        </is>
      </c>
      <c r="C106" s="38" t="inlineStr">
        <is>
          <t>Bellmunt del Priorat</t>
        </is>
      </c>
      <c r="D106" s="38" t="n">
        <v>325</v>
      </c>
      <c r="E106" s="38" t="n">
        <v>131</v>
      </c>
      <c r="F106" s="38" t="n">
        <v>194</v>
      </c>
      <c r="H106" s="38" t="inlineStr">
        <is>
          <t>Total habitatges familiars; principal i no principal provenen de les categories publicades</t>
        </is>
      </c>
    </row>
    <row r="107" ht="15" customHeight="1" s="39">
      <c r="A107" s="38" t="inlineStr">
        <is>
          <t>[080214] Bellprat</t>
        </is>
      </c>
      <c r="B107" s="42" t="inlineStr">
        <is>
          <t>080214</t>
        </is>
      </c>
      <c r="C107" s="38" t="inlineStr">
        <is>
          <t>Bellprat</t>
        </is>
      </c>
      <c r="D107" s="38" t="n">
        <v>72</v>
      </c>
      <c r="E107" s="38" t="n">
        <v>37</v>
      </c>
      <c r="F107" s="38" t="n">
        <v>35</v>
      </c>
      <c r="H107" s="38" t="inlineStr">
        <is>
          <t>Total habitatges familiars; principal i no principal provenen de les categories publicades</t>
        </is>
      </c>
    </row>
    <row r="108" ht="15" customHeight="1" s="39">
      <c r="A108" s="38" t="inlineStr">
        <is>
          <t>[250501] Bellpuig</t>
        </is>
      </c>
      <c r="B108" s="42" t="inlineStr">
        <is>
          <t>250501</t>
        </is>
      </c>
      <c r="C108" s="38" t="inlineStr">
        <is>
          <t>Bellpuig</t>
        </is>
      </c>
      <c r="D108" s="38" t="n">
        <v>2641</v>
      </c>
      <c r="E108" s="38" t="n">
        <v>1877</v>
      </c>
      <c r="F108" s="38" t="n">
        <v>764</v>
      </c>
      <c r="H108" s="38" t="inlineStr">
        <is>
          <t>Total habitatges familiars; principal i no principal provenen de les categories publicades</t>
        </is>
      </c>
    </row>
    <row r="109" ht="15" customHeight="1" s="39">
      <c r="A109" s="38" t="inlineStr">
        <is>
          <t>[430249] Bellvei</t>
        </is>
      </c>
      <c r="B109" s="42" t="inlineStr">
        <is>
          <t>430249</t>
        </is>
      </c>
      <c r="C109" s="38" t="inlineStr">
        <is>
          <t>Bellvei</t>
        </is>
      </c>
      <c r="D109" s="38" t="n">
        <v>1343</v>
      </c>
      <c r="E109" s="38" t="n">
        <v>861</v>
      </c>
      <c r="F109" s="38" t="n">
        <v>482</v>
      </c>
      <c r="H109" s="38" t="inlineStr">
        <is>
          <t>Total habitatges familiars; principal i no principal provenen de les categories publicades</t>
        </is>
      </c>
    </row>
    <row r="110" ht="15" customHeight="1" s="39">
      <c r="A110" s="38" t="inlineStr">
        <is>
          <t>[250518] Bellver de Cerdanya</t>
        </is>
      </c>
      <c r="B110" s="42" t="inlineStr">
        <is>
          <t>250518</t>
        </is>
      </c>
      <c r="C110" s="38" t="inlineStr">
        <is>
          <t>Bellver de Cerdanya</t>
        </is>
      </c>
      <c r="D110" s="38" t="n">
        <v>2504</v>
      </c>
      <c r="E110" s="38" t="n">
        <v>979</v>
      </c>
      <c r="F110" s="38" t="n">
        <v>1525</v>
      </c>
      <c r="H110" s="38" t="inlineStr">
        <is>
          <t>Total habitatges familiars; principal i no principal provenen de les categories publicades</t>
        </is>
      </c>
    </row>
    <row r="111" ht="15" customHeight="1" s="39">
      <c r="A111" s="38" t="inlineStr">
        <is>
          <t>[250523] Bellvís</t>
        </is>
      </c>
      <c r="B111" s="42" t="inlineStr">
        <is>
          <t>250523</t>
        </is>
      </c>
      <c r="C111" s="38" t="inlineStr">
        <is>
          <t>Bellvís</t>
        </is>
      </c>
      <c r="D111" s="38" t="n">
        <v>1244</v>
      </c>
      <c r="E111" s="38" t="n">
        <v>860</v>
      </c>
      <c r="F111" s="38" t="n">
        <v>384</v>
      </c>
      <c r="H111" s="38" t="inlineStr">
        <is>
          <t>Total habitatges familiars; principal i no principal provenen de les categories publicades</t>
        </is>
      </c>
    </row>
    <row r="112" ht="15" customHeight="1" s="39">
      <c r="A112" s="38" t="inlineStr">
        <is>
          <t>[250539] Benavent de Segrià</t>
        </is>
      </c>
      <c r="B112" s="42" t="inlineStr">
        <is>
          <t>250539</t>
        </is>
      </c>
      <c r="C112" s="38" t="inlineStr">
        <is>
          <t>Benavent de Segrià</t>
        </is>
      </c>
      <c r="D112" s="38" t="n">
        <v>633</v>
      </c>
      <c r="E112" s="38" t="n">
        <v>539</v>
      </c>
      <c r="F112" s="38" t="n">
        <v>94</v>
      </c>
      <c r="H112" s="38" t="inlineStr">
        <is>
          <t>Total habitatges familiars; principal i no principal provenen de les categories publicades</t>
        </is>
      </c>
    </row>
    <row r="113" ht="15" customHeight="1" s="39">
      <c r="A113" s="38" t="inlineStr">
        <is>
          <t>[430252] Benifallet</t>
        </is>
      </c>
      <c r="B113" s="42" t="inlineStr">
        <is>
          <t>430252</t>
        </is>
      </c>
      <c r="C113" s="38" t="inlineStr">
        <is>
          <t>Benifallet</t>
        </is>
      </c>
      <c r="D113" s="38" t="n">
        <v>505</v>
      </c>
      <c r="E113" s="38" t="n">
        <v>297</v>
      </c>
      <c r="F113" s="38" t="n">
        <v>208</v>
      </c>
      <c r="H113" s="38" t="inlineStr">
        <is>
          <t>Total habitatges familiars; principal i no principal provenen de les categories publicades</t>
        </is>
      </c>
    </row>
    <row r="114" ht="15" customHeight="1" s="39">
      <c r="A114" s="38" t="inlineStr">
        <is>
          <t>[430265] Benissanet</t>
        </is>
      </c>
      <c r="B114" s="42" t="inlineStr">
        <is>
          <t>430265</t>
        </is>
      </c>
      <c r="C114" s="38" t="inlineStr">
        <is>
          <t>Benissanet</t>
        </is>
      </c>
      <c r="D114" s="38" t="n">
        <v>653</v>
      </c>
      <c r="E114" s="38" t="n">
        <v>438</v>
      </c>
      <c r="F114" s="38" t="n">
        <v>215</v>
      </c>
      <c r="H114" s="38" t="inlineStr">
        <is>
          <t>Total habitatges familiars; principal i no principal provenen de les categories publicades</t>
        </is>
      </c>
    </row>
    <row r="115" ht="15" customHeight="1" s="39">
      <c r="A115" s="38" t="inlineStr">
        <is>
          <t>[080229] Berga</t>
        </is>
      </c>
      <c r="B115" s="42" t="inlineStr">
        <is>
          <t>080229</t>
        </is>
      </c>
      <c r="C115" s="38" t="inlineStr">
        <is>
          <t>Berga</t>
        </is>
      </c>
      <c r="D115" s="38" t="n">
        <v>9010</v>
      </c>
      <c r="E115" s="38" t="n">
        <v>6831</v>
      </c>
      <c r="F115" s="38" t="n">
        <v>2179</v>
      </c>
      <c r="H115" s="38" t="inlineStr">
        <is>
          <t>Total habitatges familiars; principal i no principal provenen de les categories publicades</t>
        </is>
      </c>
    </row>
    <row r="116" ht="15" customHeight="1" s="39">
      <c r="A116" s="38" t="inlineStr">
        <is>
          <t>[170195] Besalú</t>
        </is>
      </c>
      <c r="B116" s="42" t="inlineStr">
        <is>
          <t>170195</t>
        </is>
      </c>
      <c r="C116" s="38" t="inlineStr">
        <is>
          <t>Besalú</t>
        </is>
      </c>
      <c r="D116" s="38" t="n">
        <v>1221</v>
      </c>
      <c r="E116" s="38" t="n">
        <v>971</v>
      </c>
      <c r="F116" s="38" t="n">
        <v>250</v>
      </c>
      <c r="H116" s="38" t="inlineStr">
        <is>
          <t>Total habitatges familiars; principal i no principal provenen de les categories publicades</t>
        </is>
      </c>
    </row>
    <row r="117" ht="15" customHeight="1" s="39">
      <c r="A117" s="38" t="inlineStr">
        <is>
          <t>[170209] Bescanó</t>
        </is>
      </c>
      <c r="B117" s="42" t="inlineStr">
        <is>
          <t>170209</t>
        </is>
      </c>
      <c r="C117" s="38" t="inlineStr">
        <is>
          <t>Bescanó</t>
        </is>
      </c>
      <c r="D117" s="38" t="n">
        <v>2150</v>
      </c>
      <c r="E117" s="38" t="n">
        <v>1769</v>
      </c>
      <c r="F117" s="38" t="n">
        <v>381</v>
      </c>
      <c r="H117" s="38" t="inlineStr">
        <is>
          <t>Total habitatges familiars; principal i no principal provenen de les categories publicades</t>
        </is>
      </c>
    </row>
    <row r="118" ht="15" customHeight="1" s="39">
      <c r="A118" s="38" t="inlineStr">
        <is>
          <t>[170216] Beuda</t>
        </is>
      </c>
      <c r="B118" s="42" t="inlineStr">
        <is>
          <t>170216</t>
        </is>
      </c>
      <c r="C118" s="38" t="inlineStr">
        <is>
          <t>Beuda</t>
        </is>
      </c>
      <c r="D118" s="38" t="n">
        <v>122</v>
      </c>
      <c r="E118" s="38" t="n">
        <v>69</v>
      </c>
      <c r="F118" s="38" t="n">
        <v>53</v>
      </c>
      <c r="H118" s="38" t="inlineStr">
        <is>
          <t>Total habitatges familiars; principal i no principal provenen de les categories publicades</t>
        </is>
      </c>
    </row>
    <row r="119" ht="15" customHeight="1" s="39">
      <c r="A119" s="38" t="inlineStr">
        <is>
          <t>[080235] Bigues i Riells del Fai</t>
        </is>
      </c>
      <c r="B119" s="42" t="inlineStr">
        <is>
          <t>080235</t>
        </is>
      </c>
      <c r="C119" s="38" t="inlineStr">
        <is>
          <t>Bigues i Riells del Fai</t>
        </is>
      </c>
      <c r="D119" s="38" t="n">
        <v>4417</v>
      </c>
      <c r="E119" s="38" t="n">
        <v>3452</v>
      </c>
      <c r="F119" s="38" t="n">
        <v>965</v>
      </c>
      <c r="H119" s="38" t="inlineStr">
        <is>
          <t>Total habitatges familiars; principal i no principal provenen de les categories publicades</t>
        </is>
      </c>
    </row>
    <row r="120" ht="15" customHeight="1" s="39">
      <c r="A120" s="38" t="inlineStr">
        <is>
          <t>[250557] Biosca</t>
        </is>
      </c>
      <c r="B120" s="42" t="inlineStr">
        <is>
          <t>250557</t>
        </is>
      </c>
      <c r="C120" s="38" t="inlineStr">
        <is>
          <t>Biosca</t>
        </is>
      </c>
      <c r="D120" s="38" t="n">
        <v>156</v>
      </c>
      <c r="E120" s="38" t="n">
        <v>78</v>
      </c>
      <c r="F120" s="38" t="n">
        <v>78</v>
      </c>
      <c r="H120" s="38" t="inlineStr">
        <is>
          <t>Total habitatges familiars; principal i no principal provenen de les categories publicades</t>
        </is>
      </c>
    </row>
    <row r="121" ht="15" customHeight="1" s="39">
      <c r="A121" s="38" t="inlineStr">
        <is>
          <t>[170221] Bisbal d'Empordà, la</t>
        </is>
      </c>
      <c r="B121" s="42" t="inlineStr">
        <is>
          <t>170221</t>
        </is>
      </c>
      <c r="C121" s="38" t="inlineStr">
        <is>
          <t>Bisbal d'Empordà, la</t>
        </is>
      </c>
      <c r="D121" s="38" t="n">
        <v>5102</v>
      </c>
      <c r="E121" s="38" t="n">
        <v>4180</v>
      </c>
      <c r="F121" s="38" t="n">
        <v>922</v>
      </c>
      <c r="H121" s="38" t="inlineStr">
        <is>
          <t>Total habitatges familiars; principal i no principal provenen de les categories publicades</t>
        </is>
      </c>
    </row>
    <row r="122" ht="15" customHeight="1" s="39">
      <c r="A122" s="38" t="inlineStr">
        <is>
          <t>[430271] Bisbal de Montsant, la</t>
        </is>
      </c>
      <c r="B122" s="42" t="inlineStr">
        <is>
          <t>430271</t>
        </is>
      </c>
      <c r="C122" s="38" t="inlineStr">
        <is>
          <t>Bisbal de Montsant, la</t>
        </is>
      </c>
      <c r="D122" s="38" t="n">
        <v>196</v>
      </c>
      <c r="E122" s="38" t="n">
        <v>95</v>
      </c>
      <c r="F122" s="38" t="n">
        <v>101</v>
      </c>
      <c r="H122" s="38" t="inlineStr">
        <is>
          <t>Total habitatges familiars; principal i no principal provenen de les categories publicades</t>
        </is>
      </c>
    </row>
    <row r="123" ht="15" customHeight="1" s="39">
      <c r="A123" s="38" t="inlineStr">
        <is>
          <t>[430287] Bisbal del Penedès, la</t>
        </is>
      </c>
      <c r="B123" s="42" t="inlineStr">
        <is>
          <t>430287</t>
        </is>
      </c>
      <c r="C123" s="38" t="inlineStr">
        <is>
          <t>Bisbal del Penedès, la</t>
        </is>
      </c>
      <c r="D123" s="38" t="n">
        <v>2953</v>
      </c>
      <c r="E123" s="38" t="n">
        <v>1561</v>
      </c>
      <c r="F123" s="38" t="n">
        <v>1392</v>
      </c>
      <c r="H123" s="38" t="inlineStr">
        <is>
          <t>Total habitatges familiars; principal i no principal provenen de les categories publicades</t>
        </is>
      </c>
    </row>
    <row r="124" ht="15" customHeight="1" s="39">
      <c r="A124" s="38" t="inlineStr">
        <is>
          <t>[172348] Biure</t>
        </is>
      </c>
      <c r="B124" s="42" t="inlineStr">
        <is>
          <t>172348</t>
        </is>
      </c>
      <c r="C124" s="38" t="inlineStr">
        <is>
          <t>Biure</t>
        </is>
      </c>
      <c r="D124" s="38" t="n">
        <v>162</v>
      </c>
      <c r="E124" s="38" t="n">
        <v>96</v>
      </c>
      <c r="F124" s="38" t="n">
        <v>66</v>
      </c>
      <c r="H124" s="38" t="inlineStr">
        <is>
          <t>Total habitatges familiars; principal i no principal provenen de les categories publicades</t>
        </is>
      </c>
    </row>
    <row r="125" ht="15" customHeight="1" s="39">
      <c r="A125" s="38" t="inlineStr">
        <is>
          <t>[430290] Blancafort</t>
        </is>
      </c>
      <c r="B125" s="42" t="inlineStr">
        <is>
          <t>430290</t>
        </is>
      </c>
      <c r="C125" s="38" t="inlineStr">
        <is>
          <t>Blancafort</t>
        </is>
      </c>
      <c r="D125" s="38" t="n">
        <v>336</v>
      </c>
      <c r="E125" s="38" t="n">
        <v>171</v>
      </c>
      <c r="F125" s="38" t="n">
        <v>165</v>
      </c>
      <c r="H125" s="38" t="inlineStr">
        <is>
          <t>Total habitatges familiars; principal i no principal provenen de les categories publicades</t>
        </is>
      </c>
    </row>
    <row r="126" ht="15" customHeight="1" s="39">
      <c r="A126" s="38" t="inlineStr">
        <is>
          <t>[170237] Blanes</t>
        </is>
      </c>
      <c r="B126" s="42" t="inlineStr">
        <is>
          <t>170237</t>
        </is>
      </c>
      <c r="C126" s="38" t="inlineStr">
        <is>
          <t>Blanes</t>
        </is>
      </c>
      <c r="D126" s="38" t="n">
        <v>25589</v>
      </c>
      <c r="E126" s="38" t="n">
        <v>16290</v>
      </c>
      <c r="F126" s="38" t="n">
        <v>9299</v>
      </c>
      <c r="H126" s="38" t="inlineStr">
        <is>
          <t>Total habitatges familiars; principal i no principal provenen de les categories publicades</t>
        </is>
      </c>
    </row>
    <row r="127" ht="15" customHeight="1" s="39">
      <c r="A127" s="38" t="inlineStr">
        <is>
          <t>[170293] Boadella i les Escaules</t>
        </is>
      </c>
      <c r="B127" s="42" t="inlineStr">
        <is>
          <t>170293</t>
        </is>
      </c>
      <c r="C127" s="38" t="inlineStr">
        <is>
          <t>Boadella i les Escaules</t>
        </is>
      </c>
      <c r="D127" s="38" t="n">
        <v>213</v>
      </c>
      <c r="E127" s="38" t="n">
        <v>104</v>
      </c>
      <c r="F127" s="38" t="n">
        <v>109</v>
      </c>
      <c r="H127" s="38" t="inlineStr">
        <is>
          <t>Total habitatges familiars; principal i no principal provenen de les categories publicades</t>
        </is>
      </c>
    </row>
    <row r="128" ht="15" customHeight="1" s="39">
      <c r="A128" s="38" t="inlineStr">
        <is>
          <t>[170242] Bolvir</t>
        </is>
      </c>
      <c r="B128" s="42" t="inlineStr">
        <is>
          <t>170242</t>
        </is>
      </c>
      <c r="C128" s="38" t="inlineStr">
        <is>
          <t>Bolvir</t>
        </is>
      </c>
      <c r="D128" s="38" t="n">
        <v>887</v>
      </c>
      <c r="E128" s="38" t="n">
        <v>197</v>
      </c>
      <c r="F128" s="38" t="n">
        <v>690</v>
      </c>
      <c r="H128" s="38" t="inlineStr">
        <is>
          <t>Total habitatges familiars; principal i no principal provenen de les categories publicades</t>
        </is>
      </c>
    </row>
    <row r="129" ht="15" customHeight="1" s="39">
      <c r="A129" s="38" t="inlineStr">
        <is>
          <t>[430304] Bonastre</t>
        </is>
      </c>
      <c r="B129" s="42" t="inlineStr">
        <is>
          <t>430304</t>
        </is>
      </c>
      <c r="C129" s="38" t="inlineStr">
        <is>
          <t>Bonastre</t>
        </is>
      </c>
      <c r="D129" s="38" t="n">
        <v>579</v>
      </c>
      <c r="E129" s="38" t="n">
        <v>312</v>
      </c>
      <c r="F129" s="38" t="n">
        <v>267</v>
      </c>
      <c r="H129" s="38" t="inlineStr">
        <is>
          <t>Total habitatges familiars; principal i no principal provenen de les categories publicades</t>
        </is>
      </c>
    </row>
    <row r="130" ht="15" customHeight="1" s="39">
      <c r="A130" s="38" t="inlineStr">
        <is>
          <t>[250576] Bòrdes, Es</t>
        </is>
      </c>
      <c r="B130" s="42" t="inlineStr">
        <is>
          <t>250576</t>
        </is>
      </c>
      <c r="C130" s="38" t="inlineStr">
        <is>
          <t>Bòrdes, Es</t>
        </is>
      </c>
      <c r="D130" s="38" t="n">
        <v>302</v>
      </c>
      <c r="E130" s="38" t="n">
        <v>121</v>
      </c>
      <c r="F130" s="38" t="n">
        <v>181</v>
      </c>
      <c r="H130" s="38" t="inlineStr">
        <is>
          <t>Total habitatges familiars; principal i no principal provenen de les categories publicades</t>
        </is>
      </c>
    </row>
    <row r="131" ht="15" customHeight="1" s="39">
      <c r="A131" s="38" t="inlineStr">
        <is>
          <t>[170255] Bordils</t>
        </is>
      </c>
      <c r="B131" s="42" t="inlineStr">
        <is>
          <t>170255</t>
        </is>
      </c>
      <c r="C131" s="38" t="inlineStr">
        <is>
          <t>Bordils</t>
        </is>
      </c>
      <c r="D131" s="38" t="n">
        <v>742</v>
      </c>
      <c r="E131" s="38" t="n">
        <v>630</v>
      </c>
      <c r="F131" s="38" t="n">
        <v>112</v>
      </c>
      <c r="H131" s="38" t="inlineStr">
        <is>
          <t>Total habitatges familiars; principal i no principal provenen de les categories publicades</t>
        </is>
      </c>
    </row>
    <row r="132" ht="15" customHeight="1" s="39">
      <c r="A132" s="38" t="inlineStr">
        <is>
          <t>[250582] Borges Blanques, les</t>
        </is>
      </c>
      <c r="B132" s="42" t="inlineStr">
        <is>
          <t>250582</t>
        </is>
      </c>
      <c r="C132" s="38" t="inlineStr">
        <is>
          <t>Borges Blanques, les</t>
        </is>
      </c>
      <c r="D132" s="38" t="n">
        <v>3287</v>
      </c>
      <c r="E132" s="38" t="n">
        <v>2438</v>
      </c>
      <c r="F132" s="38" t="n">
        <v>849</v>
      </c>
      <c r="H132" s="38" t="inlineStr">
        <is>
          <t>Total habitatges familiars; principal i no principal provenen de les categories publicades</t>
        </is>
      </c>
    </row>
    <row r="133" ht="15" customHeight="1" s="39">
      <c r="A133" s="38" t="inlineStr">
        <is>
          <t>[430311] Borges del Camp, les</t>
        </is>
      </c>
      <c r="B133" s="42" t="inlineStr">
        <is>
          <t>430311</t>
        </is>
      </c>
      <c r="C133" s="38" t="inlineStr">
        <is>
          <t>Borges del Camp, les</t>
        </is>
      </c>
      <c r="D133" s="38" t="n">
        <v>1118</v>
      </c>
      <c r="E133" s="38" t="n">
        <v>778</v>
      </c>
      <c r="F133" s="38" t="n">
        <v>340</v>
      </c>
      <c r="H133" s="38" t="inlineStr">
        <is>
          <t>Total habitatges familiars; principal i no principal provenen de les categories publicades</t>
        </is>
      </c>
    </row>
    <row r="134" ht="15" customHeight="1" s="39">
      <c r="A134" s="38" t="inlineStr">
        <is>
          <t>[170268] Borrassà</t>
        </is>
      </c>
      <c r="B134" s="42" t="inlineStr">
        <is>
          <t>170268</t>
        </is>
      </c>
      <c r="C134" s="38" t="inlineStr">
        <is>
          <t>Borrassà</t>
        </is>
      </c>
      <c r="D134" s="38" t="n">
        <v>331</v>
      </c>
      <c r="E134" s="38" t="n">
        <v>263</v>
      </c>
      <c r="F134" s="38" t="n">
        <v>68</v>
      </c>
      <c r="H134" s="38" t="inlineStr">
        <is>
          <t>Total habitatges familiars; principal i no principal provenen de les categories publicades</t>
        </is>
      </c>
    </row>
    <row r="135" ht="15" customHeight="1" s="39">
      <c r="A135" s="38" t="inlineStr">
        <is>
          <t>[080240] Borredà</t>
        </is>
      </c>
      <c r="B135" s="42" t="inlineStr">
        <is>
          <t>080240</t>
        </is>
      </c>
      <c r="C135" s="38" t="inlineStr">
        <is>
          <t>Borredà</t>
        </is>
      </c>
      <c r="D135" s="38" t="n">
        <v>392</v>
      </c>
      <c r="E135" s="38" t="n">
        <v>178</v>
      </c>
      <c r="F135" s="38" t="n">
        <v>214</v>
      </c>
      <c r="H135" s="38" t="inlineStr">
        <is>
          <t>Total habitatges familiars; principal i no principal provenen de les categories publicades</t>
        </is>
      </c>
    </row>
    <row r="136" ht="15" customHeight="1" s="39">
      <c r="A136" s="38" t="inlineStr">
        <is>
          <t>[250595] Bossòst</t>
        </is>
      </c>
      <c r="B136" s="42" t="inlineStr">
        <is>
          <t>250595</t>
        </is>
      </c>
      <c r="C136" s="38" t="inlineStr">
        <is>
          <t>Bossòst</t>
        </is>
      </c>
      <c r="D136" s="38" t="n">
        <v>766</v>
      </c>
      <c r="E136" s="38" t="n">
        <v>443</v>
      </c>
      <c r="F136" s="38" t="n">
        <v>323</v>
      </c>
      <c r="H136" s="38" t="inlineStr">
        <is>
          <t>Total habitatges familiars; principal i no principal provenen de les categories publicades</t>
        </is>
      </c>
    </row>
    <row r="137" ht="15" customHeight="1" s="39">
      <c r="A137" s="38" t="inlineStr">
        <is>
          <t>[430326] Bot</t>
        </is>
      </c>
      <c r="B137" s="42" t="inlineStr">
        <is>
          <t>430326</t>
        </is>
      </c>
      <c r="C137" s="38" t="inlineStr">
        <is>
          <t>Bot</t>
        </is>
      </c>
      <c r="D137" s="38" t="n">
        <v>476</v>
      </c>
      <c r="E137" s="38" t="n">
        <v>239</v>
      </c>
      <c r="F137" s="38" t="n">
        <v>237</v>
      </c>
      <c r="H137" s="38" t="inlineStr">
        <is>
          <t>Total habitatges familiars; principal i no principal provenen de les categories publicades</t>
        </is>
      </c>
    </row>
    <row r="138" ht="15" customHeight="1" s="39">
      <c r="A138" s="38" t="inlineStr">
        <is>
          <t>[430332] Botarell</t>
        </is>
      </c>
      <c r="B138" s="42" t="inlineStr">
        <is>
          <t>430332</t>
        </is>
      </c>
      <c r="C138" s="38" t="inlineStr">
        <is>
          <t>Botarell</t>
        </is>
      </c>
      <c r="D138" s="38" t="n">
        <v>590</v>
      </c>
      <c r="E138" s="38" t="n">
        <v>405</v>
      </c>
      <c r="F138" s="38" t="n">
        <v>185</v>
      </c>
      <c r="H138" s="38" t="inlineStr">
        <is>
          <t>Total habitatges familiars; principal i no principal provenen de les categories publicades</t>
        </is>
      </c>
    </row>
    <row r="139" ht="15" customHeight="1" s="39">
      <c r="A139" s="38" t="inlineStr">
        <is>
          <t>[250560] Bovera</t>
        </is>
      </c>
      <c r="B139" s="42" t="inlineStr">
        <is>
          <t>250560</t>
        </is>
      </c>
      <c r="C139" s="38" t="inlineStr">
        <is>
          <t>Bovera</t>
        </is>
      </c>
      <c r="D139" s="38" t="n">
        <v>225</v>
      </c>
      <c r="E139" s="38" t="n">
        <v>111</v>
      </c>
      <c r="F139" s="38" t="n">
        <v>114</v>
      </c>
      <c r="H139" s="38" t="inlineStr">
        <is>
          <t>Total habitatges familiars; principal i no principal provenen de les categories publicades</t>
        </is>
      </c>
    </row>
    <row r="140" ht="15" customHeight="1" s="39">
      <c r="A140" s="38" t="inlineStr">
        <is>
          <t>[430347] Bràfim</t>
        </is>
      </c>
      <c r="B140" s="42" t="inlineStr">
        <is>
          <t>430347</t>
        </is>
      </c>
      <c r="C140" s="38" t="inlineStr">
        <is>
          <t>Bràfim</t>
        </is>
      </c>
      <c r="D140" s="38" t="n">
        <v>391</v>
      </c>
      <c r="E140" s="38" t="n">
        <v>259</v>
      </c>
      <c r="F140" s="38" t="n">
        <v>132</v>
      </c>
      <c r="H140" s="38" t="inlineStr">
        <is>
          <t>Total habitatges familiars; principal i no principal provenen de les categories publicades</t>
        </is>
      </c>
    </row>
    <row r="141" ht="15" customHeight="1" s="39">
      <c r="A141" s="38" t="inlineStr">
        <is>
          <t>[170274] Breda</t>
        </is>
      </c>
      <c r="B141" s="42" t="inlineStr">
        <is>
          <t>170274</t>
        </is>
      </c>
      <c r="C141" s="38" t="inlineStr">
        <is>
          <t>Breda</t>
        </is>
      </c>
      <c r="D141" s="38" t="n">
        <v>1827</v>
      </c>
      <c r="E141" s="38" t="n">
        <v>1491</v>
      </c>
      <c r="F141" s="38" t="n">
        <v>336</v>
      </c>
      <c r="H141" s="38" t="inlineStr">
        <is>
          <t>Total habitatges familiars; principal i no principal provenen de les categories publicades</t>
        </is>
      </c>
    </row>
    <row r="142" ht="15" customHeight="1" s="39">
      <c r="A142" s="38" t="inlineStr">
        <is>
          <t>[080253] Bruc, el</t>
        </is>
      </c>
      <c r="B142" s="42" t="inlineStr">
        <is>
          <t>080253</t>
        </is>
      </c>
      <c r="C142" s="38" t="inlineStr">
        <is>
          <t>Bruc, el</t>
        </is>
      </c>
      <c r="D142" s="38" t="n">
        <v>1206</v>
      </c>
      <c r="E142" s="38" t="n">
        <v>856</v>
      </c>
      <c r="F142" s="38" t="n">
        <v>350</v>
      </c>
      <c r="H142" s="38" t="inlineStr">
        <is>
          <t>Total habitatges familiars; principal i no principal provenen de les categories publicades</t>
        </is>
      </c>
    </row>
    <row r="143" ht="15" customHeight="1" s="39">
      <c r="A143" s="38" t="inlineStr">
        <is>
          <t>[080266] Brull, el</t>
        </is>
      </c>
      <c r="B143" s="42" t="inlineStr">
        <is>
          <t>080266</t>
        </is>
      </c>
      <c r="C143" s="38" t="inlineStr">
        <is>
          <t>Brull, el</t>
        </is>
      </c>
      <c r="D143" s="38" t="n">
        <v>125</v>
      </c>
      <c r="E143" s="38" t="n">
        <v>87</v>
      </c>
      <c r="F143" s="38" t="n">
        <v>38</v>
      </c>
      <c r="H143" s="38" t="inlineStr">
        <is>
          <t>Total habitatges familiars; principal i no principal provenen de les categories publicades</t>
        </is>
      </c>
    </row>
    <row r="144" ht="15" customHeight="1" s="39">
      <c r="A144" s="38" t="inlineStr">
        <is>
          <t>[170280] Brunyola i Sant Martí Sapresa</t>
        </is>
      </c>
      <c r="B144" s="42" t="inlineStr">
        <is>
          <t>170280</t>
        </is>
      </c>
      <c r="C144" s="38" t="inlineStr">
        <is>
          <t>Brunyola i Sant Martí Sapresa</t>
        </is>
      </c>
      <c r="D144" s="38" t="n">
        <v>224</v>
      </c>
      <c r="E144" s="38" t="n">
        <v>142</v>
      </c>
      <c r="F144" s="38" t="n">
        <v>82</v>
      </c>
      <c r="H144" s="38" t="inlineStr">
        <is>
          <t>Total habitatges familiars; principal i no principal provenen de les categories publicades</t>
        </is>
      </c>
    </row>
    <row r="145" ht="15" customHeight="1" s="39">
      <c r="A145" s="38" t="inlineStr">
        <is>
          <t>[430350] Cabacés</t>
        </is>
      </c>
      <c r="B145" s="42" t="inlineStr">
        <is>
          <t>430350</t>
        </is>
      </c>
      <c r="C145" s="38" t="inlineStr">
        <is>
          <t>Cabacés</t>
        </is>
      </c>
      <c r="D145" s="38" t="n">
        <v>233</v>
      </c>
      <c r="E145" s="38" t="n">
        <v>124</v>
      </c>
      <c r="F145" s="38" t="n">
        <v>109</v>
      </c>
      <c r="H145" s="38" t="inlineStr">
        <is>
          <t>Total habitatges familiars; principal i no principal provenen de les categories publicades</t>
        </is>
      </c>
    </row>
    <row r="146" ht="15" customHeight="1" s="39">
      <c r="A146" s="38" t="inlineStr">
        <is>
          <t>[250609] Cabanabona</t>
        </is>
      </c>
      <c r="B146" s="42" t="inlineStr">
        <is>
          <t>250609</t>
        </is>
      </c>
      <c r="C146" s="38" t="inlineStr">
        <is>
          <t>Cabanabona</t>
        </is>
      </c>
      <c r="D146" s="38" t="n">
        <v>69</v>
      </c>
      <c r="E146" s="38" t="n">
        <v>23</v>
      </c>
      <c r="F146" s="38" t="n">
        <v>46</v>
      </c>
      <c r="H146" s="38" t="inlineStr">
        <is>
          <t>Total habitatges familiars; principal i no principal provenen de les categories publicades</t>
        </is>
      </c>
    </row>
    <row r="147" ht="15" customHeight="1" s="39">
      <c r="A147" s="38" t="inlineStr">
        <is>
          <t>[170314] Cabanelles</t>
        </is>
      </c>
      <c r="B147" s="42" t="inlineStr">
        <is>
          <t>170314</t>
        </is>
      </c>
      <c r="C147" s="38" t="inlineStr">
        <is>
          <t>Cabanelles</t>
        </is>
      </c>
      <c r="D147" s="38" t="n">
        <v>172</v>
      </c>
      <c r="E147" s="38" t="n">
        <v>98</v>
      </c>
      <c r="F147" s="38" t="n">
        <v>74</v>
      </c>
      <c r="H147" s="38" t="inlineStr">
        <is>
          <t>Total habitatges familiars; principal i no principal provenen de les categories publicades</t>
        </is>
      </c>
    </row>
    <row r="148" ht="15" customHeight="1" s="39">
      <c r="A148" s="38" t="inlineStr">
        <is>
          <t>[170307] Cabanes</t>
        </is>
      </c>
      <c r="B148" s="42" t="inlineStr">
        <is>
          <t>170307</t>
        </is>
      </c>
      <c r="C148" s="38" t="inlineStr">
        <is>
          <t>Cabanes</t>
        </is>
      </c>
      <c r="D148" s="38" t="n">
        <v>447</v>
      </c>
      <c r="E148" s="38" t="n">
        <v>351</v>
      </c>
      <c r="F148" s="38" t="n">
        <v>96</v>
      </c>
      <c r="H148" s="38" t="inlineStr">
        <is>
          <t>Total habitatges familiars; principal i no principal provenen de les categories publicades</t>
        </is>
      </c>
    </row>
    <row r="149" ht="15" customHeight="1" s="39">
      <c r="A149" s="38" t="inlineStr">
        <is>
          <t>[080272] Cabanyes, les</t>
        </is>
      </c>
      <c r="B149" s="42" t="inlineStr">
        <is>
          <t>080272</t>
        </is>
      </c>
      <c r="C149" s="38" t="inlineStr">
        <is>
          <t>Cabanyes, les</t>
        </is>
      </c>
      <c r="D149" s="38" t="n">
        <v>375</v>
      </c>
      <c r="E149" s="38" t="n">
        <v>316</v>
      </c>
      <c r="F149" s="38" t="n">
        <v>59</v>
      </c>
      <c r="H149" s="38" t="inlineStr">
        <is>
          <t>Total habitatges familiars; principal i no principal provenen de les categories publicades</t>
        </is>
      </c>
    </row>
    <row r="150" ht="15" customHeight="1" s="39">
      <c r="A150" s="38" t="inlineStr">
        <is>
          <t>[250616] Cabó</t>
        </is>
      </c>
      <c r="B150" s="42" t="inlineStr">
        <is>
          <t>250616</t>
        </is>
      </c>
      <c r="C150" s="38" t="inlineStr">
        <is>
          <t>Cabó</t>
        </is>
      </c>
      <c r="D150" s="38" t="n">
        <v>111</v>
      </c>
      <c r="E150" s="38" t="n">
        <v>36</v>
      </c>
      <c r="F150" s="38" t="n">
        <v>75</v>
      </c>
      <c r="H150" s="38" t="inlineStr">
        <is>
          <t>Total habitatges familiars; principal i no principal provenen de les categories publicades</t>
        </is>
      </c>
    </row>
    <row r="151" ht="15" customHeight="1" s="39">
      <c r="A151" s="38" t="inlineStr">
        <is>
          <t>[430363] Cabra del Camp</t>
        </is>
      </c>
      <c r="B151" s="42" t="inlineStr">
        <is>
          <t>430363</t>
        </is>
      </c>
      <c r="C151" s="38" t="inlineStr">
        <is>
          <t>Cabra del Camp</t>
        </is>
      </c>
      <c r="D151" s="38" t="n">
        <v>966</v>
      </c>
      <c r="E151" s="38" t="n">
        <v>487</v>
      </c>
      <c r="F151" s="38" t="n">
        <v>479</v>
      </c>
      <c r="H151" s="38" t="inlineStr">
        <is>
          <t>Total habitatges familiars; principal i no principal provenen de les categories publicades</t>
        </is>
      </c>
    </row>
    <row r="152" ht="15" customHeight="1" s="39">
      <c r="A152" s="38" t="inlineStr">
        <is>
          <t>[080288] Cabrera d'Anoia</t>
        </is>
      </c>
      <c r="B152" s="42" t="inlineStr">
        <is>
          <t>080288</t>
        </is>
      </c>
      <c r="C152" s="38" t="inlineStr">
        <is>
          <t>Cabrera d'Anoia</t>
        </is>
      </c>
      <c r="D152" s="38" t="n">
        <v>1160</v>
      </c>
      <c r="E152" s="38" t="n">
        <v>632</v>
      </c>
      <c r="F152" s="38" t="n">
        <v>528</v>
      </c>
      <c r="H152" s="38" t="inlineStr">
        <is>
          <t>Total habitatges familiars; principal i no principal provenen de les categories publicades</t>
        </is>
      </c>
    </row>
    <row r="153" ht="15" customHeight="1" s="39">
      <c r="A153" s="38" t="inlineStr">
        <is>
          <t>[080291] Cabrera de Mar</t>
        </is>
      </c>
      <c r="B153" s="42" t="inlineStr">
        <is>
          <t>080291</t>
        </is>
      </c>
      <c r="C153" s="38" t="inlineStr">
        <is>
          <t>Cabrera de Mar</t>
        </is>
      </c>
      <c r="D153" s="38" t="n">
        <v>2276</v>
      </c>
      <c r="E153" s="38" t="n">
        <v>1710</v>
      </c>
      <c r="F153" s="38" t="n">
        <v>566</v>
      </c>
      <c r="H153" s="38" t="inlineStr">
        <is>
          <t>Total habitatges familiars; principal i no principal provenen de les categories publicades</t>
        </is>
      </c>
    </row>
    <row r="154" ht="15" customHeight="1" s="39">
      <c r="A154" s="38" t="inlineStr">
        <is>
          <t>[080305] Cabrils</t>
        </is>
      </c>
      <c r="B154" s="42" t="inlineStr">
        <is>
          <t>080305</t>
        </is>
      </c>
      <c r="C154" s="38" t="inlineStr">
        <is>
          <t>Cabrils</t>
        </is>
      </c>
      <c r="D154" s="38" t="n">
        <v>3470</v>
      </c>
      <c r="E154" s="38" t="n">
        <v>2541</v>
      </c>
      <c r="F154" s="38" t="n">
        <v>929</v>
      </c>
      <c r="H154" s="38" t="inlineStr">
        <is>
          <t>Total habitatges familiars; principal i no principal provenen de les categories publicades</t>
        </is>
      </c>
    </row>
    <row r="155" ht="15" customHeight="1" s="39">
      <c r="A155" s="38" t="inlineStr">
        <is>
          <t>[170329] Cadaqués</t>
        </is>
      </c>
      <c r="B155" s="42" t="inlineStr">
        <is>
          <t>170329</t>
        </is>
      </c>
      <c r="C155" s="38" t="inlineStr">
        <is>
          <t>Cadaqués</t>
        </is>
      </c>
      <c r="D155" s="38" t="n">
        <v>3598</v>
      </c>
      <c r="E155" s="38" t="n">
        <v>1155</v>
      </c>
      <c r="F155" s="38" t="n">
        <v>2443</v>
      </c>
      <c r="H155" s="38" t="inlineStr">
        <is>
          <t>Total habitatges familiars; principal i no principal provenen de les categories publicades</t>
        </is>
      </c>
    </row>
    <row r="156" ht="15" customHeight="1" s="39">
      <c r="A156" s="38" t="inlineStr">
        <is>
          <t>[080312] Calaf</t>
        </is>
      </c>
      <c r="B156" s="42" t="inlineStr">
        <is>
          <t>080312</t>
        </is>
      </c>
      <c r="C156" s="38" t="inlineStr">
        <is>
          <t>Calaf</t>
        </is>
      </c>
      <c r="D156" s="38" t="n">
        <v>1907</v>
      </c>
      <c r="E156" s="38" t="n">
        <v>1376</v>
      </c>
      <c r="F156" s="38" t="n">
        <v>531</v>
      </c>
      <c r="H156" s="38" t="inlineStr">
        <is>
          <t>Total habitatges familiars; principal i no principal provenen de les categories publicades</t>
        </is>
      </c>
    </row>
    <row r="157" ht="15" customHeight="1" s="39">
      <c r="A157" s="38" t="inlineStr">
        <is>
          <t>[430379] Calafell</t>
        </is>
      </c>
      <c r="B157" s="42" t="inlineStr">
        <is>
          <t>430379</t>
        </is>
      </c>
      <c r="C157" s="38" t="inlineStr">
        <is>
          <t>Calafell</t>
        </is>
      </c>
      <c r="D157" s="38" t="n">
        <v>27112</v>
      </c>
      <c r="E157" s="38" t="n">
        <v>11820</v>
      </c>
      <c r="F157" s="38" t="n">
        <v>15292</v>
      </c>
      <c r="H157" s="38" t="inlineStr">
        <is>
          <t>Total habitatges familiars; principal i no principal provenen de les categories publicades</t>
        </is>
      </c>
    </row>
    <row r="158" ht="15" customHeight="1" s="39">
      <c r="A158" s="38" t="inlineStr">
        <is>
          <t>[080348] Calders</t>
        </is>
      </c>
      <c r="B158" s="42" t="inlineStr">
        <is>
          <t>080348</t>
        </is>
      </c>
      <c r="C158" s="38" t="inlineStr">
        <is>
          <t>Calders</t>
        </is>
      </c>
      <c r="D158" s="38" t="n">
        <v>583</v>
      </c>
      <c r="E158" s="38" t="n">
        <v>392</v>
      </c>
      <c r="F158" s="38" t="n">
        <v>191</v>
      </c>
      <c r="H158" s="38" t="inlineStr">
        <is>
          <t>Total habitatges familiars; principal i no principal provenen de les categories publicades</t>
        </is>
      </c>
    </row>
    <row r="159" ht="15" customHeight="1" s="39">
      <c r="A159" s="38" t="inlineStr">
        <is>
          <t>[080327] Caldes d'Estrac</t>
        </is>
      </c>
      <c r="B159" s="42" t="inlineStr">
        <is>
          <t>080327</t>
        </is>
      </c>
      <c r="C159" s="38" t="inlineStr">
        <is>
          <t>Caldes d'Estrac</t>
        </is>
      </c>
      <c r="D159" s="38" t="n">
        <v>1879</v>
      </c>
      <c r="E159" s="38" t="n">
        <v>1231</v>
      </c>
      <c r="F159" s="38" t="n">
        <v>648</v>
      </c>
      <c r="H159" s="38" t="inlineStr">
        <is>
          <t>Total habitatges familiars; principal i no principal provenen de les categories publicades</t>
        </is>
      </c>
    </row>
    <row r="160" ht="15" customHeight="1" s="39">
      <c r="A160" s="38" t="inlineStr">
        <is>
          <t>[170335] Caldes de Malavella</t>
        </is>
      </c>
      <c r="B160" s="42" t="inlineStr">
        <is>
          <t>170335</t>
        </is>
      </c>
      <c r="C160" s="38" t="inlineStr">
        <is>
          <t>Caldes de Malavella</t>
        </is>
      </c>
      <c r="D160" s="38" t="n">
        <v>4175</v>
      </c>
      <c r="E160" s="38" t="n">
        <v>2877</v>
      </c>
      <c r="F160" s="38" t="n">
        <v>1298</v>
      </c>
      <c r="H160" s="38" t="inlineStr">
        <is>
          <t>Total habitatges familiars; principal i no principal provenen de les categories publicades</t>
        </is>
      </c>
    </row>
    <row r="161" ht="15" customHeight="1" s="39">
      <c r="A161" s="38" t="inlineStr">
        <is>
          <t>[080333] Caldes de Montbui</t>
        </is>
      </c>
      <c r="B161" s="42" t="inlineStr">
        <is>
          <t>080333</t>
        </is>
      </c>
      <c r="C161" s="38" t="inlineStr">
        <is>
          <t>Caldes de Montbui</t>
        </is>
      </c>
      <c r="D161" s="38" t="n">
        <v>7708</v>
      </c>
      <c r="E161" s="38" t="n">
        <v>6603</v>
      </c>
      <c r="F161" s="38" t="n">
        <v>1105</v>
      </c>
      <c r="H161" s="38" t="inlineStr">
        <is>
          <t>Total habitatges familiars; principal i no principal provenen de les categories publicades</t>
        </is>
      </c>
    </row>
    <row r="162" ht="15" customHeight="1" s="39">
      <c r="A162" s="38" t="inlineStr">
        <is>
          <t>[080351] Calella</t>
        </is>
      </c>
      <c r="B162" s="42" t="inlineStr">
        <is>
          <t>080351</t>
        </is>
      </c>
      <c r="C162" s="38" t="inlineStr">
        <is>
          <t>Calella</t>
        </is>
      </c>
      <c r="D162" s="38" t="n">
        <v>10657</v>
      </c>
      <c r="E162" s="38" t="n">
        <v>7673</v>
      </c>
      <c r="F162" s="38" t="n">
        <v>2984</v>
      </c>
      <c r="H162" s="38" t="inlineStr">
        <is>
          <t>Total habitatges familiars; principal i no principal provenen de les categories publicades</t>
        </is>
      </c>
    </row>
    <row r="163" ht="15" customHeight="1" s="39">
      <c r="A163" s="38" t="inlineStr">
        <is>
          <t>[080370] Calldetenes</t>
        </is>
      </c>
      <c r="B163" s="42" t="inlineStr">
        <is>
          <t>080370</t>
        </is>
      </c>
      <c r="C163" s="38" t="inlineStr">
        <is>
          <t>Calldetenes</t>
        </is>
      </c>
      <c r="D163" s="38" t="n">
        <v>1025</v>
      </c>
      <c r="E163" s="38" t="n">
        <v>899</v>
      </c>
      <c r="F163" s="38" t="n">
        <v>126</v>
      </c>
      <c r="H163" s="38" t="inlineStr">
        <is>
          <t>Total habitatges familiars; principal i no principal provenen de les categories publicades</t>
        </is>
      </c>
    </row>
    <row r="164" ht="15" customHeight="1" s="39">
      <c r="A164" s="38" t="inlineStr">
        <is>
          <t>[080386] Callús</t>
        </is>
      </c>
      <c r="B164" s="42" t="inlineStr">
        <is>
          <t>080386</t>
        </is>
      </c>
      <c r="C164" s="38" t="inlineStr">
        <is>
          <t>Callús</t>
        </is>
      </c>
      <c r="D164" s="38" t="n">
        <v>1011</v>
      </c>
      <c r="E164" s="38" t="n">
        <v>835</v>
      </c>
      <c r="F164" s="38" t="n">
        <v>176</v>
      </c>
      <c r="H164" s="38" t="inlineStr">
        <is>
          <t>Total habitatges familiars; principal i no principal provenen de les categories publicades</t>
        </is>
      </c>
    </row>
    <row r="165" ht="15" customHeight="1" s="39">
      <c r="A165" s="38" t="inlineStr">
        <is>
          <t>[080364] Calonge de Segarra</t>
        </is>
      </c>
      <c r="B165" s="42" t="inlineStr">
        <is>
          <t>080364</t>
        </is>
      </c>
      <c r="C165" s="38" t="inlineStr">
        <is>
          <t>Calonge de Segarra</t>
        </is>
      </c>
      <c r="D165" s="38" t="n">
        <v>122</v>
      </c>
      <c r="E165" s="38" t="n">
        <v>62</v>
      </c>
      <c r="F165" s="38" t="n">
        <v>60</v>
      </c>
      <c r="H165" s="38" t="inlineStr">
        <is>
          <t>Total habitatges familiars; principal i no principal provenen de les categories publicades</t>
        </is>
      </c>
    </row>
    <row r="166" ht="15" customHeight="1" s="39">
      <c r="A166" s="38" t="inlineStr">
        <is>
          <t>[170340] Calonge i Sant Antoni</t>
        </is>
      </c>
      <c r="B166" s="42" t="inlineStr">
        <is>
          <t>170340</t>
        </is>
      </c>
      <c r="C166" s="38" t="inlineStr">
        <is>
          <t>Calonge i Sant Antoni</t>
        </is>
      </c>
      <c r="D166" s="38" t="n">
        <v>14112</v>
      </c>
      <c r="E166" s="38" t="n">
        <v>4770</v>
      </c>
      <c r="F166" s="38" t="n">
        <v>9342</v>
      </c>
      <c r="H166" s="38" t="inlineStr">
        <is>
          <t>Total habitatges familiars; principal i no principal provenen de les categories publicades</t>
        </is>
      </c>
    </row>
    <row r="167" ht="15" customHeight="1" s="39">
      <c r="A167" s="38" t="inlineStr">
        <is>
          <t>[250621] Camarasa</t>
        </is>
      </c>
      <c r="B167" s="42" t="inlineStr">
        <is>
          <t>250621</t>
        </is>
      </c>
      <c r="C167" s="38" t="inlineStr">
        <is>
          <t>Camarasa</t>
        </is>
      </c>
      <c r="D167" s="38" t="n">
        <v>806</v>
      </c>
      <c r="E167" s="38" t="n">
        <v>348</v>
      </c>
      <c r="F167" s="38" t="n">
        <v>458</v>
      </c>
      <c r="H167" s="38" t="inlineStr">
        <is>
          <t>Total habitatges familiars; principal i no principal provenen de les categories publicades</t>
        </is>
      </c>
    </row>
    <row r="168" ht="15" customHeight="1" s="39">
      <c r="A168" s="38" t="inlineStr">
        <is>
          <t>[439039] Camarles</t>
        </is>
      </c>
      <c r="B168" s="42" t="inlineStr">
        <is>
          <t>439039</t>
        </is>
      </c>
      <c r="C168" s="38" t="inlineStr">
        <is>
          <t>Camarles</t>
        </is>
      </c>
      <c r="D168" s="38" t="n">
        <v>2027</v>
      </c>
      <c r="E168" s="38" t="n">
        <v>1281</v>
      </c>
      <c r="F168" s="38" t="n">
        <v>746</v>
      </c>
      <c r="H168" s="38" t="inlineStr">
        <is>
          <t>Total habitatges familiars; principal i no principal provenen de les categories publicades</t>
        </is>
      </c>
    </row>
    <row r="169" ht="15" customHeight="1" s="39">
      <c r="A169" s="38" t="inlineStr">
        <is>
          <t>[430385] Cambrils</t>
        </is>
      </c>
      <c r="B169" s="42" t="inlineStr">
        <is>
          <t>430385</t>
        </is>
      </c>
      <c r="C169" s="38" t="inlineStr">
        <is>
          <t>Cambrils</t>
        </is>
      </c>
      <c r="D169" s="38" t="n">
        <v>31733</v>
      </c>
      <c r="E169" s="38" t="n">
        <v>14146</v>
      </c>
      <c r="F169" s="38" t="n">
        <v>17587</v>
      </c>
      <c r="H169" s="38" t="inlineStr">
        <is>
          <t>Total habitatges familiars; principal i no principal provenen de les categories publicades</t>
        </is>
      </c>
    </row>
    <row r="170" ht="15" customHeight="1" s="39">
      <c r="A170" s="38" t="inlineStr">
        <is>
          <t>[170353] Camós</t>
        </is>
      </c>
      <c r="B170" s="42" t="inlineStr">
        <is>
          <t>170353</t>
        </is>
      </c>
      <c r="C170" s="38" t="inlineStr">
        <is>
          <t>Camós</t>
        </is>
      </c>
      <c r="D170" s="38" t="n">
        <v>329</v>
      </c>
      <c r="E170" s="38" t="n">
        <v>240</v>
      </c>
      <c r="F170" s="38" t="n">
        <v>89</v>
      </c>
      <c r="H170" s="38" t="inlineStr">
        <is>
          <t>Total habitatges familiars; principal i no principal provenen de les categories publicades</t>
        </is>
      </c>
    </row>
    <row r="171" ht="15" customHeight="1" s="39">
      <c r="A171" s="38" t="inlineStr">
        <is>
          <t>[170366] Campdevànol</t>
        </is>
      </c>
      <c r="B171" s="42" t="inlineStr">
        <is>
          <t>170366</t>
        </is>
      </c>
      <c r="C171" s="38" t="inlineStr">
        <is>
          <t>Campdevànol</t>
        </is>
      </c>
      <c r="D171" s="38" t="n">
        <v>1632</v>
      </c>
      <c r="E171" s="38" t="n">
        <v>1311</v>
      </c>
      <c r="F171" s="38" t="n">
        <v>321</v>
      </c>
      <c r="H171" s="38" t="inlineStr">
        <is>
          <t>Total habitatges familiars; principal i no principal provenen de les categories publicades</t>
        </is>
      </c>
    </row>
    <row r="172" ht="15" customHeight="1" s="39">
      <c r="A172" s="38" t="inlineStr">
        <is>
          <t>[170372] Campelles</t>
        </is>
      </c>
      <c r="B172" s="42" t="inlineStr">
        <is>
          <t>170372</t>
        </is>
      </c>
      <c r="C172" s="38" t="inlineStr">
        <is>
          <t>Campelles</t>
        </is>
      </c>
      <c r="D172" s="38" t="n">
        <v>182</v>
      </c>
      <c r="E172" s="38" t="n">
        <v>71</v>
      </c>
      <c r="F172" s="38" t="n">
        <v>111</v>
      </c>
      <c r="H172" s="38" t="inlineStr">
        <is>
          <t>Total habitatges familiars; principal i no principal provenen de les categories publicades</t>
        </is>
      </c>
    </row>
    <row r="173" ht="15" customHeight="1" s="39">
      <c r="A173" s="38" t="inlineStr">
        <is>
          <t>[080399] Campins</t>
        </is>
      </c>
      <c r="B173" s="42" t="inlineStr">
        <is>
          <t>080399</t>
        </is>
      </c>
      <c r="C173" s="38" t="inlineStr">
        <is>
          <t>Campins</t>
        </is>
      </c>
      <c r="D173" s="38" t="n">
        <v>305</v>
      </c>
      <c r="E173" s="38" t="n">
        <v>218</v>
      </c>
      <c r="F173" s="38" t="n">
        <v>87</v>
      </c>
      <c r="H173" s="38" t="inlineStr">
        <is>
          <t>Total habitatges familiars; principal i no principal provenen de les categories publicades</t>
        </is>
      </c>
    </row>
    <row r="174" ht="15" customHeight="1" s="39">
      <c r="A174" s="38" t="inlineStr">
        <is>
          <t>[170388] Campllong</t>
        </is>
      </c>
      <c r="B174" s="42" t="inlineStr">
        <is>
          <t>170388</t>
        </is>
      </c>
      <c r="C174" s="38" t="inlineStr">
        <is>
          <t>Campllong</t>
        </is>
      </c>
      <c r="D174" s="38" t="n">
        <v>196</v>
      </c>
      <c r="E174" s="38" t="n">
        <v>167</v>
      </c>
      <c r="F174" s="38" t="n">
        <v>29</v>
      </c>
      <c r="H174" s="38" t="inlineStr">
        <is>
          <t>Total habitatges familiars; principal i no principal provenen de les categories publicades</t>
        </is>
      </c>
    </row>
    <row r="175" ht="15" customHeight="1" s="39">
      <c r="A175" s="38" t="inlineStr">
        <is>
          <t>[170391] Camprodon</t>
        </is>
      </c>
      <c r="B175" s="42" t="inlineStr">
        <is>
          <t>170391</t>
        </is>
      </c>
      <c r="C175" s="38" t="inlineStr">
        <is>
          <t>Camprodon</t>
        </is>
      </c>
      <c r="D175" s="38" t="n">
        <v>2713</v>
      </c>
      <c r="E175" s="38" t="n">
        <v>1034</v>
      </c>
      <c r="F175" s="38" t="n">
        <v>1679</v>
      </c>
      <c r="H175" s="38" t="inlineStr">
        <is>
          <t>Total habitatges familiars; principal i no principal provenen de les categories publicades</t>
        </is>
      </c>
    </row>
    <row r="176" ht="15" customHeight="1" s="39">
      <c r="A176" s="38" t="inlineStr">
        <is>
          <t>[250637] Canejan</t>
        </is>
      </c>
      <c r="B176" s="42" t="inlineStr">
        <is>
          <t>250637</t>
        </is>
      </c>
      <c r="C176" s="38" t="inlineStr">
        <is>
          <t>Canejan</t>
        </is>
      </c>
      <c r="D176" s="38" t="n">
        <v>102</v>
      </c>
      <c r="E176" s="38" t="n">
        <v>45</v>
      </c>
      <c r="F176" s="38" t="n">
        <v>57</v>
      </c>
      <c r="H176" s="38" t="inlineStr">
        <is>
          <t>Total habitatges familiars; principal i no principal provenen de les categories publicades</t>
        </is>
      </c>
    </row>
    <row r="177" ht="15" customHeight="1" s="39">
      <c r="A177" s="38" t="inlineStr">
        <is>
          <t>[170405] Canet d'Adri</t>
        </is>
      </c>
      <c r="B177" s="42" t="inlineStr">
        <is>
          <t>170405</t>
        </is>
      </c>
      <c r="C177" s="38" t="inlineStr">
        <is>
          <t>Canet d'Adri</t>
        </is>
      </c>
      <c r="D177" s="38" t="n">
        <v>371</v>
      </c>
      <c r="E177" s="38" t="n">
        <v>264</v>
      </c>
      <c r="F177" s="38" t="n">
        <v>107</v>
      </c>
      <c r="H177" s="38" t="inlineStr">
        <is>
          <t>Total habitatges familiars; principal i no principal provenen de les categories publicades</t>
        </is>
      </c>
    </row>
    <row r="178" ht="15" customHeight="1" s="39">
      <c r="A178" s="38" t="inlineStr">
        <is>
          <t>[080403] Canet de Mar</t>
        </is>
      </c>
      <c r="B178" s="42" t="inlineStr">
        <is>
          <t>080403</t>
        </is>
      </c>
      <c r="C178" s="38" t="inlineStr">
        <is>
          <t>Canet de Mar</t>
        </is>
      </c>
      <c r="D178" s="38" t="n">
        <v>7568</v>
      </c>
      <c r="E178" s="38" t="n">
        <v>5742</v>
      </c>
      <c r="F178" s="38" t="n">
        <v>1826</v>
      </c>
      <c r="H178" s="38" t="inlineStr">
        <is>
          <t>Total habitatges familiars; principal i no principal provenen de les categories publicades</t>
        </is>
      </c>
    </row>
    <row r="179" ht="15" customHeight="1" s="39">
      <c r="A179" s="38" t="inlineStr">
        <is>
          <t>[439076] Canonja, la</t>
        </is>
      </c>
      <c r="B179" s="42" t="inlineStr">
        <is>
          <t>439076</t>
        </is>
      </c>
      <c r="C179" s="38" t="inlineStr">
        <is>
          <t>Canonja, la</t>
        </is>
      </c>
      <c r="D179" s="38" t="n">
        <v>2673</v>
      </c>
      <c r="E179" s="38" t="n">
        <v>2167</v>
      </c>
      <c r="F179" s="38" t="n">
        <v>506</v>
      </c>
      <c r="H179" s="38" t="inlineStr">
        <is>
          <t>Total habitatges familiars; principal i no principal provenen de les categories publicades</t>
        </is>
      </c>
    </row>
    <row r="180" ht="15" customHeight="1" s="39">
      <c r="A180" s="38" t="inlineStr">
        <is>
          <t>[080410] Canovelles</t>
        </is>
      </c>
      <c r="B180" s="42" t="inlineStr">
        <is>
          <t>080410</t>
        </is>
      </c>
      <c r="C180" s="38" t="inlineStr">
        <is>
          <t>Canovelles</t>
        </is>
      </c>
      <c r="D180" s="38" t="n">
        <v>6183</v>
      </c>
      <c r="E180" s="38" t="n">
        <v>5734</v>
      </c>
      <c r="F180" s="38" t="n">
        <v>449</v>
      </c>
      <c r="H180" s="38" t="inlineStr">
        <is>
          <t>Total habitatges familiars; principal i no principal provenen de les categories publicades</t>
        </is>
      </c>
    </row>
    <row r="181" ht="15" customHeight="1" s="39">
      <c r="A181" s="38" t="inlineStr">
        <is>
          <t>[080425] Cànoves i Samalús</t>
        </is>
      </c>
      <c r="B181" s="42" t="inlineStr">
        <is>
          <t>080425</t>
        </is>
      </c>
      <c r="C181" s="38" t="inlineStr">
        <is>
          <t>Cànoves i Samalús</t>
        </is>
      </c>
      <c r="D181" s="38" t="n">
        <v>1462</v>
      </c>
      <c r="E181" s="38" t="n">
        <v>1139</v>
      </c>
      <c r="F181" s="38" t="n">
        <v>323</v>
      </c>
      <c r="H181" s="38" t="inlineStr">
        <is>
          <t>Total habitatges familiars; principal i no principal provenen de les categories publicades</t>
        </is>
      </c>
    </row>
    <row r="182" ht="15" customHeight="1" s="39">
      <c r="A182" s="38" t="inlineStr">
        <is>
          <t>[170412] Cantallops</t>
        </is>
      </c>
      <c r="B182" s="42" t="inlineStr">
        <is>
          <t>170412</t>
        </is>
      </c>
      <c r="C182" s="38" t="inlineStr">
        <is>
          <t>Cantallops</t>
        </is>
      </c>
      <c r="D182" s="38" t="n">
        <v>230</v>
      </c>
      <c r="E182" s="38" t="n">
        <v>123</v>
      </c>
      <c r="F182" s="38" t="n">
        <v>107</v>
      </c>
      <c r="H182" s="38" t="inlineStr">
        <is>
          <t>Total habitatges familiars; principal i no principal provenen de les categories publicades</t>
        </is>
      </c>
    </row>
    <row r="183" ht="15" customHeight="1" s="39">
      <c r="A183" s="38" t="inlineStr">
        <is>
          <t>[080431] Canyelles</t>
        </is>
      </c>
      <c r="B183" s="42" t="inlineStr">
        <is>
          <t>080431</t>
        </is>
      </c>
      <c r="C183" s="38" t="inlineStr">
        <is>
          <t>Canyelles</t>
        </is>
      </c>
      <c r="D183" s="38" t="n">
        <v>2819</v>
      </c>
      <c r="E183" s="38" t="n">
        <v>1829</v>
      </c>
      <c r="F183" s="38" t="n">
        <v>990</v>
      </c>
      <c r="H183" s="38" t="inlineStr">
        <is>
          <t>Total habitatges familiars; principal i no principal provenen de les categories publicades</t>
        </is>
      </c>
    </row>
    <row r="184" ht="15" customHeight="1" s="39">
      <c r="A184" s="38" t="inlineStr">
        <is>
          <t>[430398] Capafonts</t>
        </is>
      </c>
      <c r="B184" s="42" t="inlineStr">
        <is>
          <t>430398</t>
        </is>
      </c>
      <c r="C184" s="38" t="inlineStr">
        <is>
          <t>Capafonts</t>
        </is>
      </c>
      <c r="D184" s="38" t="n">
        <v>180</v>
      </c>
      <c r="E184" s="38" t="n">
        <v>65</v>
      </c>
      <c r="F184" s="38" t="n">
        <v>115</v>
      </c>
      <c r="H184" s="38" t="inlineStr">
        <is>
          <t>Total habitatges familiars; principal i no principal provenen de les categories publicades</t>
        </is>
      </c>
    </row>
    <row r="185" ht="15" customHeight="1" s="39">
      <c r="A185" s="38" t="inlineStr">
        <is>
          <t>[430402] Capçanes</t>
        </is>
      </c>
      <c r="B185" s="42" t="inlineStr">
        <is>
          <t>430402</t>
        </is>
      </c>
      <c r="C185" s="38" t="inlineStr">
        <is>
          <t>Capçanes</t>
        </is>
      </c>
      <c r="D185" s="38" t="n">
        <v>296</v>
      </c>
      <c r="E185" s="38" t="n">
        <v>154</v>
      </c>
      <c r="F185" s="38" t="n">
        <v>142</v>
      </c>
      <c r="H185" s="38" t="inlineStr">
        <is>
          <t>Total habitatges familiars; principal i no principal provenen de les categories publicades</t>
        </is>
      </c>
    </row>
    <row r="186" ht="15" customHeight="1" s="39">
      <c r="A186" s="38" t="inlineStr">
        <is>
          <t>[080446] Capellades</t>
        </is>
      </c>
      <c r="B186" s="42" t="inlineStr">
        <is>
          <t>080446</t>
        </is>
      </c>
      <c r="C186" s="38" t="inlineStr">
        <is>
          <t>Capellades</t>
        </is>
      </c>
      <c r="D186" s="38" t="n">
        <v>2773</v>
      </c>
      <c r="E186" s="38" t="n">
        <v>2083</v>
      </c>
      <c r="F186" s="38" t="n">
        <v>690</v>
      </c>
      <c r="H186" s="38" t="inlineStr">
        <is>
          <t>Total habitatges familiars; principal i no principal provenen de les categories publicades</t>
        </is>
      </c>
    </row>
    <row r="187" ht="15" customHeight="1" s="39">
      <c r="A187" s="38" t="inlineStr">
        <is>
          <t>[170427] Capmany</t>
        </is>
      </c>
      <c r="B187" s="42" t="inlineStr">
        <is>
          <t>170427</t>
        </is>
      </c>
      <c r="C187" s="38" t="inlineStr">
        <is>
          <t>Capmany</t>
        </is>
      </c>
      <c r="D187" s="38" t="n">
        <v>377</v>
      </c>
      <c r="E187" s="38" t="n">
        <v>237</v>
      </c>
      <c r="F187" s="38" t="n">
        <v>140</v>
      </c>
      <c r="H187" s="38" t="inlineStr">
        <is>
          <t>Total habitatges familiars; principal i no principal provenen de les categories publicades</t>
        </is>
      </c>
    </row>
    <row r="188" ht="15" customHeight="1" s="39">
      <c r="A188" s="38" t="inlineStr">
        <is>
          <t>[080459] Capolat</t>
        </is>
      </c>
      <c r="B188" s="42" t="inlineStr">
        <is>
          <t>080459</t>
        </is>
      </c>
      <c r="C188" s="38" t="inlineStr">
        <is>
          <t>Capolat</t>
        </is>
      </c>
      <c r="D188" s="38" t="n">
        <v>60</v>
      </c>
      <c r="E188" s="38" t="n">
        <v>34</v>
      </c>
      <c r="F188" s="38" t="n">
        <v>26</v>
      </c>
      <c r="H188" s="38" t="inlineStr">
        <is>
          <t>Total habitatges familiars; principal i no principal provenen de les categories publicades</t>
        </is>
      </c>
    </row>
    <row r="189" ht="15" customHeight="1" s="39">
      <c r="A189" s="38" t="inlineStr">
        <is>
          <t>[080462] Cardedeu</t>
        </is>
      </c>
      <c r="B189" s="42" t="inlineStr">
        <is>
          <t>080462</t>
        </is>
      </c>
      <c r="C189" s="38" t="inlineStr">
        <is>
          <t>Cardedeu</t>
        </is>
      </c>
      <c r="D189" s="38" t="n">
        <v>7654</v>
      </c>
      <c r="E189" s="38" t="n">
        <v>6819</v>
      </c>
      <c r="F189" s="38" t="n">
        <v>835</v>
      </c>
      <c r="H189" s="38" t="inlineStr">
        <is>
          <t>Total habitatges familiars; principal i no principal provenen de les categories publicades</t>
        </is>
      </c>
    </row>
    <row r="190" ht="15" customHeight="1" s="39">
      <c r="A190" s="38" t="inlineStr">
        <is>
          <t>[080478] Cardona</t>
        </is>
      </c>
      <c r="B190" s="42" t="inlineStr">
        <is>
          <t>080478</t>
        </is>
      </c>
      <c r="C190" s="38" t="inlineStr">
        <is>
          <t>Cardona</t>
        </is>
      </c>
      <c r="D190" s="38" t="n">
        <v>2908</v>
      </c>
      <c r="E190" s="38" t="n">
        <v>1826</v>
      </c>
      <c r="F190" s="38" t="n">
        <v>1082</v>
      </c>
      <c r="H190" s="38" t="inlineStr">
        <is>
          <t>Total habitatges familiars; principal i no principal provenen de les categories publicades</t>
        </is>
      </c>
    </row>
    <row r="191" ht="15" customHeight="1" s="39">
      <c r="A191" s="38" t="inlineStr">
        <is>
          <t>[080484] Carme</t>
        </is>
      </c>
      <c r="B191" s="42" t="inlineStr">
        <is>
          <t>080484</t>
        </is>
      </c>
      <c r="C191" s="38" t="inlineStr">
        <is>
          <t>Carme</t>
        </is>
      </c>
      <c r="D191" s="38" t="n">
        <v>502</v>
      </c>
      <c r="E191" s="38" t="n">
        <v>300</v>
      </c>
      <c r="F191" s="38" t="n">
        <v>202</v>
      </c>
      <c r="H191" s="38" t="inlineStr">
        <is>
          <t>Total habitatges familiars; principal i no principal provenen de les categories publicades</t>
        </is>
      </c>
    </row>
    <row r="192" ht="15" customHeight="1" s="39">
      <c r="A192" s="38" t="inlineStr">
        <is>
          <t>[430419] Caseres</t>
        </is>
      </c>
      <c r="B192" s="42" t="inlineStr">
        <is>
          <t>430419</t>
        </is>
      </c>
      <c r="C192" s="38" t="inlineStr">
        <is>
          <t>Caseres</t>
        </is>
      </c>
      <c r="D192" s="38" t="n">
        <v>215</v>
      </c>
      <c r="E192" s="38" t="n">
        <v>92</v>
      </c>
      <c r="F192" s="38" t="n">
        <v>123</v>
      </c>
      <c r="H192" s="38" t="inlineStr">
        <is>
          <t>Total habitatges familiars; principal i no principal provenen de les categories publicades</t>
        </is>
      </c>
    </row>
    <row r="193" ht="15" customHeight="1" s="39">
      <c r="A193" s="38" t="inlineStr">
        <is>
          <t>[170448] Cassà de la Selva</t>
        </is>
      </c>
      <c r="B193" s="42" t="inlineStr">
        <is>
          <t>170448</t>
        </is>
      </c>
      <c r="C193" s="38" t="inlineStr">
        <is>
          <t>Cassà de la Selva</t>
        </is>
      </c>
      <c r="D193" s="38" t="n">
        <v>4709</v>
      </c>
      <c r="E193" s="38" t="n">
        <v>3802</v>
      </c>
      <c r="F193" s="38" t="n">
        <v>907</v>
      </c>
      <c r="H193" s="38" t="inlineStr">
        <is>
          <t>Total habitatges familiars; principal i no principal provenen de les categories publicades</t>
        </is>
      </c>
    </row>
    <row r="194" ht="15" customHeight="1" s="39">
      <c r="A194" s="38" t="inlineStr">
        <is>
          <t>[080497] Casserres</t>
        </is>
      </c>
      <c r="B194" s="42" t="inlineStr">
        <is>
          <t>080497</t>
        </is>
      </c>
      <c r="C194" s="38" t="inlineStr">
        <is>
          <t>Casserres</t>
        </is>
      </c>
      <c r="D194" s="38" t="n">
        <v>996</v>
      </c>
      <c r="E194" s="38" t="n">
        <v>646</v>
      </c>
      <c r="F194" s="38" t="n">
        <v>350</v>
      </c>
      <c r="H194" s="38" t="inlineStr">
        <is>
          <t>Total habitatges familiars; principal i no principal provenen de les categories publicades</t>
        </is>
      </c>
    </row>
    <row r="195" ht="15" customHeight="1" s="39">
      <c r="A195" s="38" t="inlineStr">
        <is>
          <t>[170486] Castell d'Aro, Platja d'Aro i s'Agaró</t>
        </is>
      </c>
      <c r="B195" s="42" t="inlineStr">
        <is>
          <t>170486</t>
        </is>
      </c>
      <c r="C195" s="38" t="inlineStr">
        <is>
          <t>Castell d'Aro, Platja d'Aro i s'Agaró</t>
        </is>
      </c>
      <c r="D195" s="38" t="n">
        <v>15712</v>
      </c>
      <c r="E195" s="38" t="n">
        <v>4905</v>
      </c>
      <c r="F195" s="38" t="n">
        <v>10807</v>
      </c>
      <c r="H195" s="38" t="inlineStr">
        <is>
          <t>Total habitatges familiars; principal i no principal provenen de les categories publicades</t>
        </is>
      </c>
    </row>
    <row r="196" ht="15" customHeight="1" s="39">
      <c r="A196" s="38" t="inlineStr">
        <is>
          <t>[080575] Castell de l'Areny</t>
        </is>
      </c>
      <c r="B196" s="42" t="inlineStr">
        <is>
          <t>080575</t>
        </is>
      </c>
      <c r="C196" s="38" t="inlineStr">
        <is>
          <t>Castell de l'Areny</t>
        </is>
      </c>
      <c r="D196" s="38" t="n">
        <v>66</v>
      </c>
      <c r="E196" s="38" t="n">
        <v>31</v>
      </c>
      <c r="F196" s="38" t="n">
        <v>35</v>
      </c>
      <c r="H196" s="38" t="inlineStr">
        <is>
          <t>Total habitatges familiars; principal i no principal provenen de les categories publicades</t>
        </is>
      </c>
    </row>
    <row r="197" ht="15" customHeight="1" s="39">
      <c r="A197" s="38" t="inlineStr">
        <is>
          <t>[259046] Castell de Mur</t>
        </is>
      </c>
      <c r="B197" s="42" t="inlineStr">
        <is>
          <t>259046</t>
        </is>
      </c>
      <c r="C197" s="38" t="inlineStr">
        <is>
          <t>Castell de Mur</t>
        </is>
      </c>
      <c r="D197" s="38" t="n">
        <v>172</v>
      </c>
      <c r="E197" s="38" t="n">
        <v>84</v>
      </c>
      <c r="F197" s="38" t="n">
        <v>88</v>
      </c>
      <c r="H197" s="38" t="inlineStr">
        <is>
          <t>Total habitatges familiars; principal i no principal provenen de les categories publicades</t>
        </is>
      </c>
    </row>
    <row r="198" ht="15" customHeight="1" s="39">
      <c r="A198" s="38" t="inlineStr">
        <is>
          <t>[250642] Castellar de la Ribera</t>
        </is>
      </c>
      <c r="B198" s="42" t="inlineStr">
        <is>
          <t>250642</t>
        </is>
      </c>
      <c r="C198" s="38" t="inlineStr">
        <is>
          <t>Castellar de la Ribera</t>
        </is>
      </c>
      <c r="D198" s="38" t="n">
        <v>73</v>
      </c>
      <c r="E198" s="38" t="n">
        <v>40</v>
      </c>
      <c r="F198" s="38" t="n">
        <v>33</v>
      </c>
      <c r="H198" s="38" t="inlineStr">
        <is>
          <t>Total habitatges familiars; principal i no principal provenen de les categories publicades</t>
        </is>
      </c>
    </row>
    <row r="199" ht="15" customHeight="1" s="39">
      <c r="A199" s="38" t="inlineStr">
        <is>
          <t>[080522] Castellar de n'Hug</t>
        </is>
      </c>
      <c r="B199" s="42" t="inlineStr">
        <is>
          <t>080522</t>
        </is>
      </c>
      <c r="C199" s="38" t="inlineStr">
        <is>
          <t>Castellar de n'Hug</t>
        </is>
      </c>
      <c r="D199" s="38" t="n">
        <v>276</v>
      </c>
      <c r="E199" s="38" t="n">
        <v>71</v>
      </c>
      <c r="F199" s="38" t="n">
        <v>205</v>
      </c>
      <c r="H199" s="38" t="inlineStr">
        <is>
          <t>Total habitatges familiars; principal i no principal provenen de les categories publicades</t>
        </is>
      </c>
    </row>
    <row r="200" ht="15" customHeight="1" s="39">
      <c r="A200" s="38" t="inlineStr">
        <is>
          <t>[080500] Castellar del Riu</t>
        </is>
      </c>
      <c r="B200" s="42" t="inlineStr">
        <is>
          <t>080500</t>
        </is>
      </c>
      <c r="C200" s="38" t="inlineStr">
        <is>
          <t>Castellar del Riu</t>
        </is>
      </c>
      <c r="D200" s="38" t="n">
        <v>115</v>
      </c>
      <c r="E200" s="38" t="n">
        <v>63</v>
      </c>
      <c r="F200" s="38" t="n">
        <v>52</v>
      </c>
      <c r="H200" s="38" t="inlineStr">
        <is>
          <t>Total habitatges familiars; principal i no principal provenen de les categories publicades</t>
        </is>
      </c>
    </row>
    <row r="201" ht="15" customHeight="1" s="39">
      <c r="A201" s="38" t="inlineStr">
        <is>
          <t>[080517] Castellar del Vallès</t>
        </is>
      </c>
      <c r="B201" s="42" t="inlineStr">
        <is>
          <t>080517</t>
        </is>
      </c>
      <c r="C201" s="38" t="inlineStr">
        <is>
          <t>Castellar del Vallès</t>
        </is>
      </c>
      <c r="D201" s="38" t="n">
        <v>10052</v>
      </c>
      <c r="E201" s="38" t="n">
        <v>8948</v>
      </c>
      <c r="F201" s="38" t="n">
        <v>1104</v>
      </c>
      <c r="H201" s="38" t="inlineStr">
        <is>
          <t>Total habitatges familiars; principal i no principal provenen de les categories publicades</t>
        </is>
      </c>
    </row>
    <row r="202" ht="15" customHeight="1" s="39">
      <c r="A202" s="38" t="inlineStr">
        <is>
          <t>[080538] Castellbell i el Vilar</t>
        </is>
      </c>
      <c r="B202" s="42" t="inlineStr">
        <is>
          <t>080538</t>
        </is>
      </c>
      <c r="C202" s="38" t="inlineStr">
        <is>
          <t>Castellbell i el Vilar</t>
        </is>
      </c>
      <c r="D202" s="38" t="n">
        <v>2121</v>
      </c>
      <c r="E202" s="38" t="n">
        <v>1523</v>
      </c>
      <c r="F202" s="38" t="n">
        <v>598</v>
      </c>
      <c r="H202" s="38" t="inlineStr">
        <is>
          <t>Total habitatges familiars; principal i no principal provenen de les categories publicades</t>
        </is>
      </c>
    </row>
    <row r="203" ht="15" customHeight="1" s="39">
      <c r="A203" s="38" t="inlineStr">
        <is>
          <t>[080543] Castellbisbal</t>
        </is>
      </c>
      <c r="B203" s="42" t="inlineStr">
        <is>
          <t>080543</t>
        </is>
      </c>
      <c r="C203" s="38" t="inlineStr">
        <is>
          <t>Castellbisbal</t>
        </is>
      </c>
      <c r="D203" s="38" t="n">
        <v>5121</v>
      </c>
      <c r="E203" s="38" t="n">
        <v>4411</v>
      </c>
      <c r="F203" s="38" t="n">
        <v>710</v>
      </c>
      <c r="H203" s="38" t="inlineStr">
        <is>
          <t>Total habitatges familiars; principal i no principal provenen de les categories publicades</t>
        </is>
      </c>
    </row>
    <row r="204" ht="15" customHeight="1" s="39">
      <c r="A204" s="38" t="inlineStr">
        <is>
          <t>[080556] Castellcir</t>
        </is>
      </c>
      <c r="B204" s="42" t="inlineStr">
        <is>
          <t>080556</t>
        </is>
      </c>
      <c r="C204" s="38" t="inlineStr">
        <is>
          <t>Castellcir</t>
        </is>
      </c>
      <c r="D204" s="38" t="n">
        <v>476</v>
      </c>
      <c r="E204" s="38" t="n">
        <v>283</v>
      </c>
      <c r="F204" s="38" t="n">
        <v>193</v>
      </c>
      <c r="H204" s="38" t="inlineStr">
        <is>
          <t>Total habitatges familiars; principal i no principal provenen de les categories publicades</t>
        </is>
      </c>
    </row>
    <row r="205" ht="15" customHeight="1" s="39">
      <c r="A205" s="38" t="inlineStr">
        <is>
          <t>[250674] Castelldans</t>
        </is>
      </c>
      <c r="B205" s="42" t="inlineStr">
        <is>
          <t>250674</t>
        </is>
      </c>
      <c r="C205" s="38" t="inlineStr">
        <is>
          <t>Castelldans</t>
        </is>
      </c>
      <c r="D205" s="38" t="n">
        <v>564</v>
      </c>
      <c r="E205" s="38" t="n">
        <v>378</v>
      </c>
      <c r="F205" s="38" t="n">
        <v>186</v>
      </c>
      <c r="H205" s="38" t="inlineStr">
        <is>
          <t>Total habitatges familiars; principal i no principal provenen de les categories publicades</t>
        </is>
      </c>
    </row>
    <row r="206" ht="15" customHeight="1" s="39">
      <c r="A206" s="38" t="inlineStr">
        <is>
          <t>[080569] Castelldefels</t>
        </is>
      </c>
      <c r="B206" s="42" t="inlineStr">
        <is>
          <t>080569</t>
        </is>
      </c>
      <c r="C206" s="38" t="inlineStr">
        <is>
          <t>Castelldefels</t>
        </is>
      </c>
      <c r="D206" s="38" t="n">
        <v>28708</v>
      </c>
      <c r="E206" s="38" t="n">
        <v>24792</v>
      </c>
      <c r="F206" s="38" t="n">
        <v>3916</v>
      </c>
      <c r="H206" s="38" t="inlineStr">
        <is>
          <t>Total habitatges familiars; principal i no principal provenen de les categories publicades</t>
        </is>
      </c>
    </row>
    <row r="207" ht="15" customHeight="1" s="39">
      <c r="A207" s="38" t="inlineStr">
        <is>
          <t>[080581] Castellet i la Gornal</t>
        </is>
      </c>
      <c r="B207" s="42" t="inlineStr">
        <is>
          <t>080581</t>
        </is>
      </c>
      <c r="C207" s="38" t="inlineStr">
        <is>
          <t>Castellet i la Gornal</t>
        </is>
      </c>
      <c r="D207" s="38" t="n">
        <v>1693</v>
      </c>
      <c r="E207" s="38" t="n">
        <v>973</v>
      </c>
      <c r="F207" s="38" t="n">
        <v>720</v>
      </c>
      <c r="H207" s="38" t="inlineStr">
        <is>
          <t>Total habitatges familiars; principal i no principal provenen de les categories publicades</t>
        </is>
      </c>
    </row>
    <row r="208" ht="15" customHeight="1" s="39">
      <c r="A208" s="38" t="inlineStr">
        <is>
          <t>[170464] Castellfollit de la Roca</t>
        </is>
      </c>
      <c r="B208" s="42" t="inlineStr">
        <is>
          <t>170464</t>
        </is>
      </c>
      <c r="C208" s="38" t="inlineStr">
        <is>
          <t>Castellfollit de la Roca</t>
        </is>
      </c>
      <c r="D208" s="38" t="n">
        <v>520</v>
      </c>
      <c r="E208" s="38" t="n">
        <v>387</v>
      </c>
      <c r="F208" s="38" t="n">
        <v>133</v>
      </c>
      <c r="H208" s="38" t="inlineStr">
        <is>
          <t>Total habitatges familiars; principal i no principal provenen de les categories publicades</t>
        </is>
      </c>
    </row>
    <row r="209" ht="15" customHeight="1" s="39">
      <c r="A209" s="38" t="inlineStr">
        <is>
          <t>[080608] Castellfollit de Riubregós</t>
        </is>
      </c>
      <c r="B209" s="42" t="inlineStr">
        <is>
          <t>080608</t>
        </is>
      </c>
      <c r="C209" s="38" t="inlineStr">
        <is>
          <t>Castellfollit de Riubregós</t>
        </is>
      </c>
      <c r="D209" s="38" t="n">
        <v>160</v>
      </c>
      <c r="E209" s="38" t="n">
        <v>69</v>
      </c>
      <c r="F209" s="38" t="n">
        <v>91</v>
      </c>
      <c r="H209" s="38" t="inlineStr">
        <is>
          <t>Total habitatges familiars; principal i no principal provenen de les categories publicades</t>
        </is>
      </c>
    </row>
    <row r="210" ht="15" customHeight="1" s="39">
      <c r="A210" s="38" t="inlineStr">
        <is>
          <t>[080594] Castellfollit del Boix</t>
        </is>
      </c>
      <c r="B210" s="42" t="inlineStr">
        <is>
          <t>080594</t>
        </is>
      </c>
      <c r="C210" s="38" t="inlineStr">
        <is>
          <t>Castellfollit del Boix</t>
        </is>
      </c>
      <c r="D210" s="38" t="n">
        <v>371</v>
      </c>
      <c r="E210" s="38" t="n">
        <v>166</v>
      </c>
      <c r="F210" s="38" t="n">
        <v>205</v>
      </c>
      <c r="H210" s="38" t="inlineStr">
        <is>
          <t>Total habitatges familiars; principal i no principal provenen de les categories publicades</t>
        </is>
      </c>
    </row>
    <row r="211" ht="15" customHeight="1" s="39">
      <c r="A211" s="38" t="inlineStr">
        <is>
          <t>[080615] Castellgalí</t>
        </is>
      </c>
      <c r="B211" s="42" t="inlineStr">
        <is>
          <t>080615</t>
        </is>
      </c>
      <c r="C211" s="38" t="inlineStr">
        <is>
          <t>Castellgalí</t>
        </is>
      </c>
      <c r="D211" s="38" t="n">
        <v>1139</v>
      </c>
      <c r="E211" s="38" t="n">
        <v>801</v>
      </c>
      <c r="F211" s="38" t="n">
        <v>338</v>
      </c>
      <c r="H211" s="38" t="inlineStr">
        <is>
          <t>Total habitatges familiars; principal i no principal provenen de les categories publicades</t>
        </is>
      </c>
    </row>
    <row r="212" ht="15" customHeight="1" s="39">
      <c r="A212" s="38" t="inlineStr">
        <is>
          <t>[080620] Castellnou de Bages</t>
        </is>
      </c>
      <c r="B212" s="42" t="inlineStr">
        <is>
          <t>080620</t>
        </is>
      </c>
      <c r="C212" s="38" t="inlineStr">
        <is>
          <t>Castellnou de Bages</t>
        </is>
      </c>
      <c r="D212" s="38" t="n">
        <v>682</v>
      </c>
      <c r="E212" s="38" t="n">
        <v>479</v>
      </c>
      <c r="F212" s="38" t="n">
        <v>203</v>
      </c>
      <c r="H212" s="38" t="inlineStr">
        <is>
          <t>Total habitatges familiars; principal i no principal provenen de les categories publicades</t>
        </is>
      </c>
    </row>
    <row r="213" ht="15" customHeight="1" s="39">
      <c r="A213" s="38" t="inlineStr">
        <is>
          <t>[250680] Castellnou de Seana</t>
        </is>
      </c>
      <c r="B213" s="42" t="inlineStr">
        <is>
          <t>250680</t>
        </is>
      </c>
      <c r="C213" s="38" t="inlineStr">
        <is>
          <t>Castellnou de Seana</t>
        </is>
      </c>
      <c r="D213" s="38" t="n">
        <v>405</v>
      </c>
      <c r="E213" s="38" t="n">
        <v>279</v>
      </c>
      <c r="F213" s="38" t="n">
        <v>126</v>
      </c>
      <c r="H213" s="38" t="inlineStr">
        <is>
          <t>Total habitatges familiars; principal i no principal provenen de les categories publicades</t>
        </is>
      </c>
    </row>
    <row r="214" ht="15" customHeight="1" s="39">
      <c r="A214" s="38" t="inlineStr">
        <is>
          <t>[170470] Castelló d'Empúries</t>
        </is>
      </c>
      <c r="B214" s="42" t="inlineStr">
        <is>
          <t>170470</t>
        </is>
      </c>
      <c r="C214" s="38" t="inlineStr">
        <is>
          <t>Castelló d'Empúries</t>
        </is>
      </c>
      <c r="D214" s="38" t="n">
        <v>16365</v>
      </c>
      <c r="E214" s="38" t="n">
        <v>4660</v>
      </c>
      <c r="F214" s="38" t="n">
        <v>11703</v>
      </c>
      <c r="H214" s="38" t="inlineStr">
        <is>
          <t>Total habitatges familiars; principal i no principal provenen de les categories publicades</t>
        </is>
      </c>
    </row>
    <row r="215" ht="15" customHeight="1" s="39">
      <c r="A215" s="38" t="inlineStr">
        <is>
          <t>[250693] Castelló de Farfanya</t>
        </is>
      </c>
      <c r="B215" s="42" t="inlineStr">
        <is>
          <t>250693</t>
        </is>
      </c>
      <c r="C215" s="38" t="inlineStr">
        <is>
          <t>Castelló de Farfanya</t>
        </is>
      </c>
      <c r="D215" s="38" t="n">
        <v>410</v>
      </c>
      <c r="E215" s="38" t="n">
        <v>212</v>
      </c>
      <c r="F215" s="38" t="n">
        <v>198</v>
      </c>
      <c r="H215" s="38" t="inlineStr">
        <is>
          <t>Total habitatges familiars; principal i no principal provenen de les categories publicades</t>
        </is>
      </c>
    </row>
    <row r="216" ht="15" customHeight="1" s="39">
      <c r="A216" s="38" t="inlineStr">
        <is>
          <t>[080636] Castellolí</t>
        </is>
      </c>
      <c r="B216" s="42" t="inlineStr">
        <is>
          <t>080636</t>
        </is>
      </c>
      <c r="C216" s="38" t="inlineStr">
        <is>
          <t>Castellolí</t>
        </is>
      </c>
      <c r="D216" s="38" t="n">
        <v>305</v>
      </c>
      <c r="E216" s="38" t="n">
        <v>232</v>
      </c>
      <c r="F216" s="38" t="n">
        <v>73</v>
      </c>
      <c r="H216" s="38" t="inlineStr">
        <is>
          <t>Total habitatges familiars; principal i no principal provenen de les categories publicades</t>
        </is>
      </c>
    </row>
    <row r="217" ht="15" customHeight="1" s="39">
      <c r="A217" s="38" t="inlineStr">
        <is>
          <t>[250707] Castellserà</t>
        </is>
      </c>
      <c r="B217" s="42" t="inlineStr">
        <is>
          <t>250707</t>
        </is>
      </c>
      <c r="C217" s="38" t="inlineStr">
        <is>
          <t>Castellserà</t>
        </is>
      </c>
      <c r="D217" s="38" t="n">
        <v>583</v>
      </c>
      <c r="E217" s="38" t="n">
        <v>387</v>
      </c>
      <c r="F217" s="38" t="n">
        <v>196</v>
      </c>
      <c r="H217" s="38" t="inlineStr">
        <is>
          <t>Total habitatges familiars; principal i no principal provenen de les categories publicades</t>
        </is>
      </c>
    </row>
    <row r="218" ht="15" customHeight="1" s="39">
      <c r="A218" s="38" t="inlineStr">
        <is>
          <t>[080641] Castellterçol</t>
        </is>
      </c>
      <c r="B218" s="42" t="inlineStr">
        <is>
          <t>080641</t>
        </is>
      </c>
      <c r="C218" s="38" t="inlineStr">
        <is>
          <t>Castellterçol</t>
        </is>
      </c>
      <c r="D218" s="38" t="n">
        <v>1607</v>
      </c>
      <c r="E218" s="38" t="n">
        <v>1038</v>
      </c>
      <c r="F218" s="38" t="n">
        <v>569</v>
      </c>
      <c r="H218" s="38" t="inlineStr">
        <is>
          <t>Total habitatges familiars; principal i no principal provenen de les categories publicades</t>
        </is>
      </c>
    </row>
    <row r="219" ht="15" customHeight="1" s="39">
      <c r="A219" s="38" t="inlineStr">
        <is>
          <t>[430424] Castellvell del Camp</t>
        </is>
      </c>
      <c r="B219" s="42" t="inlineStr">
        <is>
          <t>430424</t>
        </is>
      </c>
      <c r="C219" s="38" t="inlineStr">
        <is>
          <t>Castellvell del Camp</t>
        </is>
      </c>
      <c r="D219" s="38" t="n">
        <v>1203</v>
      </c>
      <c r="E219" s="38" t="n">
        <v>960</v>
      </c>
      <c r="F219" s="38" t="n">
        <v>243</v>
      </c>
      <c r="H219" s="38" t="inlineStr">
        <is>
          <t>Total habitatges familiars; principal i no principal provenen de les categories publicades</t>
        </is>
      </c>
    </row>
    <row r="220" ht="15" customHeight="1" s="39">
      <c r="A220" s="38" t="inlineStr">
        <is>
          <t>[080654] Castellví de la Marca</t>
        </is>
      </c>
      <c r="B220" s="42" t="inlineStr">
        <is>
          <t>080654</t>
        </is>
      </c>
      <c r="C220" s="38" t="inlineStr">
        <is>
          <t>Castellví de la Marca</t>
        </is>
      </c>
      <c r="D220" s="38" t="n">
        <v>826</v>
      </c>
      <c r="E220" s="38" t="n">
        <v>587</v>
      </c>
      <c r="F220" s="38" t="n">
        <v>239</v>
      </c>
      <c r="H220" s="38" t="inlineStr">
        <is>
          <t>Total habitatges familiars; principal i no principal provenen de les categories publicades</t>
        </is>
      </c>
    </row>
    <row r="221" ht="15" customHeight="1" s="39">
      <c r="A221" s="38" t="inlineStr">
        <is>
          <t>[080667] Castellví de Rosanes</t>
        </is>
      </c>
      <c r="B221" s="42" t="inlineStr">
        <is>
          <t>080667</t>
        </is>
      </c>
      <c r="C221" s="38" t="inlineStr">
        <is>
          <t>Castellví de Rosanes</t>
        </is>
      </c>
      <c r="D221" s="38" t="n">
        <v>877</v>
      </c>
      <c r="E221" s="38" t="n">
        <v>664</v>
      </c>
      <c r="F221" s="38" t="n">
        <v>213</v>
      </c>
      <c r="H221" s="38" t="inlineStr">
        <is>
          <t>Total habitatges familiars; principal i no principal provenen de les categories publicades</t>
        </is>
      </c>
    </row>
    <row r="222" ht="15" customHeight="1" s="39">
      <c r="A222" s="38" t="inlineStr">
        <is>
          <t>[430430] Catllar, el</t>
        </is>
      </c>
      <c r="B222" s="42" t="inlineStr">
        <is>
          <t>430430</t>
        </is>
      </c>
      <c r="C222" s="38" t="inlineStr">
        <is>
          <t>Catllar, el</t>
        </is>
      </c>
      <c r="D222" s="38" t="n">
        <v>2725</v>
      </c>
      <c r="E222" s="38" t="n">
        <v>1744</v>
      </c>
      <c r="F222" s="38" t="n">
        <v>981</v>
      </c>
      <c r="H222" s="38" t="inlineStr">
        <is>
          <t>Total habitatges familiars; principal i no principal provenen de les categories publicades</t>
        </is>
      </c>
    </row>
    <row r="223" ht="15" customHeight="1" s="39">
      <c r="A223" s="38" t="inlineStr">
        <is>
          <t>[250714] Cava</t>
        </is>
      </c>
      <c r="B223" s="42" t="inlineStr">
        <is>
          <t>250714</t>
        </is>
      </c>
      <c r="C223" s="38" t="inlineStr">
        <is>
          <t>Cava</t>
        </is>
      </c>
      <c r="D223" s="38" t="n">
        <v>100</v>
      </c>
      <c r="E223" s="38" t="n">
        <v>26</v>
      </c>
      <c r="F223" s="38" t="n">
        <v>74</v>
      </c>
      <c r="H223" s="38" t="inlineStr">
        <is>
          <t>Total habitatges familiars; principal i no principal provenen de les categories publicades</t>
        </is>
      </c>
    </row>
    <row r="224" ht="15" customHeight="1" s="39">
      <c r="A224" s="38" t="inlineStr">
        <is>
          <t>[171899] Cellera de Ter, la</t>
        </is>
      </c>
      <c r="B224" s="42" t="inlineStr">
        <is>
          <t>171899</t>
        </is>
      </c>
      <c r="C224" s="38" t="inlineStr">
        <is>
          <t>Cellera de Ter, la</t>
        </is>
      </c>
      <c r="D224" s="38" t="n">
        <v>940</v>
      </c>
      <c r="E224" s="38" t="n">
        <v>741</v>
      </c>
      <c r="F224" s="38" t="n">
        <v>199</v>
      </c>
      <c r="H224" s="38" t="inlineStr">
        <is>
          <t>Total habitatges familiars; principal i no principal provenen de les categories publicades</t>
        </is>
      </c>
    </row>
    <row r="225" ht="15" customHeight="1" s="39">
      <c r="A225" s="38" t="inlineStr">
        <is>
          <t>[170499] Celrà</t>
        </is>
      </c>
      <c r="B225" s="42" t="inlineStr">
        <is>
          <t>170499</t>
        </is>
      </c>
      <c r="C225" s="38" t="inlineStr">
        <is>
          <t>Celrà</t>
        </is>
      </c>
      <c r="D225" s="38" t="n">
        <v>2161</v>
      </c>
      <c r="E225" s="38" t="n">
        <v>1846</v>
      </c>
      <c r="F225" s="38" t="n">
        <v>315</v>
      </c>
      <c r="H225" s="38" t="inlineStr">
        <is>
          <t>Total habitatges familiars; principal i no principal provenen de les categories publicades</t>
        </is>
      </c>
    </row>
    <row r="226" ht="15" customHeight="1" s="39">
      <c r="A226" s="38" t="inlineStr">
        <is>
          <t>[080673] Centelles</t>
        </is>
      </c>
      <c r="B226" s="42" t="inlineStr">
        <is>
          <t>080673</t>
        </is>
      </c>
      <c r="C226" s="38" t="inlineStr">
        <is>
          <t>Centelles</t>
        </is>
      </c>
      <c r="D226" s="38" t="n">
        <v>3701</v>
      </c>
      <c r="E226" s="38" t="n">
        <v>2952</v>
      </c>
      <c r="F226" s="38" t="n">
        <v>749</v>
      </c>
      <c r="H226" s="38" t="inlineStr">
        <is>
          <t>Total habitatges familiars; principal i no principal provenen de les categories publicades</t>
        </is>
      </c>
    </row>
    <row r="227" ht="15" customHeight="1" s="39">
      <c r="A227" s="38" t="inlineStr">
        <is>
          <t>[082687] Cercs</t>
        </is>
      </c>
      <c r="B227" s="42" t="inlineStr">
        <is>
          <t>082687</t>
        </is>
      </c>
      <c r="C227" s="38" t="inlineStr">
        <is>
          <t>Cercs</t>
        </is>
      </c>
      <c r="D227" s="38" t="n">
        <v>1095</v>
      </c>
      <c r="E227" s="38" t="n">
        <v>517</v>
      </c>
      <c r="F227" s="38" t="n">
        <v>578</v>
      </c>
      <c r="H227" s="38" t="inlineStr">
        <is>
          <t>Total habitatges familiars; principal i no principal provenen de les categories publicades</t>
        </is>
      </c>
    </row>
    <row r="228" ht="15" customHeight="1" s="39">
      <c r="A228" s="38" t="inlineStr">
        <is>
          <t>[082665] Cerdanyola del Vallès</t>
        </is>
      </c>
      <c r="B228" s="42" t="inlineStr">
        <is>
          <t>082665</t>
        </is>
      </c>
      <c r="C228" s="38" t="inlineStr">
        <is>
          <t>Cerdanyola del Vallès</t>
        </is>
      </c>
      <c r="D228" s="38" t="n">
        <v>23858</v>
      </c>
      <c r="E228" s="38" t="n">
        <v>21726</v>
      </c>
      <c r="F228" s="38" t="n">
        <v>2132</v>
      </c>
      <c r="H228" s="38" t="inlineStr">
        <is>
          <t>Total habitatges familiars; principal i no principal provenen de les categories publicades</t>
        </is>
      </c>
    </row>
    <row r="229" ht="15" customHeight="1" s="39">
      <c r="A229" s="38" t="inlineStr">
        <is>
          <t>[080689] Cervelló</t>
        </is>
      </c>
      <c r="B229" s="42" t="inlineStr">
        <is>
          <t>080689</t>
        </is>
      </c>
      <c r="C229" s="38" t="inlineStr">
        <is>
          <t>Cervelló</t>
        </is>
      </c>
      <c r="D229" s="38" t="n">
        <v>4048</v>
      </c>
      <c r="E229" s="38" t="n">
        <v>3289</v>
      </c>
      <c r="F229" s="38" t="n">
        <v>759</v>
      </c>
      <c r="H229" s="38" t="inlineStr">
        <is>
          <t>Total habitatges familiars; principal i no principal provenen de les categories publicades</t>
        </is>
      </c>
    </row>
    <row r="230" ht="15" customHeight="1" s="39">
      <c r="A230" s="38" t="inlineStr">
        <is>
          <t>[250729] Cervera</t>
        </is>
      </c>
      <c r="B230" s="42" t="inlineStr">
        <is>
          <t>250729</t>
        </is>
      </c>
      <c r="C230" s="38" t="inlineStr">
        <is>
          <t>Cervera</t>
        </is>
      </c>
      <c r="D230" s="38" t="n">
        <v>4669</v>
      </c>
      <c r="E230" s="38" t="n">
        <v>3468</v>
      </c>
      <c r="F230" s="38" t="n">
        <v>1201</v>
      </c>
      <c r="H230" s="38" t="inlineStr">
        <is>
          <t>Total habitatges familiars; principal i no principal provenen de les categories publicades</t>
        </is>
      </c>
    </row>
    <row r="231" ht="15" customHeight="1" s="39">
      <c r="A231" s="38" t="inlineStr">
        <is>
          <t>[250735] Cervià de les Garrigues</t>
        </is>
      </c>
      <c r="B231" s="42" t="inlineStr">
        <is>
          <t>250735</t>
        </is>
      </c>
      <c r="C231" s="38" t="inlineStr">
        <is>
          <t>Cervià de les Garrigues</t>
        </is>
      </c>
      <c r="D231" s="38" t="n">
        <v>627</v>
      </c>
      <c r="E231" s="38" t="n">
        <v>291</v>
      </c>
      <c r="F231" s="38" t="n">
        <v>336</v>
      </c>
      <c r="H231" s="38" t="inlineStr">
        <is>
          <t>Total habitatges familiars; principal i no principal provenen de les categories publicades</t>
        </is>
      </c>
    </row>
    <row r="232" ht="15" customHeight="1" s="39">
      <c r="A232" s="38" t="inlineStr">
        <is>
          <t>[170502] Cervià de Ter</t>
        </is>
      </c>
      <c r="B232" s="42" t="inlineStr">
        <is>
          <t>170502</t>
        </is>
      </c>
      <c r="C232" s="38" t="inlineStr">
        <is>
          <t>Cervià de Ter</t>
        </is>
      </c>
      <c r="D232" s="38" t="n">
        <v>440</v>
      </c>
      <c r="E232" s="38" t="n">
        <v>329</v>
      </c>
      <c r="F232" s="38" t="n">
        <v>111</v>
      </c>
      <c r="H232" s="38" t="inlineStr">
        <is>
          <t>Total habitatges familiars; principal i no principal provenen de les categories publicades</t>
        </is>
      </c>
    </row>
    <row r="233" ht="15" customHeight="1" s="39">
      <c r="A233" s="38" t="inlineStr">
        <is>
          <t>[170519] Cistella</t>
        </is>
      </c>
      <c r="B233" s="42" t="inlineStr">
        <is>
          <t>170519</t>
        </is>
      </c>
      <c r="C233" s="38" t="inlineStr">
        <is>
          <t>Cistella</t>
        </is>
      </c>
      <c r="D233" s="38" t="n">
        <v>187</v>
      </c>
      <c r="E233" s="38" t="n">
        <v>114</v>
      </c>
      <c r="F233" s="38" t="n">
        <v>73</v>
      </c>
      <c r="H233" s="38" t="inlineStr">
        <is>
          <t>Total habitatges familiars; principal i no principal provenen de les categories publicades</t>
        </is>
      </c>
    </row>
    <row r="234" ht="15" customHeight="1" s="39">
      <c r="A234" s="38" t="inlineStr">
        <is>
          <t>[250740] Ciutadilla</t>
        </is>
      </c>
      <c r="B234" s="42" t="inlineStr">
        <is>
          <t>250740</t>
        </is>
      </c>
      <c r="C234" s="38" t="inlineStr">
        <is>
          <t>Ciutadilla</t>
        </is>
      </c>
      <c r="D234" s="38" t="n">
        <v>239</v>
      </c>
      <c r="E234" s="38" t="n">
        <v>73</v>
      </c>
      <c r="F234" s="38" t="n">
        <v>166</v>
      </c>
      <c r="H234" s="38" t="inlineStr">
        <is>
          <t>Total habitatges familiars; principal i no principal provenen de les categories publicades</t>
        </is>
      </c>
    </row>
    <row r="235" ht="15" customHeight="1" s="39">
      <c r="A235" s="38" t="inlineStr">
        <is>
          <t>[250753] Clariana de Cardener</t>
        </is>
      </c>
      <c r="B235" s="42" t="inlineStr">
        <is>
          <t>250753</t>
        </is>
      </c>
      <c r="C235" s="38" t="inlineStr">
        <is>
          <t>Clariana de Cardener</t>
        </is>
      </c>
      <c r="D235" s="38" t="n">
        <v>83</v>
      </c>
      <c r="E235" s="38" t="n">
        <v>48</v>
      </c>
      <c r="F235" s="38" t="n">
        <v>35</v>
      </c>
      <c r="H235" s="38" t="inlineStr">
        <is>
          <t>Total habitatges familiars; principal i no principal provenen de les categories publicades</t>
        </is>
      </c>
    </row>
    <row r="236" ht="15" customHeight="1" s="39">
      <c r="A236" s="38" t="inlineStr">
        <is>
          <t>[250766] Cogul, el</t>
        </is>
      </c>
      <c r="B236" s="42" t="inlineStr">
        <is>
          <t>250766</t>
        </is>
      </c>
      <c r="C236" s="38" t="inlineStr">
        <is>
          <t>Cogul, el</t>
        </is>
      </c>
      <c r="D236" s="38" t="n">
        <v>130</v>
      </c>
      <c r="E236" s="38" t="n">
        <v>66</v>
      </c>
      <c r="F236" s="38" t="n">
        <v>64</v>
      </c>
      <c r="H236" s="38" t="inlineStr">
        <is>
          <t>Total habitatges familiars; principal i no principal provenen de les categories publicades</t>
        </is>
      </c>
    </row>
    <row r="237" ht="15" customHeight="1" s="39">
      <c r="A237" s="38" t="inlineStr">
        <is>
          <t>[170545] Colera</t>
        </is>
      </c>
      <c r="B237" s="42" t="inlineStr">
        <is>
          <t>170545</t>
        </is>
      </c>
      <c r="C237" s="38" t="inlineStr">
        <is>
          <t>Colera</t>
        </is>
      </c>
      <c r="D237" s="38" t="n">
        <v>988</v>
      </c>
      <c r="E237" s="38" t="n">
        <v>230</v>
      </c>
      <c r="F237" s="38" t="n">
        <v>758</v>
      </c>
      <c r="H237" s="38" t="inlineStr">
        <is>
          <t>Total habitatges familiars; principal i no principal provenen de les categories publicades</t>
        </is>
      </c>
    </row>
    <row r="238" ht="15" customHeight="1" s="39">
      <c r="A238" s="38" t="inlineStr">
        <is>
          <t>[250772] Coll de Nargó</t>
        </is>
      </c>
      <c r="B238" s="42" t="inlineStr">
        <is>
          <t>250772</t>
        </is>
      </c>
      <c r="C238" s="38" t="inlineStr">
        <is>
          <t>Coll de Nargó</t>
        </is>
      </c>
      <c r="D238" s="38" t="n">
        <v>559</v>
      </c>
      <c r="E238" s="38" t="n">
        <v>229</v>
      </c>
      <c r="F238" s="38" t="n">
        <v>330</v>
      </c>
      <c r="H238" s="38" t="inlineStr">
        <is>
          <t>Total habitatges familiars; principal i no principal provenen de les categories publicades</t>
        </is>
      </c>
    </row>
    <row r="239" ht="15" customHeight="1" s="39">
      <c r="A239" s="38" t="inlineStr">
        <is>
          <t>[080692] Collbató</t>
        </is>
      </c>
      <c r="B239" s="42" t="inlineStr">
        <is>
          <t>080692</t>
        </is>
      </c>
      <c r="C239" s="38" t="inlineStr">
        <is>
          <t>Collbató</t>
        </is>
      </c>
      <c r="D239" s="38" t="n">
        <v>1971</v>
      </c>
      <c r="E239" s="38" t="n">
        <v>1607</v>
      </c>
      <c r="F239" s="38" t="n">
        <v>364</v>
      </c>
      <c r="H239" s="38" t="inlineStr">
        <is>
          <t>Total habitatges familiars; principal i no principal provenen de les categories publicades</t>
        </is>
      </c>
    </row>
    <row r="240" ht="15" customHeight="1" s="39">
      <c r="A240" s="38" t="inlineStr">
        <is>
          <t>[430458] Colldejou</t>
        </is>
      </c>
      <c r="B240" s="42" t="inlineStr">
        <is>
          <t>430458</t>
        </is>
      </c>
      <c r="C240" s="38" t="inlineStr">
        <is>
          <t>Colldejou</t>
        </is>
      </c>
      <c r="D240" s="38" t="n">
        <v>118</v>
      </c>
      <c r="E240" s="38" t="n">
        <v>64</v>
      </c>
      <c r="F240" s="38" t="n">
        <v>54</v>
      </c>
      <c r="H240" s="38" t="inlineStr">
        <is>
          <t>Total habitatges familiars; principal i no principal provenen de les categories publicades</t>
        </is>
      </c>
    </row>
    <row r="241" ht="15" customHeight="1" s="39">
      <c r="A241" s="38" t="inlineStr">
        <is>
          <t>[080706] Collsuspina</t>
        </is>
      </c>
      <c r="B241" s="42" t="inlineStr">
        <is>
          <t>080706</t>
        </is>
      </c>
      <c r="C241" s="38" t="inlineStr">
        <is>
          <t>Collsuspina</t>
        </is>
      </c>
      <c r="D241" s="38" t="n">
        <v>206</v>
      </c>
      <c r="E241" s="38" t="n">
        <v>139</v>
      </c>
      <c r="F241" s="38" t="n">
        <v>67</v>
      </c>
      <c r="H241" s="38" t="inlineStr">
        <is>
          <t>Total habitatges familiars; principal i no principal provenen de les categories publicades</t>
        </is>
      </c>
    </row>
    <row r="242" ht="15" customHeight="1" s="39">
      <c r="A242" s="38" t="inlineStr">
        <is>
          <t>[170558] Colomers</t>
        </is>
      </c>
      <c r="B242" s="42" t="inlineStr">
        <is>
          <t>170558</t>
        </is>
      </c>
      <c r="C242" s="38" t="inlineStr">
        <is>
          <t>Colomers</t>
        </is>
      </c>
      <c r="D242" s="38" t="n">
        <v>152</v>
      </c>
      <c r="E242" s="38" t="n">
        <v>84</v>
      </c>
      <c r="F242" s="38" t="n">
        <v>68</v>
      </c>
      <c r="H242" s="38" t="inlineStr">
        <is>
          <t>Total habitatges familiars; principal i no principal provenen de les categories publicades</t>
        </is>
      </c>
    </row>
    <row r="243" ht="15" customHeight="1" s="39">
      <c r="A243" s="38" t="inlineStr">
        <is>
          <t>[251636] Coma i la Pedra, la</t>
        </is>
      </c>
      <c r="B243" s="42" t="inlineStr">
        <is>
          <t>251636</t>
        </is>
      </c>
      <c r="C243" s="38" t="inlineStr">
        <is>
          <t>Coma i la Pedra, la</t>
        </is>
      </c>
      <c r="D243" s="38" t="n">
        <v>883</v>
      </c>
      <c r="E243" s="38" t="n">
        <v>133</v>
      </c>
      <c r="F243" s="38" t="n">
        <v>750</v>
      </c>
      <c r="H243" s="38" t="inlineStr">
        <is>
          <t>Total habitatges familiars; principal i no principal provenen de les categories publicades</t>
        </is>
      </c>
    </row>
    <row r="244" ht="15" customHeight="1" s="39">
      <c r="A244" s="38" t="inlineStr">
        <is>
          <t>[251615] Conca de Dalt</t>
        </is>
      </c>
      <c r="B244" s="42" t="inlineStr">
        <is>
          <t>251615</t>
        </is>
      </c>
      <c r="C244" s="38" t="inlineStr">
        <is>
          <t>Conca de Dalt</t>
        </is>
      </c>
      <c r="D244" s="38" t="n">
        <v>530</v>
      </c>
      <c r="E244" s="38" t="n">
        <v>188</v>
      </c>
      <c r="F244" s="38" t="n">
        <v>342</v>
      </c>
      <c r="H244" s="38" t="inlineStr">
        <is>
          <t>Total habitatges familiars; principal i no principal provenen de les categories publicades</t>
        </is>
      </c>
    </row>
    <row r="245" ht="15" customHeight="1" s="39">
      <c r="A245" s="38" t="inlineStr">
        <is>
          <t>[430461] Conesa</t>
        </is>
      </c>
      <c r="B245" s="42" t="inlineStr">
        <is>
          <t>430461</t>
        </is>
      </c>
      <c r="C245" s="38" t="inlineStr">
        <is>
          <t>Conesa</t>
        </is>
      </c>
      <c r="D245" s="38" t="n">
        <v>168</v>
      </c>
      <c r="E245" s="38" t="n">
        <v>49</v>
      </c>
      <c r="F245" s="38" t="n">
        <v>119</v>
      </c>
      <c r="H245" s="38" t="inlineStr">
        <is>
          <t>Total habitatges familiars; principal i no principal provenen de les categories publicades</t>
        </is>
      </c>
    </row>
    <row r="246" ht="15" customHeight="1" s="39">
      <c r="A246" s="38" t="inlineStr">
        <is>
          <t>[430477] Constantí</t>
        </is>
      </c>
      <c r="B246" s="42" t="inlineStr">
        <is>
          <t>430477</t>
        </is>
      </c>
      <c r="C246" s="38" t="inlineStr">
        <is>
          <t>Constantí</t>
        </is>
      </c>
      <c r="D246" s="38" t="n">
        <v>3232</v>
      </c>
      <c r="E246" s="38" t="n">
        <v>2436</v>
      </c>
      <c r="F246" s="38" t="n">
        <v>796</v>
      </c>
      <c r="H246" s="38" t="inlineStr">
        <is>
          <t>Total habitatges familiars; principal i no principal provenen de les categories publicades</t>
        </is>
      </c>
    </row>
    <row r="247" ht="15" customHeight="1" s="39">
      <c r="A247" s="38" t="inlineStr">
        <is>
          <t>[080713] Copons</t>
        </is>
      </c>
      <c r="B247" s="42" t="inlineStr">
        <is>
          <t>080713</t>
        </is>
      </c>
      <c r="C247" s="38" t="inlineStr">
        <is>
          <t>Copons</t>
        </is>
      </c>
      <c r="D247" s="38" t="n">
        <v>205</v>
      </c>
      <c r="E247" s="38" t="n">
        <v>118</v>
      </c>
      <c r="F247" s="38" t="n">
        <v>87</v>
      </c>
      <c r="H247" s="38" t="inlineStr">
        <is>
          <t>Total habitatges familiars; principal i no principal provenen de les categories publicades</t>
        </is>
      </c>
    </row>
    <row r="248" ht="15" customHeight="1" s="39">
      <c r="A248" s="38" t="inlineStr">
        <is>
          <t>[430483] Corbera d'Ebre</t>
        </is>
      </c>
      <c r="B248" s="42" t="inlineStr">
        <is>
          <t>430483</t>
        </is>
      </c>
      <c r="C248" s="38" t="inlineStr">
        <is>
          <t>Corbera d'Ebre</t>
        </is>
      </c>
      <c r="D248" s="38" t="n">
        <v>494</v>
      </c>
      <c r="E248" s="38" t="n">
        <v>368</v>
      </c>
      <c r="F248" s="38" t="n">
        <v>126</v>
      </c>
      <c r="H248" s="38" t="inlineStr">
        <is>
          <t>Total habitatges familiars; principal i no principal provenen de les categories publicades</t>
        </is>
      </c>
    </row>
    <row r="249" ht="15" customHeight="1" s="39">
      <c r="A249" s="38" t="inlineStr">
        <is>
          <t>[080728] Corbera de Llobregat</t>
        </is>
      </c>
      <c r="B249" s="42" t="inlineStr">
        <is>
          <t>080728</t>
        </is>
      </c>
      <c r="C249" s="38" t="inlineStr">
        <is>
          <t>Corbera de Llobregat</t>
        </is>
      </c>
      <c r="D249" s="38" t="n">
        <v>6784</v>
      </c>
      <c r="E249" s="38" t="n">
        <v>5362</v>
      </c>
      <c r="F249" s="38" t="n">
        <v>1422</v>
      </c>
      <c r="H249" s="38" t="inlineStr">
        <is>
          <t>Total habitatges familiars; principal i no principal provenen de les categories publicades</t>
        </is>
      </c>
    </row>
    <row r="250" ht="15" customHeight="1" s="39">
      <c r="A250" s="38" t="inlineStr">
        <is>
          <t>[250788] Corbins</t>
        </is>
      </c>
      <c r="B250" s="42" t="inlineStr">
        <is>
          <t>250788</t>
        </is>
      </c>
      <c r="C250" s="38" t="inlineStr">
        <is>
          <t>Corbins</t>
        </is>
      </c>
      <c r="D250" s="38" t="n">
        <v>655</v>
      </c>
      <c r="E250" s="38" t="n">
        <v>534</v>
      </c>
      <c r="F250" s="38" t="n">
        <v>121</v>
      </c>
      <c r="H250" s="38" t="inlineStr">
        <is>
          <t>Total habitatges familiars; principal i no principal provenen de les categories publicades</t>
        </is>
      </c>
    </row>
    <row r="251" ht="15" customHeight="1" s="39">
      <c r="A251" s="38" t="inlineStr">
        <is>
          <t>[170577] Corçà</t>
        </is>
      </c>
      <c r="B251" s="42" t="inlineStr">
        <is>
          <t>170577</t>
        </is>
      </c>
      <c r="C251" s="38" t="inlineStr">
        <is>
          <t>Corçà</t>
        </is>
      </c>
      <c r="D251" s="38" t="n">
        <v>709</v>
      </c>
      <c r="E251" s="38" t="n">
        <v>469</v>
      </c>
      <c r="F251" s="38" t="n">
        <v>240</v>
      </c>
      <c r="H251" s="38" t="inlineStr">
        <is>
          <t>Total habitatges familiars; principal i no principal provenen de les categories publicades</t>
        </is>
      </c>
    </row>
    <row r="252" ht="15" customHeight="1" s="39">
      <c r="A252" s="38" t="inlineStr">
        <is>
          <t>[080734] Cornellà de Llobregat</t>
        </is>
      </c>
      <c r="B252" s="42" t="inlineStr">
        <is>
          <t>080734</t>
        </is>
      </c>
      <c r="C252" s="38" t="inlineStr">
        <is>
          <t>Cornellà de Llobregat</t>
        </is>
      </c>
      <c r="D252" s="38" t="n">
        <v>37034</v>
      </c>
      <c r="E252" s="38" t="n">
        <v>34517</v>
      </c>
      <c r="F252" s="38" t="n">
        <v>2517</v>
      </c>
      <c r="H252" s="38" t="inlineStr">
        <is>
          <t>Total habitatges familiars; principal i no principal provenen de les categories publicades</t>
        </is>
      </c>
    </row>
    <row r="253" ht="15" customHeight="1" s="39">
      <c r="A253" s="38" t="inlineStr">
        <is>
          <t>[170561] Cornellà del Terri</t>
        </is>
      </c>
      <c r="B253" s="42" t="inlineStr">
        <is>
          <t>170561</t>
        </is>
      </c>
      <c r="C253" s="38" t="inlineStr">
        <is>
          <t>Cornellà del Terri</t>
        </is>
      </c>
      <c r="D253" s="38" t="n">
        <v>1047</v>
      </c>
      <c r="E253" s="38" t="n">
        <v>825</v>
      </c>
      <c r="F253" s="38" t="n">
        <v>222</v>
      </c>
      <c r="H253" s="38" t="inlineStr">
        <is>
          <t>Total habitatges familiars; principal i no principal provenen de les categories publicades</t>
        </is>
      </c>
    </row>
    <row r="254" ht="15" customHeight="1" s="39">
      <c r="A254" s="38" t="inlineStr">
        <is>
          <t>[430496] Cornudella de Montsant</t>
        </is>
      </c>
      <c r="B254" s="42" t="inlineStr">
        <is>
          <t>430496</t>
        </is>
      </c>
      <c r="C254" s="38" t="inlineStr">
        <is>
          <t>Cornudella de Montsant</t>
        </is>
      </c>
      <c r="D254" s="38" t="n">
        <v>830</v>
      </c>
      <c r="E254" s="38" t="n">
        <v>439</v>
      </c>
      <c r="F254" s="38" t="n">
        <v>391</v>
      </c>
      <c r="H254" s="38" t="inlineStr">
        <is>
          <t>Total habitatges familiars; principal i no principal provenen de les categories publicades</t>
        </is>
      </c>
    </row>
    <row r="255" ht="15" customHeight="1" s="39">
      <c r="A255" s="38" t="inlineStr">
        <is>
          <t>[430509] Creixell</t>
        </is>
      </c>
      <c r="B255" s="42" t="inlineStr">
        <is>
          <t>430509</t>
        </is>
      </c>
      <c r="C255" s="38" t="inlineStr">
        <is>
          <t>Creixell</t>
        </is>
      </c>
      <c r="D255" s="38" t="n">
        <v>4049</v>
      </c>
      <c r="E255" s="38" t="n">
        <v>1627</v>
      </c>
      <c r="F255" s="38" t="n">
        <v>2422</v>
      </c>
      <c r="H255" s="38" t="inlineStr">
        <is>
          <t>Total habitatges familiars; principal i no principal provenen de les categories publicades</t>
        </is>
      </c>
    </row>
    <row r="256" ht="15" customHeight="1" s="39">
      <c r="A256" s="38" t="inlineStr">
        <is>
          <t>[170583] Crespià</t>
        </is>
      </c>
      <c r="B256" s="42" t="inlineStr">
        <is>
          <t>170583</t>
        </is>
      </c>
      <c r="C256" s="38" t="inlineStr">
        <is>
          <t>Crespià</t>
        </is>
      </c>
      <c r="D256" s="38" t="n">
        <v>149</v>
      </c>
      <c r="E256" s="38" t="n">
        <v>98</v>
      </c>
      <c r="F256" s="38" t="n">
        <v>51</v>
      </c>
      <c r="H256" s="38" t="inlineStr">
        <is>
          <t>Total habitatges familiars; principal i no principal provenen de les categories publicades</t>
        </is>
      </c>
    </row>
    <row r="257" ht="15" customHeight="1" s="39">
      <c r="A257" s="38" t="inlineStr">
        <is>
          <t>[179011] Cruïlles, Monells i Sant Sadurní de l'Heura</t>
        </is>
      </c>
      <c r="B257" s="42" t="inlineStr">
        <is>
          <t>179011</t>
        </is>
      </c>
      <c r="C257" s="38" t="inlineStr">
        <is>
          <t>Cruïlles, Monells i Sant Sadurní de l'Heura</t>
        </is>
      </c>
      <c r="D257" s="38" t="n">
        <v>782</v>
      </c>
      <c r="E257" s="38" t="n">
        <v>487</v>
      </c>
      <c r="F257" s="38" t="n">
        <v>295</v>
      </c>
      <c r="H257" s="38" t="inlineStr">
        <is>
          <t>Total habitatges familiars; principal i no principal provenen de les categories publicades</t>
        </is>
      </c>
    </row>
    <row r="258" ht="15" customHeight="1" s="39">
      <c r="A258" s="38" t="inlineStr">
        <is>
          <t>[080749] Cubelles</t>
        </is>
      </c>
      <c r="B258" s="42" t="inlineStr">
        <is>
          <t>080749</t>
        </is>
      </c>
      <c r="C258" s="38" t="inlineStr">
        <is>
          <t>Cubelles</t>
        </is>
      </c>
      <c r="D258" s="38" t="n">
        <v>10859</v>
      </c>
      <c r="E258" s="38" t="n">
        <v>6607</v>
      </c>
      <c r="F258" s="38" t="n">
        <v>4252</v>
      </c>
      <c r="H258" s="38" t="inlineStr">
        <is>
          <t>Total habitatges familiars; principal i no principal provenen de les categories publicades</t>
        </is>
      </c>
    </row>
    <row r="259" ht="15" customHeight="1" s="39">
      <c r="A259" s="38" t="inlineStr">
        <is>
          <t>[250791] Cubells</t>
        </is>
      </c>
      <c r="B259" s="42" t="inlineStr">
        <is>
          <t>250791</t>
        </is>
      </c>
      <c r="C259" s="38" t="inlineStr">
        <is>
          <t>Cubells</t>
        </is>
      </c>
      <c r="D259" s="38" t="n">
        <v>342</v>
      </c>
      <c r="E259" s="38" t="n">
        <v>145</v>
      </c>
      <c r="F259" s="38" t="n">
        <v>197</v>
      </c>
      <c r="H259" s="38" t="inlineStr">
        <is>
          <t>Total habitatges familiars; principal i no principal provenen de les categories publicades</t>
        </is>
      </c>
    </row>
    <row r="260" ht="15" customHeight="1" s="39">
      <c r="A260" s="38" t="inlineStr">
        <is>
          <t>[430516] Cunit</t>
        </is>
      </c>
      <c r="B260" s="42" t="inlineStr">
        <is>
          <t>430516</t>
        </is>
      </c>
      <c r="C260" s="38" t="inlineStr">
        <is>
          <t>Cunit</t>
        </is>
      </c>
      <c r="D260" s="38" t="n">
        <v>13027</v>
      </c>
      <c r="E260" s="38" t="n">
        <v>5797</v>
      </c>
      <c r="F260" s="38" t="n">
        <v>7230</v>
      </c>
      <c r="H260" s="38" t="inlineStr">
        <is>
          <t>Total habitatges familiars; principal i no principal provenen de les categories publicades</t>
        </is>
      </c>
    </row>
    <row r="261" ht="15" customHeight="1" s="39">
      <c r="A261" s="38" t="inlineStr">
        <is>
          <t>[170600] Darnius</t>
        </is>
      </c>
      <c r="B261" s="42" t="inlineStr">
        <is>
          <t>170600</t>
        </is>
      </c>
      <c r="C261" s="38" t="inlineStr">
        <is>
          <t>Darnius</t>
        </is>
      </c>
      <c r="D261" s="38" t="n">
        <v>445</v>
      </c>
      <c r="E261" s="38" t="n">
        <v>227</v>
      </c>
      <c r="F261" s="38" t="n">
        <v>218</v>
      </c>
      <c r="H261" s="38" t="inlineStr">
        <is>
          <t>Total habitatges familiars; principal i no principal provenen de les categories publicades</t>
        </is>
      </c>
    </row>
    <row r="262" ht="15" customHeight="1" s="39">
      <c r="A262" s="38" t="inlineStr">
        <is>
          <t>[170617] Das</t>
        </is>
      </c>
      <c r="B262" s="42" t="inlineStr">
        <is>
          <t>170617</t>
        </is>
      </c>
      <c r="C262" s="38" t="inlineStr">
        <is>
          <t>Das</t>
        </is>
      </c>
      <c r="D262" s="38" t="n">
        <v>427</v>
      </c>
      <c r="E262" s="38" t="n">
        <v>88</v>
      </c>
      <c r="F262" s="38" t="n">
        <v>339</v>
      </c>
      <c r="H262" s="38" t="inlineStr">
        <is>
          <t>Total habitatges familiars; principal i no principal provenen de les categories publicades</t>
        </is>
      </c>
    </row>
    <row r="263" ht="15" customHeight="1" s="39">
      <c r="A263" s="38" t="inlineStr">
        <is>
          <t>[439018] Deltebre</t>
        </is>
      </c>
      <c r="B263" s="42" t="inlineStr">
        <is>
          <t>439018</t>
        </is>
      </c>
      <c r="C263" s="38" t="inlineStr">
        <is>
          <t>Deltebre</t>
        </is>
      </c>
      <c r="D263" s="38" t="n">
        <v>7253</v>
      </c>
      <c r="E263" s="38" t="n">
        <v>4326</v>
      </c>
      <c r="F263" s="38" t="n">
        <v>2927</v>
      </c>
      <c r="H263" s="38" t="inlineStr">
        <is>
          <t>Total habitatges familiars; principal i no principal provenen de les categories publicades</t>
        </is>
      </c>
    </row>
    <row r="264" ht="15" customHeight="1" s="39">
      <c r="A264" s="38" t="inlineStr">
        <is>
          <t>[080752] Dosrius</t>
        </is>
      </c>
      <c r="B264" s="42" t="inlineStr">
        <is>
          <t>080752</t>
        </is>
      </c>
      <c r="C264" s="38" t="inlineStr">
        <is>
          <t>Dosrius</t>
        </is>
      </c>
      <c r="D264" s="38" t="n">
        <v>2722</v>
      </c>
      <c r="E264" s="38" t="n">
        <v>2008</v>
      </c>
      <c r="F264" s="38" t="n">
        <v>714</v>
      </c>
      <c r="H264" s="38" t="inlineStr">
        <is>
          <t>Total habitatges familiars; principal i no principal provenen de les categories publicades</t>
        </is>
      </c>
    </row>
    <row r="265" ht="15" customHeight="1" s="39">
      <c r="A265" s="38" t="inlineStr">
        <is>
          <t>[430537] Duesaigües</t>
        </is>
      </c>
      <c r="B265" s="42" t="inlineStr">
        <is>
          <t>430537</t>
        </is>
      </c>
      <c r="C265" s="38" t="inlineStr">
        <is>
          <t>Duesaigües</t>
        </is>
      </c>
      <c r="D265" s="38" t="n">
        <v>208</v>
      </c>
      <c r="E265" s="38" t="n">
        <v>103</v>
      </c>
      <c r="F265" s="38" t="n">
        <v>105</v>
      </c>
      <c r="H265" s="38" t="inlineStr">
        <is>
          <t>Total habitatges familiars; principal i no principal provenen de les categories publicades</t>
        </is>
      </c>
    </row>
    <row r="266" ht="15" customHeight="1" s="39">
      <c r="A266" s="38" t="inlineStr">
        <is>
          <t>[170622] Escala, l'</t>
        </is>
      </c>
      <c r="B266" s="42" t="inlineStr">
        <is>
          <t>170622</t>
        </is>
      </c>
      <c r="C266" s="38" t="inlineStr">
        <is>
          <t>Escala, l'</t>
        </is>
      </c>
      <c r="D266" s="38" t="n">
        <v>15146</v>
      </c>
      <c r="E266" s="38" t="n">
        <v>4369</v>
      </c>
      <c r="F266" s="38" t="n">
        <v>10777</v>
      </c>
      <c r="H266" s="38" t="inlineStr">
        <is>
          <t>Total habitatges familiars; principal i no principal provenen de les categories publicades</t>
        </is>
      </c>
    </row>
    <row r="267" ht="15" customHeight="1" s="39">
      <c r="A267" s="38" t="inlineStr">
        <is>
          <t>[080765] Esparreguera</t>
        </is>
      </c>
      <c r="B267" s="42" t="inlineStr">
        <is>
          <t>080765</t>
        </is>
      </c>
      <c r="C267" s="38" t="inlineStr">
        <is>
          <t>Esparreguera</t>
        </is>
      </c>
      <c r="D267" s="38" t="n">
        <v>9824</v>
      </c>
      <c r="E267" s="38" t="n">
        <v>8469</v>
      </c>
      <c r="F267" s="38" t="n">
        <v>1355</v>
      </c>
      <c r="H267" s="38" t="inlineStr">
        <is>
          <t>Total habitatges familiars; principal i no principal provenen de les categories publicades</t>
        </is>
      </c>
    </row>
    <row r="268" ht="15" customHeight="1" s="39">
      <c r="A268" s="38" t="inlineStr">
        <is>
          <t>[170638] Espinelves</t>
        </is>
      </c>
      <c r="B268" s="42" t="inlineStr">
        <is>
          <t>170638</t>
        </is>
      </c>
      <c r="C268" s="38" t="inlineStr">
        <is>
          <t>Espinelves</t>
        </is>
      </c>
      <c r="D268" s="38" t="n">
        <v>197</v>
      </c>
      <c r="E268" s="38" t="n">
        <v>102</v>
      </c>
      <c r="F268" s="38" t="n">
        <v>95</v>
      </c>
      <c r="H268" s="38" t="inlineStr">
        <is>
          <t>Total habitatges familiars; principal i no principal provenen de les categories publicades</t>
        </is>
      </c>
    </row>
    <row r="269" ht="15" customHeight="1" s="39">
      <c r="A269" s="38" t="inlineStr">
        <is>
          <t>[250812] Espluga Calba, l'</t>
        </is>
      </c>
      <c r="B269" s="42" t="inlineStr">
        <is>
          <t>250812</t>
        </is>
      </c>
      <c r="C269" s="38" t="inlineStr">
        <is>
          <t>Espluga Calba, l'</t>
        </is>
      </c>
      <c r="D269" s="38" t="n">
        <v>346</v>
      </c>
      <c r="E269" s="38" t="n">
        <v>144</v>
      </c>
      <c r="F269" s="38" t="n">
        <v>202</v>
      </c>
      <c r="H269" s="38" t="inlineStr">
        <is>
          <t>Total habitatges familiars; principal i no principal provenen de les categories publicades</t>
        </is>
      </c>
    </row>
    <row r="270" ht="15" customHeight="1" s="39">
      <c r="A270" s="38" t="inlineStr">
        <is>
          <t>[430542] Espluga de Francolí, l'</t>
        </is>
      </c>
      <c r="B270" s="42" t="inlineStr">
        <is>
          <t>430542</t>
        </is>
      </c>
      <c r="C270" s="38" t="inlineStr">
        <is>
          <t>Espluga de Francolí, l'</t>
        </is>
      </c>
      <c r="D270" s="38" t="n">
        <v>2364</v>
      </c>
      <c r="E270" s="38" t="n">
        <v>1433</v>
      </c>
      <c r="F270" s="38" t="n">
        <v>931</v>
      </c>
      <c r="H270" s="38" t="inlineStr">
        <is>
          <t>Total habitatges familiars; principal i no principal provenen de les categories publicades</t>
        </is>
      </c>
    </row>
    <row r="271" ht="15" customHeight="1" s="39">
      <c r="A271" s="38" t="inlineStr">
        <is>
          <t>[080771] Esplugues de Llobregat</t>
        </is>
      </c>
      <c r="B271" s="42" t="inlineStr">
        <is>
          <t>080771</t>
        </is>
      </c>
      <c r="C271" s="38" t="inlineStr">
        <is>
          <t>Esplugues de Llobregat</t>
        </is>
      </c>
      <c r="D271" s="38" t="n">
        <v>19420</v>
      </c>
      <c r="E271" s="38" t="n">
        <v>17780</v>
      </c>
      <c r="F271" s="38" t="n">
        <v>1640</v>
      </c>
      <c r="H271" s="38" t="inlineStr">
        <is>
          <t>Total habitatges familiars; principal i no principal provenen de les categories publicades</t>
        </is>
      </c>
    </row>
    <row r="272" ht="15" customHeight="1" s="39">
      <c r="A272" s="38" t="inlineStr">
        <is>
          <t>[170643] Espolla</t>
        </is>
      </c>
      <c r="B272" s="42" t="inlineStr">
        <is>
          <t>170643</t>
        </is>
      </c>
      <c r="C272" s="38" t="inlineStr">
        <is>
          <t>Espolla</t>
        </is>
      </c>
      <c r="D272" s="38" t="n">
        <v>296</v>
      </c>
      <c r="E272" s="38" t="n">
        <v>170</v>
      </c>
      <c r="F272" s="38" t="n">
        <v>126</v>
      </c>
      <c r="H272" s="38" t="inlineStr">
        <is>
          <t>Total habitatges familiars; principal i no principal provenen de les categories publicades</t>
        </is>
      </c>
    </row>
    <row r="273" ht="15" customHeight="1" s="39">
      <c r="A273" s="38" t="inlineStr">
        <is>
          <t>[170656] Esponellà</t>
        </is>
      </c>
      <c r="B273" s="42" t="inlineStr">
        <is>
          <t>170656</t>
        </is>
      </c>
      <c r="C273" s="38" t="inlineStr">
        <is>
          <t>Esponellà</t>
        </is>
      </c>
      <c r="D273" s="38" t="n">
        <v>227</v>
      </c>
      <c r="E273" s="38" t="n">
        <v>153</v>
      </c>
      <c r="F273" s="38" t="n">
        <v>74</v>
      </c>
      <c r="H273" s="38" t="inlineStr">
        <is>
          <t>Total habitatges familiars; principal i no principal provenen de les categories publicades</t>
        </is>
      </c>
    </row>
    <row r="274" ht="15" customHeight="1" s="39">
      <c r="A274" s="38" t="inlineStr">
        <is>
          <t>[250827] Espot</t>
        </is>
      </c>
      <c r="B274" s="42" t="inlineStr">
        <is>
          <t>250827</t>
        </is>
      </c>
      <c r="C274" s="38" t="inlineStr">
        <is>
          <t>Espot</t>
        </is>
      </c>
      <c r="D274" s="38" t="n">
        <v>416</v>
      </c>
      <c r="E274" s="38" t="n">
        <v>145</v>
      </c>
      <c r="F274" s="38" t="n">
        <v>271</v>
      </c>
      <c r="H274" s="38" t="inlineStr">
        <is>
          <t>Total habitatges familiars; principal i no principal provenen de les categories publicades</t>
        </is>
      </c>
    </row>
    <row r="275" ht="15" customHeight="1" s="39">
      <c r="A275" s="38" t="inlineStr">
        <is>
          <t>[080787] Espunyola, l'</t>
        </is>
      </c>
      <c r="B275" s="42" t="inlineStr">
        <is>
          <t>080787</t>
        </is>
      </c>
      <c r="C275" s="38" t="inlineStr">
        <is>
          <t>Espunyola, l'</t>
        </is>
      </c>
      <c r="D275" s="38" t="n">
        <v>128</v>
      </c>
      <c r="E275" s="38" t="n">
        <v>89</v>
      </c>
      <c r="F275" s="38" t="n">
        <v>39</v>
      </c>
      <c r="H275" s="38" t="inlineStr">
        <is>
          <t>Total habitatges familiars; principal i no principal provenen de les categories publicades</t>
        </is>
      </c>
    </row>
    <row r="276" ht="15" customHeight="1" s="39">
      <c r="A276" s="38" t="inlineStr">
        <is>
          <t>[082541] Esquirol, l'</t>
        </is>
      </c>
      <c r="B276" s="42" t="inlineStr">
        <is>
          <t>082541</t>
        </is>
      </c>
      <c r="C276" s="38" t="inlineStr">
        <is>
          <t>Esquirol, l'</t>
        </is>
      </c>
      <c r="D276" s="38" t="n">
        <v>1220</v>
      </c>
      <c r="E276" s="38" t="n">
        <v>857</v>
      </c>
      <c r="F276" s="38" t="n">
        <v>363</v>
      </c>
      <c r="H276" s="38" t="inlineStr">
        <is>
          <t>Total habitatges familiars; principal i no principal provenen de les categories publicades</t>
        </is>
      </c>
    </row>
    <row r="277" ht="15" customHeight="1" s="39">
      <c r="A277" s="38" t="inlineStr">
        <is>
          <t>[250886] Estamariu</t>
        </is>
      </c>
      <c r="B277" s="42" t="inlineStr">
        <is>
          <t>250886</t>
        </is>
      </c>
      <c r="C277" s="38" t="inlineStr">
        <is>
          <t>Estamariu</t>
        </is>
      </c>
      <c r="D277" s="38" t="n">
        <v>87</v>
      </c>
      <c r="E277" s="38" t="n">
        <v>45</v>
      </c>
      <c r="F277" s="38" t="n">
        <v>42</v>
      </c>
      <c r="H277" s="38" t="inlineStr">
        <is>
          <t>Total habitatges familiars; principal i no principal provenen de les categories publicades</t>
        </is>
      </c>
    </row>
    <row r="278" ht="15" customHeight="1" s="39">
      <c r="A278" s="38" t="inlineStr">
        <is>
          <t>[080790] Estany, l'</t>
        </is>
      </c>
      <c r="B278" s="42" t="inlineStr">
        <is>
          <t>080790</t>
        </is>
      </c>
      <c r="C278" s="38" t="inlineStr">
        <is>
          <t>Estany, l'</t>
        </is>
      </c>
      <c r="D278" s="38" t="n">
        <v>337</v>
      </c>
      <c r="E278" s="38" t="n">
        <v>174</v>
      </c>
      <c r="F278" s="38" t="n">
        <v>163</v>
      </c>
      <c r="H278" s="38" t="inlineStr">
        <is>
          <t>Total habitatges familiars; principal i no principal provenen de les categories publicades</t>
        </is>
      </c>
    </row>
    <row r="279" ht="15" customHeight="1" s="39">
      <c r="A279" s="38" t="inlineStr">
        <is>
          <t>[250851] Estaràs</t>
        </is>
      </c>
      <c r="B279" s="42" t="inlineStr">
        <is>
          <t>250851</t>
        </is>
      </c>
      <c r="C279" s="38" t="inlineStr">
        <is>
          <t>Estaràs</t>
        </is>
      </c>
      <c r="D279" s="38" t="n">
        <v>125</v>
      </c>
      <c r="E279" s="38" t="n">
        <v>70</v>
      </c>
      <c r="F279" s="38" t="n">
        <v>55</v>
      </c>
      <c r="H279" s="38" t="inlineStr">
        <is>
          <t>Total habitatges familiars; principal i no principal provenen de les categories publicades</t>
        </is>
      </c>
    </row>
    <row r="280" ht="15" customHeight="1" s="39">
      <c r="A280" s="38" t="inlineStr">
        <is>
          <t>[250864] Esterri d'Àneu</t>
        </is>
      </c>
      <c r="B280" s="42" t="inlineStr">
        <is>
          <t>250864</t>
        </is>
      </c>
      <c r="C280" s="38" t="inlineStr">
        <is>
          <t>Esterri d'Àneu</t>
        </is>
      </c>
      <c r="D280" s="38" t="n">
        <v>1305</v>
      </c>
      <c r="E280" s="38" t="n">
        <v>376</v>
      </c>
      <c r="F280" s="38" t="n">
        <v>929</v>
      </c>
      <c r="H280" s="38" t="inlineStr">
        <is>
          <t>Total habitatges familiars; principal i no principal provenen de les categories publicades</t>
        </is>
      </c>
    </row>
    <row r="281" ht="15" customHeight="1" s="39">
      <c r="A281" s="38" t="inlineStr">
        <is>
          <t>[250870] Esterri de Cardós</t>
        </is>
      </c>
      <c r="B281" s="42" t="inlineStr">
        <is>
          <t>250870</t>
        </is>
      </c>
      <c r="C281" s="38" t="inlineStr">
        <is>
          <t>Esterri de Cardós</t>
        </is>
      </c>
      <c r="D281" s="38" t="n">
        <v>61</v>
      </c>
      <c r="E281" s="38" t="n">
        <v>24</v>
      </c>
      <c r="F281" s="38" t="n">
        <v>37</v>
      </c>
      <c r="H281" s="38" t="inlineStr">
        <is>
          <t>Total habitatges familiars; principal i no principal provenen de les categories publicades</t>
        </is>
      </c>
    </row>
    <row r="282" ht="15" customHeight="1" s="39">
      <c r="A282" s="38" t="inlineStr">
        <is>
          <t>[430555] Falset</t>
        </is>
      </c>
      <c r="B282" s="42" t="inlineStr">
        <is>
          <t>430555</t>
        </is>
      </c>
      <c r="C282" s="38" t="inlineStr">
        <is>
          <t>Falset</t>
        </is>
      </c>
      <c r="D282" s="38" t="n">
        <v>1712</v>
      </c>
      <c r="E282" s="38" t="n">
        <v>1058</v>
      </c>
      <c r="F282" s="38" t="n">
        <v>654</v>
      </c>
      <c r="H282" s="38" t="inlineStr">
        <is>
          <t>Total habitatges familiars; principal i no principal provenen de les categories publicades</t>
        </is>
      </c>
    </row>
    <row r="283" ht="15" customHeight="1" s="39">
      <c r="A283" s="38" t="inlineStr">
        <is>
          <t>[170059] Far d'Empordà, el</t>
        </is>
      </c>
      <c r="B283" s="42" t="inlineStr">
        <is>
          <t>170059</t>
        </is>
      </c>
      <c r="C283" s="38" t="inlineStr">
        <is>
          <t>Far d'Empordà, el</t>
        </is>
      </c>
      <c r="D283" s="38" t="n">
        <v>224</v>
      </c>
      <c r="E283" s="38" t="n">
        <v>190</v>
      </c>
      <c r="F283" s="38" t="n">
        <v>34</v>
      </c>
      <c r="H283" s="38" t="inlineStr">
        <is>
          <t>Total habitatges familiars; principal i no principal provenen de les categories publicades</t>
        </is>
      </c>
    </row>
    <row r="284" ht="15" customHeight="1" s="39">
      <c r="A284" s="38" t="inlineStr">
        <is>
          <t>[250899] Farrera</t>
        </is>
      </c>
      <c r="B284" s="42" t="inlineStr">
        <is>
          <t>250899</t>
        </is>
      </c>
      <c r="C284" s="38" t="inlineStr">
        <is>
          <t>Farrera</t>
        </is>
      </c>
      <c r="D284" s="38" t="n">
        <v>98</v>
      </c>
      <c r="E284" s="38" t="n">
        <v>58</v>
      </c>
      <c r="F284" s="38" t="n">
        <v>40</v>
      </c>
      <c r="H284" s="38" t="inlineStr">
        <is>
          <t>Total habitatges familiars; principal i no principal provenen de les categories publicades</t>
        </is>
      </c>
    </row>
    <row r="285" ht="15" customHeight="1" s="39">
      <c r="A285" s="38" t="inlineStr">
        <is>
          <t>[430568] Fatarella, la</t>
        </is>
      </c>
      <c r="B285" s="42" t="inlineStr">
        <is>
          <t>430568</t>
        </is>
      </c>
      <c r="C285" s="38" t="inlineStr">
        <is>
          <t>Fatarella, la</t>
        </is>
      </c>
      <c r="D285" s="38" t="n">
        <v>635</v>
      </c>
      <c r="E285" s="38" t="n">
        <v>375</v>
      </c>
      <c r="F285" s="38" t="n">
        <v>260</v>
      </c>
      <c r="H285" s="38" t="inlineStr">
        <is>
          <t>Total habitatges familiars; principal i no principal provenen de les categories publicades</t>
        </is>
      </c>
    </row>
    <row r="286" ht="15" customHeight="1" s="39">
      <c r="A286" s="38" t="inlineStr">
        <is>
          <t>[430574] Febró, la</t>
        </is>
      </c>
      <c r="B286" s="42" t="inlineStr">
        <is>
          <t>430574</t>
        </is>
      </c>
      <c r="C286" s="38" t="inlineStr">
        <is>
          <t>Febró, la</t>
        </is>
      </c>
      <c r="D286" s="38" t="n">
        <v>57</v>
      </c>
      <c r="E286" s="38" t="n">
        <v>21</v>
      </c>
      <c r="F286" s="38" t="n">
        <v>36</v>
      </c>
      <c r="H286" s="38" t="inlineStr">
        <is>
          <t>Total habitatges familiars; principal i no principal provenen de les categories publicades</t>
        </is>
      </c>
    </row>
    <row r="287" ht="15" customHeight="1" s="39">
      <c r="A287" s="38" t="inlineStr">
        <is>
          <t>[081347] Figaró-Montmany</t>
        </is>
      </c>
      <c r="B287" s="42" t="inlineStr">
        <is>
          <t>081347</t>
        </is>
      </c>
      <c r="C287" s="38" t="inlineStr">
        <is>
          <t>Figaró-Montmany</t>
        </is>
      </c>
      <c r="D287" s="38" t="n">
        <v>596</v>
      </c>
      <c r="E287" s="38" t="n">
        <v>442</v>
      </c>
      <c r="F287" s="38" t="n">
        <v>154</v>
      </c>
      <c r="H287" s="38" t="inlineStr">
        <is>
          <t>Total habitatges familiars; principal i no principal provenen de les categories publicades</t>
        </is>
      </c>
    </row>
    <row r="288" ht="15" customHeight="1" s="39">
      <c r="A288" s="38" t="inlineStr">
        <is>
          <t>[080804] Fígols</t>
        </is>
      </c>
      <c r="B288" s="42" t="inlineStr">
        <is>
          <t>080804</t>
        </is>
      </c>
      <c r="C288" s="38" t="inlineStr">
        <is>
          <t>Fígols</t>
        </is>
      </c>
      <c r="D288" s="38" t="n">
        <v>34</v>
      </c>
      <c r="E288" s="38" t="n">
        <v>22</v>
      </c>
      <c r="F288" s="38" t="n">
        <v>12</v>
      </c>
      <c r="H288" s="38" t="inlineStr">
        <is>
          <t>Total habitatges familiars; principal i no principal provenen de les categories publicades</t>
        </is>
      </c>
    </row>
    <row r="289" ht="15" customHeight="1" s="39">
      <c r="A289" s="38" t="inlineStr">
        <is>
          <t>[259084] Fígols i Alinyà</t>
        </is>
      </c>
      <c r="B289" s="42" t="inlineStr">
        <is>
          <t>259084</t>
        </is>
      </c>
      <c r="C289" s="38" t="inlineStr">
        <is>
          <t>Fígols i Alinyà</t>
        </is>
      </c>
      <c r="D289" s="38" t="n">
        <v>292</v>
      </c>
      <c r="E289" s="38" t="n">
        <v>93</v>
      </c>
      <c r="F289" s="38" t="n">
        <v>199</v>
      </c>
      <c r="H289" s="38" t="inlineStr">
        <is>
          <t>Total habitatges familiars; principal i no principal provenen de les categories publicades</t>
        </is>
      </c>
    </row>
    <row r="290" ht="15" customHeight="1" s="39">
      <c r="A290" s="38" t="inlineStr">
        <is>
          <t>[430580] Figuera, la</t>
        </is>
      </c>
      <c r="B290" s="42" t="inlineStr">
        <is>
          <t>430580</t>
        </is>
      </c>
      <c r="C290" s="38" t="inlineStr">
        <is>
          <t>Figuera, la</t>
        </is>
      </c>
      <c r="D290" s="38" t="n">
        <v>185</v>
      </c>
      <c r="E290" s="38" t="n">
        <v>55</v>
      </c>
      <c r="F290" s="38" t="n">
        <v>130</v>
      </c>
      <c r="H290" s="38" t="inlineStr">
        <is>
          <t>Total habitatges familiars; principal i no principal provenen de les categories publicades</t>
        </is>
      </c>
    </row>
    <row r="291" ht="15" customHeight="1" s="39">
      <c r="A291" s="38" t="inlineStr">
        <is>
          <t>[170669] Figueres</t>
        </is>
      </c>
      <c r="B291" s="42" t="inlineStr">
        <is>
          <t>170669</t>
        </is>
      </c>
      <c r="C291" s="38" t="inlineStr">
        <is>
          <t>Figueres</t>
        </is>
      </c>
      <c r="D291" s="38" t="n">
        <v>21062</v>
      </c>
      <c r="E291" s="38" t="n">
        <v>17499</v>
      </c>
      <c r="F291" s="38" t="n">
        <v>3563</v>
      </c>
      <c r="H291" s="38" t="inlineStr">
        <is>
          <t>Total habitatges familiars; principal i no principal provenen de les categories publicades</t>
        </is>
      </c>
    </row>
    <row r="292" ht="15" customHeight="1" s="39">
      <c r="A292" s="38" t="inlineStr">
        <is>
          <t>[430593] Figuerola del Camp</t>
        </is>
      </c>
      <c r="B292" s="42" t="inlineStr">
        <is>
          <t>430593</t>
        </is>
      </c>
      <c r="C292" s="38" t="inlineStr">
        <is>
          <t>Figuerola del Camp</t>
        </is>
      </c>
      <c r="D292" s="38" t="n">
        <v>259</v>
      </c>
      <c r="E292" s="38" t="n">
        <v>135</v>
      </c>
      <c r="F292" s="38" t="n">
        <v>124</v>
      </c>
      <c r="H292" s="38" t="inlineStr">
        <is>
          <t>Total habitatges familiars; principal i no principal provenen de les categories publicades</t>
        </is>
      </c>
    </row>
    <row r="293" ht="15" customHeight="1" s="39">
      <c r="A293" s="38" t="inlineStr">
        <is>
          <t>[170675] Flaçà</t>
        </is>
      </c>
      <c r="B293" s="42" t="inlineStr">
        <is>
          <t>170675</t>
        </is>
      </c>
      <c r="C293" s="38" t="inlineStr">
        <is>
          <t>Flaçà</t>
        </is>
      </c>
      <c r="D293" s="38" t="n">
        <v>532</v>
      </c>
      <c r="E293" s="38" t="n">
        <v>428</v>
      </c>
      <c r="F293" s="38" t="n">
        <v>104</v>
      </c>
      <c r="H293" s="38" t="inlineStr">
        <is>
          <t>Total habitatges familiars; principal i no principal provenen de les categories publicades</t>
        </is>
      </c>
    </row>
    <row r="294" ht="15" customHeight="1" s="39">
      <c r="A294" s="38" t="inlineStr">
        <is>
          <t>[430607] Flix</t>
        </is>
      </c>
      <c r="B294" s="42" t="inlineStr">
        <is>
          <t>430607</t>
        </is>
      </c>
      <c r="C294" s="38" t="inlineStr">
        <is>
          <t>Flix</t>
        </is>
      </c>
      <c r="D294" s="38" t="n">
        <v>2489</v>
      </c>
      <c r="E294" s="38" t="n">
        <v>1429</v>
      </c>
      <c r="F294" s="38" t="n">
        <v>1060</v>
      </c>
      <c r="H294" s="38" t="inlineStr">
        <is>
          <t>Total habitatges familiars; principal i no principal provenen de les categories publicades</t>
        </is>
      </c>
    </row>
    <row r="295" ht="15" customHeight="1" s="39">
      <c r="A295" s="38" t="inlineStr">
        <is>
          <t>[250925] Floresta, la</t>
        </is>
      </c>
      <c r="B295" s="42" t="inlineStr">
        <is>
          <t>250925</t>
        </is>
      </c>
      <c r="C295" s="38" t="inlineStr">
        <is>
          <t>Floresta, la</t>
        </is>
      </c>
      <c r="D295" s="38" t="n">
        <v>152</v>
      </c>
      <c r="E295" s="38" t="n">
        <v>61</v>
      </c>
      <c r="F295" s="38" t="n">
        <v>91</v>
      </c>
      <c r="H295" s="38" t="inlineStr">
        <is>
          <t>Total habitatges familiars; principal i no principal provenen de les categories publicades</t>
        </is>
      </c>
    </row>
    <row r="296" ht="15" customHeight="1" s="39">
      <c r="A296" s="38" t="inlineStr">
        <is>
          <t>[080826] Fogars de la Selva</t>
        </is>
      </c>
      <c r="B296" s="42" t="inlineStr">
        <is>
          <t>080826</t>
        </is>
      </c>
      <c r="C296" s="38" t="inlineStr">
        <is>
          <t>Fogars de la Selva</t>
        </is>
      </c>
      <c r="D296" s="38" t="n">
        <v>944</v>
      </c>
      <c r="E296" s="38" t="n">
        <v>581</v>
      </c>
      <c r="F296" s="38" t="n">
        <v>363</v>
      </c>
      <c r="H296" s="38" t="inlineStr">
        <is>
          <t>Total habitatges familiars; principal i no principal provenen de les categories publicades</t>
        </is>
      </c>
    </row>
    <row r="297" ht="15" customHeight="1" s="39">
      <c r="A297" s="38" t="inlineStr">
        <is>
          <t>[080811] Fogars de Montclús</t>
        </is>
      </c>
      <c r="B297" s="42" t="inlineStr">
        <is>
          <t>080811</t>
        </is>
      </c>
      <c r="C297" s="38" t="inlineStr">
        <is>
          <t>Fogars de Montclús</t>
        </is>
      </c>
      <c r="D297" s="38" t="n">
        <v>264</v>
      </c>
      <c r="E297" s="38" t="n">
        <v>173</v>
      </c>
      <c r="F297" s="38" t="n">
        <v>91</v>
      </c>
      <c r="H297" s="38" t="inlineStr">
        <is>
          <t>Total habitatges familiars; principal i no principal provenen de les categories publicades</t>
        </is>
      </c>
    </row>
    <row r="298" ht="15" customHeight="1" s="39">
      <c r="A298" s="38" t="inlineStr">
        <is>
          <t>[170681] Foixà</t>
        </is>
      </c>
      <c r="B298" s="42" t="inlineStr">
        <is>
          <t>170681</t>
        </is>
      </c>
      <c r="C298" s="38" t="inlineStr">
        <is>
          <t>Foixà</t>
        </is>
      </c>
      <c r="D298" s="38" t="n">
        <v>246</v>
      </c>
      <c r="E298" s="38" t="n">
        <v>116</v>
      </c>
      <c r="F298" s="38" t="n">
        <v>130</v>
      </c>
      <c r="H298" s="38" t="inlineStr">
        <is>
          <t>Total habitatges familiars; principal i no principal provenen de les categories publicades</t>
        </is>
      </c>
    </row>
    <row r="299" ht="15" customHeight="1" s="39">
      <c r="A299" s="38" t="inlineStr">
        <is>
          <t>[080832] Folgueroles</t>
        </is>
      </c>
      <c r="B299" s="42" t="inlineStr">
        <is>
          <t>080832</t>
        </is>
      </c>
      <c r="C299" s="38" t="inlineStr">
        <is>
          <t>Folgueroles</t>
        </is>
      </c>
      <c r="D299" s="38" t="n">
        <v>941</v>
      </c>
      <c r="E299" s="38" t="n">
        <v>803</v>
      </c>
      <c r="F299" s="38" t="n">
        <v>138</v>
      </c>
      <c r="H299" s="38" t="inlineStr">
        <is>
          <t>Total habitatges familiars; principal i no principal provenen de les categories publicades</t>
        </is>
      </c>
    </row>
    <row r="300" ht="15" customHeight="1" s="39">
      <c r="A300" s="38" t="inlineStr">
        <is>
          <t>[250931] Fondarella</t>
        </is>
      </c>
      <c r="B300" s="42" t="inlineStr">
        <is>
          <t>250931</t>
        </is>
      </c>
      <c r="C300" s="38" t="inlineStr">
        <is>
          <t>Fondarella</t>
        </is>
      </c>
      <c r="D300" s="38" t="n">
        <v>322</v>
      </c>
      <c r="E300" s="38" t="n">
        <v>282</v>
      </c>
      <c r="F300" s="38" t="n">
        <v>40</v>
      </c>
      <c r="H300" s="38" t="inlineStr">
        <is>
          <t>Total habitatges familiars; principal i no principal provenen de les categories publicades</t>
        </is>
      </c>
    </row>
    <row r="301" ht="15" customHeight="1" s="39">
      <c r="A301" s="38" t="inlineStr">
        <is>
          <t>[080847] Fonollosa</t>
        </is>
      </c>
      <c r="B301" s="42" t="inlineStr">
        <is>
          <t>080847</t>
        </is>
      </c>
      <c r="C301" s="38" t="inlineStr">
        <is>
          <t>Fonollosa</t>
        </is>
      </c>
      <c r="D301" s="38" t="n">
        <v>802</v>
      </c>
      <c r="E301" s="38" t="n">
        <v>551</v>
      </c>
      <c r="F301" s="38" t="n">
        <v>251</v>
      </c>
      <c r="H301" s="38" t="inlineStr">
        <is>
          <t>Total habitatges familiars; principal i no principal provenen de les categories publicades</t>
        </is>
      </c>
    </row>
    <row r="302" ht="15" customHeight="1" s="39">
      <c r="A302" s="38" t="inlineStr">
        <is>
          <t>[170694] Fontanals de Cerdanya</t>
        </is>
      </c>
      <c r="B302" s="42" t="inlineStr">
        <is>
          <t>170694</t>
        </is>
      </c>
      <c r="C302" s="38" t="inlineStr">
        <is>
          <t>Fontanals de Cerdanya</t>
        </is>
      </c>
      <c r="D302" s="38" t="n">
        <v>1216</v>
      </c>
      <c r="E302" s="38" t="n">
        <v>227</v>
      </c>
      <c r="F302" s="38" t="n">
        <v>989</v>
      </c>
      <c r="H302" s="38" t="inlineStr">
        <is>
          <t>Total habitatges familiars; principal i no principal provenen de les categories publicades</t>
        </is>
      </c>
    </row>
    <row r="303" ht="15" customHeight="1" s="39">
      <c r="A303" s="38" t="inlineStr">
        <is>
          <t>[170708] Fontanilles</t>
        </is>
      </c>
      <c r="B303" s="42" t="inlineStr">
        <is>
          <t>170708</t>
        </is>
      </c>
      <c r="C303" s="38" t="inlineStr">
        <is>
          <t>Fontanilles</t>
        </is>
      </c>
      <c r="D303" s="38" t="n">
        <v>114</v>
      </c>
      <c r="E303" s="38" t="n">
        <v>55</v>
      </c>
      <c r="F303" s="38" t="n">
        <v>59</v>
      </c>
      <c r="H303" s="38" t="inlineStr">
        <is>
          <t>Total habitatges familiars; principal i no principal provenen de les categories publicades</t>
        </is>
      </c>
    </row>
    <row r="304" ht="15" customHeight="1" s="39">
      <c r="A304" s="38" t="inlineStr">
        <is>
          <t>[170715] Fontcoberta</t>
        </is>
      </c>
      <c r="B304" s="42" t="inlineStr">
        <is>
          <t>170715</t>
        </is>
      </c>
      <c r="C304" s="38" t="inlineStr">
        <is>
          <t>Fontcoberta</t>
        </is>
      </c>
      <c r="D304" s="38" t="n">
        <v>565</v>
      </c>
      <c r="E304" s="38" t="n">
        <v>484</v>
      </c>
      <c r="F304" s="38" t="n">
        <v>81</v>
      </c>
      <c r="H304" s="38" t="inlineStr">
        <is>
          <t>Total habitatges familiars; principal i no principal provenen de les categories publicades</t>
        </is>
      </c>
    </row>
    <row r="305" ht="15" customHeight="1" s="39">
      <c r="A305" s="38" t="inlineStr">
        <is>
          <t>[080850] Font-rubí</t>
        </is>
      </c>
      <c r="B305" s="42" t="inlineStr">
        <is>
          <t>080850</t>
        </is>
      </c>
      <c r="C305" s="38" t="inlineStr">
        <is>
          <t>Font-rubí</t>
        </is>
      </c>
      <c r="D305" s="38" t="n">
        <v>788</v>
      </c>
      <c r="E305" s="38" t="n">
        <v>521</v>
      </c>
      <c r="F305" s="38" t="n">
        <v>267</v>
      </c>
      <c r="H305" s="38" t="inlineStr">
        <is>
          <t>Total habitatges familiars; principal i no principal provenen de les categories publicades</t>
        </is>
      </c>
    </row>
    <row r="306" ht="15" customHeight="1" s="39">
      <c r="A306" s="38" t="inlineStr">
        <is>
          <t>[250946] Foradada</t>
        </is>
      </c>
      <c r="B306" s="42" t="inlineStr">
        <is>
          <t>250946</t>
        </is>
      </c>
      <c r="C306" s="38" t="inlineStr">
        <is>
          <t>Foradada</t>
        </is>
      </c>
      <c r="D306" s="38" t="n">
        <v>174</v>
      </c>
      <c r="E306" s="38" t="n">
        <v>82</v>
      </c>
      <c r="F306" s="38" t="n">
        <v>92</v>
      </c>
      <c r="H306" s="38" t="inlineStr">
        <is>
          <t>Total habitatges familiars; principal i no principal provenen de les categories publicades</t>
        </is>
      </c>
    </row>
    <row r="307" ht="15" customHeight="1" s="39">
      <c r="A307" s="38" t="inlineStr">
        <is>
          <t>[179026] Forallac</t>
        </is>
      </c>
      <c r="B307" s="42" t="inlineStr">
        <is>
          <t>179026</t>
        </is>
      </c>
      <c r="C307" s="38" t="inlineStr">
        <is>
          <t>Forallac</t>
        </is>
      </c>
      <c r="D307" s="38" t="n">
        <v>1052</v>
      </c>
      <c r="E307" s="38" t="n">
        <v>632</v>
      </c>
      <c r="F307" s="38" t="n">
        <v>420</v>
      </c>
      <c r="H307" s="38" t="inlineStr">
        <is>
          <t>Total habitatges familiars; principal i no principal provenen de les categories publicades</t>
        </is>
      </c>
    </row>
    <row r="308" ht="15" customHeight="1" s="39">
      <c r="A308" s="38" t="inlineStr">
        <is>
          <t>[430614] Forès</t>
        </is>
      </c>
      <c r="B308" s="42" t="inlineStr">
        <is>
          <t>430614</t>
        </is>
      </c>
      <c r="C308" s="38" t="inlineStr">
        <is>
          <t>Forès</t>
        </is>
      </c>
      <c r="D308" s="38" t="n">
        <v>89</v>
      </c>
      <c r="E308" s="38" t="n">
        <v>25</v>
      </c>
      <c r="F308" s="38" t="n">
        <v>64</v>
      </c>
      <c r="H308" s="38" t="inlineStr">
        <is>
          <t>Total habitatges familiars; principal i no principal provenen de les categories publicades</t>
        </is>
      </c>
    </row>
    <row r="309" ht="15" customHeight="1" s="39">
      <c r="A309" s="38" t="inlineStr">
        <is>
          <t>[170736] Fornells de la Selva</t>
        </is>
      </c>
      <c r="B309" s="42" t="inlineStr">
        <is>
          <t>170736</t>
        </is>
      </c>
      <c r="C309" s="38" t="inlineStr">
        <is>
          <t>Fornells de la Selva</t>
        </is>
      </c>
      <c r="D309" s="38" t="n">
        <v>982</v>
      </c>
      <c r="E309" s="38" t="n">
        <v>869</v>
      </c>
      <c r="F309" s="38" t="n">
        <v>113</v>
      </c>
      <c r="H309" s="38" t="inlineStr">
        <is>
          <t>Total habitatges familiars; principal i no principal provenen de les categories publicades</t>
        </is>
      </c>
    </row>
    <row r="310" ht="15" customHeight="1" s="39">
      <c r="A310" s="38" t="inlineStr">
        <is>
          <t>[170741] Fortià</t>
        </is>
      </c>
      <c r="B310" s="42" t="inlineStr">
        <is>
          <t>170741</t>
        </is>
      </c>
      <c r="C310" s="38" t="inlineStr">
        <is>
          <t>Fortià</t>
        </is>
      </c>
      <c r="D310" s="38" t="n">
        <v>384</v>
      </c>
      <c r="E310" s="38" t="n">
        <v>281</v>
      </c>
      <c r="F310" s="38" t="n">
        <v>103</v>
      </c>
      <c r="H310" s="38" t="inlineStr">
        <is>
          <t>Total habitatges familiars; principal i no principal provenen de les categories publicades</t>
        </is>
      </c>
    </row>
    <row r="311" ht="15" customHeight="1" s="39">
      <c r="A311" s="38" t="inlineStr">
        <is>
          <t>[080863] Franqueses del Vallès, les</t>
        </is>
      </c>
      <c r="B311" s="42" t="inlineStr">
        <is>
          <t>080863</t>
        </is>
      </c>
      <c r="C311" s="38" t="inlineStr">
        <is>
          <t>Franqueses del Vallès, les</t>
        </is>
      </c>
      <c r="D311" s="38" t="n">
        <v>7985</v>
      </c>
      <c r="E311" s="38" t="n">
        <v>7357</v>
      </c>
      <c r="F311" s="38" t="n">
        <v>628</v>
      </c>
      <c r="H311" s="38" t="inlineStr">
        <is>
          <t>Total habitatges familiars; principal i no principal provenen de les categories publicades</t>
        </is>
      </c>
    </row>
    <row r="312" ht="15" customHeight="1" s="39">
      <c r="A312" s="38" t="inlineStr">
        <is>
          <t>[430629] Freginals</t>
        </is>
      </c>
      <c r="B312" s="42" t="inlineStr">
        <is>
          <t>430629</t>
        </is>
      </c>
      <c r="C312" s="38" t="inlineStr">
        <is>
          <t>Freginals</t>
        </is>
      </c>
      <c r="D312" s="38" t="n">
        <v>352</v>
      </c>
      <c r="E312" s="38" t="n">
        <v>163</v>
      </c>
      <c r="F312" s="38" t="n">
        <v>189</v>
      </c>
      <c r="H312" s="38" t="inlineStr">
        <is>
          <t>Total habitatges familiars; principal i no principal provenen de les categories publicades</t>
        </is>
      </c>
    </row>
    <row r="313" ht="15" customHeight="1" s="39">
      <c r="A313" s="38" t="inlineStr">
        <is>
          <t>[250962] Fuliola, la</t>
        </is>
      </c>
      <c r="B313" s="42" t="inlineStr">
        <is>
          <t>250962</t>
        </is>
      </c>
      <c r="C313" s="38" t="inlineStr">
        <is>
          <t>Fuliola, la</t>
        </is>
      </c>
      <c r="D313" s="38" t="n">
        <v>602</v>
      </c>
      <c r="E313" s="38" t="n">
        <v>429</v>
      </c>
      <c r="F313" s="38" t="n">
        <v>173</v>
      </c>
      <c r="H313" s="38" t="inlineStr">
        <is>
          <t>Total habitatges familiars; principal i no principal provenen de les categories publicades</t>
        </is>
      </c>
    </row>
    <row r="314" ht="15" customHeight="1" s="39">
      <c r="A314" s="38" t="inlineStr">
        <is>
          <t>[250978] Fulleda</t>
        </is>
      </c>
      <c r="B314" s="42" t="inlineStr">
        <is>
          <t>250978</t>
        </is>
      </c>
      <c r="C314" s="38" t="inlineStr">
        <is>
          <t>Fulleda</t>
        </is>
      </c>
      <c r="D314" s="38" t="n">
        <v>113</v>
      </c>
      <c r="E314" s="38" t="n">
        <v>43</v>
      </c>
      <c r="F314" s="38" t="n">
        <v>70</v>
      </c>
      <c r="H314" s="38" t="inlineStr">
        <is>
          <t>Total habitatges familiars; principal i no principal provenen de les categories publicades</t>
        </is>
      </c>
    </row>
    <row r="315" ht="15" customHeight="1" s="39">
      <c r="A315" s="38" t="inlineStr">
        <is>
          <t>[080902] Gaià</t>
        </is>
      </c>
      <c r="B315" s="42" t="inlineStr">
        <is>
          <t>080902</t>
        </is>
      </c>
      <c r="C315" s="38" t="inlineStr">
        <is>
          <t>Gaià</t>
        </is>
      </c>
      <c r="D315" s="38" t="n">
        <v>114</v>
      </c>
      <c r="E315" s="38" t="n">
        <v>65</v>
      </c>
      <c r="F315" s="38" t="n">
        <v>49</v>
      </c>
      <c r="H315" s="38" t="inlineStr">
        <is>
          <t>Total habitatges familiars; principal i no principal provenen de les categories publicades</t>
        </is>
      </c>
    </row>
    <row r="316" ht="15" customHeight="1" s="39">
      <c r="A316" s="38" t="inlineStr">
        <is>
          <t>[430635] Galera, la</t>
        </is>
      </c>
      <c r="B316" s="42" t="inlineStr">
        <is>
          <t>430635</t>
        </is>
      </c>
      <c r="C316" s="38" t="inlineStr">
        <is>
          <t>Galera, la</t>
        </is>
      </c>
      <c r="D316" s="38" t="n">
        <v>491</v>
      </c>
      <c r="E316" s="38" t="n">
        <v>291</v>
      </c>
      <c r="F316" s="38" t="n">
        <v>200</v>
      </c>
      <c r="H316" s="38" t="inlineStr">
        <is>
          <t>Total habitatges familiars; principal i no principal provenen de les categories publicades</t>
        </is>
      </c>
    </row>
    <row r="317" ht="15" customHeight="1" s="39">
      <c r="A317" s="38" t="inlineStr">
        <is>
          <t>[080879] Gallifa</t>
        </is>
      </c>
      <c r="B317" s="42" t="inlineStr">
        <is>
          <t>080879</t>
        </is>
      </c>
      <c r="C317" s="38" t="inlineStr">
        <is>
          <t>Gallifa</t>
        </is>
      </c>
      <c r="D317" s="38" t="n">
        <v>130</v>
      </c>
      <c r="E317" s="38" t="n">
        <v>75</v>
      </c>
      <c r="F317" s="38" t="n">
        <v>55</v>
      </c>
      <c r="H317" s="38" t="inlineStr">
        <is>
          <t>Total habitatges familiars; principal i no principal provenen de les categories publicades</t>
        </is>
      </c>
    </row>
    <row r="318" ht="15" customHeight="1" s="39">
      <c r="A318" s="38" t="inlineStr">
        <is>
          <t>[430640] Gandesa</t>
        </is>
      </c>
      <c r="B318" s="42" t="inlineStr">
        <is>
          <t>430640</t>
        </is>
      </c>
      <c r="C318" s="38" t="inlineStr">
        <is>
          <t>Gandesa</t>
        </is>
      </c>
      <c r="D318" s="38" t="n">
        <v>1486</v>
      </c>
      <c r="E318" s="38" t="n">
        <v>1097</v>
      </c>
      <c r="F318" s="38" t="n">
        <v>389</v>
      </c>
      <c r="H318" s="38" t="inlineStr">
        <is>
          <t>Total habitatges familiars; principal i no principal provenen de les categories publicades</t>
        </is>
      </c>
    </row>
    <row r="319" ht="15" customHeight="1" s="39">
      <c r="A319" s="38" t="inlineStr">
        <is>
          <t>[430653] Garcia</t>
        </is>
      </c>
      <c r="B319" s="42" t="inlineStr">
        <is>
          <t>430653</t>
        </is>
      </c>
      <c r="C319" s="38" t="inlineStr">
        <is>
          <t>Garcia</t>
        </is>
      </c>
      <c r="D319" s="38" t="n">
        <v>411</v>
      </c>
      <c r="E319" s="38" t="n">
        <v>225</v>
      </c>
      <c r="F319" s="38" t="n">
        <v>186</v>
      </c>
      <c r="H319" s="38" t="inlineStr">
        <is>
          <t>Total habitatges familiars; principal i no principal provenen de les categories publicades</t>
        </is>
      </c>
    </row>
    <row r="320" ht="15" customHeight="1" s="39">
      <c r="A320" s="38" t="inlineStr">
        <is>
          <t>[430666] Garidells, els</t>
        </is>
      </c>
      <c r="B320" s="42" t="inlineStr">
        <is>
          <t>430666</t>
        </is>
      </c>
      <c r="C320" s="38" t="inlineStr">
        <is>
          <t>Garidells, els</t>
        </is>
      </c>
      <c r="D320" s="38" t="n">
        <v>123</v>
      </c>
      <c r="E320" s="38" t="n">
        <v>80</v>
      </c>
      <c r="F320" s="38" t="n">
        <v>43</v>
      </c>
      <c r="H320" s="38" t="inlineStr">
        <is>
          <t>Total habitatges familiars; principal i no principal provenen de les categories publicades</t>
        </is>
      </c>
    </row>
    <row r="321" ht="15" customHeight="1" s="39">
      <c r="A321" s="38" t="inlineStr">
        <is>
          <t>[080885] Garriga, la</t>
        </is>
      </c>
      <c r="B321" s="42" t="inlineStr">
        <is>
          <t>080885</t>
        </is>
      </c>
      <c r="C321" s="38" t="inlineStr">
        <is>
          <t>Garriga, la</t>
        </is>
      </c>
      <c r="D321" s="38" t="n">
        <v>7138</v>
      </c>
      <c r="E321" s="38" t="n">
        <v>6242</v>
      </c>
      <c r="F321" s="38" t="n">
        <v>896</v>
      </c>
      <c r="H321" s="38" t="inlineStr">
        <is>
          <t>Total habitatges familiars; principal i no principal provenen de les categories publicades</t>
        </is>
      </c>
    </row>
    <row r="322" ht="15" customHeight="1" s="39">
      <c r="A322" s="38" t="inlineStr">
        <is>
          <t>[170754] Garrigàs</t>
        </is>
      </c>
      <c r="B322" s="42" t="inlineStr">
        <is>
          <t>170754</t>
        </is>
      </c>
      <c r="C322" s="38" t="inlineStr">
        <is>
          <t>Garrigàs</t>
        </is>
      </c>
      <c r="D322" s="38" t="n">
        <v>267</v>
      </c>
      <c r="E322" s="38" t="n">
        <v>175</v>
      </c>
      <c r="F322" s="38" t="n">
        <v>92</v>
      </c>
      <c r="H322" s="38" t="inlineStr">
        <is>
          <t>Total habitatges familiars; principal i no principal provenen de les categories publicades</t>
        </is>
      </c>
    </row>
    <row r="323" ht="15" customHeight="1" s="39">
      <c r="A323" s="38" t="inlineStr">
        <is>
          <t>[170767] Garrigoles</t>
        </is>
      </c>
      <c r="B323" s="42" t="inlineStr">
        <is>
          <t>170767</t>
        </is>
      </c>
      <c r="C323" s="38" t="inlineStr">
        <is>
          <t>Garrigoles</t>
        </is>
      </c>
      <c r="D323" s="38" t="n">
        <v>140</v>
      </c>
      <c r="E323" s="38" t="n">
        <v>72</v>
      </c>
      <c r="F323" s="38" t="n">
        <v>68</v>
      </c>
      <c r="H323" s="38" t="inlineStr">
        <is>
          <t>Total habitatges familiars; principal i no principal provenen de les categories publicades</t>
        </is>
      </c>
    </row>
    <row r="324" ht="15" customHeight="1" s="39">
      <c r="A324" s="38" t="inlineStr">
        <is>
          <t>[170773] Garriguella</t>
        </is>
      </c>
      <c r="B324" s="42" t="inlineStr">
        <is>
          <t>170773</t>
        </is>
      </c>
      <c r="C324" s="38" t="inlineStr">
        <is>
          <t>Garriguella</t>
        </is>
      </c>
      <c r="D324" s="38" t="n">
        <v>527</v>
      </c>
      <c r="E324" s="38" t="n">
        <v>341</v>
      </c>
      <c r="F324" s="38" t="n">
        <v>186</v>
      </c>
      <c r="H324" s="38" t="inlineStr">
        <is>
          <t>Total habitatges familiars; principal i no principal provenen de les categories publicades</t>
        </is>
      </c>
    </row>
    <row r="325" ht="15" customHeight="1" s="39">
      <c r="A325" s="38" t="inlineStr">
        <is>
          <t>[080898] Gavà</t>
        </is>
      </c>
      <c r="B325" s="42" t="inlineStr">
        <is>
          <t>080898</t>
        </is>
      </c>
      <c r="C325" s="38" t="inlineStr">
        <is>
          <t>Gavà</t>
        </is>
      </c>
      <c r="D325" s="38" t="n">
        <v>20359</v>
      </c>
      <c r="E325" s="38" t="n">
        <v>17619</v>
      </c>
      <c r="F325" s="38" t="n">
        <v>2740</v>
      </c>
      <c r="H325" s="38" t="inlineStr">
        <is>
          <t>Total habitatges familiars; principal i no principal provenen de les categories publicades</t>
        </is>
      </c>
    </row>
    <row r="326" ht="15" customHeight="1" s="39">
      <c r="A326" s="38" t="inlineStr">
        <is>
          <t>[250984] Gavet de la Conca</t>
        </is>
      </c>
      <c r="B326" s="42" t="inlineStr">
        <is>
          <t>250984</t>
        </is>
      </c>
      <c r="C326" s="38" t="inlineStr">
        <is>
          <t>Gavet de la Conca</t>
        </is>
      </c>
      <c r="D326" s="38" t="n">
        <v>307</v>
      </c>
      <c r="E326" s="38" t="n">
        <v>114</v>
      </c>
      <c r="F326" s="38" t="n">
        <v>193</v>
      </c>
      <c r="H326" s="38" t="inlineStr">
        <is>
          <t>Total habitatges familiars; principal i no principal provenen de les categories publicades</t>
        </is>
      </c>
    </row>
    <row r="327" ht="15" customHeight="1" s="39">
      <c r="A327" s="38" t="inlineStr">
        <is>
          <t>[080919] Gelida</t>
        </is>
      </c>
      <c r="B327" s="42" t="inlineStr">
        <is>
          <t>080919</t>
        </is>
      </c>
      <c r="C327" s="38" t="inlineStr">
        <is>
          <t>Gelida</t>
        </is>
      </c>
      <c r="D327" s="38" t="n">
        <v>3863</v>
      </c>
      <c r="E327" s="38" t="n">
        <v>2937</v>
      </c>
      <c r="F327" s="38" t="n">
        <v>926</v>
      </c>
      <c r="H327" s="38" t="inlineStr">
        <is>
          <t>Total habitatges familiars; principal i no principal provenen de les categories publicades</t>
        </is>
      </c>
    </row>
    <row r="328" ht="15" customHeight="1" s="39">
      <c r="A328" s="38" t="inlineStr">
        <is>
          <t>[170789] Ger</t>
        </is>
      </c>
      <c r="B328" s="42" t="inlineStr">
        <is>
          <t>170789</t>
        </is>
      </c>
      <c r="C328" s="38" t="inlineStr">
        <is>
          <t>Ger</t>
        </is>
      </c>
      <c r="D328" s="38" t="n">
        <v>758</v>
      </c>
      <c r="E328" s="38" t="n">
        <v>206</v>
      </c>
      <c r="F328" s="38" t="n">
        <v>552</v>
      </c>
      <c r="H328" s="38" t="inlineStr">
        <is>
          <t>Total habitatges familiars; principal i no principal provenen de les categories publicades</t>
        </is>
      </c>
    </row>
    <row r="329" ht="15" customHeight="1" s="39">
      <c r="A329" s="38" t="inlineStr">
        <is>
          <t>[259123] Gimenells i el Pla de la Font</t>
        </is>
      </c>
      <c r="B329" s="42" t="inlineStr">
        <is>
          <t>259123</t>
        </is>
      </c>
      <c r="C329" s="38" t="inlineStr">
        <is>
          <t>Gimenells i el Pla de la Font</t>
        </is>
      </c>
      <c r="D329" s="38" t="n">
        <v>514</v>
      </c>
      <c r="E329" s="38" t="n">
        <v>405</v>
      </c>
      <c r="F329" s="38" t="n">
        <v>109</v>
      </c>
      <c r="H329" s="38" t="inlineStr">
        <is>
          <t>Total habitatges familiars; principal i no principal provenen de les categories publicades</t>
        </is>
      </c>
    </row>
    <row r="330" ht="15" customHeight="1" s="39">
      <c r="A330" s="38" t="inlineStr">
        <is>
          <t>[430672] Ginestar</t>
        </is>
      </c>
      <c r="B330" s="42" t="inlineStr">
        <is>
          <t>430672</t>
        </is>
      </c>
      <c r="C330" s="38" t="inlineStr">
        <is>
          <t>Ginestar</t>
        </is>
      </c>
      <c r="D330" s="38" t="n">
        <v>589</v>
      </c>
      <c r="E330" s="38" t="n">
        <v>327</v>
      </c>
      <c r="F330" s="38" t="n">
        <v>262</v>
      </c>
      <c r="H330" s="38" t="inlineStr">
        <is>
          <t>Total habitatges familiars; principal i no principal provenen de les categories publicades</t>
        </is>
      </c>
    </row>
    <row r="331" ht="15" customHeight="1" s="39">
      <c r="A331" s="38" t="inlineStr">
        <is>
          <t>[170792] Girona</t>
        </is>
      </c>
      <c r="B331" s="42" t="inlineStr">
        <is>
          <t>170792</t>
        </is>
      </c>
      <c r="C331" s="38" t="inlineStr">
        <is>
          <t>Girona</t>
        </is>
      </c>
      <c r="D331" s="38" t="n">
        <v>50333</v>
      </c>
      <c r="E331" s="38" t="n">
        <v>38711</v>
      </c>
      <c r="F331" s="38" t="n">
        <v>11622</v>
      </c>
      <c r="H331" s="38" t="inlineStr">
        <is>
          <t>Total habitatges familiars; principal i no principal provenen de les categories publicades</t>
        </is>
      </c>
    </row>
    <row r="332" ht="15" customHeight="1" s="39">
      <c r="A332" s="38" t="inlineStr">
        <is>
          <t>[080924] Gironella</t>
        </is>
      </c>
      <c r="B332" s="42" t="inlineStr">
        <is>
          <t>080924</t>
        </is>
      </c>
      <c r="C332" s="38" t="inlineStr">
        <is>
          <t>Gironella</t>
        </is>
      </c>
      <c r="D332" s="38" t="n">
        <v>2628</v>
      </c>
      <c r="E332" s="38" t="n">
        <v>1935</v>
      </c>
      <c r="F332" s="38" t="n">
        <v>693</v>
      </c>
      <c r="H332" s="38" t="inlineStr">
        <is>
          <t>Total habitatges familiars; principal i no principal provenen de les categories publicades</t>
        </is>
      </c>
    </row>
    <row r="333" ht="15" customHeight="1" s="39">
      <c r="A333" s="38" t="inlineStr">
        <is>
          <t>[080930] Gisclareny</t>
        </is>
      </c>
      <c r="B333" s="42" t="inlineStr">
        <is>
          <t>080930</t>
        </is>
      </c>
      <c r="C333" s="38" t="inlineStr">
        <is>
          <t>Gisclareny</t>
        </is>
      </c>
      <c r="D333" s="38" t="n">
        <v>43</v>
      </c>
      <c r="E333" s="38" t="n">
        <v>15</v>
      </c>
      <c r="F333" s="38" t="n">
        <v>28</v>
      </c>
      <c r="H333" s="38" t="inlineStr">
        <is>
          <t>Total habitatges familiars; principal i no principal provenen de les categories publicades</t>
        </is>
      </c>
    </row>
    <row r="334" ht="15" customHeight="1" s="39">
      <c r="A334" s="38" t="inlineStr">
        <is>
          <t>[430688] Godall</t>
        </is>
      </c>
      <c r="B334" s="42" t="inlineStr">
        <is>
          <t>430688</t>
        </is>
      </c>
      <c r="C334" s="38" t="inlineStr">
        <is>
          <t>Godall</t>
        </is>
      </c>
      <c r="D334" s="38" t="n">
        <v>545</v>
      </c>
      <c r="E334" s="38" t="n">
        <v>258</v>
      </c>
      <c r="F334" s="38" t="n">
        <v>287</v>
      </c>
      <c r="H334" s="38" t="inlineStr">
        <is>
          <t>Total habitatges familiars; principal i no principal provenen de les categories publicades</t>
        </is>
      </c>
    </row>
    <row r="335" ht="15" customHeight="1" s="39">
      <c r="A335" s="38" t="inlineStr">
        <is>
          <t>[250997] Golmés</t>
        </is>
      </c>
      <c r="B335" s="42" t="inlineStr">
        <is>
          <t>250997</t>
        </is>
      </c>
      <c r="C335" s="38" t="inlineStr">
        <is>
          <t>Golmés</t>
        </is>
      </c>
      <c r="D335" s="38" t="n">
        <v>907</v>
      </c>
      <c r="E335" s="38" t="n">
        <v>668</v>
      </c>
      <c r="F335" s="38" t="n">
        <v>239</v>
      </c>
      <c r="H335" s="38" t="inlineStr">
        <is>
          <t>Total habitatges familiars; principal i no principal provenen de les categories publicades</t>
        </is>
      </c>
    </row>
    <row r="336" ht="15" customHeight="1" s="39">
      <c r="A336" s="38" t="inlineStr">
        <is>
          <t>[170806] Gombrèn</t>
        </is>
      </c>
      <c r="B336" s="42" t="inlineStr">
        <is>
          <t>170806</t>
        </is>
      </c>
      <c r="C336" s="38" t="inlineStr">
        <is>
          <t>Gombrèn</t>
        </is>
      </c>
      <c r="D336" s="38" t="n">
        <v>186</v>
      </c>
      <c r="E336" s="38" t="n">
        <v>77</v>
      </c>
      <c r="F336" s="38" t="n">
        <v>109</v>
      </c>
      <c r="H336" s="38" t="inlineStr">
        <is>
          <t>Total habitatges familiars; principal i no principal provenen de les categories publicades</t>
        </is>
      </c>
    </row>
    <row r="337" ht="15" customHeight="1" s="39">
      <c r="A337" s="38" t="inlineStr">
        <is>
          <t>[251001] Gósol</t>
        </is>
      </c>
      <c r="B337" s="42" t="inlineStr">
        <is>
          <t>251001</t>
        </is>
      </c>
      <c r="C337" s="38" t="inlineStr">
        <is>
          <t>Gósol</t>
        </is>
      </c>
      <c r="D337" s="38" t="n">
        <v>333</v>
      </c>
      <c r="E337" s="38" t="n">
        <v>107</v>
      </c>
      <c r="F337" s="38" t="n">
        <v>226</v>
      </c>
      <c r="H337" s="38" t="inlineStr">
        <is>
          <t>Total habitatges familiars; principal i no principal provenen de les categories publicades</t>
        </is>
      </c>
    </row>
    <row r="338" ht="15" customHeight="1" s="39">
      <c r="A338" s="38" t="inlineStr">
        <is>
          <t>[080945] Granada, la</t>
        </is>
      </c>
      <c r="B338" s="42" t="inlineStr">
        <is>
          <t>080945</t>
        </is>
      </c>
      <c r="C338" s="38" t="inlineStr">
        <is>
          <t>Granada, la</t>
        </is>
      </c>
      <c r="D338" s="38" t="n">
        <v>1013</v>
      </c>
      <c r="E338" s="38" t="n">
        <v>810</v>
      </c>
      <c r="F338" s="38" t="n">
        <v>203</v>
      </c>
      <c r="H338" s="38" t="inlineStr">
        <is>
          <t>Total habitatges familiars; principal i no principal provenen de les categories publicades</t>
        </is>
      </c>
    </row>
    <row r="339" ht="15" customHeight="1" s="39">
      <c r="A339" s="38" t="inlineStr">
        <is>
          <t>[251018] Granadella, la</t>
        </is>
      </c>
      <c r="B339" s="42" t="inlineStr">
        <is>
          <t>251018</t>
        </is>
      </c>
      <c r="C339" s="38" t="inlineStr">
        <is>
          <t>Granadella, la</t>
        </is>
      </c>
      <c r="D339" s="38" t="n">
        <v>514</v>
      </c>
      <c r="E339" s="38" t="n">
        <v>282</v>
      </c>
      <c r="F339" s="38" t="n">
        <v>232</v>
      </c>
      <c r="H339" s="38" t="inlineStr">
        <is>
          <t>Total habitatges familiars; principal i no principal provenen de les categories publicades</t>
        </is>
      </c>
    </row>
    <row r="340" ht="15" customHeight="1" s="39">
      <c r="A340" s="38" t="inlineStr">
        <is>
          <t>[080958] Granera</t>
        </is>
      </c>
      <c r="B340" s="42" t="inlineStr">
        <is>
          <t>080958</t>
        </is>
      </c>
      <c r="C340" s="38" t="inlineStr">
        <is>
          <t>Granera</t>
        </is>
      </c>
      <c r="D340" s="38" t="n">
        <v>114</v>
      </c>
      <c r="E340" s="38" t="n">
        <v>45</v>
      </c>
      <c r="F340" s="38" t="n">
        <v>69</v>
      </c>
      <c r="H340" s="38" t="inlineStr">
        <is>
          <t>Total habitatges familiars; principal i no principal provenen de les categories publicades</t>
        </is>
      </c>
    </row>
    <row r="341" ht="15" customHeight="1" s="39">
      <c r="A341" s="38" t="inlineStr">
        <is>
          <t>[251023] Granja d'Escarp, la</t>
        </is>
      </c>
      <c r="B341" s="42" t="inlineStr">
        <is>
          <t>251023</t>
        </is>
      </c>
      <c r="C341" s="38" t="inlineStr">
        <is>
          <t>Granja d'Escarp, la</t>
        </is>
      </c>
      <c r="D341" s="38" t="n">
        <v>547</v>
      </c>
      <c r="E341" s="38" t="n">
        <v>359</v>
      </c>
      <c r="F341" s="38" t="n">
        <v>188</v>
      </c>
      <c r="H341" s="38" t="inlineStr">
        <is>
          <t>Total habitatges familiars; principal i no principal provenen de les categories publicades</t>
        </is>
      </c>
    </row>
    <row r="342" ht="15" customHeight="1" s="39">
      <c r="A342" s="38" t="inlineStr">
        <is>
          <t>[080961] Granollers</t>
        </is>
      </c>
      <c r="B342" s="42" t="inlineStr">
        <is>
          <t>080961</t>
        </is>
      </c>
      <c r="C342" s="38" t="inlineStr">
        <is>
          <t>Granollers</t>
        </is>
      </c>
      <c r="D342" s="38" t="n">
        <v>26298</v>
      </c>
      <c r="E342" s="38" t="n">
        <v>23463</v>
      </c>
      <c r="F342" s="38" t="n">
        <v>2835</v>
      </c>
      <c r="H342" s="38" t="inlineStr">
        <is>
          <t>Total habitatges familiars; principal i no principal provenen de les categories publicades</t>
        </is>
      </c>
    </row>
    <row r="343" ht="15" customHeight="1" s="39">
      <c r="A343" s="38" t="inlineStr">
        <is>
          <t>[251039] Granyanella</t>
        </is>
      </c>
      <c r="B343" s="42" t="inlineStr">
        <is>
          <t>251039</t>
        </is>
      </c>
      <c r="C343" s="38" t="inlineStr">
        <is>
          <t>Granyanella</t>
        </is>
      </c>
      <c r="D343" s="38" t="n">
        <v>129</v>
      </c>
      <c r="E343" s="38" t="n">
        <v>57</v>
      </c>
      <c r="F343" s="38" t="n">
        <v>72</v>
      </c>
      <c r="H343" s="38" t="inlineStr">
        <is>
          <t>Total habitatges familiars; principal i no principal provenen de les categories publicades</t>
        </is>
      </c>
    </row>
    <row r="344" ht="15" customHeight="1" s="39">
      <c r="A344" s="38" t="inlineStr">
        <is>
          <t>[251057] Granyena de les Garrigues</t>
        </is>
      </c>
      <c r="B344" s="42" t="inlineStr">
        <is>
          <t>251057</t>
        </is>
      </c>
      <c r="C344" s="38" t="inlineStr">
        <is>
          <t>Granyena de les Garrigues</t>
        </is>
      </c>
      <c r="D344" s="38" t="n">
        <v>145</v>
      </c>
      <c r="E344" s="38" t="n">
        <v>69</v>
      </c>
      <c r="F344" s="38" t="n">
        <v>76</v>
      </c>
      <c r="H344" s="38" t="inlineStr">
        <is>
          <t>Total habitatges familiars; principal i no principal provenen de les categories publicades</t>
        </is>
      </c>
    </row>
    <row r="345" ht="15" customHeight="1" s="39">
      <c r="A345" s="38" t="inlineStr">
        <is>
          <t>[251044] Granyena de Segarra</t>
        </is>
      </c>
      <c r="B345" s="42" t="inlineStr">
        <is>
          <t>251044</t>
        </is>
      </c>
      <c r="C345" s="38" t="inlineStr">
        <is>
          <t>Granyena de Segarra</t>
        </is>
      </c>
      <c r="D345" s="38" t="n">
        <v>127</v>
      </c>
      <c r="E345" s="38" t="n">
        <v>59</v>
      </c>
      <c r="F345" s="38" t="n">
        <v>68</v>
      </c>
      <c r="H345" s="38" t="inlineStr">
        <is>
          <t>Total habitatges familiars; principal i no principal provenen de les categories publicades</t>
        </is>
      </c>
    </row>
    <row r="346" ht="15" customHeight="1" s="39">
      <c r="A346" s="38" t="inlineStr">
        <is>
          <t>[430691] Gratallops</t>
        </is>
      </c>
      <c r="B346" s="42" t="inlineStr">
        <is>
          <t>430691</t>
        </is>
      </c>
      <c r="C346" s="38" t="inlineStr">
        <is>
          <t>Gratallops</t>
        </is>
      </c>
      <c r="D346" s="38" t="n">
        <v>218</v>
      </c>
      <c r="E346" s="38" t="n">
        <v>105</v>
      </c>
      <c r="F346" s="38" t="n">
        <v>113</v>
      </c>
      <c r="H346" s="38" t="inlineStr">
        <is>
          <t>Total habitatges familiars; principal i no principal provenen de les categories publicades</t>
        </is>
      </c>
    </row>
    <row r="347" ht="15" customHeight="1" s="39">
      <c r="A347" s="38" t="inlineStr">
        <is>
          <t>[080977] Gualba</t>
        </is>
      </c>
      <c r="B347" s="42" t="inlineStr">
        <is>
          <t>080977</t>
        </is>
      </c>
      <c r="C347" s="38" t="inlineStr">
        <is>
          <t>Gualba</t>
        </is>
      </c>
      <c r="D347" s="38" t="n">
        <v>811</v>
      </c>
      <c r="E347" s="38" t="n">
        <v>568</v>
      </c>
      <c r="F347" s="38" t="n">
        <v>243</v>
      </c>
      <c r="H347" s="38" t="inlineStr">
        <is>
          <t>Total habitatges familiars; principal i no principal provenen de les categories publicades</t>
        </is>
      </c>
    </row>
    <row r="348" ht="15" customHeight="1" s="39">
      <c r="A348" s="38" t="inlineStr">
        <is>
          <t>[170813] Gualta</t>
        </is>
      </c>
      <c r="B348" s="42" t="inlineStr">
        <is>
          <t>170813</t>
        </is>
      </c>
      <c r="C348" s="38" t="inlineStr">
        <is>
          <t>Gualta</t>
        </is>
      </c>
      <c r="D348" s="38" t="n">
        <v>304</v>
      </c>
      <c r="E348" s="38" t="n">
        <v>133</v>
      </c>
      <c r="F348" s="38" t="n">
        <v>171</v>
      </c>
      <c r="H348" s="38" t="inlineStr">
        <is>
          <t>Total habitatges familiars; principal i no principal provenen de les categories publicades</t>
        </is>
      </c>
    </row>
    <row r="349" ht="15" customHeight="1" s="39">
      <c r="A349" s="38" t="inlineStr">
        <is>
          <t>[080996] Guardiola de Berguedà</t>
        </is>
      </c>
      <c r="B349" s="42" t="inlineStr">
        <is>
          <t>080996</t>
        </is>
      </c>
      <c r="C349" s="38" t="inlineStr">
        <is>
          <t>Guardiola de Berguedà</t>
        </is>
      </c>
      <c r="D349" s="38" t="n">
        <v>720</v>
      </c>
      <c r="E349" s="38" t="n">
        <v>423</v>
      </c>
      <c r="F349" s="38" t="n">
        <v>297</v>
      </c>
      <c r="H349" s="38" t="inlineStr">
        <is>
          <t>Total habitatges familiars; principal i no principal provenen de les categories publicades</t>
        </is>
      </c>
    </row>
    <row r="350" ht="15" customHeight="1" s="39">
      <c r="A350" s="38" t="inlineStr">
        <is>
          <t>[430705] Guiamets, els</t>
        </is>
      </c>
      <c r="B350" s="42" t="inlineStr">
        <is>
          <t>430705</t>
        </is>
      </c>
      <c r="C350" s="38" t="inlineStr">
        <is>
          <t>Guiamets, els</t>
        </is>
      </c>
      <c r="D350" s="38" t="n">
        <v>169</v>
      </c>
      <c r="E350" s="38" t="n">
        <v>107</v>
      </c>
      <c r="F350" s="38" t="n">
        <v>62</v>
      </c>
      <c r="H350" s="38" t="inlineStr">
        <is>
          <t>Total habitatges familiars; principal i no principal provenen de les categories publicades</t>
        </is>
      </c>
    </row>
    <row r="351" ht="15" customHeight="1" s="39">
      <c r="A351" s="38" t="inlineStr">
        <is>
          <t>[170828] Guils de Cerdanya</t>
        </is>
      </c>
      <c r="B351" s="42" t="inlineStr">
        <is>
          <t>170828</t>
        </is>
      </c>
      <c r="C351" s="38" t="inlineStr">
        <is>
          <t>Guils de Cerdanya</t>
        </is>
      </c>
      <c r="D351" s="38" t="n">
        <v>915</v>
      </c>
      <c r="E351" s="38" t="n">
        <v>237</v>
      </c>
      <c r="F351" s="38" t="n">
        <v>678</v>
      </c>
      <c r="H351" s="38" t="inlineStr">
        <is>
          <t>Total habitatges familiars; principal i no principal provenen de les categories publicades</t>
        </is>
      </c>
    </row>
    <row r="352" ht="15" customHeight="1" s="39">
      <c r="A352" s="38" t="inlineStr">
        <is>
          <t>[251095] Guimerà</t>
        </is>
      </c>
      <c r="B352" s="42" t="inlineStr">
        <is>
          <t>251095</t>
        </is>
      </c>
      <c r="C352" s="38" t="inlineStr">
        <is>
          <t>Guimerà</t>
        </is>
      </c>
      <c r="D352" s="38" t="n">
        <v>457</v>
      </c>
      <c r="E352" s="38" t="n">
        <v>116</v>
      </c>
      <c r="F352" s="38" t="n">
        <v>341</v>
      </c>
      <c r="H352" s="38" t="inlineStr">
        <is>
          <t>Total habitatges familiars; principal i no principal provenen de les categories publicades</t>
        </is>
      </c>
    </row>
    <row r="353" ht="15" customHeight="1" s="39">
      <c r="A353" s="38" t="inlineStr">
        <is>
          <t>[259031] Guingueta d'Àneu, la</t>
        </is>
      </c>
      <c r="B353" s="42" t="inlineStr">
        <is>
          <t>259031</t>
        </is>
      </c>
      <c r="C353" s="38" t="inlineStr">
        <is>
          <t>Guingueta d'Àneu, la</t>
        </is>
      </c>
      <c r="D353" s="38" t="n">
        <v>433</v>
      </c>
      <c r="E353" s="38" t="n">
        <v>137</v>
      </c>
      <c r="F353" s="38" t="n">
        <v>296</v>
      </c>
      <c r="H353" s="38" t="inlineStr">
        <is>
          <t>Total habitatges familiars; principal i no principal provenen de les categories publicades</t>
        </is>
      </c>
    </row>
    <row r="354" ht="15" customHeight="1" s="39">
      <c r="A354" s="38" t="inlineStr">
        <is>
          <t>[251109] Guissona</t>
        </is>
      </c>
      <c r="B354" s="42" t="inlineStr">
        <is>
          <t>251109</t>
        </is>
      </c>
      <c r="C354" s="38" t="inlineStr">
        <is>
          <t>Guissona</t>
        </is>
      </c>
      <c r="D354" s="38" t="n">
        <v>2892</v>
      </c>
      <c r="E354" s="38" t="n">
        <v>2311</v>
      </c>
      <c r="F354" s="38" t="n">
        <v>581</v>
      </c>
      <c r="H354" s="38" t="inlineStr">
        <is>
          <t>Total habitatges familiars; principal i no principal provenen de les categories publicades</t>
        </is>
      </c>
    </row>
    <row r="355" ht="15" customHeight="1" s="39">
      <c r="A355" s="38" t="inlineStr">
        <is>
          <t>[251116] Guixers</t>
        </is>
      </c>
      <c r="B355" s="42" t="inlineStr">
        <is>
          <t>251116</t>
        </is>
      </c>
      <c r="C355" s="38" t="inlineStr">
        <is>
          <t>Guixers</t>
        </is>
      </c>
      <c r="D355" s="38" t="n">
        <v>132</v>
      </c>
      <c r="E355" s="38" t="n">
        <v>52</v>
      </c>
      <c r="F355" s="38" t="n">
        <v>80</v>
      </c>
      <c r="H355" s="38" t="inlineStr">
        <is>
          <t>Total habitatges familiars; principal i no principal provenen de les categories publicades</t>
        </is>
      </c>
    </row>
    <row r="356" ht="15" customHeight="1" s="39">
      <c r="A356" s="38" t="inlineStr">
        <is>
          <t>[081000] Gurb</t>
        </is>
      </c>
      <c r="B356" s="42" t="inlineStr">
        <is>
          <t>081000</t>
        </is>
      </c>
      <c r="C356" s="38" t="inlineStr">
        <is>
          <t>Gurb</t>
        </is>
      </c>
      <c r="D356" s="38" t="n">
        <v>907</v>
      </c>
      <c r="E356" s="38" t="n">
        <v>786</v>
      </c>
      <c r="F356" s="38" t="n">
        <v>121</v>
      </c>
      <c r="H356" s="38" t="inlineStr">
        <is>
          <t>Total habitatges familiars; principal i no principal provenen de les categories publicades</t>
        </is>
      </c>
    </row>
    <row r="357" ht="15" customHeight="1" s="39">
      <c r="A357" s="38" t="inlineStr">
        <is>
          <t>[430712] Horta de Sant Joan</t>
        </is>
      </c>
      <c r="B357" s="42" t="inlineStr">
        <is>
          <t>430712</t>
        </is>
      </c>
      <c r="C357" s="38" t="inlineStr">
        <is>
          <t>Horta de Sant Joan</t>
        </is>
      </c>
      <c r="D357" s="38" t="n">
        <v>984</v>
      </c>
      <c r="E357" s="38" t="n">
        <v>446</v>
      </c>
      <c r="F357" s="38" t="n">
        <v>538</v>
      </c>
      <c r="H357" s="38" t="inlineStr">
        <is>
          <t>Total habitatges familiars; principal i no principal provenen de les categories publicades</t>
        </is>
      </c>
    </row>
    <row r="358" ht="15" customHeight="1" s="39">
      <c r="A358" s="38" t="inlineStr">
        <is>
          <t>[081017] Hospitalet de Llobregat, l'</t>
        </is>
      </c>
      <c r="B358" s="42" t="inlineStr">
        <is>
          <t>081017</t>
        </is>
      </c>
      <c r="C358" s="38" t="inlineStr">
        <is>
          <t>Hospitalet de Llobregat, l'</t>
        </is>
      </c>
      <c r="D358" s="38" t="n">
        <v>110488</v>
      </c>
      <c r="E358" s="38" t="n">
        <v>101809</v>
      </c>
      <c r="F358" s="38" t="n">
        <v>8679</v>
      </c>
      <c r="H358" s="38" t="inlineStr">
        <is>
          <t>Total habitatges familiars; principal i no principal provenen de les categories publicades</t>
        </is>
      </c>
    </row>
    <row r="359" ht="15" customHeight="1" s="39">
      <c r="A359" s="38" t="inlineStr">
        <is>
          <t>[081629] Hostalets de Pierola, els</t>
        </is>
      </c>
      <c r="B359" s="42" t="inlineStr">
        <is>
          <t>081629</t>
        </is>
      </c>
      <c r="C359" s="38" t="inlineStr">
        <is>
          <t>Hostalets de Pierola, els</t>
        </is>
      </c>
      <c r="D359" s="38" t="n">
        <v>1669</v>
      </c>
      <c r="E359" s="38" t="n">
        <v>1180</v>
      </c>
      <c r="F359" s="38" t="n">
        <v>489</v>
      </c>
      <c r="H359" s="38" t="inlineStr">
        <is>
          <t>Total habitatges familiars; principal i no principal provenen de les categories publicades</t>
        </is>
      </c>
    </row>
    <row r="360" ht="15" customHeight="1" s="39">
      <c r="A360" s="38" t="inlineStr">
        <is>
          <t>[170834] Hostalric</t>
        </is>
      </c>
      <c r="B360" s="42" t="inlineStr">
        <is>
          <t>170834</t>
        </is>
      </c>
      <c r="C360" s="38" t="inlineStr">
        <is>
          <t>Hostalric</t>
        </is>
      </c>
      <c r="D360" s="38" t="n">
        <v>1987</v>
      </c>
      <c r="E360" s="38" t="n">
        <v>1637</v>
      </c>
      <c r="F360" s="38" t="n">
        <v>350</v>
      </c>
      <c r="H360" s="38" t="inlineStr">
        <is>
          <t>Total habitatges familiars; principal i no principal provenen de les categories publicades</t>
        </is>
      </c>
    </row>
    <row r="361" ht="15" customHeight="1" s="39">
      <c r="A361" s="38" t="inlineStr">
        <is>
          <t>[081022] Igualada</t>
        </is>
      </c>
      <c r="B361" s="42" t="inlineStr">
        <is>
          <t>081022</t>
        </is>
      </c>
      <c r="C361" s="38" t="inlineStr">
        <is>
          <t>Igualada</t>
        </is>
      </c>
      <c r="D361" s="38" t="n">
        <v>18257</v>
      </c>
      <c r="E361" s="38" t="n">
        <v>15681</v>
      </c>
      <c r="F361" s="38" t="n">
        <v>2576</v>
      </c>
      <c r="H361" s="38" t="inlineStr">
        <is>
          <t>Total habitatges familiars; principal i no principal provenen de les categories publicades</t>
        </is>
      </c>
    </row>
    <row r="362" ht="15" customHeight="1" s="39">
      <c r="A362" s="38" t="inlineStr">
        <is>
          <t>[251155] Isona i Conca Dellà</t>
        </is>
      </c>
      <c r="B362" s="42" t="inlineStr">
        <is>
          <t>251155</t>
        </is>
      </c>
      <c r="C362" s="38" t="inlineStr">
        <is>
          <t>Isona i Conca Dellà</t>
        </is>
      </c>
      <c r="D362" s="38" t="n">
        <v>1172</v>
      </c>
      <c r="E362" s="38" t="n">
        <v>433</v>
      </c>
      <c r="F362" s="38" t="n">
        <v>739</v>
      </c>
      <c r="H362" s="38" t="inlineStr">
        <is>
          <t>Total habitatges familiars; principal i no principal provenen de les categories publicades</t>
        </is>
      </c>
    </row>
    <row r="363" ht="15" customHeight="1" s="39">
      <c r="A363" s="38" t="inlineStr">
        <is>
          <t>[170849] Isòvol</t>
        </is>
      </c>
      <c r="B363" s="42" t="inlineStr">
        <is>
          <t>170849</t>
        </is>
      </c>
      <c r="C363" s="38" t="inlineStr">
        <is>
          <t>Isòvol</t>
        </is>
      </c>
      <c r="D363" s="38" t="n">
        <v>442</v>
      </c>
      <c r="E363" s="38" t="n">
        <v>135</v>
      </c>
      <c r="F363" s="38" t="n">
        <v>307</v>
      </c>
      <c r="H363" s="38" t="inlineStr">
        <is>
          <t>Total habitatges familiars; principal i no principal provenen de les categories publicades</t>
        </is>
      </c>
    </row>
    <row r="364" ht="15" customHeight="1" s="39">
      <c r="A364" s="38" t="inlineStr">
        <is>
          <t>[251137] Ivars d'Urgell</t>
        </is>
      </c>
      <c r="B364" s="42" t="inlineStr">
        <is>
          <t>251137</t>
        </is>
      </c>
      <c r="C364" s="38" t="inlineStr">
        <is>
          <t>Ivars d'Urgell</t>
        </is>
      </c>
      <c r="D364" s="38" t="n">
        <v>804</v>
      </c>
      <c r="E364" s="38" t="n">
        <v>589</v>
      </c>
      <c r="F364" s="38" t="n">
        <v>215</v>
      </c>
      <c r="H364" s="38" t="inlineStr">
        <is>
          <t>Total habitatges familiars; principal i no principal provenen de les categories publicades</t>
        </is>
      </c>
    </row>
    <row r="365" ht="15" customHeight="1" s="39">
      <c r="A365" s="38" t="inlineStr">
        <is>
          <t>[251121] Ivars de Noguera</t>
        </is>
      </c>
      <c r="B365" s="42" t="inlineStr">
        <is>
          <t>251121</t>
        </is>
      </c>
      <c r="C365" s="38" t="inlineStr">
        <is>
          <t>Ivars de Noguera</t>
        </is>
      </c>
      <c r="D365" s="38" t="n">
        <v>183</v>
      </c>
      <c r="E365" s="38" t="n">
        <v>121</v>
      </c>
      <c r="F365" s="38" t="n">
        <v>62</v>
      </c>
      <c r="H365" s="38" t="inlineStr">
        <is>
          <t>Total habitatges familiars; principal i no principal provenen de les categories publicades</t>
        </is>
      </c>
    </row>
    <row r="366" ht="15" customHeight="1" s="39">
      <c r="A366" s="38" t="inlineStr">
        <is>
          <t>[251142] Ivorra</t>
        </is>
      </c>
      <c r="B366" s="42" t="inlineStr">
        <is>
          <t>251142</t>
        </is>
      </c>
      <c r="C366" s="38" t="inlineStr">
        <is>
          <t>Ivorra</t>
        </is>
      </c>
      <c r="D366" s="38" t="n">
        <v>77</v>
      </c>
      <c r="E366" s="38" t="n">
        <v>41</v>
      </c>
      <c r="F366" s="38" t="n">
        <v>36</v>
      </c>
      <c r="H366" s="38" t="inlineStr">
        <is>
          <t>Total habitatges familiars; principal i no principal provenen de les categories publicades</t>
        </is>
      </c>
    </row>
    <row r="367" ht="15" customHeight="1" s="39">
      <c r="A367" s="38" t="inlineStr">
        <is>
          <t>[170852] Jafre</t>
        </is>
      </c>
      <c r="B367" s="42" t="inlineStr">
        <is>
          <t>170852</t>
        </is>
      </c>
      <c r="C367" s="38" t="inlineStr">
        <is>
          <t>Jafre</t>
        </is>
      </c>
      <c r="D367" s="38" t="n">
        <v>229</v>
      </c>
      <c r="E367" s="38" t="n">
        <v>143</v>
      </c>
      <c r="F367" s="38" t="n">
        <v>86</v>
      </c>
      <c r="H367" s="38" t="inlineStr">
        <is>
          <t>Total habitatges familiars; principal i no principal provenen de les categories publicades</t>
        </is>
      </c>
    </row>
    <row r="368" ht="15" customHeight="1" s="39">
      <c r="A368" s="38" t="inlineStr">
        <is>
          <t>[170865] Jonquera, la</t>
        </is>
      </c>
      <c r="B368" s="42" t="inlineStr">
        <is>
          <t>170865</t>
        </is>
      </c>
      <c r="C368" s="38" t="inlineStr">
        <is>
          <t>Jonquera, la</t>
        </is>
      </c>
      <c r="D368" s="38" t="n">
        <v>1469</v>
      </c>
      <c r="E368" s="38" t="n">
        <v>1160</v>
      </c>
      <c r="F368" s="38" t="n">
        <v>309</v>
      </c>
      <c r="H368" s="38" t="inlineStr">
        <is>
          <t>Total habitatges familiars; principal i no principal provenen de les categories publicades</t>
        </is>
      </c>
    </row>
    <row r="369" ht="15" customHeight="1" s="39">
      <c r="A369" s="38" t="inlineStr">
        <is>
          <t>[081038] Jorba</t>
        </is>
      </c>
      <c r="B369" s="42" t="inlineStr">
        <is>
          <t>081038</t>
        </is>
      </c>
      <c r="C369" s="38" t="inlineStr">
        <is>
          <t>Jorba</t>
        </is>
      </c>
      <c r="D369" s="38" t="n">
        <v>452</v>
      </c>
      <c r="E369" s="38" t="n">
        <v>319</v>
      </c>
      <c r="F369" s="38" t="n">
        <v>133</v>
      </c>
      <c r="H369" s="38" t="inlineStr">
        <is>
          <t>Total habitatges familiars; principal i no principal provenen de les categories publicades</t>
        </is>
      </c>
    </row>
    <row r="370" ht="15" customHeight="1" s="39">
      <c r="A370" s="38" t="inlineStr">
        <is>
          <t>[259101] Josa i Tuixén</t>
        </is>
      </c>
      <c r="B370" s="42" t="inlineStr">
        <is>
          <t>259101</t>
        </is>
      </c>
      <c r="C370" s="38" t="inlineStr">
        <is>
          <t>Josa i Tuixén</t>
        </is>
      </c>
      <c r="D370" s="38" t="n">
        <v>210</v>
      </c>
      <c r="E370" s="38" t="n">
        <v>61</v>
      </c>
      <c r="F370" s="38" t="n">
        <v>149</v>
      </c>
      <c r="H370" s="38" t="inlineStr">
        <is>
          <t>Total habitatges familiars; principal i no principal provenen de les categories publicades</t>
        </is>
      </c>
    </row>
    <row r="371" ht="15" customHeight="1" s="39">
      <c r="A371" s="38" t="inlineStr">
        <is>
          <t>[170871] Juià</t>
        </is>
      </c>
      <c r="B371" s="42" t="inlineStr">
        <is>
          <t>170871</t>
        </is>
      </c>
      <c r="C371" s="38" t="inlineStr">
        <is>
          <t>Juià</t>
        </is>
      </c>
      <c r="D371" s="38" t="n">
        <v>154</v>
      </c>
      <c r="E371" s="38" t="n">
        <v>101</v>
      </c>
      <c r="F371" s="38" t="n">
        <v>53</v>
      </c>
      <c r="H371" s="38" t="inlineStr">
        <is>
          <t>Total habitatges familiars; principal i no principal provenen de les categories publicades</t>
        </is>
      </c>
    </row>
    <row r="372" ht="15" customHeight="1" s="39">
      <c r="A372" s="38" t="inlineStr">
        <is>
          <t>[251180] Juncosa</t>
        </is>
      </c>
      <c r="B372" s="42" t="inlineStr">
        <is>
          <t>251180</t>
        </is>
      </c>
      <c r="C372" s="38" t="inlineStr">
        <is>
          <t>Juncosa</t>
        </is>
      </c>
      <c r="D372" s="38" t="n">
        <v>320</v>
      </c>
      <c r="E372" s="38" t="n">
        <v>167</v>
      </c>
      <c r="F372" s="38" t="n">
        <v>153</v>
      </c>
      <c r="H372" s="38" t="inlineStr">
        <is>
          <t>Total habitatges familiars; principal i no principal provenen de les categories publicades</t>
        </is>
      </c>
    </row>
    <row r="373" ht="15" customHeight="1" s="39">
      <c r="A373" s="38" t="inlineStr">
        <is>
          <t>[251193] Juneda</t>
        </is>
      </c>
      <c r="B373" s="42" t="inlineStr">
        <is>
          <t>251193</t>
        </is>
      </c>
      <c r="C373" s="38" t="inlineStr">
        <is>
          <t>Juneda</t>
        </is>
      </c>
      <c r="D373" s="38" t="n">
        <v>1846</v>
      </c>
      <c r="E373" s="38" t="n">
        <v>1292</v>
      </c>
      <c r="F373" s="38" t="n">
        <v>554</v>
      </c>
      <c r="H373" s="38" t="inlineStr">
        <is>
          <t>Total habitatges familiars; principal i no principal provenen de les categories publicades</t>
        </is>
      </c>
    </row>
    <row r="374" ht="15" customHeight="1" s="39">
      <c r="A374" s="38" t="inlineStr">
        <is>
          <t>[251214] Les</t>
        </is>
      </c>
      <c r="B374" s="42" t="inlineStr">
        <is>
          <t>251214</t>
        </is>
      </c>
      <c r="C374" s="38" t="inlineStr">
        <is>
          <t>Les</t>
        </is>
      </c>
      <c r="D374" s="38" t="n">
        <v>553</v>
      </c>
      <c r="E374" s="38" t="n">
        <v>395</v>
      </c>
      <c r="F374" s="38" t="n">
        <v>158</v>
      </c>
      <c r="H374" s="38" t="inlineStr">
        <is>
          <t>Total habitatges familiars; principal i no principal provenen de les categories publicades</t>
        </is>
      </c>
    </row>
    <row r="375" ht="15" customHeight="1" s="39">
      <c r="A375" s="38" t="inlineStr">
        <is>
          <t>[251229] Linyola</t>
        </is>
      </c>
      <c r="B375" s="42" t="inlineStr">
        <is>
          <t>251229</t>
        </is>
      </c>
      <c r="C375" s="38" t="inlineStr">
        <is>
          <t>Linyola</t>
        </is>
      </c>
      <c r="D375" s="38" t="n">
        <v>1452</v>
      </c>
      <c r="E375" s="38" t="n">
        <v>1042</v>
      </c>
      <c r="F375" s="38" t="n">
        <v>410</v>
      </c>
      <c r="H375" s="38" t="inlineStr">
        <is>
          <t>Total habitatges familiars; principal i no principal provenen de les categories publicades</t>
        </is>
      </c>
    </row>
    <row r="376" ht="15" customHeight="1" s="39">
      <c r="A376" s="38" t="inlineStr">
        <is>
          <t>[081043] Llacuna, la</t>
        </is>
      </c>
      <c r="B376" s="42" t="inlineStr">
        <is>
          <t>081043</t>
        </is>
      </c>
      <c r="C376" s="38" t="inlineStr">
        <is>
          <t>Llacuna, la</t>
        </is>
      </c>
      <c r="D376" s="38" t="n">
        <v>756</v>
      </c>
      <c r="E376" s="38" t="n">
        <v>376</v>
      </c>
      <c r="F376" s="38" t="n">
        <v>380</v>
      </c>
      <c r="H376" s="38" t="inlineStr">
        <is>
          <t>Total habitatges familiars; principal i no principal provenen de les categories publicades</t>
        </is>
      </c>
    </row>
    <row r="377" ht="15" customHeight="1" s="39">
      <c r="A377" s="38" t="inlineStr">
        <is>
          <t>[170887] Lladó</t>
        </is>
      </c>
      <c r="B377" s="42" t="inlineStr">
        <is>
          <t>170887</t>
        </is>
      </c>
      <c r="C377" s="38" t="inlineStr">
        <is>
          <t>Lladó</t>
        </is>
      </c>
      <c r="D377" s="38" t="n">
        <v>398</v>
      </c>
      <c r="E377" s="38" t="n">
        <v>298</v>
      </c>
      <c r="F377" s="38" t="n">
        <v>100</v>
      </c>
      <c r="H377" s="38" t="inlineStr">
        <is>
          <t>Total habitatges familiars; principal i no principal provenen de les categories publicades</t>
        </is>
      </c>
    </row>
    <row r="378" ht="15" customHeight="1" s="39">
      <c r="A378" s="38" t="inlineStr">
        <is>
          <t>[251235] Lladorre</t>
        </is>
      </c>
      <c r="B378" s="42" t="inlineStr">
        <is>
          <t>251235</t>
        </is>
      </c>
      <c r="C378" s="38" t="inlineStr">
        <is>
          <t>Lladorre</t>
        </is>
      </c>
      <c r="D378" s="38" t="n">
        <v>185</v>
      </c>
      <c r="E378" s="38" t="n">
        <v>115</v>
      </c>
      <c r="F378" s="38" t="n">
        <v>70</v>
      </c>
      <c r="H378" s="38" t="inlineStr">
        <is>
          <t>Total habitatges familiars; principal i no principal provenen de les categories publicades</t>
        </is>
      </c>
    </row>
    <row r="379" ht="15" customHeight="1" s="39">
      <c r="A379" s="38" t="inlineStr">
        <is>
          <t>[251240] Lladurs</t>
        </is>
      </c>
      <c r="B379" s="42" t="inlineStr">
        <is>
          <t>251240</t>
        </is>
      </c>
      <c r="C379" s="38" t="inlineStr">
        <is>
          <t>Lladurs</t>
        </is>
      </c>
      <c r="D379" s="38" t="n">
        <v>121</v>
      </c>
      <c r="E379" s="38" t="n">
        <v>68</v>
      </c>
      <c r="F379" s="38" t="n">
        <v>53</v>
      </c>
      <c r="H379" s="38" t="inlineStr">
        <is>
          <t>Total habitatges familiars; principal i no principal provenen de les categories publicades</t>
        </is>
      </c>
    </row>
    <row r="380" ht="15" customHeight="1" s="39">
      <c r="A380" s="38" t="inlineStr">
        <is>
          <t>[081056] Llagosta, la</t>
        </is>
      </c>
      <c r="B380" s="42" t="inlineStr">
        <is>
          <t>081056</t>
        </is>
      </c>
      <c r="C380" s="38" t="inlineStr">
        <is>
          <t>Llagosta, la</t>
        </is>
      </c>
      <c r="D380" s="38" t="n">
        <v>5309</v>
      </c>
      <c r="E380" s="38" t="n">
        <v>5053</v>
      </c>
      <c r="F380" s="38" t="n">
        <v>256</v>
      </c>
      <c r="H380" s="38" t="inlineStr">
        <is>
          <t>Total habitatges familiars; principal i no principal provenen de les categories publicades</t>
        </is>
      </c>
    </row>
    <row r="381" ht="15" customHeight="1" s="39">
      <c r="A381" s="38" t="inlineStr">
        <is>
          <t>[170890] Llagostera</t>
        </is>
      </c>
      <c r="B381" s="42" t="inlineStr">
        <is>
          <t>170890</t>
        </is>
      </c>
      <c r="C381" s="38" t="inlineStr">
        <is>
          <t>Llagostera</t>
        </is>
      </c>
      <c r="D381" s="38" t="n">
        <v>4481</v>
      </c>
      <c r="E381" s="38" t="n">
        <v>3302</v>
      </c>
      <c r="F381" s="38" t="n">
        <v>1179</v>
      </c>
      <c r="H381" s="38" t="inlineStr">
        <is>
          <t>Total habitatges familiars; principal i no principal provenen de les categories publicades</t>
        </is>
      </c>
    </row>
    <row r="382" ht="15" customHeight="1" s="39">
      <c r="A382" s="38" t="inlineStr">
        <is>
          <t>[170904] Llambilles</t>
        </is>
      </c>
      <c r="B382" s="42" t="inlineStr">
        <is>
          <t>170904</t>
        </is>
      </c>
      <c r="C382" s="38" t="inlineStr">
        <is>
          <t>Llambilles</t>
        </is>
      </c>
      <c r="D382" s="38" t="n">
        <v>287</v>
      </c>
      <c r="E382" s="38" t="n">
        <v>244</v>
      </c>
      <c r="F382" s="38" t="n">
        <v>43</v>
      </c>
      <c r="H382" s="38" t="inlineStr">
        <is>
          <t>Total habitatges familiars; principal i no principal provenen de les categories publicades</t>
        </is>
      </c>
    </row>
    <row r="383" ht="15" customHeight="1" s="39">
      <c r="A383" s="38" t="inlineStr">
        <is>
          <t>[170911] Llanars</t>
        </is>
      </c>
      <c r="B383" s="42" t="inlineStr">
        <is>
          <t>170911</t>
        </is>
      </c>
      <c r="C383" s="38" t="inlineStr">
        <is>
          <t>Llanars</t>
        </is>
      </c>
      <c r="D383" s="38" t="n">
        <v>783</v>
      </c>
      <c r="E383" s="38" t="n">
        <v>228</v>
      </c>
      <c r="F383" s="38" t="n">
        <v>555</v>
      </c>
      <c r="H383" s="38" t="inlineStr">
        <is>
          <t>Total habitatges familiars; principal i no principal provenen de les categories publicades</t>
        </is>
      </c>
    </row>
    <row r="384" ht="15" customHeight="1" s="39">
      <c r="A384" s="38" t="inlineStr">
        <is>
          <t>[170926] Llançà</t>
        </is>
      </c>
      <c r="B384" s="42" t="inlineStr">
        <is>
          <t>170926</t>
        </is>
      </c>
      <c r="C384" s="38" t="inlineStr">
        <is>
          <t>Llançà</t>
        </is>
      </c>
      <c r="D384" s="38" t="n">
        <v>8246</v>
      </c>
      <c r="E384" s="38" t="n">
        <v>2200</v>
      </c>
      <c r="F384" s="38" t="n">
        <v>6046</v>
      </c>
      <c r="H384" s="38" t="inlineStr">
        <is>
          <t>Total habitatges familiars; principal i no principal provenen de les categories publicades</t>
        </is>
      </c>
    </row>
    <row r="385" ht="15" customHeight="1" s="39">
      <c r="A385" s="38" t="inlineStr">
        <is>
          <t>[251253] Llardecans</t>
        </is>
      </c>
      <c r="B385" s="42" t="inlineStr">
        <is>
          <t>251253</t>
        </is>
      </c>
      <c r="C385" s="38" t="inlineStr">
        <is>
          <t>Llardecans</t>
        </is>
      </c>
      <c r="D385" s="38" t="n">
        <v>329</v>
      </c>
      <c r="E385" s="38" t="n">
        <v>182</v>
      </c>
      <c r="F385" s="38" t="n">
        <v>147</v>
      </c>
      <c r="H385" s="38" t="inlineStr">
        <is>
          <t>Total habitatges familiars; principal i no principal provenen de les categories publicades</t>
        </is>
      </c>
    </row>
    <row r="386" ht="15" customHeight="1" s="39">
      <c r="A386" s="38" t="inlineStr">
        <is>
          <t>[251266] Llavorsí</t>
        </is>
      </c>
      <c r="B386" s="42" t="inlineStr">
        <is>
          <t>251266</t>
        </is>
      </c>
      <c r="C386" s="38" t="inlineStr">
        <is>
          <t>Llavorsí</t>
        </is>
      </c>
      <c r="D386" s="38" t="n">
        <v>375</v>
      </c>
      <c r="E386" s="38" t="n">
        <v>169</v>
      </c>
      <c r="F386" s="38" t="n">
        <v>206</v>
      </c>
      <c r="H386" s="38" t="inlineStr">
        <is>
          <t>Total habitatges familiars; principal i no principal provenen de les categories publicades</t>
        </is>
      </c>
    </row>
    <row r="387" ht="15" customHeight="1" s="39">
      <c r="A387" s="38" t="inlineStr">
        <is>
          <t>[251207] Lleida</t>
        </is>
      </c>
      <c r="B387" s="42" t="inlineStr">
        <is>
          <t>251207</t>
        </is>
      </c>
      <c r="C387" s="38" t="inlineStr">
        <is>
          <t>Lleida</t>
        </is>
      </c>
      <c r="D387" s="38" t="n">
        <v>68299</v>
      </c>
      <c r="E387" s="38" t="n">
        <v>54542</v>
      </c>
      <c r="F387" s="38" t="n">
        <v>13757</v>
      </c>
      <c r="H387" s="38" t="inlineStr">
        <is>
          <t>Total habitatges familiars; principal i no principal provenen de les categories publicades</t>
        </is>
      </c>
    </row>
    <row r="388" ht="15" customHeight="1" s="39">
      <c r="A388" s="38" t="inlineStr">
        <is>
          <t>[170932] Llers</t>
        </is>
      </c>
      <c r="B388" s="42" t="inlineStr">
        <is>
          <t>170932</t>
        </is>
      </c>
      <c r="C388" s="38" t="inlineStr">
        <is>
          <t>Llers</t>
        </is>
      </c>
      <c r="D388" s="38" t="n">
        <v>550</v>
      </c>
      <c r="E388" s="38" t="n">
        <v>453</v>
      </c>
      <c r="F388" s="38" t="n">
        <v>97</v>
      </c>
      <c r="H388" s="38" t="inlineStr">
        <is>
          <t>Total habitatges familiars; principal i no principal provenen de les categories publicades</t>
        </is>
      </c>
    </row>
    <row r="389" ht="15" customHeight="1" s="39">
      <c r="A389" s="38" t="inlineStr">
        <is>
          <t>[251272] Lles de Cerdanya</t>
        </is>
      </c>
      <c r="B389" s="42" t="inlineStr">
        <is>
          <t>251272</t>
        </is>
      </c>
      <c r="C389" s="38" t="inlineStr">
        <is>
          <t>Lles de Cerdanya</t>
        </is>
      </c>
      <c r="D389" s="38" t="n">
        <v>322</v>
      </c>
      <c r="E389" s="38" t="n">
        <v>124</v>
      </c>
      <c r="F389" s="38" t="n">
        <v>198</v>
      </c>
      <c r="H389" s="38" t="inlineStr">
        <is>
          <t>Total habitatges familiars; principal i no principal provenen de les categories publicades</t>
        </is>
      </c>
    </row>
    <row r="390" ht="15" customHeight="1" s="39">
      <c r="A390" s="38" t="inlineStr">
        <is>
          <t>[081075] Lliçà d'Amunt</t>
        </is>
      </c>
      <c r="B390" s="42" t="inlineStr">
        <is>
          <t>081075</t>
        </is>
      </c>
      <c r="C390" s="38" t="inlineStr">
        <is>
          <t>Lliçà d'Amunt</t>
        </is>
      </c>
      <c r="D390" s="38" t="n">
        <v>6644</v>
      </c>
      <c r="E390" s="38" t="n">
        <v>5383</v>
      </c>
      <c r="F390" s="38" t="n">
        <v>1261</v>
      </c>
      <c r="H390" s="38" t="inlineStr">
        <is>
          <t>Total habitatges familiars; principal i no principal provenen de les categories publicades</t>
        </is>
      </c>
    </row>
    <row r="391" ht="15" customHeight="1" s="39">
      <c r="A391" s="38" t="inlineStr">
        <is>
          <t>[081081] Lliçà de Vall</t>
        </is>
      </c>
      <c r="B391" s="42" t="inlineStr">
        <is>
          <t>081081</t>
        </is>
      </c>
      <c r="C391" s="38" t="inlineStr">
        <is>
          <t>Lliçà de Vall</t>
        </is>
      </c>
      <c r="D391" s="38" t="n">
        <v>2680</v>
      </c>
      <c r="E391" s="38" t="n">
        <v>2263</v>
      </c>
      <c r="F391" s="38" t="n">
        <v>417</v>
      </c>
      <c r="H391" s="38" t="inlineStr">
        <is>
          <t>Total habitatges familiars; principal i no principal provenen de les categories publicades</t>
        </is>
      </c>
    </row>
    <row r="392" ht="15" customHeight="1" s="39">
      <c r="A392" s="38" t="inlineStr">
        <is>
          <t>[251288] Llimiana</t>
        </is>
      </c>
      <c r="B392" s="42" t="inlineStr">
        <is>
          <t>251288</t>
        </is>
      </c>
      <c r="C392" s="38" t="inlineStr">
        <is>
          <t>Llimiana</t>
        </is>
      </c>
      <c r="D392" s="38" t="n">
        <v>159</v>
      </c>
      <c r="E392" s="38" t="n">
        <v>61</v>
      </c>
      <c r="F392" s="38" t="n">
        <v>98</v>
      </c>
      <c r="H392" s="38" t="inlineStr">
        <is>
          <t>Total habitatges familiars; principal i no principal provenen de les categories publicades</t>
        </is>
      </c>
    </row>
    <row r="393" ht="15" customHeight="1" s="39">
      <c r="A393" s="38" t="inlineStr">
        <is>
          <t>[081069] Llinars del Vallès</t>
        </is>
      </c>
      <c r="B393" s="42" t="inlineStr">
        <is>
          <t>081069</t>
        </is>
      </c>
      <c r="C393" s="38" t="inlineStr">
        <is>
          <t>Llinars del Vallès</t>
        </is>
      </c>
      <c r="D393" s="38" t="n">
        <v>4321</v>
      </c>
      <c r="E393" s="38" t="n">
        <v>3741</v>
      </c>
      <c r="F393" s="38" t="n">
        <v>580</v>
      </c>
      <c r="H393" s="38" t="inlineStr">
        <is>
          <t>Total habitatges familiars; principal i no principal provenen de les categories publicades</t>
        </is>
      </c>
    </row>
    <row r="394" ht="15" customHeight="1" s="39">
      <c r="A394" s="38" t="inlineStr">
        <is>
          <t>[170947] Llívia</t>
        </is>
      </c>
      <c r="B394" s="42" t="inlineStr">
        <is>
          <t>170947</t>
        </is>
      </c>
      <c r="C394" s="38" t="inlineStr">
        <is>
          <t>Llívia</t>
        </is>
      </c>
      <c r="D394" s="38" t="n">
        <v>2380</v>
      </c>
      <c r="E394" s="38" t="n">
        <v>676</v>
      </c>
      <c r="F394" s="38" t="n">
        <v>1704</v>
      </c>
      <c r="H394" s="38" t="inlineStr">
        <is>
          <t>Total habitatges familiars; principal i no principal provenen de les categories publicades</t>
        </is>
      </c>
    </row>
    <row r="395" ht="15" customHeight="1" s="39">
      <c r="A395" s="38" t="inlineStr">
        <is>
          <t>[430727] Lloar, el</t>
        </is>
      </c>
      <c r="B395" s="42" t="inlineStr">
        <is>
          <t>430727</t>
        </is>
      </c>
      <c r="C395" s="38" t="inlineStr">
        <is>
          <t>Lloar, el</t>
        </is>
      </c>
      <c r="D395" s="38" t="n">
        <v>123</v>
      </c>
      <c r="E395" s="38" t="n">
        <v>50</v>
      </c>
      <c r="F395" s="38" t="n">
        <v>73</v>
      </c>
      <c r="H395" s="38" t="inlineStr">
        <is>
          <t>Total habitatges familiars; principal i no principal provenen de les categories publicades</t>
        </is>
      </c>
    </row>
    <row r="396" ht="15" customHeight="1" s="39">
      <c r="A396" s="38" t="inlineStr">
        <is>
          <t>[251291] Llobera</t>
        </is>
      </c>
      <c r="B396" s="42" t="inlineStr">
        <is>
          <t>251291</t>
        </is>
      </c>
      <c r="C396" s="38" t="inlineStr">
        <is>
          <t>Llobera</t>
        </is>
      </c>
      <c r="D396" s="38" t="n">
        <v>82</v>
      </c>
      <c r="E396" s="38" t="n">
        <v>57</v>
      </c>
      <c r="F396" s="38" t="n">
        <v>25</v>
      </c>
      <c r="H396" s="38" t="inlineStr">
        <is>
          <t>Total habitatges familiars; principal i no principal provenen de les categories publicades</t>
        </is>
      </c>
    </row>
    <row r="397" ht="15" customHeight="1" s="39">
      <c r="A397" s="38" t="inlineStr">
        <is>
          <t>[430733] Llorac</t>
        </is>
      </c>
      <c r="B397" s="42" t="inlineStr">
        <is>
          <t>430733</t>
        </is>
      </c>
      <c r="C397" s="38" t="inlineStr">
        <is>
          <t>Llorac</t>
        </is>
      </c>
      <c r="D397" s="38" t="n">
        <v>105</v>
      </c>
      <c r="E397" s="38" t="n">
        <v>42</v>
      </c>
      <c r="F397" s="38" t="n">
        <v>63</v>
      </c>
      <c r="H397" s="38" t="inlineStr">
        <is>
          <t>Total habitatges familiars; principal i no principal provenen de les categories publicades</t>
        </is>
      </c>
    </row>
    <row r="398" ht="15" customHeight="1" s="39">
      <c r="A398" s="38" t="inlineStr">
        <is>
          <t>[430748] Llorenç del Penedès</t>
        </is>
      </c>
      <c r="B398" s="42" t="inlineStr">
        <is>
          <t>430748</t>
        </is>
      </c>
      <c r="C398" s="38" t="inlineStr">
        <is>
          <t>Llorenç del Penedès</t>
        </is>
      </c>
      <c r="D398" s="38" t="n">
        <v>1111</v>
      </c>
      <c r="E398" s="38" t="n">
        <v>859</v>
      </c>
      <c r="F398" s="38" t="n">
        <v>252</v>
      </c>
      <c r="H398" s="38" t="inlineStr">
        <is>
          <t>Total habitatges familiars; principal i no principal provenen de les categories publicades</t>
        </is>
      </c>
    </row>
    <row r="399" ht="15" customHeight="1" s="39">
      <c r="A399" s="38" t="inlineStr">
        <is>
          <t>[170950] Lloret de Mar</t>
        </is>
      </c>
      <c r="B399" s="42" t="inlineStr">
        <is>
          <t>170950</t>
        </is>
      </c>
      <c r="C399" s="38" t="inlineStr">
        <is>
          <t>Lloret de Mar</t>
        </is>
      </c>
      <c r="D399" s="38" t="n">
        <v>25496</v>
      </c>
      <c r="E399" s="38" t="n">
        <v>15288</v>
      </c>
      <c r="F399" s="38" t="n">
        <v>10208</v>
      </c>
      <c r="H399" s="38" t="inlineStr">
        <is>
          <t>Total habitatges familiars; principal i no principal provenen de les categories publicades</t>
        </is>
      </c>
    </row>
    <row r="400" ht="15" customHeight="1" s="39">
      <c r="A400" s="38" t="inlineStr">
        <is>
          <t>[170963] Llosses, les</t>
        </is>
      </c>
      <c r="B400" s="42" t="inlineStr">
        <is>
          <t>170963</t>
        </is>
      </c>
      <c r="C400" s="38" t="inlineStr">
        <is>
          <t>Llosses, les</t>
        </is>
      </c>
      <c r="D400" s="38" t="n">
        <v>146</v>
      </c>
      <c r="E400" s="38" t="n">
        <v>88</v>
      </c>
      <c r="F400" s="38" t="n">
        <v>58</v>
      </c>
      <c r="H400" s="38" t="inlineStr">
        <is>
          <t>Total habitatges familiars; principal i no principal provenen de les categories publicades</t>
        </is>
      </c>
    </row>
    <row r="401" ht="15" customHeight="1" s="39">
      <c r="A401" s="38" t="inlineStr">
        <is>
          <t>[081094] Lluçà</t>
        </is>
      </c>
      <c r="B401" s="42" t="inlineStr">
        <is>
          <t>081094</t>
        </is>
      </c>
      <c r="C401" s="38" t="inlineStr">
        <is>
          <t>Lluçà</t>
        </is>
      </c>
      <c r="D401" s="38" t="n">
        <v>203</v>
      </c>
      <c r="E401" s="38" t="n">
        <v>102</v>
      </c>
      <c r="F401" s="38" t="n">
        <v>101</v>
      </c>
      <c r="H401" s="38" t="inlineStr">
        <is>
          <t>Total habitatges familiars; principal i no principal provenen de les categories publicades</t>
        </is>
      </c>
    </row>
    <row r="402" ht="15" customHeight="1" s="39">
      <c r="A402" s="38" t="inlineStr">
        <is>
          <t>[171024] Maçanet de Cabrenys</t>
        </is>
      </c>
      <c r="B402" s="42" t="inlineStr">
        <is>
          <t>171024</t>
        </is>
      </c>
      <c r="C402" s="38" t="inlineStr">
        <is>
          <t>Maçanet de Cabrenys</t>
        </is>
      </c>
      <c r="D402" s="38" t="n">
        <v>684</v>
      </c>
      <c r="E402" s="38" t="n">
        <v>333</v>
      </c>
      <c r="F402" s="38" t="n">
        <v>351</v>
      </c>
      <c r="H402" s="38" t="inlineStr">
        <is>
          <t>Total habitatges familiars; principal i no principal provenen de les categories publicades</t>
        </is>
      </c>
    </row>
    <row r="403" ht="15" customHeight="1" s="39">
      <c r="A403" s="38" t="inlineStr">
        <is>
          <t>[171030] Maçanet de la Selva</t>
        </is>
      </c>
      <c r="B403" s="42" t="inlineStr">
        <is>
          <t>171030</t>
        </is>
      </c>
      <c r="C403" s="38" t="inlineStr">
        <is>
          <t>Maçanet de la Selva</t>
        </is>
      </c>
      <c r="D403" s="38" t="n">
        <v>4571</v>
      </c>
      <c r="E403" s="38" t="n">
        <v>2831</v>
      </c>
      <c r="F403" s="38" t="n">
        <v>1740</v>
      </c>
      <c r="H403" s="38" t="inlineStr">
        <is>
          <t>Total habitatges familiars; principal i no principal provenen de les categories publicades</t>
        </is>
      </c>
    </row>
    <row r="404" ht="15" customHeight="1" s="39">
      <c r="A404" s="38" t="inlineStr">
        <is>
          <t>[170979] Madremanya</t>
        </is>
      </c>
      <c r="B404" s="42" t="inlineStr">
        <is>
          <t>170979</t>
        </is>
      </c>
      <c r="C404" s="38" t="inlineStr">
        <is>
          <t>Madremanya</t>
        </is>
      </c>
      <c r="D404" s="38" t="n">
        <v>169</v>
      </c>
      <c r="E404" s="38" t="n">
        <v>106</v>
      </c>
      <c r="F404" s="38" t="n">
        <v>63</v>
      </c>
      <c r="H404" s="38" t="inlineStr">
        <is>
          <t>Total habitatges familiars; principal i no principal provenen de les categories publicades</t>
        </is>
      </c>
    </row>
    <row r="405" ht="15" customHeight="1" s="39">
      <c r="A405" s="38" t="inlineStr">
        <is>
          <t>[170985] Maià de Montcal</t>
        </is>
      </c>
      <c r="B405" s="42" t="inlineStr">
        <is>
          <t>170985</t>
        </is>
      </c>
      <c r="C405" s="38" t="inlineStr">
        <is>
          <t>Maià de Montcal</t>
        </is>
      </c>
      <c r="D405" s="38" t="n">
        <v>253</v>
      </c>
      <c r="E405" s="38" t="n">
        <v>176</v>
      </c>
      <c r="F405" s="38" t="n">
        <v>77</v>
      </c>
      <c r="H405" s="38" t="inlineStr">
        <is>
          <t>Total habitatges familiars; principal i no principal provenen de les categories publicades</t>
        </is>
      </c>
    </row>
    <row r="406" ht="15" customHeight="1" s="39">
      <c r="A406" s="38" t="inlineStr">
        <is>
          <t>[251333] Maials</t>
        </is>
      </c>
      <c r="B406" s="42" t="inlineStr">
        <is>
          <t>251333</t>
        </is>
      </c>
      <c r="C406" s="38" t="inlineStr">
        <is>
          <t>Maials</t>
        </is>
      </c>
      <c r="D406" s="38" t="n">
        <v>612</v>
      </c>
      <c r="E406" s="38" t="n">
        <v>359</v>
      </c>
      <c r="F406" s="38" t="n">
        <v>253</v>
      </c>
      <c r="H406" s="38" t="inlineStr">
        <is>
          <t>Total habitatges familiars; principal i no principal provenen de les categories publicades</t>
        </is>
      </c>
    </row>
    <row r="407" ht="15" customHeight="1" s="39">
      <c r="A407" s="38" t="inlineStr">
        <is>
          <t>[251305] Maldà</t>
        </is>
      </c>
      <c r="B407" s="42" t="inlineStr">
        <is>
          <t>251305</t>
        </is>
      </c>
      <c r="C407" s="38" t="inlineStr">
        <is>
          <t>Maldà</t>
        </is>
      </c>
      <c r="D407" s="38" t="n">
        <v>249</v>
      </c>
      <c r="E407" s="38" t="n">
        <v>99</v>
      </c>
      <c r="F407" s="38" t="n">
        <v>150</v>
      </c>
      <c r="H407" s="38" t="inlineStr">
        <is>
          <t>Total habitatges familiars; principal i no principal provenen de les categories publicades</t>
        </is>
      </c>
    </row>
    <row r="408" ht="15" customHeight="1" s="39">
      <c r="A408" s="38" t="inlineStr">
        <is>
          <t>[081108] Malgrat de Mar</t>
        </is>
      </c>
      <c r="B408" s="42" t="inlineStr">
        <is>
          <t>081108</t>
        </is>
      </c>
      <c r="C408" s="38" t="inlineStr">
        <is>
          <t>Malgrat de Mar</t>
        </is>
      </c>
      <c r="D408" s="38" t="n">
        <v>10160</v>
      </c>
      <c r="E408" s="38" t="n">
        <v>7483</v>
      </c>
      <c r="F408" s="38" t="n">
        <v>2677</v>
      </c>
      <c r="H408" s="38" t="inlineStr">
        <is>
          <t>Total habitatges familiars; principal i no principal provenen de les categories publicades</t>
        </is>
      </c>
    </row>
    <row r="409" ht="15" customHeight="1" s="39">
      <c r="A409" s="38" t="inlineStr">
        <is>
          <t>[081115] Malla</t>
        </is>
      </c>
      <c r="B409" s="42" t="inlineStr">
        <is>
          <t>081115</t>
        </is>
      </c>
      <c r="C409" s="38" t="inlineStr">
        <is>
          <t>Malla</t>
        </is>
      </c>
      <c r="D409" s="38" t="n">
        <v>111</v>
      </c>
      <c r="E409" s="38" t="n">
        <v>89</v>
      </c>
      <c r="F409" s="38" t="n">
        <v>22</v>
      </c>
      <c r="H409" s="38" t="inlineStr">
        <is>
          <t>Total habitatges familiars; principal i no principal provenen de les categories publicades</t>
        </is>
      </c>
    </row>
    <row r="410" ht="15" customHeight="1" s="39">
      <c r="A410" s="38" t="inlineStr">
        <is>
          <t>[081120] Manlleu</t>
        </is>
      </c>
      <c r="B410" s="42" t="inlineStr">
        <is>
          <t>081120</t>
        </is>
      </c>
      <c r="C410" s="38" t="inlineStr">
        <is>
          <t>Manlleu</t>
        </is>
      </c>
      <c r="D410" s="38" t="n">
        <v>8887</v>
      </c>
      <c r="E410" s="38" t="n">
        <v>7416</v>
      </c>
      <c r="F410" s="38" t="n">
        <v>1471</v>
      </c>
      <c r="H410" s="38" t="inlineStr">
        <is>
          <t>Total habitatges familiars; principal i no principal provenen de les categories publicades</t>
        </is>
      </c>
    </row>
    <row r="411" ht="15" customHeight="1" s="39">
      <c r="A411" s="38" t="inlineStr">
        <is>
          <t>[081136] Manresa</t>
        </is>
      </c>
      <c r="B411" s="42" t="inlineStr">
        <is>
          <t>081136</t>
        </is>
      </c>
      <c r="C411" s="38" t="inlineStr">
        <is>
          <t>Manresa</t>
        </is>
      </c>
      <c r="D411" s="38" t="n">
        <v>40136</v>
      </c>
      <c r="E411" s="38" t="n">
        <v>31030</v>
      </c>
      <c r="F411" s="38" t="n">
        <v>9106</v>
      </c>
      <c r="H411" s="38" t="inlineStr">
        <is>
          <t>Total habitatges familiars; principal i no principal provenen de les categories publicades</t>
        </is>
      </c>
    </row>
    <row r="412" ht="15" customHeight="1" s="39">
      <c r="A412" s="38" t="inlineStr">
        <is>
          <t>[430764] Marçà</t>
        </is>
      </c>
      <c r="B412" s="42" t="inlineStr">
        <is>
          <t>430764</t>
        </is>
      </c>
      <c r="C412" s="38" t="inlineStr">
        <is>
          <t>Marçà</t>
        </is>
      </c>
      <c r="D412" s="38" t="n">
        <v>492</v>
      </c>
      <c r="E412" s="38" t="n">
        <v>245</v>
      </c>
      <c r="F412" s="38" t="n">
        <v>247</v>
      </c>
      <c r="H412" s="38" t="inlineStr">
        <is>
          <t>Total habitatges familiars; principal i no principal provenen de les categories publicades</t>
        </is>
      </c>
    </row>
    <row r="413" ht="15" customHeight="1" s="39">
      <c r="A413" s="38" t="inlineStr">
        <is>
          <t>[430751] Margalef</t>
        </is>
      </c>
      <c r="B413" s="42" t="inlineStr">
        <is>
          <t>430751</t>
        </is>
      </c>
      <c r="C413" s="38" t="inlineStr">
        <is>
          <t>Margalef</t>
        </is>
      </c>
      <c r="D413" s="38" t="n">
        <v>159</v>
      </c>
      <c r="E413" s="38" t="n">
        <v>52</v>
      </c>
      <c r="F413" s="38" t="n">
        <v>107</v>
      </c>
      <c r="H413" s="38" t="inlineStr">
        <is>
          <t>Total habitatges familiars; principal i no principal provenen de les categories publicades</t>
        </is>
      </c>
    </row>
    <row r="414" ht="15" customHeight="1" s="39">
      <c r="A414" s="38" t="inlineStr">
        <is>
          <t>[082423] Marganell</t>
        </is>
      </c>
      <c r="B414" s="42" t="inlineStr">
        <is>
          <t>082423</t>
        </is>
      </c>
      <c r="C414" s="38" t="inlineStr">
        <is>
          <t>Marganell</t>
        </is>
      </c>
      <c r="D414" s="38" t="n">
        <v>267</v>
      </c>
      <c r="E414" s="38" t="n">
        <v>118</v>
      </c>
      <c r="F414" s="38" t="n">
        <v>149</v>
      </c>
      <c r="H414" s="38" t="inlineStr">
        <is>
          <t>Total habitatges familiars; principal i no principal provenen de les categories publicades</t>
        </is>
      </c>
    </row>
    <row r="415" ht="15" customHeight="1" s="39">
      <c r="A415" s="38" t="inlineStr">
        <is>
          <t>[081141] Martorell</t>
        </is>
      </c>
      <c r="B415" s="42" t="inlineStr">
        <is>
          <t>081141</t>
        </is>
      </c>
      <c r="C415" s="38" t="inlineStr">
        <is>
          <t>Martorell</t>
        </is>
      </c>
      <c r="D415" s="38" t="n">
        <v>10685</v>
      </c>
      <c r="E415" s="38" t="n">
        <v>9967</v>
      </c>
      <c r="F415" s="38" t="n">
        <v>718</v>
      </c>
      <c r="H415" s="38" t="inlineStr">
        <is>
          <t>Total habitatges familiars; principal i no principal provenen de les categories publicades</t>
        </is>
      </c>
    </row>
    <row r="416" ht="15" customHeight="1" s="39">
      <c r="A416" s="38" t="inlineStr">
        <is>
          <t>[081154] Martorelles</t>
        </is>
      </c>
      <c r="B416" s="42" t="inlineStr">
        <is>
          <t>081154</t>
        </is>
      </c>
      <c r="C416" s="38" t="inlineStr">
        <is>
          <t>Martorelles</t>
        </is>
      </c>
      <c r="D416" s="38" t="n">
        <v>2057</v>
      </c>
      <c r="E416" s="38" t="n">
        <v>1827</v>
      </c>
      <c r="F416" s="38" t="n">
        <v>230</v>
      </c>
      <c r="H416" s="38" t="inlineStr">
        <is>
          <t>Total habitatges familiars; principal i no principal provenen de les categories publicades</t>
        </is>
      </c>
    </row>
    <row r="417" ht="15" customHeight="1" s="39">
      <c r="A417" s="38" t="inlineStr">
        <is>
          <t>[430770] Mas de Barberans</t>
        </is>
      </c>
      <c r="B417" s="42" t="inlineStr">
        <is>
          <t>430770</t>
        </is>
      </c>
      <c r="C417" s="38" t="inlineStr">
        <is>
          <t>Mas de Barberans</t>
        </is>
      </c>
      <c r="D417" s="38" t="n">
        <v>415</v>
      </c>
      <c r="E417" s="38" t="n">
        <v>240</v>
      </c>
      <c r="F417" s="38" t="n">
        <v>175</v>
      </c>
      <c r="H417" s="38" t="inlineStr">
        <is>
          <t>Total habitatges familiars; principal i no principal provenen de les categories publicades</t>
        </is>
      </c>
    </row>
    <row r="418" ht="15" customHeight="1" s="39">
      <c r="A418" s="38" t="inlineStr">
        <is>
          <t>[171002] Masarac i Vilarnadal</t>
        </is>
      </c>
      <c r="B418" s="42" t="inlineStr">
        <is>
          <t>171002</t>
        </is>
      </c>
      <c r="C418" s="38" t="inlineStr">
        <is>
          <t>Masarac i Vilarnadal</t>
        </is>
      </c>
      <c r="D418" s="38" t="n">
        <v>142</v>
      </c>
      <c r="E418" s="38" t="n">
        <v>107</v>
      </c>
      <c r="F418" s="38" t="n">
        <v>35</v>
      </c>
      <c r="H418" s="38" t="inlineStr">
        <is>
          <t>Total habitatges familiars; principal i no principal provenen de les categories publicades</t>
        </is>
      </c>
    </row>
    <row r="419" ht="15" customHeight="1" s="39">
      <c r="A419" s="38" t="inlineStr">
        <is>
          <t>[430786] Masdenverge</t>
        </is>
      </c>
      <c r="B419" s="42" t="inlineStr">
        <is>
          <t>430786</t>
        </is>
      </c>
      <c r="C419" s="38" t="inlineStr">
        <is>
          <t>Masdenverge</t>
        </is>
      </c>
      <c r="D419" s="38" t="n">
        <v>752</v>
      </c>
      <c r="E419" s="38" t="n">
        <v>441</v>
      </c>
      <c r="F419" s="38" t="n">
        <v>311</v>
      </c>
      <c r="H419" s="38" t="inlineStr">
        <is>
          <t>Total habitatges familiars; principal i no principal provenen de les categories publicades</t>
        </is>
      </c>
    </row>
    <row r="420" ht="15" customHeight="1" s="39">
      <c r="A420" s="38" t="inlineStr">
        <is>
          <t>[081167] Masies de Roda, les</t>
        </is>
      </c>
      <c r="B420" s="42" t="inlineStr">
        <is>
          <t>081167</t>
        </is>
      </c>
      <c r="C420" s="38" t="inlineStr">
        <is>
          <t>Masies de Roda, les</t>
        </is>
      </c>
      <c r="D420" s="38" t="n">
        <v>296</v>
      </c>
      <c r="E420" s="38" t="n">
        <v>246</v>
      </c>
      <c r="F420" s="38" t="n">
        <v>50</v>
      </c>
      <c r="H420" s="38" t="inlineStr">
        <is>
          <t>Total habitatges familiars; principal i no principal provenen de les categories publicades</t>
        </is>
      </c>
    </row>
    <row r="421" ht="15" customHeight="1" s="39">
      <c r="A421" s="38" t="inlineStr">
        <is>
          <t>[081173] Masies de Voltregà, les</t>
        </is>
      </c>
      <c r="B421" s="42" t="inlineStr">
        <is>
          <t>081173</t>
        </is>
      </c>
      <c r="C421" s="38" t="inlineStr">
        <is>
          <t>Masies de Voltregà, les</t>
        </is>
      </c>
      <c r="D421" s="38" t="n">
        <v>1398</v>
      </c>
      <c r="E421" s="38" t="n">
        <v>1151</v>
      </c>
      <c r="F421" s="38" t="n">
        <v>247</v>
      </c>
      <c r="H421" s="38" t="inlineStr">
        <is>
          <t>Total habitatges familiars; principal i no principal provenen de les categories publicades</t>
        </is>
      </c>
    </row>
    <row r="422" ht="15" customHeight="1" s="39">
      <c r="A422" s="38" t="inlineStr">
        <is>
          <t>[430799] Masllorenç</t>
        </is>
      </c>
      <c r="B422" s="42" t="inlineStr">
        <is>
          <t>430799</t>
        </is>
      </c>
      <c r="C422" s="38" t="inlineStr">
        <is>
          <t>Masllorenç</t>
        </is>
      </c>
      <c r="D422" s="38" t="n">
        <v>438</v>
      </c>
      <c r="E422" s="38" t="n">
        <v>218</v>
      </c>
      <c r="F422" s="38" t="n">
        <v>220</v>
      </c>
      <c r="H422" s="38" t="inlineStr">
        <is>
          <t>Total habitatges familiars; principal i no principal provenen de les categories publicades</t>
        </is>
      </c>
    </row>
    <row r="423" ht="15" customHeight="1" s="39">
      <c r="A423" s="38" t="inlineStr">
        <is>
          <t>[081189] Masnou, el</t>
        </is>
      </c>
      <c r="B423" s="42" t="inlineStr">
        <is>
          <t>081189</t>
        </is>
      </c>
      <c r="C423" s="38" t="inlineStr">
        <is>
          <t>Masnou, el</t>
        </is>
      </c>
      <c r="D423" s="38" t="n">
        <v>10410</v>
      </c>
      <c r="E423" s="38" t="n">
        <v>9166</v>
      </c>
      <c r="F423" s="38" t="n">
        <v>1244</v>
      </c>
      <c r="H423" s="38" t="inlineStr">
        <is>
          <t>Total habitatges familiars; principal i no principal provenen de les categories publicades</t>
        </is>
      </c>
    </row>
    <row r="424" ht="15" customHeight="1" s="39">
      <c r="A424" s="38" t="inlineStr">
        <is>
          <t>[430803] Masó, la</t>
        </is>
      </c>
      <c r="B424" s="42" t="inlineStr">
        <is>
          <t>430803</t>
        </is>
      </c>
      <c r="C424" s="38" t="inlineStr">
        <is>
          <t>Masó, la</t>
        </is>
      </c>
      <c r="D424" s="38" t="n">
        <v>160</v>
      </c>
      <c r="E424" s="38" t="n">
        <v>114</v>
      </c>
      <c r="F424" s="38" t="n">
        <v>46</v>
      </c>
      <c r="H424" s="38" t="inlineStr">
        <is>
          <t>Total habitatges familiars; principal i no principal provenen de les categories publicades</t>
        </is>
      </c>
    </row>
    <row r="425" ht="15" customHeight="1" s="39">
      <c r="A425" s="38" t="inlineStr">
        <is>
          <t>[430810] Maspujols</t>
        </is>
      </c>
      <c r="B425" s="42" t="inlineStr">
        <is>
          <t>430810</t>
        </is>
      </c>
      <c r="C425" s="38" t="inlineStr">
        <is>
          <t>Maspujols</t>
        </is>
      </c>
      <c r="D425" s="38" t="n">
        <v>470</v>
      </c>
      <c r="E425" s="38" t="n">
        <v>303</v>
      </c>
      <c r="F425" s="38" t="n">
        <v>167</v>
      </c>
      <c r="H425" s="38" t="inlineStr">
        <is>
          <t>Total habitatges familiars; principal i no principal provenen de les categories publicades</t>
        </is>
      </c>
    </row>
    <row r="426" ht="15" customHeight="1" s="39">
      <c r="A426" s="38" t="inlineStr">
        <is>
          <t>[081192] Masquefa</t>
        </is>
      </c>
      <c r="B426" s="42" t="inlineStr">
        <is>
          <t>081192</t>
        </is>
      </c>
      <c r="C426" s="38" t="inlineStr">
        <is>
          <t>Masquefa</t>
        </is>
      </c>
      <c r="D426" s="38" t="n">
        <v>4452</v>
      </c>
      <c r="E426" s="38" t="n">
        <v>3503</v>
      </c>
      <c r="F426" s="38" t="n">
        <v>949</v>
      </c>
      <c r="H426" s="38" t="inlineStr">
        <is>
          <t>Total habitatges familiars; principal i no principal provenen de les categories publicades</t>
        </is>
      </c>
    </row>
    <row r="427" ht="15" customHeight="1" s="39">
      <c r="A427" s="38" t="inlineStr">
        <is>
          <t>[430825] Masroig, el</t>
        </is>
      </c>
      <c r="B427" s="42" t="inlineStr">
        <is>
          <t>430825</t>
        </is>
      </c>
      <c r="C427" s="38" t="inlineStr">
        <is>
          <t>Masroig, el</t>
        </is>
      </c>
      <c r="D427" s="38" t="n">
        <v>361</v>
      </c>
      <c r="E427" s="38" t="n">
        <v>204</v>
      </c>
      <c r="F427" s="38" t="n">
        <v>157</v>
      </c>
      <c r="H427" s="38" t="inlineStr">
        <is>
          <t>Total habitatges familiars; principal i no principal provenen de les categories publicades</t>
        </is>
      </c>
    </row>
    <row r="428" ht="15" customHeight="1" s="39">
      <c r="A428" s="38" t="inlineStr">
        <is>
          <t>[251312] Massalcoreig</t>
        </is>
      </c>
      <c r="B428" s="42" t="inlineStr">
        <is>
          <t>251312</t>
        </is>
      </c>
      <c r="C428" s="38" t="inlineStr">
        <is>
          <t>Massalcoreig</t>
        </is>
      </c>
      <c r="D428" s="38" t="n">
        <v>277</v>
      </c>
      <c r="E428" s="38" t="n">
        <v>205</v>
      </c>
      <c r="F428" s="38" t="n">
        <v>72</v>
      </c>
      <c r="H428" s="38" t="inlineStr">
        <is>
          <t>Total habitatges familiars; principal i no principal provenen de les categories publicades</t>
        </is>
      </c>
    </row>
    <row r="429" ht="15" customHeight="1" s="39">
      <c r="A429" s="38" t="inlineStr">
        <is>
          <t>[171019] Massanes</t>
        </is>
      </c>
      <c r="B429" s="42" t="inlineStr">
        <is>
          <t>171019</t>
        </is>
      </c>
      <c r="C429" s="38" t="inlineStr">
        <is>
          <t>Massanes</t>
        </is>
      </c>
      <c r="D429" s="38" t="n">
        <v>532</v>
      </c>
      <c r="E429" s="38" t="n">
        <v>309</v>
      </c>
      <c r="F429" s="38" t="n">
        <v>223</v>
      </c>
      <c r="H429" s="38" t="inlineStr">
        <is>
          <t>Total habitatges familiars; principal i no principal provenen de les categories publicades</t>
        </is>
      </c>
    </row>
    <row r="430" ht="15" customHeight="1" s="39">
      <c r="A430" s="38" t="inlineStr">
        <is>
          <t>[251327] Massoteres</t>
        </is>
      </c>
      <c r="B430" s="42" t="inlineStr">
        <is>
          <t>251327</t>
        </is>
      </c>
      <c r="C430" s="38" t="inlineStr">
        <is>
          <t>Massoteres</t>
        </is>
      </c>
      <c r="D430" s="38" t="n">
        <v>132</v>
      </c>
      <c r="E430" s="38" t="n">
        <v>79</v>
      </c>
      <c r="F430" s="38" t="n">
        <v>53</v>
      </c>
      <c r="H430" s="38" t="inlineStr">
        <is>
          <t>Total habitatges familiars; principal i no principal provenen de les categories publicades</t>
        </is>
      </c>
    </row>
    <row r="431" ht="15" customHeight="1" s="39">
      <c r="A431" s="38" t="inlineStr">
        <is>
          <t>[081206] Matadepera</t>
        </is>
      </c>
      <c r="B431" s="42" t="inlineStr">
        <is>
          <t>081206</t>
        </is>
      </c>
      <c r="C431" s="38" t="inlineStr">
        <is>
          <t>Matadepera</t>
        </is>
      </c>
      <c r="D431" s="38" t="n">
        <v>3433</v>
      </c>
      <c r="E431" s="38" t="n">
        <v>3020</v>
      </c>
      <c r="F431" s="38" t="n">
        <v>413</v>
      </c>
      <c r="H431" s="38" t="inlineStr">
        <is>
          <t>Total habitatges familiars; principal i no principal provenen de les categories publicades</t>
        </is>
      </c>
    </row>
    <row r="432" ht="15" customHeight="1" s="39">
      <c r="A432" s="38" t="inlineStr">
        <is>
          <t>[081213] Mataró</t>
        </is>
      </c>
      <c r="B432" s="42" t="inlineStr">
        <is>
          <t>081213</t>
        </is>
      </c>
      <c r="C432" s="38" t="inlineStr">
        <is>
          <t>Mataró</t>
        </is>
      </c>
      <c r="D432" s="38" t="n">
        <v>52996</v>
      </c>
      <c r="E432" s="38" t="n">
        <v>48140</v>
      </c>
      <c r="F432" s="38" t="n">
        <v>4856</v>
      </c>
      <c r="H432" s="38" t="inlineStr">
        <is>
          <t>Total habitatges familiars; principal i no principal provenen de les categories publicades</t>
        </is>
      </c>
    </row>
    <row r="433" ht="15" customHeight="1" s="39">
      <c r="A433" s="38" t="inlineStr">
        <is>
          <t>[081228] Mediona</t>
        </is>
      </c>
      <c r="B433" s="42" t="inlineStr">
        <is>
          <t>081228</t>
        </is>
      </c>
      <c r="C433" s="38" t="inlineStr">
        <is>
          <t>Mediona</t>
        </is>
      </c>
      <c r="D433" s="38" t="n">
        <v>1917</v>
      </c>
      <c r="E433" s="38" t="n">
        <v>989</v>
      </c>
      <c r="F433" s="38" t="n">
        <v>928</v>
      </c>
      <c r="H433" s="38" t="inlineStr">
        <is>
          <t>Total habitatges familiars; principal i no principal provenen de les categories publicades</t>
        </is>
      </c>
    </row>
    <row r="434" ht="15" customHeight="1" s="39">
      <c r="A434" s="38" t="inlineStr">
        <is>
          <t>[251348] Menàrguens</t>
        </is>
      </c>
      <c r="B434" s="42" t="inlineStr">
        <is>
          <t>251348</t>
        </is>
      </c>
      <c r="C434" s="38" t="inlineStr">
        <is>
          <t>Menàrguens</t>
        </is>
      </c>
      <c r="D434" s="38" t="n">
        <v>475</v>
      </c>
      <c r="E434" s="38" t="n">
        <v>301</v>
      </c>
      <c r="F434" s="38" t="n">
        <v>174</v>
      </c>
      <c r="H434" s="38" t="inlineStr">
        <is>
          <t>Total habitatges familiars; principal i no principal provenen de les categories publicades</t>
        </is>
      </c>
    </row>
    <row r="435" ht="15" customHeight="1" s="39">
      <c r="A435" s="38" t="inlineStr">
        <is>
          <t>[170998] Meranges</t>
        </is>
      </c>
      <c r="B435" s="42" t="inlineStr">
        <is>
          <t>170998</t>
        </is>
      </c>
      <c r="C435" s="38" t="inlineStr">
        <is>
          <t>Meranges</t>
        </is>
      </c>
      <c r="D435" s="38" t="n">
        <v>103</v>
      </c>
      <c r="E435" s="38" t="n">
        <v>42</v>
      </c>
      <c r="F435" s="38" t="n">
        <v>61</v>
      </c>
      <c r="H435" s="38" t="inlineStr">
        <is>
          <t>Total habitatges familiars; principal i no principal provenen de les categories publicades</t>
        </is>
      </c>
    </row>
    <row r="436" ht="15" customHeight="1" s="39">
      <c r="A436" s="38" t="inlineStr">
        <is>
          <t>[171058] Mieres</t>
        </is>
      </c>
      <c r="B436" s="42" t="inlineStr">
        <is>
          <t>171058</t>
        </is>
      </c>
      <c r="C436" s="38" t="inlineStr">
        <is>
          <t>Mieres</t>
        </is>
      </c>
      <c r="D436" s="38" t="n">
        <v>226</v>
      </c>
      <c r="E436" s="38" t="n">
        <v>144</v>
      </c>
      <c r="F436" s="38" t="n">
        <v>82</v>
      </c>
      <c r="H436" s="38" t="inlineStr">
        <is>
          <t>Total habitatges familiars; principal i no principal provenen de les categories publicades</t>
        </is>
      </c>
    </row>
    <row r="437" ht="15" customHeight="1" s="39">
      <c r="A437" s="38" t="inlineStr">
        <is>
          <t>[430831] Milà, el</t>
        </is>
      </c>
      <c r="B437" s="42" t="inlineStr">
        <is>
          <t>430831</t>
        </is>
      </c>
      <c r="C437" s="38" t="inlineStr">
        <is>
          <t>Milà, el</t>
        </is>
      </c>
      <c r="D437" s="38" t="n">
        <v>103</v>
      </c>
      <c r="E437" s="38" t="n">
        <v>69</v>
      </c>
      <c r="F437" s="38" t="n">
        <v>34</v>
      </c>
      <c r="H437" s="38" t="inlineStr">
        <is>
          <t>Total habitatges familiars; principal i no principal provenen de les categories publicades</t>
        </is>
      </c>
    </row>
    <row r="438" ht="15" customHeight="1" s="39">
      <c r="A438" s="38" t="inlineStr">
        <is>
          <t>[251351] Miralcamp</t>
        </is>
      </c>
      <c r="B438" s="42" t="inlineStr">
        <is>
          <t>251351</t>
        </is>
      </c>
      <c r="C438" s="38" t="inlineStr">
        <is>
          <t>Miralcamp</t>
        </is>
      </c>
      <c r="D438" s="38" t="n">
        <v>650</v>
      </c>
      <c r="E438" s="38" t="n">
        <v>491</v>
      </c>
      <c r="F438" s="38" t="n">
        <v>159</v>
      </c>
      <c r="H438" s="38" t="inlineStr">
        <is>
          <t>Total habitatges familiars; principal i no principal provenen de les categories publicades</t>
        </is>
      </c>
    </row>
    <row r="439" ht="15" customHeight="1" s="39">
      <c r="A439" s="38" t="inlineStr">
        <is>
          <t>[430846] Miravet</t>
        </is>
      </c>
      <c r="B439" s="42" t="inlineStr">
        <is>
          <t>430846</t>
        </is>
      </c>
      <c r="C439" s="38" t="inlineStr">
        <is>
          <t>Miravet</t>
        </is>
      </c>
      <c r="D439" s="38" t="n">
        <v>490</v>
      </c>
      <c r="E439" s="38" t="n">
        <v>272</v>
      </c>
      <c r="F439" s="38" t="n">
        <v>218</v>
      </c>
      <c r="H439" s="38" t="inlineStr">
        <is>
          <t>Total habitatges familiars; principal i no principal provenen de les categories publicades</t>
        </is>
      </c>
    </row>
    <row r="440" ht="15" customHeight="1" s="39">
      <c r="A440" s="38" t="inlineStr">
        <is>
          <t>[081385] Moià</t>
        </is>
      </c>
      <c r="B440" s="42" t="inlineStr">
        <is>
          <t>081385</t>
        </is>
      </c>
      <c r="C440" s="38" t="inlineStr">
        <is>
          <t>Moià</t>
        </is>
      </c>
      <c r="D440" s="38" t="n">
        <v>3307</v>
      </c>
      <c r="E440" s="38" t="n">
        <v>2427</v>
      </c>
      <c r="F440" s="38" t="n">
        <v>880</v>
      </c>
      <c r="H440" s="38" t="inlineStr">
        <is>
          <t>Total habitatges familiars; principal i no principal provenen de les categories publicades</t>
        </is>
      </c>
    </row>
    <row r="441" ht="15" customHeight="1" s="39">
      <c r="A441" s="38" t="inlineStr">
        <is>
          <t>[430859] Molar, el</t>
        </is>
      </c>
      <c r="B441" s="42" t="inlineStr">
        <is>
          <t>430859</t>
        </is>
      </c>
      <c r="C441" s="38" t="inlineStr">
        <is>
          <t>Molar, el</t>
        </is>
      </c>
      <c r="D441" s="38" t="n">
        <v>225</v>
      </c>
      <c r="E441" s="38" t="n">
        <v>124</v>
      </c>
      <c r="F441" s="38" t="n">
        <v>101</v>
      </c>
      <c r="H441" s="38" t="inlineStr">
        <is>
          <t>Total habitatges familiars; principal i no principal provenen de les categories publicades</t>
        </is>
      </c>
    </row>
    <row r="442" ht="15" customHeight="1" s="39">
      <c r="A442" s="38" t="inlineStr">
        <is>
          <t>[081234] Molins de Rei</t>
        </is>
      </c>
      <c r="B442" s="42" t="inlineStr">
        <is>
          <t>081234</t>
        </is>
      </c>
      <c r="C442" s="38" t="inlineStr">
        <is>
          <t>Molins de Rei</t>
        </is>
      </c>
      <c r="D442" s="38" t="n">
        <v>11400</v>
      </c>
      <c r="E442" s="38" t="n">
        <v>9954</v>
      </c>
      <c r="F442" s="38" t="n">
        <v>1446</v>
      </c>
      <c r="H442" s="38" t="inlineStr">
        <is>
          <t>Total habitatges familiars; principal i no principal provenen de les categories publicades</t>
        </is>
      </c>
    </row>
    <row r="443" ht="15" customHeight="1" s="39">
      <c r="A443" s="38" t="inlineStr">
        <is>
          <t>[251370] Mollerussa</t>
        </is>
      </c>
      <c r="B443" s="42" t="inlineStr">
        <is>
          <t>251370</t>
        </is>
      </c>
      <c r="C443" s="38" t="inlineStr">
        <is>
          <t>Mollerussa</t>
        </is>
      </c>
      <c r="D443" s="38" t="n">
        <v>6984</v>
      </c>
      <c r="E443" s="38" t="n">
        <v>5488</v>
      </c>
      <c r="F443" s="38" t="n">
        <v>1496</v>
      </c>
      <c r="H443" s="38" t="inlineStr">
        <is>
          <t>Total habitatges familiars; principal i no principal provenen de les categories publicades</t>
        </is>
      </c>
    </row>
    <row r="444" ht="15" customHeight="1" s="39">
      <c r="A444" s="38" t="inlineStr">
        <is>
          <t>[171061] Mollet de Peralada</t>
        </is>
      </c>
      <c r="B444" s="42" t="inlineStr">
        <is>
          <t>171061</t>
        </is>
      </c>
      <c r="C444" s="38" t="inlineStr">
        <is>
          <t>Mollet de Peralada</t>
        </is>
      </c>
      <c r="D444" s="38" t="n">
        <v>119</v>
      </c>
      <c r="E444" s="38" t="n">
        <v>80</v>
      </c>
      <c r="F444" s="38" t="n">
        <v>39</v>
      </c>
      <c r="H444" s="38" t="inlineStr">
        <is>
          <t>Total habitatges familiars; principal i no principal provenen de les categories publicades</t>
        </is>
      </c>
    </row>
    <row r="445" ht="15" customHeight="1" s="39">
      <c r="A445" s="38" t="inlineStr">
        <is>
          <t>[081249] Mollet del Vallès</t>
        </is>
      </c>
      <c r="B445" s="42" t="inlineStr">
        <is>
          <t>081249</t>
        </is>
      </c>
      <c r="C445" s="38" t="inlineStr">
        <is>
          <t>Mollet del Vallès</t>
        </is>
      </c>
      <c r="D445" s="38" t="n">
        <v>20857</v>
      </c>
      <c r="E445" s="38" t="n">
        <v>19238</v>
      </c>
      <c r="F445" s="38" t="n">
        <v>1619</v>
      </c>
      <c r="H445" s="38" t="inlineStr">
        <is>
          <t>Total habitatges familiars; principal i no principal provenen de les categories publicades</t>
        </is>
      </c>
    </row>
    <row r="446" ht="15" customHeight="1" s="39">
      <c r="A446" s="38" t="inlineStr">
        <is>
          <t>[171077] Molló</t>
        </is>
      </c>
      <c r="B446" s="42" t="inlineStr">
        <is>
          <t>171077</t>
        </is>
      </c>
      <c r="C446" s="38" t="inlineStr">
        <is>
          <t>Molló</t>
        </is>
      </c>
      <c r="D446" s="38" t="n">
        <v>469</v>
      </c>
      <c r="E446" s="38" t="n">
        <v>148</v>
      </c>
      <c r="F446" s="38" t="n">
        <v>321</v>
      </c>
      <c r="H446" s="38" t="inlineStr">
        <is>
          <t>Total habitatges familiars; principal i no principal provenen de les categories publicades</t>
        </is>
      </c>
    </row>
    <row r="447" ht="15" customHeight="1" s="39">
      <c r="A447" s="38" t="inlineStr">
        <is>
          <t>[251364] Molsosa, la</t>
        </is>
      </c>
      <c r="B447" s="42" t="inlineStr">
        <is>
          <t>251364</t>
        </is>
      </c>
      <c r="C447" s="38" t="inlineStr">
        <is>
          <t>Molsosa, la</t>
        </is>
      </c>
      <c r="D447" s="38" t="n">
        <v>44</v>
      </c>
      <c r="E447" s="38" t="n">
        <v>33</v>
      </c>
      <c r="F447" s="38" t="n">
        <v>11</v>
      </c>
      <c r="H447" s="38" t="inlineStr">
        <is>
          <t>Total habitatges familiars; principal i no principal provenen de les categories publicades</t>
        </is>
      </c>
    </row>
    <row r="448" ht="15" customHeight="1" s="39">
      <c r="A448" s="38" t="inlineStr">
        <is>
          <t>[081287] Monistrol de Calders</t>
        </is>
      </c>
      <c r="B448" s="42" t="inlineStr">
        <is>
          <t>081287</t>
        </is>
      </c>
      <c r="C448" s="38" t="inlineStr">
        <is>
          <t>Monistrol de Calders</t>
        </is>
      </c>
      <c r="D448" s="38" t="n">
        <v>489</v>
      </c>
      <c r="E448" s="38" t="n">
        <v>288</v>
      </c>
      <c r="F448" s="38" t="n">
        <v>201</v>
      </c>
      <c r="H448" s="38" t="inlineStr">
        <is>
          <t>Total habitatges familiars; principal i no principal provenen de les categories publicades</t>
        </is>
      </c>
    </row>
    <row r="449" ht="15" customHeight="1" s="39">
      <c r="A449" s="38" t="inlineStr">
        <is>
          <t>[081271] Monistrol de Montserrat</t>
        </is>
      </c>
      <c r="B449" s="42" t="inlineStr">
        <is>
          <t>081271</t>
        </is>
      </c>
      <c r="C449" s="38" t="inlineStr">
        <is>
          <t>Monistrol de Montserrat</t>
        </is>
      </c>
      <c r="D449" s="38" t="n">
        <v>1605</v>
      </c>
      <c r="E449" s="38" t="n">
        <v>1261</v>
      </c>
      <c r="F449" s="38" t="n">
        <v>344</v>
      </c>
      <c r="H449" s="38" t="inlineStr">
        <is>
          <t>Total habitatges familiars; principal i no principal provenen de les categories publicades</t>
        </is>
      </c>
    </row>
    <row r="450" ht="15" customHeight="1" s="39">
      <c r="A450" s="38" t="inlineStr">
        <is>
          <t>[171096] Montagut i Oix</t>
        </is>
      </c>
      <c r="B450" s="42" t="inlineStr">
        <is>
          <t>171096</t>
        </is>
      </c>
      <c r="C450" s="38" t="inlineStr">
        <is>
          <t>Montagut i Oix</t>
        </is>
      </c>
      <c r="D450" s="38" t="n">
        <v>531</v>
      </c>
      <c r="E450" s="38" t="n">
        <v>365</v>
      </c>
      <c r="F450" s="38" t="n">
        <v>166</v>
      </c>
      <c r="H450" s="38" t="inlineStr">
        <is>
          <t>Total habitatges familiars; principal i no principal provenen de les categories publicades</t>
        </is>
      </c>
    </row>
    <row r="451" ht="15" customHeight="1" s="39">
      <c r="A451" s="38" t="inlineStr">
        <is>
          <t>[430862] Montblanc</t>
        </is>
      </c>
      <c r="B451" s="42" t="inlineStr">
        <is>
          <t>430862</t>
        </is>
      </c>
      <c r="C451" s="38" t="inlineStr">
        <is>
          <t>Montblanc</t>
        </is>
      </c>
      <c r="D451" s="38" t="n">
        <v>3957</v>
      </c>
      <c r="E451" s="38" t="n">
        <v>2869</v>
      </c>
      <c r="F451" s="38" t="n">
        <v>1088</v>
      </c>
      <c r="H451" s="38" t="inlineStr">
        <is>
          <t>Total habitatges familiars; principal i no principal provenen de les categories publicades</t>
        </is>
      </c>
    </row>
    <row r="452" ht="15" customHeight="1" s="39">
      <c r="A452" s="38" t="inlineStr">
        <is>
          <t>[430884] Montbrió del Camp</t>
        </is>
      </c>
      <c r="B452" s="42" t="inlineStr">
        <is>
          <t>430884</t>
        </is>
      </c>
      <c r="C452" s="38" t="inlineStr">
        <is>
          <t>Montbrió del Camp</t>
        </is>
      </c>
      <c r="D452" s="38" t="n">
        <v>1706</v>
      </c>
      <c r="E452" s="38" t="n">
        <v>1192</v>
      </c>
      <c r="F452" s="38" t="n">
        <v>514</v>
      </c>
      <c r="H452" s="38" t="inlineStr">
        <is>
          <t>Total habitatges familiars; principal i no principal provenen de les categories publicades</t>
        </is>
      </c>
    </row>
    <row r="453" ht="15" customHeight="1" s="39">
      <c r="A453" s="38" t="inlineStr">
        <is>
          <t>[081252] Montcada i Reixac</t>
        </is>
      </c>
      <c r="B453" s="42" t="inlineStr">
        <is>
          <t>081252</t>
        </is>
      </c>
      <c r="C453" s="38" t="inlineStr">
        <is>
          <t>Montcada i Reixac</t>
        </is>
      </c>
      <c r="D453" s="38" t="n">
        <v>15304</v>
      </c>
      <c r="E453" s="38" t="n">
        <v>13669</v>
      </c>
      <c r="F453" s="38" t="n">
        <v>1635</v>
      </c>
      <c r="H453" s="38" t="inlineStr">
        <is>
          <t>Total habitatges familiars; principal i no principal provenen de les categories publicades</t>
        </is>
      </c>
    </row>
    <row r="454" ht="15" customHeight="1" s="39">
      <c r="A454" s="38" t="inlineStr">
        <is>
          <t>[081304] Montclar</t>
        </is>
      </c>
      <c r="B454" s="42" t="inlineStr">
        <is>
          <t>081304</t>
        </is>
      </c>
      <c r="C454" s="38" t="inlineStr">
        <is>
          <t>Montclar</t>
        </is>
      </c>
      <c r="D454" s="38" t="n">
        <v>87</v>
      </c>
      <c r="E454" s="38" t="n">
        <v>46</v>
      </c>
      <c r="F454" s="38" t="n">
        <v>41</v>
      </c>
      <c r="H454" s="38" t="inlineStr">
        <is>
          <t>Total habitatges familiars; principal i no principal provenen de les categories publicades</t>
        </is>
      </c>
    </row>
    <row r="455" ht="15" customHeight="1" s="39">
      <c r="A455" s="38" t="inlineStr">
        <is>
          <t>[251399] Montellà i Martinet</t>
        </is>
      </c>
      <c r="B455" s="42" t="inlineStr">
        <is>
          <t>251399</t>
        </is>
      </c>
      <c r="C455" s="38" t="inlineStr">
        <is>
          <t>Montellà i Martinet</t>
        </is>
      </c>
      <c r="D455" s="38" t="n">
        <v>685</v>
      </c>
      <c r="E455" s="38" t="n">
        <v>303</v>
      </c>
      <c r="F455" s="38" t="n">
        <v>382</v>
      </c>
      <c r="H455" s="38" t="inlineStr">
        <is>
          <t>Total habitatges familiars; principal i no principal provenen de les categories publicades</t>
        </is>
      </c>
    </row>
    <row r="456" ht="15" customHeight="1" s="39">
      <c r="A456" s="38" t="inlineStr">
        <is>
          <t>[081311] Montesquiu</t>
        </is>
      </c>
      <c r="B456" s="42" t="inlineStr">
        <is>
          <t>081311</t>
        </is>
      </c>
      <c r="C456" s="38" t="inlineStr">
        <is>
          <t>Montesquiu</t>
        </is>
      </c>
      <c r="D456" s="38" t="n">
        <v>659</v>
      </c>
      <c r="E456" s="38" t="n">
        <v>447</v>
      </c>
      <c r="F456" s="38" t="n">
        <v>212</v>
      </c>
      <c r="H456" s="38" t="inlineStr">
        <is>
          <t>Total habitatges familiars; principal i no principal provenen de les categories publicades</t>
        </is>
      </c>
    </row>
    <row r="457" ht="15" customHeight="1" s="39">
      <c r="A457" s="38" t="inlineStr">
        <is>
          <t>[251403] Montferrer i Castellbò</t>
        </is>
      </c>
      <c r="B457" s="42" t="inlineStr">
        <is>
          <t>251403</t>
        </is>
      </c>
      <c r="C457" s="38" t="inlineStr">
        <is>
          <t>Montferrer i Castellbò</t>
        </is>
      </c>
      <c r="D457" s="38" t="n">
        <v>935</v>
      </c>
      <c r="E457" s="38" t="n">
        <v>449</v>
      </c>
      <c r="F457" s="38" t="n">
        <v>486</v>
      </c>
      <c r="H457" s="38" t="inlineStr">
        <is>
          <t>Total habitatges familiars; principal i no principal provenen de les categories publicades</t>
        </is>
      </c>
    </row>
    <row r="458" ht="15" customHeight="1" s="39">
      <c r="A458" s="38" t="inlineStr">
        <is>
          <t>[430897] Montferri</t>
        </is>
      </c>
      <c r="B458" s="42" t="inlineStr">
        <is>
          <t>430897</t>
        </is>
      </c>
      <c r="C458" s="38" t="inlineStr">
        <is>
          <t>Montferri</t>
        </is>
      </c>
      <c r="D458" s="38" t="n">
        <v>323</v>
      </c>
      <c r="E458" s="38" t="n">
        <v>162</v>
      </c>
      <c r="F458" s="38" t="n">
        <v>161</v>
      </c>
      <c r="H458" s="38" t="inlineStr">
        <is>
          <t>Total habitatges familiars; principal i no principal provenen de les categories publicades</t>
        </is>
      </c>
    </row>
    <row r="459" ht="15" customHeight="1" s="39">
      <c r="A459" s="38" t="inlineStr">
        <is>
          <t>[251386] Montgai</t>
        </is>
      </c>
      <c r="B459" s="42" t="inlineStr">
        <is>
          <t>251386</t>
        </is>
      </c>
      <c r="C459" s="38" t="inlineStr">
        <is>
          <t>Montgai</t>
        </is>
      </c>
      <c r="D459" s="38" t="n">
        <v>392</v>
      </c>
      <c r="E459" s="38" t="n">
        <v>253</v>
      </c>
      <c r="F459" s="38" t="n">
        <v>139</v>
      </c>
      <c r="H459" s="38" t="inlineStr">
        <is>
          <t>Total habitatges familiars; principal i no principal provenen de les categories publicades</t>
        </is>
      </c>
    </row>
    <row r="460" ht="15" customHeight="1" s="39">
      <c r="A460" s="38" t="inlineStr">
        <is>
          <t>[081265] Montgat</t>
        </is>
      </c>
      <c r="B460" s="42" t="inlineStr">
        <is>
          <t>081265</t>
        </is>
      </c>
      <c r="C460" s="38" t="inlineStr">
        <is>
          <t>Montgat</t>
        </is>
      </c>
      <c r="D460" s="38" t="n">
        <v>5276</v>
      </c>
      <c r="E460" s="38" t="n">
        <v>4671</v>
      </c>
      <c r="F460" s="38" t="n">
        <v>605</v>
      </c>
      <c r="H460" s="38" t="inlineStr">
        <is>
          <t>Total habitatges familiars; principal i no principal provenen de les categories publicades</t>
        </is>
      </c>
    </row>
    <row r="461" ht="15" customHeight="1" s="39">
      <c r="A461" s="38" t="inlineStr">
        <is>
          <t>[081326] Montmajor</t>
        </is>
      </c>
      <c r="B461" s="42" t="inlineStr">
        <is>
          <t>081326</t>
        </is>
      </c>
      <c r="C461" s="38" t="inlineStr">
        <is>
          <t>Montmajor</t>
        </is>
      </c>
      <c r="D461" s="38" t="n">
        <v>289</v>
      </c>
      <c r="E461" s="38" t="n">
        <v>166</v>
      </c>
      <c r="F461" s="38" t="n">
        <v>123</v>
      </c>
      <c r="H461" s="38" t="inlineStr">
        <is>
          <t>Total habitatges familiars; principal i no principal provenen de les categories publicades</t>
        </is>
      </c>
    </row>
    <row r="462" ht="15" customHeight="1" s="39">
      <c r="A462" s="38" t="inlineStr">
        <is>
          <t>[081332] Montmaneu</t>
        </is>
      </c>
      <c r="B462" s="42" t="inlineStr">
        <is>
          <t>081332</t>
        </is>
      </c>
      <c r="C462" s="38" t="inlineStr">
        <is>
          <t>Montmaneu</t>
        </is>
      </c>
      <c r="D462" s="38" t="n">
        <v>121</v>
      </c>
      <c r="E462" s="38" t="n">
        <v>61</v>
      </c>
      <c r="F462" s="38" t="n">
        <v>60</v>
      </c>
      <c r="H462" s="38" t="inlineStr">
        <is>
          <t>Total habitatges familiars; principal i no principal provenen de les categories publicades</t>
        </is>
      </c>
    </row>
    <row r="463" ht="15" customHeight="1" s="39">
      <c r="A463" s="38" t="inlineStr">
        <is>
          <t>[430901] Montmell, el</t>
        </is>
      </c>
      <c r="B463" s="42" t="inlineStr">
        <is>
          <t>430901</t>
        </is>
      </c>
      <c r="C463" s="38" t="inlineStr">
        <is>
          <t>Montmell, el</t>
        </is>
      </c>
      <c r="D463" s="38" t="n">
        <v>1739</v>
      </c>
      <c r="E463" s="38" t="n">
        <v>733</v>
      </c>
      <c r="F463" s="38" t="n">
        <v>1006</v>
      </c>
      <c r="H463" s="38" t="inlineStr">
        <is>
          <t>Total habitatges familiars; principal i no principal provenen de les categories publicades</t>
        </is>
      </c>
    </row>
    <row r="464" ht="15" customHeight="1" s="39">
      <c r="A464" s="38" t="inlineStr">
        <is>
          <t>[081350] Montmeló</t>
        </is>
      </c>
      <c r="B464" s="42" t="inlineStr">
        <is>
          <t>081350</t>
        </is>
      </c>
      <c r="C464" s="38" t="inlineStr">
        <is>
          <t>Montmeló</t>
        </is>
      </c>
      <c r="D464" s="38" t="n">
        <v>3549</v>
      </c>
      <c r="E464" s="38" t="n">
        <v>3294</v>
      </c>
      <c r="F464" s="38" t="n">
        <v>255</v>
      </c>
      <c r="H464" s="38" t="inlineStr">
        <is>
          <t>Total habitatges familiars; principal i no principal provenen de les categories publicades</t>
        </is>
      </c>
    </row>
    <row r="465" ht="15" customHeight="1" s="39">
      <c r="A465" s="38" t="inlineStr">
        <is>
          <t>[251425] Montoliu de Lleida</t>
        </is>
      </c>
      <c r="B465" s="42" t="inlineStr">
        <is>
          <t>251425</t>
        </is>
      </c>
      <c r="C465" s="38" t="inlineStr">
        <is>
          <t>Montoliu de Lleida</t>
        </is>
      </c>
      <c r="D465" s="38" t="n">
        <v>245</v>
      </c>
      <c r="E465" s="38" t="n">
        <v>176</v>
      </c>
      <c r="F465" s="38" t="n">
        <v>69</v>
      </c>
      <c r="H465" s="38" t="inlineStr">
        <is>
          <t>Total habitatges familiars; principal i no principal provenen de les categories publicades</t>
        </is>
      </c>
    </row>
    <row r="466" ht="15" customHeight="1" s="39">
      <c r="A466" s="38" t="inlineStr">
        <is>
          <t>[251410] Montoliu de Segarra</t>
        </is>
      </c>
      <c r="B466" s="42" t="inlineStr">
        <is>
          <t>251410</t>
        </is>
      </c>
      <c r="C466" s="38" t="inlineStr">
        <is>
          <t>Montoliu de Segarra</t>
        </is>
      </c>
      <c r="D466" s="38" t="n">
        <v>204</v>
      </c>
      <c r="E466" s="38" t="n">
        <v>80</v>
      </c>
      <c r="F466" s="38" t="n">
        <v>124</v>
      </c>
      <c r="H466" s="38" t="inlineStr">
        <is>
          <t>Total habitatges familiars; principal i no principal provenen de les categories publicades</t>
        </is>
      </c>
    </row>
    <row r="467" ht="15" customHeight="1" s="39">
      <c r="A467" s="38" t="inlineStr">
        <is>
          <t>[251431] Montornès de Segarra</t>
        </is>
      </c>
      <c r="B467" s="42" t="inlineStr">
        <is>
          <t>251431</t>
        </is>
      </c>
      <c r="C467" s="38" t="inlineStr">
        <is>
          <t>Montornès de Segarra</t>
        </is>
      </c>
      <c r="D467" s="38" t="n">
        <v>81</v>
      </c>
      <c r="E467" s="38" t="n">
        <v>34</v>
      </c>
      <c r="F467" s="38" t="n">
        <v>47</v>
      </c>
      <c r="H467" s="38" t="inlineStr">
        <is>
          <t>Total habitatges familiars; principal i no principal provenen de les categories publicades</t>
        </is>
      </c>
    </row>
    <row r="468" ht="15" customHeight="1" s="39">
      <c r="A468" s="38" t="inlineStr">
        <is>
          <t>[081363] Montornès del Vallès</t>
        </is>
      </c>
      <c r="B468" s="42" t="inlineStr">
        <is>
          <t>081363</t>
        </is>
      </c>
      <c r="C468" s="38" t="inlineStr">
        <is>
          <t>Montornès del Vallès</t>
        </is>
      </c>
      <c r="D468" s="38" t="n">
        <v>6687</v>
      </c>
      <c r="E468" s="38" t="n">
        <v>6089</v>
      </c>
      <c r="F468" s="38" t="n">
        <v>598</v>
      </c>
      <c r="H468" s="38" t="inlineStr">
        <is>
          <t>Total habitatges familiars; principal i no principal provenen de les categories publicades</t>
        </is>
      </c>
    </row>
    <row r="469" ht="15" customHeight="1" s="39">
      <c r="A469" s="38" t="inlineStr">
        <is>
          <t>[430918] Mont-ral</t>
        </is>
      </c>
      <c r="B469" s="42" t="inlineStr">
        <is>
          <t>430918</t>
        </is>
      </c>
      <c r="C469" s="38" t="inlineStr">
        <is>
          <t>Mont-ral</t>
        </is>
      </c>
      <c r="D469" s="38" t="n">
        <v>200</v>
      </c>
      <c r="E469" s="38" t="n">
        <v>79</v>
      </c>
      <c r="F469" s="38" t="n">
        <v>121</v>
      </c>
      <c r="H469" s="38" t="inlineStr">
        <is>
          <t>Total habitatges familiars; principal i no principal provenen de les categories publicades</t>
        </is>
      </c>
    </row>
    <row r="470" ht="15" customHeight="1" s="39">
      <c r="A470" s="38" t="inlineStr">
        <is>
          <t>[171100] Mont-ras</t>
        </is>
      </c>
      <c r="B470" s="42" t="inlineStr">
        <is>
          <t>171100</t>
        </is>
      </c>
      <c r="C470" s="38" t="inlineStr">
        <is>
          <t>Mont-ras</t>
        </is>
      </c>
      <c r="D470" s="38" t="n">
        <v>807</v>
      </c>
      <c r="E470" s="38" t="n">
        <v>576</v>
      </c>
      <c r="F470" s="38" t="n">
        <v>231</v>
      </c>
      <c r="H470" s="38" t="inlineStr">
        <is>
          <t>Total habitatges familiars; principal i no principal provenen de les categories publicades</t>
        </is>
      </c>
    </row>
    <row r="471" ht="15" customHeight="1" s="39">
      <c r="A471" s="38" t="inlineStr">
        <is>
          <t>[430923] Mont-roig del Camp</t>
        </is>
      </c>
      <c r="B471" s="42" t="inlineStr">
        <is>
          <t>430923</t>
        </is>
      </c>
      <c r="C471" s="38" t="inlineStr">
        <is>
          <t>Mont-roig del Camp</t>
        </is>
      </c>
      <c r="D471" s="38" t="n">
        <v>16661</v>
      </c>
      <c r="E471" s="38" t="n">
        <v>5525</v>
      </c>
      <c r="F471" s="38" t="n">
        <v>11136</v>
      </c>
      <c r="H471" s="38" t="inlineStr">
        <is>
          <t>Total habitatges familiars; principal i no principal provenen de les categories publicades</t>
        </is>
      </c>
    </row>
    <row r="472" ht="15" customHeight="1" s="39">
      <c r="A472" s="38" t="inlineStr">
        <is>
          <t>[081379] Montseny</t>
        </is>
      </c>
      <c r="B472" s="42" t="inlineStr">
        <is>
          <t>081379</t>
        </is>
      </c>
      <c r="C472" s="38" t="inlineStr">
        <is>
          <t>Montseny</t>
        </is>
      </c>
      <c r="D472" s="38" t="n">
        <v>240</v>
      </c>
      <c r="E472" s="38" t="n">
        <v>151</v>
      </c>
      <c r="F472" s="38" t="n">
        <v>89</v>
      </c>
      <c r="H472" s="38" t="inlineStr">
        <is>
          <t>Total habitatges familiars; principal i no principal provenen de les categories publicades</t>
        </is>
      </c>
    </row>
    <row r="473" ht="15" customHeight="1" s="39">
      <c r="A473" s="38" t="inlineStr">
        <is>
          <t>[430939] Móra d'Ebre</t>
        </is>
      </c>
      <c r="B473" s="42" t="inlineStr">
        <is>
          <t>430939</t>
        </is>
      </c>
      <c r="C473" s="38" t="inlineStr">
        <is>
          <t>Móra d'Ebre</t>
        </is>
      </c>
      <c r="D473" s="38" t="n">
        <v>3147</v>
      </c>
      <c r="E473" s="38" t="n">
        <v>2132</v>
      </c>
      <c r="F473" s="38" t="n">
        <v>1015</v>
      </c>
      <c r="H473" s="38" t="inlineStr">
        <is>
          <t>Total habitatges familiars; principal i no principal provenen de les categories publicades</t>
        </is>
      </c>
    </row>
    <row r="474" ht="15" customHeight="1" s="39">
      <c r="A474" s="38" t="inlineStr">
        <is>
          <t>[430944] Móra la Nova</t>
        </is>
      </c>
      <c r="B474" s="42" t="inlineStr">
        <is>
          <t>430944</t>
        </is>
      </c>
      <c r="C474" s="38" t="inlineStr">
        <is>
          <t>Móra la Nova</t>
        </is>
      </c>
      <c r="D474" s="38" t="n">
        <v>1553</v>
      </c>
      <c r="E474" s="38" t="n">
        <v>1169</v>
      </c>
      <c r="F474" s="38" t="n">
        <v>384</v>
      </c>
      <c r="H474" s="38" t="inlineStr">
        <is>
          <t>Total habitatges familiars; principal i no principal provenen de les categories publicades</t>
        </is>
      </c>
    </row>
    <row r="475" ht="15" customHeight="1" s="39">
      <c r="A475" s="38" t="inlineStr">
        <is>
          <t>[430957] Morell, el</t>
        </is>
      </c>
      <c r="B475" s="42" t="inlineStr">
        <is>
          <t>430957</t>
        </is>
      </c>
      <c r="C475" s="38" t="inlineStr">
        <is>
          <t>Morell, el</t>
        </is>
      </c>
      <c r="D475" s="38" t="n">
        <v>1728</v>
      </c>
      <c r="E475" s="38" t="n">
        <v>1373</v>
      </c>
      <c r="F475" s="38" t="n">
        <v>355</v>
      </c>
      <c r="H475" s="38" t="inlineStr">
        <is>
          <t>Total habitatges familiars; principal i no principal provenen de les categories publicades</t>
        </is>
      </c>
    </row>
    <row r="476" ht="15" customHeight="1" s="39">
      <c r="A476" s="38" t="inlineStr">
        <is>
          <t>[430960] Morera de Montsant, la</t>
        </is>
      </c>
      <c r="B476" s="42" t="inlineStr">
        <is>
          <t>430960</t>
        </is>
      </c>
      <c r="C476" s="38" t="inlineStr">
        <is>
          <t>Morera de Montsant, la</t>
        </is>
      </c>
      <c r="D476" s="38" t="n">
        <v>162</v>
      </c>
      <c r="E476" s="38" t="n">
        <v>65</v>
      </c>
      <c r="F476" s="38" t="n">
        <v>97</v>
      </c>
      <c r="H476" s="38" t="inlineStr">
        <is>
          <t>Total habitatges familiars; principal i no principal provenen de les categories publicades</t>
        </is>
      </c>
    </row>
    <row r="477" ht="15" customHeight="1" s="39">
      <c r="A477" s="38" t="inlineStr">
        <is>
          <t>[081290] Muntanyola</t>
        </is>
      </c>
      <c r="B477" s="42" t="inlineStr">
        <is>
          <t>081290</t>
        </is>
      </c>
      <c r="C477" s="38" t="inlineStr">
        <is>
          <t>Muntanyola</t>
        </is>
      </c>
      <c r="D477" s="38" t="n">
        <v>392</v>
      </c>
      <c r="E477" s="38" t="n">
        <v>250</v>
      </c>
      <c r="F477" s="38" t="n">
        <v>142</v>
      </c>
      <c r="H477" s="38" t="inlineStr">
        <is>
          <t>Total habitatges familiars; principal i no principal provenen de les categories publicades</t>
        </is>
      </c>
    </row>
    <row r="478" ht="15" customHeight="1" s="39">
      <c r="A478" s="38" t="inlineStr">
        <is>
          <t>[081398] Mura</t>
        </is>
      </c>
      <c r="B478" s="42" t="inlineStr">
        <is>
          <t>081398</t>
        </is>
      </c>
      <c r="C478" s="38" t="inlineStr">
        <is>
          <t>Mura</t>
        </is>
      </c>
      <c r="D478" s="38" t="n">
        <v>244</v>
      </c>
      <c r="E478" s="38" t="n">
        <v>102</v>
      </c>
      <c r="F478" s="38" t="n">
        <v>142</v>
      </c>
      <c r="H478" s="38" t="inlineStr">
        <is>
          <t>Total habitatges familiars; principal i no principal provenen de les categories publicades</t>
        </is>
      </c>
    </row>
    <row r="479" ht="15" customHeight="1" s="39">
      <c r="A479" s="38" t="inlineStr">
        <is>
          <t>[251459] Nalec</t>
        </is>
      </c>
      <c r="B479" s="42" t="inlineStr">
        <is>
          <t>251459</t>
        </is>
      </c>
      <c r="C479" s="38" t="inlineStr">
        <is>
          <t>Nalec</t>
        </is>
      </c>
      <c r="D479" s="38" t="n">
        <v>120</v>
      </c>
      <c r="E479" s="38" t="n">
        <v>40</v>
      </c>
      <c r="F479" s="38" t="n">
        <v>80</v>
      </c>
      <c r="H479" s="38" t="inlineStr">
        <is>
          <t>Total habitatges familiars; principal i no principal provenen de les categories publicades</t>
        </is>
      </c>
    </row>
    <row r="480" ht="15" customHeight="1" s="39">
      <c r="A480" s="38" t="inlineStr">
        <is>
          <t>[250254] Naut Aran</t>
        </is>
      </c>
      <c r="B480" s="42" t="inlineStr">
        <is>
          <t>250254</t>
        </is>
      </c>
      <c r="C480" s="38" t="inlineStr">
        <is>
          <t>Naut Aran</t>
        </is>
      </c>
      <c r="D480" s="38" t="n">
        <v>4760</v>
      </c>
      <c r="E480" s="38" t="n">
        <v>791</v>
      </c>
      <c r="F480" s="38" t="n">
        <v>3969</v>
      </c>
      <c r="H480" s="38" t="inlineStr">
        <is>
          <t>Total habitatges familiars; principal i no principal provenen de les categories publicades</t>
        </is>
      </c>
    </row>
    <row r="481" ht="15" customHeight="1" s="39">
      <c r="A481" s="38" t="inlineStr">
        <is>
          <t>[081402] Navarcles</t>
        </is>
      </c>
      <c r="B481" s="42" t="inlineStr">
        <is>
          <t>081402</t>
        </is>
      </c>
      <c r="C481" s="38" t="inlineStr">
        <is>
          <t>Navarcles</t>
        </is>
      </c>
      <c r="D481" s="38" t="n">
        <v>2791</v>
      </c>
      <c r="E481" s="38" t="n">
        <v>2341</v>
      </c>
      <c r="F481" s="38" t="n">
        <v>450</v>
      </c>
      <c r="H481" s="38" t="inlineStr">
        <is>
          <t>Total habitatges familiars; principal i no principal provenen de les categories publicades</t>
        </is>
      </c>
    </row>
    <row r="482" ht="15" customHeight="1" s="39">
      <c r="A482" s="38" t="inlineStr">
        <is>
          <t>[081419] Navàs</t>
        </is>
      </c>
      <c r="B482" s="42" t="inlineStr">
        <is>
          <t>081419</t>
        </is>
      </c>
      <c r="C482" s="38" t="inlineStr">
        <is>
          <t>Navàs</t>
        </is>
      </c>
      <c r="D482" s="38" t="n">
        <v>3092</v>
      </c>
      <c r="E482" s="38" t="n">
        <v>2357</v>
      </c>
      <c r="F482" s="38" t="n">
        <v>735</v>
      </c>
      <c r="H482" s="38" t="inlineStr">
        <is>
          <t>Total habitatges familiars; principal i no principal provenen de les categories publicades</t>
        </is>
      </c>
    </row>
    <row r="483" ht="15" customHeight="1" s="39">
      <c r="A483" s="38" t="inlineStr">
        <is>
          <t>[171117] Navata</t>
        </is>
      </c>
      <c r="B483" s="42" t="inlineStr">
        <is>
          <t>171117</t>
        </is>
      </c>
      <c r="C483" s="38" t="inlineStr">
        <is>
          <t>Navata</t>
        </is>
      </c>
      <c r="D483" s="38" t="n">
        <v>858</v>
      </c>
      <c r="E483" s="38" t="n">
        <v>534</v>
      </c>
      <c r="F483" s="38" t="n">
        <v>324</v>
      </c>
      <c r="H483" s="38" t="inlineStr">
        <is>
          <t>Total habitatges familiars; principal i no principal provenen de les categories publicades</t>
        </is>
      </c>
    </row>
    <row r="484" ht="15" customHeight="1" s="39">
      <c r="A484" s="38" t="inlineStr">
        <is>
          <t>[251462] Navès</t>
        </is>
      </c>
      <c r="B484" s="42" t="inlineStr">
        <is>
          <t>251462</t>
        </is>
      </c>
      <c r="C484" s="38" t="inlineStr">
        <is>
          <t>Navès</t>
        </is>
      </c>
      <c r="D484" s="38" t="n">
        <v>201</v>
      </c>
      <c r="E484" s="38" t="n">
        <v>107</v>
      </c>
      <c r="F484" s="38" t="n">
        <v>94</v>
      </c>
      <c r="H484" s="38" t="inlineStr">
        <is>
          <t>Total habitatges familiars; principal i no principal provenen de les categories publicades</t>
        </is>
      </c>
    </row>
    <row r="485" ht="15" customHeight="1" s="39">
      <c r="A485" s="38" t="inlineStr">
        <is>
          <t>[081424] Nou de Berguedà, la</t>
        </is>
      </c>
      <c r="B485" s="42" t="inlineStr">
        <is>
          <t>081424</t>
        </is>
      </c>
      <c r="C485" s="38" t="inlineStr">
        <is>
          <t>Nou de Berguedà, la</t>
        </is>
      </c>
      <c r="D485" s="38" t="n">
        <v>123</v>
      </c>
      <c r="E485" s="38" t="n">
        <v>64</v>
      </c>
      <c r="F485" s="38" t="n">
        <v>59</v>
      </c>
      <c r="H485" s="38" t="inlineStr">
        <is>
          <t>Total habitatges familiars; principal i no principal provenen de les categories publicades</t>
        </is>
      </c>
    </row>
    <row r="486" ht="15" customHeight="1" s="39">
      <c r="A486" s="38" t="inlineStr">
        <is>
          <t>[430976] Nou de Gaià, la</t>
        </is>
      </c>
      <c r="B486" s="42" t="inlineStr">
        <is>
          <t>430976</t>
        </is>
      </c>
      <c r="C486" s="38" t="inlineStr">
        <is>
          <t>Nou de Gaià, la</t>
        </is>
      </c>
      <c r="D486" s="38" t="n">
        <v>288</v>
      </c>
      <c r="E486" s="38" t="n">
        <v>220</v>
      </c>
      <c r="F486" s="38" t="n">
        <v>68</v>
      </c>
      <c r="H486" s="38" t="inlineStr">
        <is>
          <t>Total habitatges familiars; principal i no principal provenen de les categories publicades</t>
        </is>
      </c>
    </row>
    <row r="487" ht="15" customHeight="1" s="39">
      <c r="A487" s="38" t="inlineStr">
        <is>
          <t>[430982] Nulles</t>
        </is>
      </c>
      <c r="B487" s="42" t="inlineStr">
        <is>
          <t>430982</t>
        </is>
      </c>
      <c r="C487" s="38" t="inlineStr">
        <is>
          <t>Nulles</t>
        </is>
      </c>
      <c r="D487" s="38" t="n">
        <v>337</v>
      </c>
      <c r="E487" s="38" t="n">
        <v>198</v>
      </c>
      <c r="F487" s="38" t="n">
        <v>139</v>
      </c>
      <c r="H487" s="38" t="inlineStr">
        <is>
          <t>Total habitatges familiars; principal i no principal provenen de les categories publicades</t>
        </is>
      </c>
    </row>
    <row r="488" ht="15" customHeight="1" s="39">
      <c r="A488" s="38" t="inlineStr">
        <is>
          <t>[251484] Odèn</t>
        </is>
      </c>
      <c r="B488" s="42" t="inlineStr">
        <is>
          <t>251484</t>
        </is>
      </c>
      <c r="C488" s="38" t="inlineStr">
        <is>
          <t>Odèn</t>
        </is>
      </c>
      <c r="D488" s="38" t="n">
        <v>131</v>
      </c>
      <c r="E488" s="38" t="n">
        <v>88</v>
      </c>
      <c r="F488" s="38" t="n">
        <v>43</v>
      </c>
      <c r="H488" s="38" t="inlineStr">
        <is>
          <t>Total habitatges familiars; principal i no principal provenen de les categories publicades</t>
        </is>
      </c>
    </row>
    <row r="489" ht="15" customHeight="1" s="39">
      <c r="A489" s="38" t="inlineStr">
        <is>
          <t>[081430] Òdena</t>
        </is>
      </c>
      <c r="B489" s="42" t="inlineStr">
        <is>
          <t>081430</t>
        </is>
      </c>
      <c r="C489" s="38" t="inlineStr">
        <is>
          <t>Òdena</t>
        </is>
      </c>
      <c r="D489" s="38" t="n">
        <v>1730</v>
      </c>
      <c r="E489" s="38" t="n">
        <v>1337</v>
      </c>
      <c r="F489" s="38" t="n">
        <v>393</v>
      </c>
      <c r="H489" s="38" t="inlineStr">
        <is>
          <t>Total habitatges familiars; principal i no principal provenen de les categories publicades</t>
        </is>
      </c>
    </row>
    <row r="490" ht="15" customHeight="1" s="39">
      <c r="A490" s="38" t="inlineStr">
        <is>
          <t>[171122] Ogassa</t>
        </is>
      </c>
      <c r="B490" s="42" t="inlineStr">
        <is>
          <t>171122</t>
        </is>
      </c>
      <c r="C490" s="38" t="inlineStr">
        <is>
          <t>Ogassa</t>
        </is>
      </c>
      <c r="D490" s="38" t="n">
        <v>213</v>
      </c>
      <c r="E490" s="38" t="n">
        <v>106</v>
      </c>
      <c r="F490" s="38" t="n">
        <v>107</v>
      </c>
      <c r="H490" s="38" t="inlineStr">
        <is>
          <t>Total habitatges familiars; principal i no principal provenen de les categories publicades</t>
        </is>
      </c>
    </row>
    <row r="491" ht="15" customHeight="1" s="39">
      <c r="A491" s="38" t="inlineStr">
        <is>
          <t>[081458] Olèrdola</t>
        </is>
      </c>
      <c r="B491" s="42" t="inlineStr">
        <is>
          <t>081458</t>
        </is>
      </c>
      <c r="C491" s="38" t="inlineStr">
        <is>
          <t>Olèrdola</t>
        </is>
      </c>
      <c r="D491" s="38" t="n">
        <v>1791</v>
      </c>
      <c r="E491" s="38" t="n">
        <v>1405</v>
      </c>
      <c r="F491" s="38" t="n">
        <v>386</v>
      </c>
      <c r="H491" s="38" t="inlineStr">
        <is>
          <t>Total habitatges familiars; principal i no principal provenen de les categories publicades</t>
        </is>
      </c>
    </row>
    <row r="492" ht="15" customHeight="1" s="39">
      <c r="A492" s="38" t="inlineStr">
        <is>
          <t>[081461] Olesa de Bonesvalls</t>
        </is>
      </c>
      <c r="B492" s="42" t="inlineStr">
        <is>
          <t>081461</t>
        </is>
      </c>
      <c r="C492" s="38" t="inlineStr">
        <is>
          <t>Olesa de Bonesvalls</t>
        </is>
      </c>
      <c r="D492" s="38" t="n">
        <v>1137</v>
      </c>
      <c r="E492" s="38" t="n">
        <v>728</v>
      </c>
      <c r="F492" s="38" t="n">
        <v>409</v>
      </c>
      <c r="H492" s="38" t="inlineStr">
        <is>
          <t>Total habitatges familiars; principal i no principal provenen de les categories publicades</t>
        </is>
      </c>
    </row>
    <row r="493" ht="15" customHeight="1" s="39">
      <c r="A493" s="38" t="inlineStr">
        <is>
          <t>[081477] Olesa de Montserrat</t>
        </is>
      </c>
      <c r="B493" s="42" t="inlineStr">
        <is>
          <t>081477</t>
        </is>
      </c>
      <c r="C493" s="38" t="inlineStr">
        <is>
          <t>Olesa de Montserrat</t>
        </is>
      </c>
      <c r="D493" s="38" t="n">
        <v>10178</v>
      </c>
      <c r="E493" s="38" t="n">
        <v>8927</v>
      </c>
      <c r="F493" s="38" t="n">
        <v>1251</v>
      </c>
      <c r="H493" s="38" t="inlineStr">
        <is>
          <t>Total habitatges familiars; principal i no principal provenen de les categories publicades</t>
        </is>
      </c>
    </row>
    <row r="494" ht="15" customHeight="1" s="39">
      <c r="A494" s="38" t="inlineStr">
        <is>
          <t>[251497] Oliana</t>
        </is>
      </c>
      <c r="B494" s="42" t="inlineStr">
        <is>
          <t>251497</t>
        </is>
      </c>
      <c r="C494" s="38" t="inlineStr">
        <is>
          <t>Oliana</t>
        </is>
      </c>
      <c r="D494" s="38" t="n">
        <v>1222</v>
      </c>
      <c r="E494" s="38" t="n">
        <v>710</v>
      </c>
      <c r="F494" s="38" t="n">
        <v>512</v>
      </c>
      <c r="H494" s="38" t="inlineStr">
        <is>
          <t>Total habitatges familiars; principal i no principal provenen de les categories publicades</t>
        </is>
      </c>
    </row>
    <row r="495" ht="15" customHeight="1" s="39">
      <c r="A495" s="38" t="inlineStr">
        <is>
          <t>[251500] Oliola</t>
        </is>
      </c>
      <c r="B495" s="42" t="inlineStr">
        <is>
          <t>251500</t>
        </is>
      </c>
      <c r="C495" s="38" t="inlineStr">
        <is>
          <t>Oliola</t>
        </is>
      </c>
      <c r="D495" s="38" t="n">
        <v>130</v>
      </c>
      <c r="E495" s="38" t="n">
        <v>69</v>
      </c>
      <c r="F495" s="38" t="n">
        <v>61</v>
      </c>
      <c r="H495" s="38" t="inlineStr">
        <is>
          <t>Total habitatges familiars; principal i no principal provenen de les categories publicades</t>
        </is>
      </c>
    </row>
    <row r="496" ht="15" customHeight="1" s="39">
      <c r="A496" s="38" t="inlineStr">
        <is>
          <t>[251517] Olius</t>
        </is>
      </c>
      <c r="B496" s="42" t="inlineStr">
        <is>
          <t>251517</t>
        </is>
      </c>
      <c r="C496" s="38" t="inlineStr">
        <is>
          <t>Olius</t>
        </is>
      </c>
      <c r="D496" s="38" t="n">
        <v>448</v>
      </c>
      <c r="E496" s="38" t="n">
        <v>324</v>
      </c>
      <c r="F496" s="38" t="n">
        <v>124</v>
      </c>
      <c r="H496" s="38" t="inlineStr">
        <is>
          <t>Total habitatges familiars; principal i no principal provenen de les categories publicades</t>
        </is>
      </c>
    </row>
    <row r="497" ht="15" customHeight="1" s="39">
      <c r="A497" s="38" t="inlineStr">
        <is>
          <t>[081483] Olivella</t>
        </is>
      </c>
      <c r="B497" s="42" t="inlineStr">
        <is>
          <t>081483</t>
        </is>
      </c>
      <c r="C497" s="38" t="inlineStr">
        <is>
          <t>Olivella</t>
        </is>
      </c>
      <c r="D497" s="38" t="n">
        <v>2262</v>
      </c>
      <c r="E497" s="38" t="n">
        <v>1514</v>
      </c>
      <c r="F497" s="38" t="n">
        <v>748</v>
      </c>
      <c r="H497" s="38" t="inlineStr">
        <is>
          <t>Total habitatges familiars; principal i no principal provenen de les categories publicades</t>
        </is>
      </c>
    </row>
    <row r="498" ht="15" customHeight="1" s="39">
      <c r="A498" s="38" t="inlineStr">
        <is>
          <t>[081496] Olost</t>
        </is>
      </c>
      <c r="B498" s="42" t="inlineStr">
        <is>
          <t>081496</t>
        </is>
      </c>
      <c r="C498" s="38" t="inlineStr">
        <is>
          <t>Olost</t>
        </is>
      </c>
      <c r="D498" s="38" t="n">
        <v>631</v>
      </c>
      <c r="E498" s="38" t="n">
        <v>465</v>
      </c>
      <c r="F498" s="38" t="n">
        <v>166</v>
      </c>
      <c r="H498" s="38" t="inlineStr">
        <is>
          <t>Total habitatges familiars; principal i no principal provenen de les categories publicades</t>
        </is>
      </c>
    </row>
    <row r="499" ht="15" customHeight="1" s="39">
      <c r="A499" s="38" t="inlineStr">
        <is>
          <t>[171143] Olot</t>
        </is>
      </c>
      <c r="B499" s="42" t="inlineStr">
        <is>
          <t>171143</t>
        </is>
      </c>
      <c r="C499" s="38" t="inlineStr">
        <is>
          <t>Olot</t>
        </is>
      </c>
      <c r="D499" s="38" t="n">
        <v>16713</v>
      </c>
      <c r="E499" s="38" t="n">
        <v>13638</v>
      </c>
      <c r="F499" s="38" t="n">
        <v>3075</v>
      </c>
      <c r="H499" s="38" t="inlineStr">
        <is>
          <t>Total habitatges familiars; principal i no principal provenen de les categories publicades</t>
        </is>
      </c>
    </row>
    <row r="500" ht="15" customHeight="1" s="39">
      <c r="A500" s="38" t="inlineStr">
        <is>
          <t>[251522] Oluges, les</t>
        </is>
      </c>
      <c r="B500" s="42" t="inlineStr">
        <is>
          <t>251522</t>
        </is>
      </c>
      <c r="C500" s="38" t="inlineStr">
        <is>
          <t>Oluges, les</t>
        </is>
      </c>
      <c r="D500" s="38" t="n">
        <v>154</v>
      </c>
      <c r="E500" s="38" t="n">
        <v>65</v>
      </c>
      <c r="F500" s="38" t="n">
        <v>89</v>
      </c>
      <c r="H500" s="38" t="inlineStr">
        <is>
          <t>Total habitatges familiars; principal i no principal provenen de les categories publicades</t>
        </is>
      </c>
    </row>
    <row r="501" ht="15" customHeight="1" s="39">
      <c r="A501" s="38" t="inlineStr">
        <is>
          <t>[081445] Olvan</t>
        </is>
      </c>
      <c r="B501" s="42" t="inlineStr">
        <is>
          <t>081445</t>
        </is>
      </c>
      <c r="C501" s="38" t="inlineStr">
        <is>
          <t>Olvan</t>
        </is>
      </c>
      <c r="D501" s="38" t="n">
        <v>530</v>
      </c>
      <c r="E501" s="38" t="n">
        <v>360</v>
      </c>
      <c r="F501" s="38" t="n">
        <v>170</v>
      </c>
      <c r="H501" s="38" t="inlineStr">
        <is>
          <t>Total habitatges familiars; principal i no principal provenen de les categories publicades</t>
        </is>
      </c>
    </row>
    <row r="502" ht="15" customHeight="1" s="39">
      <c r="A502" s="38" t="inlineStr">
        <is>
          <t>[251538] Omellons, els</t>
        </is>
      </c>
      <c r="B502" s="42" t="inlineStr">
        <is>
          <t>251538</t>
        </is>
      </c>
      <c r="C502" s="38" t="inlineStr">
        <is>
          <t>Omellons, els</t>
        </is>
      </c>
      <c r="D502" s="38" t="n">
        <v>153</v>
      </c>
      <c r="E502" s="38" t="n">
        <v>87</v>
      </c>
      <c r="F502" s="38" t="n">
        <v>66</v>
      </c>
      <c r="H502" s="38" t="inlineStr">
        <is>
          <t>Total habitatges familiars; principal i no principal provenen de les categories publicades</t>
        </is>
      </c>
    </row>
    <row r="503" ht="15" customHeight="1" s="39">
      <c r="A503" s="38" t="inlineStr">
        <is>
          <t>[251543] Omells de na Gaia, els</t>
        </is>
      </c>
      <c r="B503" s="42" t="inlineStr">
        <is>
          <t>251543</t>
        </is>
      </c>
      <c r="C503" s="38" t="inlineStr">
        <is>
          <t>Omells de na Gaia, els</t>
        </is>
      </c>
      <c r="D503" s="38" t="n">
        <v>185</v>
      </c>
      <c r="E503" s="38" t="n">
        <v>55</v>
      </c>
      <c r="F503" s="38" t="n">
        <v>130</v>
      </c>
      <c r="H503" s="38" t="inlineStr">
        <is>
          <t>Total habitatges familiars; principal i no principal provenen de les categories publicades</t>
        </is>
      </c>
    </row>
    <row r="504" ht="15" customHeight="1" s="39">
      <c r="A504" s="38" t="inlineStr">
        <is>
          <t>[171156] Ordis</t>
        </is>
      </c>
      <c r="B504" s="42" t="inlineStr">
        <is>
          <t>171156</t>
        </is>
      </c>
      <c r="C504" s="38" t="inlineStr">
        <is>
          <t>Ordis</t>
        </is>
      </c>
      <c r="D504" s="38" t="n">
        <v>166</v>
      </c>
      <c r="E504" s="38" t="n">
        <v>128</v>
      </c>
      <c r="F504" s="38" t="n">
        <v>38</v>
      </c>
      <c r="H504" s="38" t="inlineStr">
        <is>
          <t>Total habitatges familiars; principal i no principal provenen de les categories publicades</t>
        </is>
      </c>
    </row>
    <row r="505" ht="15" customHeight="1" s="39">
      <c r="A505" s="38" t="inlineStr">
        <is>
          <t>[251556] Organyà</t>
        </is>
      </c>
      <c r="B505" s="42" t="inlineStr">
        <is>
          <t>251556</t>
        </is>
      </c>
      <c r="C505" s="38" t="inlineStr">
        <is>
          <t>Organyà</t>
        </is>
      </c>
      <c r="D505" s="38" t="n">
        <v>813</v>
      </c>
      <c r="E505" s="38" t="n">
        <v>350</v>
      </c>
      <c r="F505" s="38" t="n">
        <v>463</v>
      </c>
      <c r="H505" s="38" t="inlineStr">
        <is>
          <t>Total habitatges familiars; principal i no principal provenen de les categories publicades</t>
        </is>
      </c>
    </row>
    <row r="506" ht="15" customHeight="1" s="39">
      <c r="A506" s="38" t="inlineStr">
        <is>
          <t>[081509] Orís</t>
        </is>
      </c>
      <c r="B506" s="42" t="inlineStr">
        <is>
          <t>081509</t>
        </is>
      </c>
      <c r="C506" s="38" t="inlineStr">
        <is>
          <t>Orís</t>
        </is>
      </c>
      <c r="D506" s="38" t="n">
        <v>135</v>
      </c>
      <c r="E506" s="38" t="n">
        <v>116</v>
      </c>
      <c r="F506" s="38" t="n">
        <v>19</v>
      </c>
      <c r="H506" s="38" t="inlineStr">
        <is>
          <t>Total habitatges familiars; principal i no principal provenen de les categories publicades</t>
        </is>
      </c>
    </row>
    <row r="507" ht="15" customHeight="1" s="39">
      <c r="A507" s="38" t="inlineStr">
        <is>
          <t>[081516] Oristà</t>
        </is>
      </c>
      <c r="B507" s="42" t="inlineStr">
        <is>
          <t>081516</t>
        </is>
      </c>
      <c r="C507" s="38" t="inlineStr">
        <is>
          <t>Oristà</t>
        </is>
      </c>
      <c r="D507" s="38" t="n">
        <v>322</v>
      </c>
      <c r="E507" s="38" t="n">
        <v>197</v>
      </c>
      <c r="F507" s="38" t="n">
        <v>125</v>
      </c>
      <c r="H507" s="38" t="inlineStr">
        <is>
          <t>Total habitatges familiars; principal i no principal provenen de les categories publicades</t>
        </is>
      </c>
    </row>
    <row r="508" ht="15" customHeight="1" s="39">
      <c r="A508" s="38" t="inlineStr">
        <is>
          <t>[081521] Orpí</t>
        </is>
      </c>
      <c r="B508" s="42" t="inlineStr">
        <is>
          <t>081521</t>
        </is>
      </c>
      <c r="C508" s="38" t="inlineStr">
        <is>
          <t>Orpí</t>
        </is>
      </c>
      <c r="D508" s="38" t="n">
        <v>122</v>
      </c>
      <c r="E508" s="38" t="n">
        <v>60</v>
      </c>
      <c r="F508" s="38" t="n">
        <v>62</v>
      </c>
      <c r="H508" s="38" t="inlineStr">
        <is>
          <t>Total habitatges familiars; principal i no principal provenen de les categories publicades</t>
        </is>
      </c>
    </row>
    <row r="509" ht="15" customHeight="1" s="39">
      <c r="A509" s="38" t="inlineStr">
        <is>
          <t>[081537] Òrrius</t>
        </is>
      </c>
      <c r="B509" s="42" t="inlineStr">
        <is>
          <t>081537</t>
        </is>
      </c>
      <c r="C509" s="38" t="inlineStr">
        <is>
          <t>Òrrius</t>
        </is>
      </c>
      <c r="D509" s="38" t="n">
        <v>359</v>
      </c>
      <c r="E509" s="38" t="n">
        <v>299</v>
      </c>
      <c r="F509" s="38" t="n">
        <v>60</v>
      </c>
      <c r="H509" s="38" t="inlineStr">
        <is>
          <t>Total habitatges familiars; principal i no principal provenen de les categories publicades</t>
        </is>
      </c>
    </row>
    <row r="510" ht="15" customHeight="1" s="39">
      <c r="A510" s="38" t="inlineStr">
        <is>
          <t>[251569] Os de Balaguer</t>
        </is>
      </c>
      <c r="B510" s="42" t="inlineStr">
        <is>
          <t>251569</t>
        </is>
      </c>
      <c r="C510" s="38" t="inlineStr">
        <is>
          <t>Os de Balaguer</t>
        </is>
      </c>
      <c r="D510" s="38" t="n">
        <v>720</v>
      </c>
      <c r="E510" s="38" t="n">
        <v>371</v>
      </c>
      <c r="F510" s="38" t="n">
        <v>349</v>
      </c>
      <c r="H510" s="38" t="inlineStr">
        <is>
          <t>Total habitatges familiars; principal i no principal provenen de les categories publicades</t>
        </is>
      </c>
    </row>
    <row r="511" ht="15" customHeight="1" s="39">
      <c r="A511" s="38" t="inlineStr">
        <is>
          <t>[171169] Osor</t>
        </is>
      </c>
      <c r="B511" s="42" t="inlineStr">
        <is>
          <t>171169</t>
        </is>
      </c>
      <c r="C511" s="38" t="inlineStr">
        <is>
          <t>Osor</t>
        </is>
      </c>
      <c r="D511" s="38" t="n">
        <v>318</v>
      </c>
      <c r="E511" s="38" t="n">
        <v>187</v>
      </c>
      <c r="F511" s="38" t="n">
        <v>131</v>
      </c>
      <c r="H511" s="38" t="inlineStr">
        <is>
          <t>Total habitatges familiars; principal i no principal provenen de les categories publicades</t>
        </is>
      </c>
    </row>
    <row r="512" ht="15" customHeight="1" s="39">
      <c r="A512" s="38" t="inlineStr">
        <is>
          <t>[251575] Ossó de Sió</t>
        </is>
      </c>
      <c r="B512" s="42" t="inlineStr">
        <is>
          <t>251575</t>
        </is>
      </c>
      <c r="C512" s="38" t="inlineStr">
        <is>
          <t>Ossó de Sió</t>
        </is>
      </c>
      <c r="D512" s="38" t="n">
        <v>209</v>
      </c>
      <c r="E512" s="38" t="n">
        <v>61</v>
      </c>
      <c r="F512" s="38" t="n">
        <v>148</v>
      </c>
      <c r="H512" s="38" t="inlineStr">
        <is>
          <t>Total habitatges familiars; principal i no principal provenen de les categories publicades</t>
        </is>
      </c>
    </row>
    <row r="513" ht="15" customHeight="1" s="39">
      <c r="A513" s="38" t="inlineStr">
        <is>
          <t>[081542] Pacs del Penedès</t>
        </is>
      </c>
      <c r="B513" s="42" t="inlineStr">
        <is>
          <t>081542</t>
        </is>
      </c>
      <c r="C513" s="38" t="inlineStr">
        <is>
          <t>Pacs del Penedès</t>
        </is>
      </c>
      <c r="D513" s="38" t="n">
        <v>412</v>
      </c>
      <c r="E513" s="38" t="n">
        <v>327</v>
      </c>
      <c r="F513" s="38" t="n">
        <v>85</v>
      </c>
      <c r="H513" s="38" t="inlineStr">
        <is>
          <t>Total habitatges familiars; principal i no principal provenen de les categories publicades</t>
        </is>
      </c>
    </row>
    <row r="514" ht="15" customHeight="1" s="39">
      <c r="A514" s="38" t="inlineStr">
        <is>
          <t>[081555] Palafolls</t>
        </is>
      </c>
      <c r="B514" s="42" t="inlineStr">
        <is>
          <t>081555</t>
        </is>
      </c>
      <c r="C514" s="38" t="inlineStr">
        <is>
          <t>Palafolls</t>
        </is>
      </c>
      <c r="D514" s="38" t="n">
        <v>4433</v>
      </c>
      <c r="E514" s="38" t="n">
        <v>3650</v>
      </c>
      <c r="F514" s="38" t="n">
        <v>783</v>
      </c>
      <c r="H514" s="38" t="inlineStr">
        <is>
          <t>Total habitatges familiars; principal i no principal provenen de les categories publicades</t>
        </is>
      </c>
    </row>
    <row r="515" ht="15" customHeight="1" s="39">
      <c r="A515" s="38" t="inlineStr">
        <is>
          <t>[171175] Palafrugell</t>
        </is>
      </c>
      <c r="B515" s="42" t="inlineStr">
        <is>
          <t>171175</t>
        </is>
      </c>
      <c r="C515" s="38" t="inlineStr">
        <is>
          <t>Palafrugell</t>
        </is>
      </c>
      <c r="D515" s="38" t="n">
        <v>17675</v>
      </c>
      <c r="E515" s="38" t="n">
        <v>8687</v>
      </c>
      <c r="F515" s="38" t="n">
        <v>8988</v>
      </c>
      <c r="H515" s="38" t="inlineStr">
        <is>
          <t>Total habitatges familiars; principal i no principal provenen de les categories publicades</t>
        </is>
      </c>
    </row>
    <row r="516" ht="15" customHeight="1" s="39">
      <c r="A516" s="38" t="inlineStr">
        <is>
          <t>[171181] Palamós</t>
        </is>
      </c>
      <c r="B516" s="42" t="inlineStr">
        <is>
          <t>171181</t>
        </is>
      </c>
      <c r="C516" s="38" t="inlineStr">
        <is>
          <t>Palamós</t>
        </is>
      </c>
      <c r="D516" s="38" t="n">
        <v>13007</v>
      </c>
      <c r="E516" s="38" t="n">
        <v>7193</v>
      </c>
      <c r="F516" s="38" t="n">
        <v>5814</v>
      </c>
      <c r="H516" s="38" t="inlineStr">
        <is>
          <t>Total habitatges familiars; principal i no principal provenen de les categories publicades</t>
        </is>
      </c>
    </row>
    <row r="517" ht="15" customHeight="1" s="39">
      <c r="A517" s="38" t="inlineStr">
        <is>
          <t>[251581] Palau d'Anglesola, el</t>
        </is>
      </c>
      <c r="B517" s="42" t="inlineStr">
        <is>
          <t>251581</t>
        </is>
      </c>
      <c r="C517" s="38" t="inlineStr">
        <is>
          <t>Palau d'Anglesola, el</t>
        </is>
      </c>
      <c r="D517" s="38" t="n">
        <v>1021</v>
      </c>
      <c r="E517" s="38" t="n">
        <v>802</v>
      </c>
      <c r="F517" s="38" t="n">
        <v>219</v>
      </c>
      <c r="H517" s="38" t="inlineStr">
        <is>
          <t>Total habitatges familiars; principal i no principal provenen de les categories publicades</t>
        </is>
      </c>
    </row>
    <row r="518" ht="15" customHeight="1" s="39">
      <c r="A518" s="38" t="inlineStr">
        <is>
          <t>[171194] Palau de Santa Eulàlia</t>
        </is>
      </c>
      <c r="B518" s="42" t="inlineStr">
        <is>
          <t>171194</t>
        </is>
      </c>
      <c r="C518" s="38" t="inlineStr">
        <is>
          <t>Palau de Santa Eulàlia</t>
        </is>
      </c>
      <c r="D518" s="38" t="n">
        <v>81</v>
      </c>
      <c r="E518" s="38" t="n">
        <v>49</v>
      </c>
      <c r="F518" s="38" t="n">
        <v>32</v>
      </c>
      <c r="H518" s="38" t="inlineStr">
        <is>
          <t>Total habitatges familiars; principal i no principal provenen de les categories publicades</t>
        </is>
      </c>
    </row>
    <row r="519" ht="15" customHeight="1" s="39">
      <c r="A519" s="38" t="inlineStr">
        <is>
          <t>[171215] Palau-sator</t>
        </is>
      </c>
      <c r="B519" s="42" t="inlineStr">
        <is>
          <t>171215</t>
        </is>
      </c>
      <c r="C519" s="38" t="inlineStr">
        <is>
          <t>Palau-sator</t>
        </is>
      </c>
      <c r="D519" s="38" t="n">
        <v>259</v>
      </c>
      <c r="E519" s="38" t="n">
        <v>120</v>
      </c>
      <c r="F519" s="38" t="n">
        <v>139</v>
      </c>
      <c r="H519" s="38" t="inlineStr">
        <is>
          <t>Total habitatges familiars; principal i no principal provenen de les categories publicades</t>
        </is>
      </c>
    </row>
    <row r="520" ht="15" customHeight="1" s="39">
      <c r="A520" s="38" t="inlineStr">
        <is>
          <t>[171208] Palau-saverdera</t>
        </is>
      </c>
      <c r="B520" s="42" t="inlineStr">
        <is>
          <t>171208</t>
        </is>
      </c>
      <c r="C520" s="38" t="inlineStr">
        <is>
          <t>Palau-saverdera</t>
        </is>
      </c>
      <c r="D520" s="38" t="n">
        <v>936</v>
      </c>
      <c r="E520" s="38" t="n">
        <v>547</v>
      </c>
      <c r="F520" s="38" t="n">
        <v>389</v>
      </c>
      <c r="H520" s="38" t="inlineStr">
        <is>
          <t>Total habitatges familiars; principal i no principal provenen de les categories publicades</t>
        </is>
      </c>
    </row>
    <row r="521" ht="15" customHeight="1" s="39">
      <c r="A521" s="38" t="inlineStr">
        <is>
          <t>[081568] Palau-solità i Plegamans</t>
        </is>
      </c>
      <c r="B521" s="42" t="inlineStr">
        <is>
          <t>081568</t>
        </is>
      </c>
      <c r="C521" s="38" t="inlineStr">
        <is>
          <t>Palau-solità i Plegamans</t>
        </is>
      </c>
      <c r="D521" s="38" t="n">
        <v>5727</v>
      </c>
      <c r="E521" s="38" t="n">
        <v>5138</v>
      </c>
      <c r="F521" s="38" t="n">
        <v>589</v>
      </c>
      <c r="H521" s="38" t="inlineStr">
        <is>
          <t>Total habitatges familiars; principal i no principal provenen de les categories publicades</t>
        </is>
      </c>
    </row>
    <row r="522" ht="15" customHeight="1" s="39">
      <c r="A522" s="38" t="inlineStr">
        <is>
          <t>[431009] Pallaresos, els</t>
        </is>
      </c>
      <c r="B522" s="42" t="inlineStr">
        <is>
          <t>431009</t>
        </is>
      </c>
      <c r="C522" s="38" t="inlineStr">
        <is>
          <t>Pallaresos, els</t>
        </is>
      </c>
      <c r="D522" s="38" t="n">
        <v>1932</v>
      </c>
      <c r="E522" s="38" t="n">
        <v>1623</v>
      </c>
      <c r="F522" s="38" t="n">
        <v>309</v>
      </c>
      <c r="H522" s="38" t="inlineStr">
        <is>
          <t>Total habitatges familiars; principal i no principal provenen de les categories publicades</t>
        </is>
      </c>
    </row>
    <row r="523" ht="15" customHeight="1" s="39">
      <c r="A523" s="38" t="inlineStr">
        <is>
          <t>[081574] Pallejà</t>
        </is>
      </c>
      <c r="B523" s="42" t="inlineStr">
        <is>
          <t>081574</t>
        </is>
      </c>
      <c r="C523" s="38" t="inlineStr">
        <is>
          <t>Pallejà</t>
        </is>
      </c>
      <c r="D523" s="38" t="n">
        <v>4650</v>
      </c>
      <c r="E523" s="38" t="n">
        <v>4194</v>
      </c>
      <c r="F523" s="38" t="n">
        <v>456</v>
      </c>
      <c r="H523" s="38" t="inlineStr">
        <is>
          <t>Total habitatges familiars; principal i no principal provenen de les categories publicades</t>
        </is>
      </c>
    </row>
    <row r="524" ht="15" customHeight="1" s="39">
      <c r="A524" s="38" t="inlineStr">
        <is>
          <t>[430995] Palma d'Ebre, la</t>
        </is>
      </c>
      <c r="B524" s="42" t="inlineStr">
        <is>
          <t>430995</t>
        </is>
      </c>
      <c r="C524" s="38" t="inlineStr">
        <is>
          <t>Palma d'Ebre, la</t>
        </is>
      </c>
      <c r="D524" s="38" t="n">
        <v>287</v>
      </c>
      <c r="E524" s="38" t="n">
        <v>154</v>
      </c>
      <c r="F524" s="38" t="n">
        <v>133</v>
      </c>
      <c r="H524" s="38" t="inlineStr">
        <is>
          <t>Total habitatges familiars; principal i no principal provenen de les categories publicades</t>
        </is>
      </c>
    </row>
    <row r="525" ht="15" customHeight="1" s="39">
      <c r="A525" s="38" t="inlineStr">
        <is>
          <t>[089058] Palma de Cervelló, la</t>
        </is>
      </c>
      <c r="B525" s="42" t="inlineStr">
        <is>
          <t>089058</t>
        </is>
      </c>
      <c r="C525" s="38" t="inlineStr">
        <is>
          <t>Palma de Cervelló, la</t>
        </is>
      </c>
      <c r="D525" s="38" t="n">
        <v>1288</v>
      </c>
      <c r="E525" s="38" t="n">
        <v>1131</v>
      </c>
      <c r="F525" s="38" t="n">
        <v>157</v>
      </c>
      <c r="H525" s="38" t="inlineStr">
        <is>
          <t>Total habitatges familiars; principal i no principal provenen de les categories publicades</t>
        </is>
      </c>
    </row>
    <row r="526" ht="15" customHeight="1" s="39">
      <c r="A526" s="38" t="inlineStr">
        <is>
          <t>[171236] Palol de Revardit</t>
        </is>
      </c>
      <c r="B526" s="42" t="inlineStr">
        <is>
          <t>171236</t>
        </is>
      </c>
      <c r="C526" s="38" t="inlineStr">
        <is>
          <t>Palol de Revardit</t>
        </is>
      </c>
      <c r="D526" s="38" t="n">
        <v>206</v>
      </c>
      <c r="E526" s="38" t="n">
        <v>151</v>
      </c>
      <c r="F526" s="38" t="n">
        <v>55</v>
      </c>
      <c r="H526" s="38" t="inlineStr">
        <is>
          <t>Total habitatges familiars; principal i no principal provenen de les categories publicades</t>
        </is>
      </c>
    </row>
    <row r="527" ht="15" customHeight="1" s="39">
      <c r="A527" s="38" t="inlineStr">
        <is>
          <t>[171241] Pals</t>
        </is>
      </c>
      <c r="B527" s="42" t="inlineStr">
        <is>
          <t>171241</t>
        </is>
      </c>
      <c r="C527" s="38" t="inlineStr">
        <is>
          <t>Pals</t>
        </is>
      </c>
      <c r="D527" s="38" t="n">
        <v>3989</v>
      </c>
      <c r="E527" s="38" t="n">
        <v>1028</v>
      </c>
      <c r="F527" s="38" t="n">
        <v>2961</v>
      </c>
      <c r="H527" s="38" t="inlineStr">
        <is>
          <t>Total habitatges familiars; principal i no principal provenen de les categories publicades</t>
        </is>
      </c>
    </row>
    <row r="528" ht="15" customHeight="1" s="39">
      <c r="A528" s="38" t="inlineStr">
        <is>
          <t>[081580] Papiol, el</t>
        </is>
      </c>
      <c r="B528" s="42" t="inlineStr">
        <is>
          <t>081580</t>
        </is>
      </c>
      <c r="C528" s="38" t="inlineStr">
        <is>
          <t>Papiol, el</t>
        </is>
      </c>
      <c r="D528" s="38" t="n">
        <v>1771</v>
      </c>
      <c r="E528" s="38" t="n">
        <v>1563</v>
      </c>
      <c r="F528" s="38" t="n">
        <v>208</v>
      </c>
      <c r="H528" s="38" t="inlineStr">
        <is>
          <t>Total habitatges familiars; principal i no principal provenen de les categories publicades</t>
        </is>
      </c>
    </row>
    <row r="529" ht="15" customHeight="1" s="39">
      <c r="A529" s="38" t="inlineStr">
        <is>
          <t>[171254] Pardines</t>
        </is>
      </c>
      <c r="B529" s="42" t="inlineStr">
        <is>
          <t>171254</t>
        </is>
      </c>
      <c r="C529" s="38" t="inlineStr">
        <is>
          <t>Pardines</t>
        </is>
      </c>
      <c r="D529" s="38" t="n">
        <v>220</v>
      </c>
      <c r="E529" s="38" t="n">
        <v>63</v>
      </c>
      <c r="F529" s="38" t="n">
        <v>157</v>
      </c>
      <c r="H529" s="38" t="inlineStr">
        <is>
          <t>Total habitatges familiars; principal i no principal provenen de les categories publicades</t>
        </is>
      </c>
    </row>
    <row r="530" ht="15" customHeight="1" s="39">
      <c r="A530" s="38" t="inlineStr">
        <is>
          <t>[081593] Parets del Vallès</t>
        </is>
      </c>
      <c r="B530" s="42" t="inlineStr">
        <is>
          <t>081593</t>
        </is>
      </c>
      <c r="C530" s="38" t="inlineStr">
        <is>
          <t>Parets del Vallès</t>
        </is>
      </c>
      <c r="D530" s="38" t="n">
        <v>7560</v>
      </c>
      <c r="E530" s="38" t="n">
        <v>6910</v>
      </c>
      <c r="F530" s="38" t="n">
        <v>650</v>
      </c>
      <c r="H530" s="38" t="inlineStr">
        <is>
          <t>Total habitatges familiars; principal i no principal provenen de les categories publicades</t>
        </is>
      </c>
    </row>
    <row r="531" ht="15" customHeight="1" s="39">
      <c r="A531" s="38" t="inlineStr">
        <is>
          <t>[171267] Parlavà</t>
        </is>
      </c>
      <c r="B531" s="42" t="inlineStr">
        <is>
          <t>171267</t>
        </is>
      </c>
      <c r="C531" s="38" t="inlineStr">
        <is>
          <t>Parlavà</t>
        </is>
      </c>
      <c r="D531" s="38" t="n">
        <v>268</v>
      </c>
      <c r="E531" s="38" t="n">
        <v>162</v>
      </c>
      <c r="F531" s="38" t="n">
        <v>106</v>
      </c>
      <c r="H531" s="38" t="inlineStr">
        <is>
          <t>Total habitatges familiars; principal i no principal provenen de les categories publicades</t>
        </is>
      </c>
    </row>
    <row r="532" ht="15" customHeight="1" s="39">
      <c r="A532" s="38" t="inlineStr">
        <is>
          <t>[431016] Passanant i Belltall</t>
        </is>
      </c>
      <c r="B532" s="42" t="inlineStr">
        <is>
          <t>431016</t>
        </is>
      </c>
      <c r="C532" s="38" t="inlineStr">
        <is>
          <t>Passanant i Belltall</t>
        </is>
      </c>
      <c r="D532" s="38" t="n">
        <v>250</v>
      </c>
      <c r="E532" s="38" t="n">
        <v>81</v>
      </c>
      <c r="F532" s="38" t="n">
        <v>169</v>
      </c>
      <c r="H532" s="38" t="inlineStr">
        <is>
          <t>Total habitatges familiars; principal i no principal provenen de les categories publicades</t>
        </is>
      </c>
    </row>
    <row r="533" ht="15" customHeight="1" s="39">
      <c r="A533" s="38" t="inlineStr">
        <is>
          <t>[171289] Pau</t>
        </is>
      </c>
      <c r="B533" s="42" t="inlineStr">
        <is>
          <t>171289</t>
        </is>
      </c>
      <c r="C533" s="38" t="inlineStr">
        <is>
          <t>Pau</t>
        </is>
      </c>
      <c r="D533" s="38" t="n">
        <v>314</v>
      </c>
      <c r="E533" s="38" t="n">
        <v>220</v>
      </c>
      <c r="F533" s="38" t="n">
        <v>94</v>
      </c>
      <c r="H533" s="38" t="inlineStr">
        <is>
          <t>Total habitatges familiars; principal i no principal provenen de les categories publicades</t>
        </is>
      </c>
    </row>
    <row r="534" ht="15" customHeight="1" s="39">
      <c r="A534" s="38" t="inlineStr">
        <is>
          <t>[431021] Paüls</t>
        </is>
      </c>
      <c r="B534" s="42" t="inlineStr">
        <is>
          <t>431021</t>
        </is>
      </c>
      <c r="C534" s="38" t="inlineStr">
        <is>
          <t>Paüls</t>
        </is>
      </c>
      <c r="D534" s="38" t="n">
        <v>341</v>
      </c>
      <c r="E534" s="38" t="n">
        <v>221</v>
      </c>
      <c r="F534" s="38" t="n">
        <v>120</v>
      </c>
      <c r="H534" s="38" t="inlineStr">
        <is>
          <t>Total habitatges familiars; principal i no principal provenen de les categories publicades</t>
        </is>
      </c>
    </row>
    <row r="535" ht="15" customHeight="1" s="39">
      <c r="A535" s="38" t="inlineStr">
        <is>
          <t>[171292] Pedret i Marzà</t>
        </is>
      </c>
      <c r="B535" s="42" t="inlineStr">
        <is>
          <t>171292</t>
        </is>
      </c>
      <c r="C535" s="38" t="inlineStr">
        <is>
          <t>Pedret i Marzà</t>
        </is>
      </c>
      <c r="D535" s="38" t="n">
        <v>108</v>
      </c>
      <c r="E535" s="38" t="n">
        <v>71</v>
      </c>
      <c r="F535" s="38" t="n">
        <v>37</v>
      </c>
      <c r="H535" s="38" t="inlineStr">
        <is>
          <t>Total habitatges familiars; principal i no principal provenen de les categories publicades</t>
        </is>
      </c>
    </row>
    <row r="536" ht="15" customHeight="1" s="39">
      <c r="A536" s="38" t="inlineStr">
        <is>
          <t>[251641] Penelles</t>
        </is>
      </c>
      <c r="B536" s="42" t="inlineStr">
        <is>
          <t>251641</t>
        </is>
      </c>
      <c r="C536" s="38" t="inlineStr">
        <is>
          <t>Penelles</t>
        </is>
      </c>
      <c r="D536" s="38" t="n">
        <v>294</v>
      </c>
      <c r="E536" s="38" t="n">
        <v>158</v>
      </c>
      <c r="F536" s="38" t="n">
        <v>136</v>
      </c>
      <c r="H536" s="38" t="inlineStr">
        <is>
          <t>Total habitatges familiars; principal i no principal provenen de les categories publicades</t>
        </is>
      </c>
    </row>
    <row r="537" ht="15" customHeight="1" s="39">
      <c r="A537" s="38" t="inlineStr">
        <is>
          <t>[171306] Pera, la</t>
        </is>
      </c>
      <c r="B537" s="42" t="inlineStr">
        <is>
          <t>171306</t>
        </is>
      </c>
      <c r="C537" s="38" t="inlineStr">
        <is>
          <t>Pera, la</t>
        </is>
      </c>
      <c r="D537" s="38" t="n">
        <v>270</v>
      </c>
      <c r="E537" s="38" t="n">
        <v>168</v>
      </c>
      <c r="F537" s="38" t="n">
        <v>102</v>
      </c>
      <c r="H537" s="38" t="inlineStr">
        <is>
          <t>Total habitatges familiars; principal i no principal provenen de les categories publicades</t>
        </is>
      </c>
    </row>
    <row r="538" ht="15" customHeight="1" s="39">
      <c r="A538" s="38" t="inlineStr">
        <is>
          <t>[081607] Perafita</t>
        </is>
      </c>
      <c r="B538" s="42" t="inlineStr">
        <is>
          <t>081607</t>
        </is>
      </c>
      <c r="C538" s="38" t="inlineStr">
        <is>
          <t>Perafita</t>
        </is>
      </c>
      <c r="D538" s="38" t="n">
        <v>281</v>
      </c>
      <c r="E538" s="38" t="n">
        <v>161</v>
      </c>
      <c r="F538" s="38" t="n">
        <v>120</v>
      </c>
      <c r="H538" s="38" t="inlineStr">
        <is>
          <t>Total habitatges familiars; principal i no principal provenen de les categories publicades</t>
        </is>
      </c>
    </row>
    <row r="539" ht="15" customHeight="1" s="39">
      <c r="A539" s="38" t="inlineStr">
        <is>
          <t>[431037] Perafort</t>
        </is>
      </c>
      <c r="B539" s="42" t="inlineStr">
        <is>
          <t>431037</t>
        </is>
      </c>
      <c r="C539" s="38" t="inlineStr">
        <is>
          <t>Perafort</t>
        </is>
      </c>
      <c r="D539" s="38" t="n">
        <v>572</v>
      </c>
      <c r="E539" s="38" t="n">
        <v>467</v>
      </c>
      <c r="F539" s="38" t="n">
        <v>105</v>
      </c>
      <c r="H539" s="38" t="inlineStr">
        <is>
          <t>Total habitatges familiars; principal i no principal provenen de les categories publicades</t>
        </is>
      </c>
    </row>
    <row r="540" ht="15" customHeight="1" s="39">
      <c r="A540" s="38" t="inlineStr">
        <is>
          <t>[171328] Peralada</t>
        </is>
      </c>
      <c r="B540" s="42" t="inlineStr">
        <is>
          <t>171328</t>
        </is>
      </c>
      <c r="C540" s="38" t="inlineStr">
        <is>
          <t>Peralada</t>
        </is>
      </c>
      <c r="D540" s="38" t="n">
        <v>1125</v>
      </c>
      <c r="E540" s="38" t="n">
        <v>737</v>
      </c>
      <c r="F540" s="38" t="n">
        <v>388</v>
      </c>
      <c r="H540" s="38" t="inlineStr">
        <is>
          <t>Total habitatges familiars; principal i no principal provenen de les categories publicades</t>
        </is>
      </c>
    </row>
    <row r="541" ht="15" customHeight="1" s="39">
      <c r="A541" s="38" t="inlineStr">
        <is>
          <t>[251654] Peramola</t>
        </is>
      </c>
      <c r="B541" s="42" t="inlineStr">
        <is>
          <t>251654</t>
        </is>
      </c>
      <c r="C541" s="38" t="inlineStr">
        <is>
          <t>Peramola</t>
        </is>
      </c>
      <c r="D541" s="38" t="n">
        <v>310</v>
      </c>
      <c r="E541" s="38" t="n">
        <v>138</v>
      </c>
      <c r="F541" s="38" t="n">
        <v>172</v>
      </c>
      <c r="H541" s="38" t="inlineStr">
        <is>
          <t>Total habitatges familiars; principal i no principal provenen de les categories publicades</t>
        </is>
      </c>
    </row>
    <row r="542" ht="15" customHeight="1" s="39">
      <c r="A542" s="38" t="inlineStr">
        <is>
          <t>[431042] Perelló, el</t>
        </is>
      </c>
      <c r="B542" s="42" t="inlineStr">
        <is>
          <t>431042</t>
        </is>
      </c>
      <c r="C542" s="38" t="inlineStr">
        <is>
          <t>Perelló, el</t>
        </is>
      </c>
      <c r="D542" s="38" t="n">
        <v>3002</v>
      </c>
      <c r="E542" s="38" t="n">
        <v>1152</v>
      </c>
      <c r="F542" s="38" t="n">
        <v>1850</v>
      </c>
      <c r="H542" s="38" t="inlineStr">
        <is>
          <t>Total habitatges familiars; principal i no principal provenen de les categories publicades</t>
        </is>
      </c>
    </row>
    <row r="543" ht="15" customHeight="1" s="39">
      <c r="A543" s="38" t="inlineStr">
        <is>
          <t>[081614] Piera</t>
        </is>
      </c>
      <c r="B543" s="42" t="inlineStr">
        <is>
          <t>081614</t>
        </is>
      </c>
      <c r="C543" s="38" t="inlineStr">
        <is>
          <t>Piera</t>
        </is>
      </c>
      <c r="D543" s="38" t="n">
        <v>8667</v>
      </c>
      <c r="E543" s="38" t="n">
        <v>6120</v>
      </c>
      <c r="F543" s="38" t="n">
        <v>2547</v>
      </c>
      <c r="H543" s="38" t="inlineStr">
        <is>
          <t>Total habitatges familiars; principal i no principal provenen de les categories publicades</t>
        </is>
      </c>
    </row>
    <row r="544" ht="15" customHeight="1" s="39">
      <c r="A544" s="38" t="inlineStr">
        <is>
          <t>[431055] Piles, les</t>
        </is>
      </c>
      <c r="B544" s="42" t="inlineStr">
        <is>
          <t>431055</t>
        </is>
      </c>
      <c r="C544" s="38" t="inlineStr">
        <is>
          <t>Piles, les</t>
        </is>
      </c>
      <c r="D544" s="38" t="n">
        <v>166</v>
      </c>
      <c r="E544" s="38" t="n">
        <v>83</v>
      </c>
      <c r="F544" s="38" t="n">
        <v>83</v>
      </c>
      <c r="H544" s="38" t="inlineStr">
        <is>
          <t>Total habitatges familiars; principal i no principal provenen de les categories publicades</t>
        </is>
      </c>
    </row>
    <row r="545" ht="15" customHeight="1" s="39">
      <c r="A545" s="38" t="inlineStr">
        <is>
          <t>[081635] Pineda de Mar</t>
        </is>
      </c>
      <c r="B545" s="42" t="inlineStr">
        <is>
          <t>081635</t>
        </is>
      </c>
      <c r="C545" s="38" t="inlineStr">
        <is>
          <t>Pineda de Mar</t>
        </is>
      </c>
      <c r="D545" s="38" t="n">
        <v>16297</v>
      </c>
      <c r="E545" s="38" t="n">
        <v>11318</v>
      </c>
      <c r="F545" s="38" t="n">
        <v>4979</v>
      </c>
      <c r="H545" s="38" t="inlineStr">
        <is>
          <t>Total habitatges familiars; principal i no principal provenen de les categories publicades</t>
        </is>
      </c>
    </row>
    <row r="546" ht="15" customHeight="1" s="39">
      <c r="A546" s="38" t="inlineStr">
        <is>
          <t>[431068] Pinell de Brai, el</t>
        </is>
      </c>
      <c r="B546" s="42" t="inlineStr">
        <is>
          <t>431068</t>
        </is>
      </c>
      <c r="C546" s="38" t="inlineStr">
        <is>
          <t>Pinell de Brai, el</t>
        </is>
      </c>
      <c r="D546" s="38" t="n">
        <v>537</v>
      </c>
      <c r="E546" s="38" t="n">
        <v>372</v>
      </c>
      <c r="F546" s="38" t="n">
        <v>165</v>
      </c>
      <c r="H546" s="38" t="inlineStr">
        <is>
          <t>Total habitatges familiars; principal i no principal provenen de les categories publicades</t>
        </is>
      </c>
    </row>
    <row r="547" ht="15" customHeight="1" s="39">
      <c r="A547" s="38" t="inlineStr">
        <is>
          <t>[251667] Pinell de Solsonès</t>
        </is>
      </c>
      <c r="B547" s="42" t="inlineStr">
        <is>
          <t>251667</t>
        </is>
      </c>
      <c r="C547" s="38" t="inlineStr">
        <is>
          <t>Pinell de Solsonès</t>
        </is>
      </c>
      <c r="D547" s="38" t="n">
        <v>110</v>
      </c>
      <c r="E547" s="38" t="n">
        <v>63</v>
      </c>
      <c r="F547" s="38" t="n">
        <v>47</v>
      </c>
      <c r="H547" s="38" t="inlineStr">
        <is>
          <t>Total habitatges familiars; principal i no principal provenen de les categories publicades</t>
        </is>
      </c>
    </row>
    <row r="548" ht="15" customHeight="1" s="39">
      <c r="A548" s="38" t="inlineStr">
        <is>
          <t>[251673] Pinós</t>
        </is>
      </c>
      <c r="B548" s="42" t="inlineStr">
        <is>
          <t>251673</t>
        </is>
      </c>
      <c r="C548" s="38" t="inlineStr">
        <is>
          <t>Pinós</t>
        </is>
      </c>
      <c r="D548" s="38" t="n">
        <v>181</v>
      </c>
      <c r="E548" s="38" t="n">
        <v>102</v>
      </c>
      <c r="F548" s="38" t="n">
        <v>79</v>
      </c>
      <c r="H548" s="38" t="inlineStr">
        <is>
          <t>Total habitatges familiars; principal i no principal provenen de les categories publicades</t>
        </is>
      </c>
    </row>
    <row r="549" ht="15" customHeight="1" s="39">
      <c r="A549" s="38" t="inlineStr">
        <is>
          <t>[431074] Pira</t>
        </is>
      </c>
      <c r="B549" s="42" t="inlineStr">
        <is>
          <t>431074</t>
        </is>
      </c>
      <c r="C549" s="38" t="inlineStr">
        <is>
          <t>Pira</t>
        </is>
      </c>
      <c r="D549" s="38" t="n">
        <v>288</v>
      </c>
      <c r="E549" s="38" t="n">
        <v>196</v>
      </c>
      <c r="F549" s="38" t="n">
        <v>92</v>
      </c>
      <c r="H549" s="38" t="inlineStr">
        <is>
          <t>Total habitatges familiars; principal i no principal provenen de les categories publicades</t>
        </is>
      </c>
    </row>
    <row r="550" ht="15" customHeight="1" s="39">
      <c r="A550" s="38" t="inlineStr">
        <is>
          <t>[431080] Pla de Santa Maria, el</t>
        </is>
      </c>
      <c r="B550" s="42" t="inlineStr">
        <is>
          <t>431080</t>
        </is>
      </c>
      <c r="C550" s="38" t="inlineStr">
        <is>
          <t>Pla de Santa Maria, el</t>
        </is>
      </c>
      <c r="D550" s="38" t="n">
        <v>1370</v>
      </c>
      <c r="E550" s="38" t="n">
        <v>927</v>
      </c>
      <c r="F550" s="38" t="n">
        <v>443</v>
      </c>
      <c r="H550" s="38" t="inlineStr">
        <is>
          <t>Total habitatges familiars; principal i no principal provenen de les categories publicades</t>
        </is>
      </c>
    </row>
    <row r="551" ht="15" customHeight="1" s="39">
      <c r="A551" s="38" t="inlineStr">
        <is>
          <t>[081640] Pla del Penedès, el</t>
        </is>
      </c>
      <c r="B551" s="42" t="inlineStr">
        <is>
          <t>081640</t>
        </is>
      </c>
      <c r="C551" s="38" t="inlineStr">
        <is>
          <t>Pla del Penedès, el</t>
        </is>
      </c>
      <c r="D551" s="38" t="n">
        <v>730</v>
      </c>
      <c r="E551" s="38" t="n">
        <v>526</v>
      </c>
      <c r="F551" s="38" t="n">
        <v>204</v>
      </c>
      <c r="H551" s="38" t="inlineStr">
        <is>
          <t>Total habitatges familiars; principal i no principal provenen de les categories publicades</t>
        </is>
      </c>
    </row>
    <row r="552" ht="15" customHeight="1" s="39">
      <c r="A552" s="38" t="inlineStr">
        <is>
          <t>[171334] Planes d'Hostoles, les</t>
        </is>
      </c>
      <c r="B552" s="42" t="inlineStr">
        <is>
          <t>171334</t>
        </is>
      </c>
      <c r="C552" s="38" t="inlineStr">
        <is>
          <t>Planes d'Hostoles, les</t>
        </is>
      </c>
      <c r="D552" s="38" t="n">
        <v>963</v>
      </c>
      <c r="E552" s="38" t="n">
        <v>652</v>
      </c>
      <c r="F552" s="38" t="n">
        <v>311</v>
      </c>
      <c r="H552" s="38" t="inlineStr">
        <is>
          <t>Total habitatges familiars; principal i no principal provenen de les categories publicades</t>
        </is>
      </c>
    </row>
    <row r="553" ht="15" customHeight="1" s="39">
      <c r="A553" s="38" t="inlineStr">
        <is>
          <t>[171349] Planoles</t>
        </is>
      </c>
      <c r="B553" s="42" t="inlineStr">
        <is>
          <t>171349</t>
        </is>
      </c>
      <c r="C553" s="38" t="inlineStr">
        <is>
          <t>Planoles</t>
        </is>
      </c>
      <c r="D553" s="38" t="n">
        <v>589</v>
      </c>
      <c r="E553" s="38" t="n">
        <v>141</v>
      </c>
      <c r="F553" s="38" t="n">
        <v>448</v>
      </c>
      <c r="H553" s="38" t="inlineStr">
        <is>
          <t>Total habitatges familiars; principal i no principal provenen de les categories publicades</t>
        </is>
      </c>
    </row>
    <row r="554" ht="15" customHeight="1" s="39">
      <c r="A554" s="38" t="inlineStr">
        <is>
          <t>[259118] Plans de Sió, els</t>
        </is>
      </c>
      <c r="B554" s="42" t="inlineStr">
        <is>
          <t>259118</t>
        </is>
      </c>
      <c r="C554" s="38" t="inlineStr">
        <is>
          <t>Plans de Sió, els</t>
        </is>
      </c>
      <c r="D554" s="38" t="n">
        <v>386</v>
      </c>
      <c r="E554" s="38" t="n">
        <v>209</v>
      </c>
      <c r="F554" s="38" t="n">
        <v>177</v>
      </c>
      <c r="H554" s="38" t="inlineStr">
        <is>
          <t>Total habitatges familiars; principal i no principal provenen de les categories publicades</t>
        </is>
      </c>
    </row>
    <row r="555" ht="15" customHeight="1" s="39">
      <c r="A555" s="38" t="inlineStr">
        <is>
          <t>[251689] Poal, el</t>
        </is>
      </c>
      <c r="B555" s="42" t="inlineStr">
        <is>
          <t>251689</t>
        </is>
      </c>
      <c r="C555" s="38" t="inlineStr">
        <is>
          <t>Poal, el</t>
        </is>
      </c>
      <c r="D555" s="38" t="n">
        <v>322</v>
      </c>
      <c r="E555" s="38" t="n">
        <v>234</v>
      </c>
      <c r="F555" s="38" t="n">
        <v>88</v>
      </c>
      <c r="H555" s="38" t="inlineStr">
        <is>
          <t>Total habitatges familiars; principal i no principal provenen de les categories publicades</t>
        </is>
      </c>
    </row>
    <row r="556" ht="15" customHeight="1" s="39">
      <c r="A556" s="38" t="inlineStr">
        <is>
          <t>[251692] Pobla de Cérvoles, la</t>
        </is>
      </c>
      <c r="B556" s="42" t="inlineStr">
        <is>
          <t>251692</t>
        </is>
      </c>
      <c r="C556" s="38" t="inlineStr">
        <is>
          <t>Pobla de Cérvoles, la</t>
        </is>
      </c>
      <c r="D556" s="38" t="n">
        <v>298</v>
      </c>
      <c r="E556" s="38" t="n">
        <v>104</v>
      </c>
      <c r="F556" s="38" t="n">
        <v>194</v>
      </c>
      <c r="H556" s="38" t="inlineStr">
        <is>
          <t>Total habitatges familiars; principal i no principal provenen de les categories publicades</t>
        </is>
      </c>
    </row>
    <row r="557" ht="15" customHeight="1" s="39">
      <c r="A557" s="38" t="inlineStr">
        <is>
          <t>[081653] Pobla de Claramunt, la</t>
        </is>
      </c>
      <c r="B557" s="42" t="inlineStr">
        <is>
          <t>081653</t>
        </is>
      </c>
      <c r="C557" s="38" t="inlineStr">
        <is>
          <t>Pobla de Claramunt, la</t>
        </is>
      </c>
      <c r="D557" s="38" t="n">
        <v>1059</v>
      </c>
      <c r="E557" s="38" t="n">
        <v>818</v>
      </c>
      <c r="F557" s="38" t="n">
        <v>241</v>
      </c>
      <c r="H557" s="38" t="inlineStr">
        <is>
          <t>Total habitatges familiars; principal i no principal provenen de les categories publicades</t>
        </is>
      </c>
    </row>
    <row r="558" ht="15" customHeight="1" s="39">
      <c r="A558" s="38" t="inlineStr">
        <is>
          <t>[081666] Pobla de Lillet, la</t>
        </is>
      </c>
      <c r="B558" s="42" t="inlineStr">
        <is>
          <t>081666</t>
        </is>
      </c>
      <c r="C558" s="38" t="inlineStr">
        <is>
          <t>Pobla de Lillet, la</t>
        </is>
      </c>
      <c r="D558" s="38" t="n">
        <v>989</v>
      </c>
      <c r="E558" s="38" t="n">
        <v>474</v>
      </c>
      <c r="F558" s="38" t="n">
        <v>515</v>
      </c>
      <c r="H558" s="38" t="inlineStr">
        <is>
          <t>Total habitatges familiars; principal i no principal provenen de les categories publicades</t>
        </is>
      </c>
    </row>
    <row r="559" ht="15" customHeight="1" s="39">
      <c r="A559" s="38" t="inlineStr">
        <is>
          <t>[431093] Pobla de Mafumet, la</t>
        </is>
      </c>
      <c r="B559" s="42" t="inlineStr">
        <is>
          <t>431093</t>
        </is>
      </c>
      <c r="C559" s="38" t="inlineStr">
        <is>
          <t>Pobla de Mafumet, la</t>
        </is>
      </c>
      <c r="D559" s="38" t="n">
        <v>1615</v>
      </c>
      <c r="E559" s="38" t="n">
        <v>1420</v>
      </c>
      <c r="F559" s="38" t="n">
        <v>195</v>
      </c>
      <c r="H559" s="38" t="inlineStr">
        <is>
          <t>Total habitatges familiars; principal i no principal provenen de les categories publicades</t>
        </is>
      </c>
    </row>
    <row r="560" ht="15" customHeight="1" s="39">
      <c r="A560" s="38" t="inlineStr">
        <is>
          <t>[431107] Pobla de Massaluca, la</t>
        </is>
      </c>
      <c r="B560" s="42" t="inlineStr">
        <is>
          <t>431107</t>
        </is>
      </c>
      <c r="C560" s="38" t="inlineStr">
        <is>
          <t>Pobla de Massaluca, la</t>
        </is>
      </c>
      <c r="D560" s="38" t="n">
        <v>265</v>
      </c>
      <c r="E560" s="38" t="n">
        <v>137</v>
      </c>
      <c r="F560" s="38" t="n">
        <v>128</v>
      </c>
      <c r="H560" s="38" t="inlineStr">
        <is>
          <t>Total habitatges familiars; principal i no principal provenen de les categories publicades</t>
        </is>
      </c>
    </row>
    <row r="561" ht="15" customHeight="1" s="39">
      <c r="A561" s="38" t="inlineStr">
        <is>
          <t>[431114] Pobla de Montornès, la</t>
        </is>
      </c>
      <c r="B561" s="42" t="inlineStr">
        <is>
          <t>431114</t>
        </is>
      </c>
      <c r="C561" s="38" t="inlineStr">
        <is>
          <t>Pobla de Montornès, la</t>
        </is>
      </c>
      <c r="D561" s="38" t="n">
        <v>2155</v>
      </c>
      <c r="E561" s="38" t="n">
        <v>1240</v>
      </c>
      <c r="F561" s="38" t="n">
        <v>915</v>
      </c>
      <c r="H561" s="38" t="inlineStr">
        <is>
          <t>Total habitatges familiars; principal i no principal provenen de les categories publicades</t>
        </is>
      </c>
    </row>
    <row r="562" ht="15" customHeight="1" s="39">
      <c r="A562" s="38" t="inlineStr">
        <is>
          <t>[251713] Pobla de Segur, la</t>
        </is>
      </c>
      <c r="B562" s="42" t="inlineStr">
        <is>
          <t>251713</t>
        </is>
      </c>
      <c r="C562" s="38" t="inlineStr">
        <is>
          <t>Pobla de Segur, la</t>
        </is>
      </c>
      <c r="D562" s="38" t="n">
        <v>2455</v>
      </c>
      <c r="E562" s="38" t="n">
        <v>1333</v>
      </c>
      <c r="F562" s="38" t="n">
        <v>1122</v>
      </c>
      <c r="H562" s="38" t="inlineStr">
        <is>
          <t>Total habitatges familiars; principal i no principal provenen de les categories publicades</t>
        </is>
      </c>
    </row>
    <row r="563" ht="15" customHeight="1" s="39">
      <c r="A563" s="38" t="inlineStr">
        <is>
          <t>[431129] Poboleda</t>
        </is>
      </c>
      <c r="B563" s="42" t="inlineStr">
        <is>
          <t>431129</t>
        </is>
      </c>
      <c r="C563" s="38" t="inlineStr">
        <is>
          <t>Poboleda</t>
        </is>
      </c>
      <c r="D563" s="38" t="n">
        <v>365</v>
      </c>
      <c r="E563" s="38" t="n">
        <v>139</v>
      </c>
      <c r="F563" s="38" t="n">
        <v>226</v>
      </c>
      <c r="H563" s="38" t="inlineStr">
        <is>
          <t>Total habitatges familiars; principal i no principal provenen de les categories publicades</t>
        </is>
      </c>
    </row>
    <row r="564" ht="15" customHeight="1" s="39">
      <c r="A564" s="38" t="inlineStr">
        <is>
          <t>[081672] Polinyà</t>
        </is>
      </c>
      <c r="B564" s="42" t="inlineStr">
        <is>
          <t>081672</t>
        </is>
      </c>
      <c r="C564" s="38" t="inlineStr">
        <is>
          <t>Polinyà</t>
        </is>
      </c>
      <c r="D564" s="38" t="n">
        <v>3191</v>
      </c>
      <c r="E564" s="38" t="n">
        <v>3009</v>
      </c>
      <c r="F564" s="38" t="n">
        <v>182</v>
      </c>
      <c r="H564" s="38" t="inlineStr">
        <is>
          <t>Total habitatges familiars; principal i no principal provenen de les categories publicades</t>
        </is>
      </c>
    </row>
    <row r="565" ht="15" customHeight="1" s="39">
      <c r="A565" s="38" t="inlineStr">
        <is>
          <t>[431135] Pont d'Armentera, el</t>
        </is>
      </c>
      <c r="B565" s="42" t="inlineStr">
        <is>
          <t>431135</t>
        </is>
      </c>
      <c r="C565" s="38" t="inlineStr">
        <is>
          <t>Pont d'Armentera, el</t>
        </is>
      </c>
      <c r="D565" s="38" t="n">
        <v>403</v>
      </c>
      <c r="E565" s="38" t="n">
        <v>222</v>
      </c>
      <c r="F565" s="38" t="n">
        <v>181</v>
      </c>
      <c r="H565" s="38" t="inlineStr">
        <is>
          <t>Total habitatges familiars; principal i no principal provenen de les categories publicades</t>
        </is>
      </c>
    </row>
    <row r="566" ht="15" customHeight="1" s="39">
      <c r="A566" s="38" t="inlineStr">
        <is>
          <t>[250306] Pont de Bar, el</t>
        </is>
      </c>
      <c r="B566" s="42" t="inlineStr">
        <is>
          <t>250306</t>
        </is>
      </c>
      <c r="C566" s="38" t="inlineStr">
        <is>
          <t>Pont de Bar, el</t>
        </is>
      </c>
      <c r="D566" s="38" t="n">
        <v>183</v>
      </c>
      <c r="E566" s="38" t="n">
        <v>80</v>
      </c>
      <c r="F566" s="38" t="n">
        <v>103</v>
      </c>
      <c r="H566" s="38" t="inlineStr">
        <is>
          <t>Total habitatges familiars; principal i no principal provenen de les categories publicades</t>
        </is>
      </c>
    </row>
    <row r="567" ht="15" customHeight="1" s="39">
      <c r="A567" s="38" t="inlineStr">
        <is>
          <t>[171352] Pont de Molins</t>
        </is>
      </c>
      <c r="B567" s="42" t="inlineStr">
        <is>
          <t>171352</t>
        </is>
      </c>
      <c r="C567" s="38" t="inlineStr">
        <is>
          <t>Pont de Molins</t>
        </is>
      </c>
      <c r="D567" s="38" t="n">
        <v>272</v>
      </c>
      <c r="E567" s="38" t="n">
        <v>208</v>
      </c>
      <c r="F567" s="38" t="n">
        <v>64</v>
      </c>
      <c r="H567" s="38" t="inlineStr">
        <is>
          <t>Total habitatges familiars; principal i no principal provenen de les categories publicades</t>
        </is>
      </c>
    </row>
    <row r="568" ht="15" customHeight="1" s="39">
      <c r="A568" s="38" t="inlineStr">
        <is>
          <t>[251734] Pont de Suert, el</t>
        </is>
      </c>
      <c r="B568" s="42" t="inlineStr">
        <is>
          <t>251734</t>
        </is>
      </c>
      <c r="C568" s="38" t="inlineStr">
        <is>
          <t>Pont de Suert, el</t>
        </is>
      </c>
      <c r="D568" s="38" t="n">
        <v>1913</v>
      </c>
      <c r="E568" s="38" t="n">
        <v>1004</v>
      </c>
      <c r="F568" s="38" t="n">
        <v>909</v>
      </c>
      <c r="H568" s="38" t="inlineStr">
        <is>
          <t>Total habitatges familiars; principal i no principal provenen de les categories publicades</t>
        </is>
      </c>
    </row>
    <row r="569" ht="15" customHeight="1" s="39">
      <c r="A569" s="38" t="inlineStr">
        <is>
          <t>[081825] Pont de Vilomara i Rocafort, el</t>
        </is>
      </c>
      <c r="B569" s="42" t="inlineStr">
        <is>
          <t>081825</t>
        </is>
      </c>
      <c r="C569" s="38" t="inlineStr">
        <is>
          <t>Pont de Vilomara i Rocafort, el</t>
        </is>
      </c>
      <c r="D569" s="38" t="n">
        <v>1951</v>
      </c>
      <c r="E569" s="38" t="n">
        <v>1493</v>
      </c>
      <c r="F569" s="38" t="n">
        <v>458</v>
      </c>
      <c r="H569" s="38" t="inlineStr">
        <is>
          <t>Total habitatges familiars; principal i no principal provenen de les categories publicades</t>
        </is>
      </c>
    </row>
    <row r="570" ht="15" customHeight="1" s="39">
      <c r="A570" s="38" t="inlineStr">
        <is>
          <t>[431418] Pontils</t>
        </is>
      </c>
      <c r="B570" s="42" t="inlineStr">
        <is>
          <t>431418</t>
        </is>
      </c>
      <c r="C570" s="38" t="inlineStr">
        <is>
          <t>Pontils</t>
        </is>
      </c>
      <c r="D570" s="38" t="n">
        <v>204</v>
      </c>
      <c r="E570" s="38" t="n">
        <v>62</v>
      </c>
      <c r="F570" s="38" t="n">
        <v>142</v>
      </c>
      <c r="H570" s="38" t="inlineStr">
        <is>
          <t>Total habitatges familiars; principal i no principal provenen de les categories publicades</t>
        </is>
      </c>
    </row>
    <row r="571" ht="15" customHeight="1" s="39">
      <c r="A571" s="38" t="inlineStr">
        <is>
          <t>[081688] Pontons</t>
        </is>
      </c>
      <c r="B571" s="42" t="inlineStr">
        <is>
          <t>081688</t>
        </is>
      </c>
      <c r="C571" s="38" t="inlineStr">
        <is>
          <t>Pontons</t>
        </is>
      </c>
      <c r="D571" s="38" t="n">
        <v>588</v>
      </c>
      <c r="E571" s="38" t="n">
        <v>221</v>
      </c>
      <c r="F571" s="38" t="n">
        <v>367</v>
      </c>
      <c r="H571" s="38" t="inlineStr">
        <is>
          <t>Total habitatges familiars; principal i no principal provenen de les categories publicades</t>
        </is>
      </c>
    </row>
    <row r="572" ht="15" customHeight="1" s="39">
      <c r="A572" s="38" t="inlineStr">
        <is>
          <t>[171365] Pontós</t>
        </is>
      </c>
      <c r="B572" s="42" t="inlineStr">
        <is>
          <t>171365</t>
        </is>
      </c>
      <c r="C572" s="38" t="inlineStr">
        <is>
          <t>Pontós</t>
        </is>
      </c>
      <c r="D572" s="38" t="n">
        <v>178</v>
      </c>
      <c r="E572" s="38" t="n">
        <v>106</v>
      </c>
      <c r="F572" s="38" t="n">
        <v>72</v>
      </c>
      <c r="H572" s="38" t="inlineStr">
        <is>
          <t>Total habitatges familiars; principal i no principal provenen de les categories publicades</t>
        </is>
      </c>
    </row>
    <row r="573" ht="15" customHeight="1" s="39">
      <c r="A573" s="38" t="inlineStr">
        <is>
          <t>[251728] Ponts</t>
        </is>
      </c>
      <c r="B573" s="42" t="inlineStr">
        <is>
          <t>251728</t>
        </is>
      </c>
      <c r="C573" s="38" t="inlineStr">
        <is>
          <t>Ponts</t>
        </is>
      </c>
      <c r="D573" s="38" t="n">
        <v>1525</v>
      </c>
      <c r="E573" s="38" t="n">
        <v>1043</v>
      </c>
      <c r="F573" s="38" t="n">
        <v>482</v>
      </c>
      <c r="H573" s="38" t="inlineStr">
        <is>
          <t>Total habitatges familiars; principal i no principal provenen de les categories publicades</t>
        </is>
      </c>
    </row>
    <row r="574" ht="15" customHeight="1" s="39">
      <c r="A574" s="38" t="inlineStr">
        <is>
          <t>[171371] Porqueres</t>
        </is>
      </c>
      <c r="B574" s="42" t="inlineStr">
        <is>
          <t>171371</t>
        </is>
      </c>
      <c r="C574" s="38" t="inlineStr">
        <is>
          <t>Porqueres</t>
        </is>
      </c>
      <c r="D574" s="38" t="n">
        <v>1835</v>
      </c>
      <c r="E574" s="38" t="n">
        <v>1624</v>
      </c>
      <c r="F574" s="38" t="n">
        <v>211</v>
      </c>
      <c r="H574" s="38" t="inlineStr">
        <is>
          <t>Total habitatges familiars; principal i no principal provenen de les categories publicades</t>
        </is>
      </c>
    </row>
    <row r="575" ht="15" customHeight="1" s="39">
      <c r="A575" s="38" t="inlineStr">
        <is>
          <t>[431140] Porrera</t>
        </is>
      </c>
      <c r="B575" s="42" t="inlineStr">
        <is>
          <t>431140</t>
        </is>
      </c>
      <c r="C575" s="38" t="inlineStr">
        <is>
          <t>Porrera</t>
        </is>
      </c>
      <c r="D575" s="38" t="n">
        <v>324</v>
      </c>
      <c r="E575" s="38" t="n">
        <v>175</v>
      </c>
      <c r="F575" s="38" t="n">
        <v>149</v>
      </c>
      <c r="H575" s="38" t="inlineStr">
        <is>
          <t>Total habitatges familiars; principal i no principal provenen de les categories publicades</t>
        </is>
      </c>
    </row>
    <row r="576" ht="15" customHeight="1" s="39">
      <c r="A576" s="38" t="inlineStr">
        <is>
          <t>[171404] Port de la Selva, el</t>
        </is>
      </c>
      <c r="B576" s="42" t="inlineStr">
        <is>
          <t>171404</t>
        </is>
      </c>
      <c r="C576" s="38" t="inlineStr">
        <is>
          <t>Port de la Selva, el</t>
        </is>
      </c>
      <c r="D576" s="38" t="n">
        <v>2497</v>
      </c>
      <c r="E576" s="38" t="n">
        <v>477</v>
      </c>
      <c r="F576" s="38" t="n">
        <v>2020</v>
      </c>
      <c r="H576" s="38" t="inlineStr">
        <is>
          <t>Total habitatges familiars; principal i no principal provenen de les categories publicades</t>
        </is>
      </c>
    </row>
    <row r="577" ht="15" customHeight="1" s="39">
      <c r="A577" s="38" t="inlineStr">
        <is>
          <t>[171387] Portbou</t>
        </is>
      </c>
      <c r="B577" s="42" t="inlineStr">
        <is>
          <t>171387</t>
        </is>
      </c>
      <c r="C577" s="38" t="inlineStr">
        <is>
          <t>Portbou</t>
        </is>
      </c>
      <c r="D577" s="38" t="n">
        <v>1091</v>
      </c>
      <c r="E577" s="38" t="n">
        <v>532</v>
      </c>
      <c r="F577" s="38" t="n">
        <v>559</v>
      </c>
      <c r="H577" s="38" t="inlineStr">
        <is>
          <t>Total habitatges familiars; principal i no principal provenen de les categories publicades</t>
        </is>
      </c>
    </row>
    <row r="578" ht="15" customHeight="1" s="39">
      <c r="A578" s="38" t="inlineStr">
        <is>
          <t>[251749] Portella, la</t>
        </is>
      </c>
      <c r="B578" s="42" t="inlineStr">
        <is>
          <t>251749</t>
        </is>
      </c>
      <c r="C578" s="38" t="inlineStr">
        <is>
          <t>Portella, la</t>
        </is>
      </c>
      <c r="D578" s="38" t="n">
        <v>291</v>
      </c>
      <c r="E578" s="38" t="n">
        <v>231</v>
      </c>
      <c r="F578" s="38" t="n">
        <v>60</v>
      </c>
      <c r="H578" s="38" t="inlineStr">
        <is>
          <t>Total habitatges familiars; principal i no principal provenen de les categories publicades</t>
        </is>
      </c>
    </row>
    <row r="579" ht="15" customHeight="1" s="39">
      <c r="A579" s="38" t="inlineStr">
        <is>
          <t>[431153] Pradell de la Teixeta</t>
        </is>
      </c>
      <c r="B579" s="42" t="inlineStr">
        <is>
          <t>431153</t>
        </is>
      </c>
      <c r="C579" s="38" t="inlineStr">
        <is>
          <t>Pradell de la Teixeta</t>
        </is>
      </c>
      <c r="D579" s="38" t="n">
        <v>165</v>
      </c>
      <c r="E579" s="38" t="n">
        <v>71</v>
      </c>
      <c r="F579" s="38" t="n">
        <v>94</v>
      </c>
      <c r="H579" s="38" t="inlineStr">
        <is>
          <t>Total habitatges familiars; principal i no principal provenen de les categories publicades</t>
        </is>
      </c>
    </row>
    <row r="580" ht="15" customHeight="1" s="39">
      <c r="A580" s="38" t="inlineStr">
        <is>
          <t>[431166] Prades</t>
        </is>
      </c>
      <c r="B580" s="42" t="inlineStr">
        <is>
          <t>431166</t>
        </is>
      </c>
      <c r="C580" s="38" t="inlineStr">
        <is>
          <t>Prades</t>
        </is>
      </c>
      <c r="D580" s="38" t="n">
        <v>916</v>
      </c>
      <c r="E580" s="38" t="n">
        <v>282</v>
      </c>
      <c r="F580" s="38" t="n">
        <v>634</v>
      </c>
      <c r="H580" s="38" t="inlineStr">
        <is>
          <t>Total habitatges familiars; principal i no principal provenen de les categories publicades</t>
        </is>
      </c>
    </row>
    <row r="581" ht="15" customHeight="1" s="39">
      <c r="A581" s="38" t="inlineStr">
        <is>
          <t>[431172] Prat de Comte</t>
        </is>
      </c>
      <c r="B581" s="42" t="inlineStr">
        <is>
          <t>431172</t>
        </is>
      </c>
      <c r="C581" s="38" t="inlineStr">
        <is>
          <t>Prat de Comte</t>
        </is>
      </c>
      <c r="D581" s="38" t="n">
        <v>173</v>
      </c>
      <c r="E581" s="38" t="n">
        <v>79</v>
      </c>
      <c r="F581" s="38" t="n">
        <v>94</v>
      </c>
      <c r="H581" s="38" t="inlineStr">
        <is>
          <t>Total habitatges familiars; principal i no principal provenen de les categories publicades</t>
        </is>
      </c>
    </row>
    <row r="582" ht="15" customHeight="1" s="39">
      <c r="A582" s="38" t="inlineStr">
        <is>
          <t>[081691] Prat de Llobregat, el</t>
        </is>
      </c>
      <c r="B582" s="42" t="inlineStr">
        <is>
          <t>081691</t>
        </is>
      </c>
      <c r="C582" s="38" t="inlineStr">
        <is>
          <t>Prat de Llobregat, el</t>
        </is>
      </c>
      <c r="D582" s="38" t="n">
        <v>26518</v>
      </c>
      <c r="E582" s="38" t="n">
        <v>24614</v>
      </c>
      <c r="F582" s="38" t="n">
        <v>1904</v>
      </c>
      <c r="H582" s="38" t="inlineStr">
        <is>
          <t>Total habitatges familiars; principal i no principal provenen de les categories publicades</t>
        </is>
      </c>
    </row>
    <row r="583" ht="15" customHeight="1" s="39">
      <c r="A583" s="38" t="inlineStr">
        <is>
          <t>[431188] Pratdip</t>
        </is>
      </c>
      <c r="B583" s="42" t="inlineStr">
        <is>
          <t>431188</t>
        </is>
      </c>
      <c r="C583" s="38" t="inlineStr">
        <is>
          <t>Pratdip</t>
        </is>
      </c>
      <c r="D583" s="38" t="n">
        <v>776</v>
      </c>
      <c r="E583" s="38" t="n">
        <v>291</v>
      </c>
      <c r="F583" s="38" t="n">
        <v>485</v>
      </c>
      <c r="H583" s="38" t="inlineStr">
        <is>
          <t>Total habitatges familiars; principal i no principal provenen de les categories publicades</t>
        </is>
      </c>
    </row>
    <row r="584" ht="15" customHeight="1" s="39">
      <c r="A584" s="38" t="inlineStr">
        <is>
          <t>[081712] Prats de Lluçanès</t>
        </is>
      </c>
      <c r="B584" s="42" t="inlineStr">
        <is>
          <t>081712</t>
        </is>
      </c>
      <c r="C584" s="38" t="inlineStr">
        <is>
          <t>Prats de Lluçanès</t>
        </is>
      </c>
      <c r="D584" s="38" t="n">
        <v>1389</v>
      </c>
      <c r="E584" s="38" t="n">
        <v>997</v>
      </c>
      <c r="F584" s="38" t="n">
        <v>392</v>
      </c>
      <c r="H584" s="38" t="inlineStr">
        <is>
          <t>Total habitatges familiars; principal i no principal provenen de les categories publicades</t>
        </is>
      </c>
    </row>
    <row r="585" ht="15" customHeight="1" s="39">
      <c r="A585" s="38" t="inlineStr">
        <is>
          <t>[081705] Prats de Rei, els</t>
        </is>
      </c>
      <c r="B585" s="42" t="inlineStr">
        <is>
          <t>081705</t>
        </is>
      </c>
      <c r="C585" s="38" t="inlineStr">
        <is>
          <t>Prats de Rei, els</t>
        </is>
      </c>
      <c r="D585" s="38" t="n">
        <v>355</v>
      </c>
      <c r="E585" s="38" t="n">
        <v>212</v>
      </c>
      <c r="F585" s="38" t="n">
        <v>143</v>
      </c>
      <c r="H585" s="38" t="inlineStr">
        <is>
          <t>Total habitatges familiars; principal i no principal provenen de les categories publicades</t>
        </is>
      </c>
    </row>
    <row r="586" ht="15" customHeight="1" s="39">
      <c r="A586" s="38" t="inlineStr">
        <is>
          <t>[251752] Prats i Sansor</t>
        </is>
      </c>
      <c r="B586" s="42" t="inlineStr">
        <is>
          <t>251752</t>
        </is>
      </c>
      <c r="C586" s="38" t="inlineStr">
        <is>
          <t>Prats i Sansor</t>
        </is>
      </c>
      <c r="D586" s="38" t="n">
        <v>555</v>
      </c>
      <c r="E586" s="38" t="n">
        <v>108</v>
      </c>
      <c r="F586" s="38" t="n">
        <v>447</v>
      </c>
      <c r="H586" s="38" t="inlineStr">
        <is>
          <t>Total habitatges familiars; principal i no principal provenen de les categories publicades</t>
        </is>
      </c>
    </row>
    <row r="587" ht="15" customHeight="1" s="39">
      <c r="A587" s="38" t="inlineStr">
        <is>
          <t>[251765] Preixana</t>
        </is>
      </c>
      <c r="B587" s="42" t="inlineStr">
        <is>
          <t>251765</t>
        </is>
      </c>
      <c r="C587" s="38" t="inlineStr">
        <is>
          <t>Preixana</t>
        </is>
      </c>
      <c r="D587" s="38" t="n">
        <v>247</v>
      </c>
      <c r="E587" s="38" t="n">
        <v>159</v>
      </c>
      <c r="F587" s="38" t="n">
        <v>88</v>
      </c>
      <c r="H587" s="38" t="inlineStr">
        <is>
          <t>Total habitatges familiars; principal i no principal provenen de les categories publicades</t>
        </is>
      </c>
    </row>
    <row r="588" ht="15" customHeight="1" s="39">
      <c r="A588" s="38" t="inlineStr">
        <is>
          <t>[251771] Preixens</t>
        </is>
      </c>
      <c r="B588" s="42" t="inlineStr">
        <is>
          <t>251771</t>
        </is>
      </c>
      <c r="C588" s="38" t="inlineStr">
        <is>
          <t>Preixens</t>
        </is>
      </c>
      <c r="D588" s="38" t="n">
        <v>301</v>
      </c>
      <c r="E588" s="38" t="n">
        <v>164</v>
      </c>
      <c r="F588" s="38" t="n">
        <v>137</v>
      </c>
      <c r="H588" s="38" t="inlineStr">
        <is>
          <t>Total habitatges familiars; principal i no principal provenen de les categories publicades</t>
        </is>
      </c>
    </row>
    <row r="589" ht="15" customHeight="1" s="39">
      <c r="A589" s="38" t="inlineStr">
        <is>
          <t>[082303] Premià de Dalt</t>
        </is>
      </c>
      <c r="B589" s="42" t="inlineStr">
        <is>
          <t>082303</t>
        </is>
      </c>
      <c r="C589" s="38" t="inlineStr">
        <is>
          <t>Premià de Dalt</t>
        </is>
      </c>
      <c r="D589" s="38" t="n">
        <v>4240</v>
      </c>
      <c r="E589" s="38" t="n">
        <v>3675</v>
      </c>
      <c r="F589" s="38" t="n">
        <v>565</v>
      </c>
      <c r="H589" s="38" t="inlineStr">
        <is>
          <t>Total habitatges familiars; principal i no principal provenen de les categories publicades</t>
        </is>
      </c>
    </row>
    <row r="590" ht="15" customHeight="1" s="39">
      <c r="A590" s="38" t="inlineStr">
        <is>
          <t>[081727] Premià de Mar</t>
        </is>
      </c>
      <c r="B590" s="42" t="inlineStr">
        <is>
          <t>081727</t>
        </is>
      </c>
      <c r="C590" s="38" t="inlineStr">
        <is>
          <t>Premià de Mar</t>
        </is>
      </c>
      <c r="D590" s="38" t="n">
        <v>12313</v>
      </c>
      <c r="E590" s="38" t="n">
        <v>10876</v>
      </c>
      <c r="F590" s="38" t="n">
        <v>1437</v>
      </c>
      <c r="H590" s="38" t="inlineStr">
        <is>
          <t>Total habitatges familiars; principal i no principal provenen de les categories publicades</t>
        </is>
      </c>
    </row>
    <row r="591" ht="15" customHeight="1" s="39">
      <c r="A591" s="38" t="inlineStr">
        <is>
          <t>[171390] Preses, les</t>
        </is>
      </c>
      <c r="B591" s="42" t="inlineStr">
        <is>
          <t>171390</t>
        </is>
      </c>
      <c r="C591" s="38" t="inlineStr">
        <is>
          <t>Preses, les</t>
        </is>
      </c>
      <c r="D591" s="38" t="n">
        <v>767</v>
      </c>
      <c r="E591" s="38" t="n">
        <v>657</v>
      </c>
      <c r="F591" s="38" t="n">
        <v>110</v>
      </c>
      <c r="H591" s="38" t="inlineStr">
        <is>
          <t>Total habitatges familiars; principal i no principal provenen de les categories publicades</t>
        </is>
      </c>
    </row>
    <row r="592" ht="15" customHeight="1" s="39">
      <c r="A592" s="38" t="inlineStr">
        <is>
          <t>[251790] Prullans</t>
        </is>
      </c>
      <c r="B592" s="42" t="inlineStr">
        <is>
          <t>251790</t>
        </is>
      </c>
      <c r="C592" s="38" t="inlineStr">
        <is>
          <t>Prullans</t>
        </is>
      </c>
      <c r="D592" s="38" t="n">
        <v>270</v>
      </c>
      <c r="E592" s="38" t="n">
        <v>118</v>
      </c>
      <c r="F592" s="38" t="n">
        <v>152</v>
      </c>
      <c r="H592" s="38" t="inlineStr">
        <is>
          <t>Total habitatges familiars; principal i no principal provenen de les categories publicades</t>
        </is>
      </c>
    </row>
    <row r="593" ht="15" customHeight="1" s="39">
      <c r="A593" s="38" t="inlineStr">
        <is>
          <t>[171411] Puigcerdà</t>
        </is>
      </c>
      <c r="B593" s="42" t="inlineStr">
        <is>
          <t>171411</t>
        </is>
      </c>
      <c r="C593" s="38" t="inlineStr">
        <is>
          <t>Puigcerdà</t>
        </is>
      </c>
      <c r="D593" s="38" t="n">
        <v>5989</v>
      </c>
      <c r="E593" s="38" t="n">
        <v>3563</v>
      </c>
      <c r="F593" s="38" t="n">
        <v>2426</v>
      </c>
      <c r="H593" s="38" t="inlineStr">
        <is>
          <t>Total habitatges familiars; principal i no principal provenen de les categories publicades</t>
        </is>
      </c>
    </row>
    <row r="594" ht="15" customHeight="1" s="39">
      <c r="A594" s="38" t="inlineStr">
        <is>
          <t>[081748] Puigdàlber</t>
        </is>
      </c>
      <c r="B594" s="42" t="inlineStr">
        <is>
          <t>081748</t>
        </is>
      </c>
      <c r="C594" s="38" t="inlineStr">
        <is>
          <t>Puigdàlber</t>
        </is>
      </c>
      <c r="D594" s="38" t="n">
        <v>263</v>
      </c>
      <c r="E594" s="38" t="n">
        <v>205</v>
      </c>
      <c r="F594" s="38" t="n">
        <v>58</v>
      </c>
      <c r="H594" s="38" t="inlineStr">
        <is>
          <t>Total habitatges familiars; principal i no principal provenen de les categories publicades</t>
        </is>
      </c>
    </row>
    <row r="595" ht="15" customHeight="1" s="39">
      <c r="A595" s="38" t="inlineStr">
        <is>
          <t>[251804] Puiggròs</t>
        </is>
      </c>
      <c r="B595" s="42" t="inlineStr">
        <is>
          <t>251804</t>
        </is>
      </c>
      <c r="C595" s="38" t="inlineStr">
        <is>
          <t>Puiggròs</t>
        </is>
      </c>
      <c r="D595" s="38" t="n">
        <v>177</v>
      </c>
      <c r="E595" s="38" t="n">
        <v>112</v>
      </c>
      <c r="F595" s="38" t="n">
        <v>65</v>
      </c>
      <c r="H595" s="38" t="inlineStr">
        <is>
          <t>Total habitatges familiars; principal i no principal provenen de les categories publicades</t>
        </is>
      </c>
    </row>
    <row r="596" ht="15" customHeight="1" s="39">
      <c r="A596" s="38" t="inlineStr">
        <is>
          <t>[431191] Puigpelat</t>
        </is>
      </c>
      <c r="B596" s="42" t="inlineStr">
        <is>
          <t>431191</t>
        </is>
      </c>
      <c r="C596" s="38" t="inlineStr">
        <is>
          <t>Puigpelat</t>
        </is>
      </c>
      <c r="D596" s="38" t="n">
        <v>600</v>
      </c>
      <c r="E596" s="38" t="n">
        <v>431</v>
      </c>
      <c r="F596" s="38" t="n">
        <v>169</v>
      </c>
      <c r="H596" s="38" t="inlineStr">
        <is>
          <t>Total habitatges familiars; principal i no principal provenen de les categories publicades</t>
        </is>
      </c>
    </row>
    <row r="597" ht="15" customHeight="1" s="39">
      <c r="A597" s="38" t="inlineStr">
        <is>
          <t>[081751] Puig-reig</t>
        </is>
      </c>
      <c r="B597" s="42" t="inlineStr">
        <is>
          <t>081751</t>
        </is>
      </c>
      <c r="C597" s="38" t="inlineStr">
        <is>
          <t>Puig-reig</t>
        </is>
      </c>
      <c r="D597" s="38" t="n">
        <v>2376</v>
      </c>
      <c r="E597" s="38" t="n">
        <v>1742</v>
      </c>
      <c r="F597" s="38" t="n">
        <v>634</v>
      </c>
      <c r="H597" s="38" t="inlineStr">
        <is>
          <t>Total habitatges familiars; principal i no principal provenen de les categories publicades</t>
        </is>
      </c>
    </row>
    <row r="598" ht="15" customHeight="1" s="39">
      <c r="A598" s="38" t="inlineStr">
        <is>
          <t>[251811] Puigverd d'Agramunt</t>
        </is>
      </c>
      <c r="B598" s="42" t="inlineStr">
        <is>
          <t>251811</t>
        </is>
      </c>
      <c r="C598" s="38" t="inlineStr">
        <is>
          <t>Puigverd d'Agramunt</t>
        </is>
      </c>
      <c r="D598" s="38" t="n">
        <v>123</v>
      </c>
      <c r="E598" s="38" t="n">
        <v>95</v>
      </c>
      <c r="F598" s="38" t="n">
        <v>28</v>
      </c>
      <c r="H598" s="38" t="inlineStr">
        <is>
          <t>Total habitatges familiars; principal i no principal provenen de les categories publicades</t>
        </is>
      </c>
    </row>
    <row r="599" ht="15" customHeight="1" s="39">
      <c r="A599" s="38" t="inlineStr">
        <is>
          <t>[251826] Puigverd de Lleida</t>
        </is>
      </c>
      <c r="B599" s="42" t="inlineStr">
        <is>
          <t>251826</t>
        </is>
      </c>
      <c r="C599" s="38" t="inlineStr">
        <is>
          <t>Puigverd de Lleida</t>
        </is>
      </c>
      <c r="D599" s="38" t="n">
        <v>753</v>
      </c>
      <c r="E599" s="38" t="n">
        <v>507</v>
      </c>
      <c r="F599" s="38" t="n">
        <v>246</v>
      </c>
      <c r="H599" s="38" t="inlineStr">
        <is>
          <t>Total habitatges familiars; principal i no principal provenen de les categories publicades</t>
        </is>
      </c>
    </row>
    <row r="600" ht="15" customHeight="1" s="39">
      <c r="A600" s="38" t="inlineStr">
        <is>
          <t>[081764] Pujalt</t>
        </is>
      </c>
      <c r="B600" s="42" t="inlineStr">
        <is>
          <t>081764</t>
        </is>
      </c>
      <c r="C600" s="38" t="inlineStr">
        <is>
          <t>Pujalt</t>
        </is>
      </c>
      <c r="D600" s="38" t="n">
        <v>176</v>
      </c>
      <c r="E600" s="38" t="n">
        <v>76</v>
      </c>
      <c r="F600" s="38" t="n">
        <v>100</v>
      </c>
      <c r="H600" s="38" t="inlineStr">
        <is>
          <t>Total habitatges familiars; principal i no principal provenen de les categories publicades</t>
        </is>
      </c>
    </row>
    <row r="601" ht="15" customHeight="1" s="39">
      <c r="A601" s="38" t="inlineStr">
        <is>
          <t>[081770] Quar, la</t>
        </is>
      </c>
      <c r="B601" s="42" t="inlineStr">
        <is>
          <t>081770</t>
        </is>
      </c>
      <c r="C601" s="38" t="inlineStr">
        <is>
          <t>Quar, la</t>
        </is>
      </c>
      <c r="D601" s="38" t="n">
        <v>31</v>
      </c>
      <c r="E601" s="38" t="n">
        <v>18</v>
      </c>
      <c r="F601" s="38" t="n">
        <v>13</v>
      </c>
      <c r="H601" s="38" t="inlineStr">
        <is>
          <t>Total habitatges familiars; principal i no principal provenen de les categories publicades</t>
        </is>
      </c>
    </row>
    <row r="602" ht="15" customHeight="1" s="39">
      <c r="A602" s="38" t="inlineStr">
        <is>
          <t>[171426] Quart</t>
        </is>
      </c>
      <c r="B602" s="42" t="inlineStr">
        <is>
          <t>171426</t>
        </is>
      </c>
      <c r="C602" s="38" t="inlineStr">
        <is>
          <t>Quart</t>
        </is>
      </c>
      <c r="D602" s="38" t="n">
        <v>1499</v>
      </c>
      <c r="E602" s="38" t="n">
        <v>1313</v>
      </c>
      <c r="F602" s="38" t="n">
        <v>186</v>
      </c>
      <c r="H602" s="38" t="inlineStr">
        <is>
          <t>Total habitatges familiars; principal i no principal provenen de les categories publicades</t>
        </is>
      </c>
    </row>
    <row r="603" ht="15" customHeight="1" s="39">
      <c r="A603" s="38" t="inlineStr">
        <is>
          <t>[170433] Queralbs</t>
        </is>
      </c>
      <c r="B603" s="42" t="inlineStr">
        <is>
          <t>170433</t>
        </is>
      </c>
      <c r="C603" s="38" t="inlineStr">
        <is>
          <t>Queralbs</t>
        </is>
      </c>
      <c r="D603" s="38" t="n">
        <v>378</v>
      </c>
      <c r="E603" s="38" t="n">
        <v>98</v>
      </c>
      <c r="F603" s="38" t="n">
        <v>280</v>
      </c>
      <c r="H603" s="38" t="inlineStr">
        <is>
          <t>Total habitatges familiars; principal i no principal provenen de les categories publicades</t>
        </is>
      </c>
    </row>
    <row r="604" ht="15" customHeight="1" s="39">
      <c r="A604" s="38" t="inlineStr">
        <is>
          <t>[431205] Querol</t>
        </is>
      </c>
      <c r="B604" s="42" t="inlineStr">
        <is>
          <t>431205</t>
        </is>
      </c>
      <c r="C604" s="38" t="inlineStr">
        <is>
          <t>Querol</t>
        </is>
      </c>
      <c r="D604" s="38" t="n">
        <v>767</v>
      </c>
      <c r="E604" s="38" t="n">
        <v>257</v>
      </c>
      <c r="F604" s="38" t="n">
        <v>510</v>
      </c>
      <c r="H604" s="38" t="inlineStr">
        <is>
          <t>Total habitatges familiars; principal i no principal provenen de les categories publicades</t>
        </is>
      </c>
    </row>
    <row r="605" ht="15" customHeight="1" s="39">
      <c r="A605" s="38" t="inlineStr">
        <is>
          <t>[171432] Rabós</t>
        </is>
      </c>
      <c r="B605" s="42" t="inlineStr">
        <is>
          <t>171432</t>
        </is>
      </c>
      <c r="C605" s="38" t="inlineStr">
        <is>
          <t>Rabós</t>
        </is>
      </c>
      <c r="D605" s="38" t="n">
        <v>181</v>
      </c>
      <c r="E605" s="38" t="n">
        <v>94</v>
      </c>
      <c r="F605" s="38" t="n">
        <v>87</v>
      </c>
      <c r="H605" s="38" t="inlineStr">
        <is>
          <t>Total habitatges familiars; principal i no principal provenen de les categories publicades</t>
        </is>
      </c>
    </row>
    <row r="606" ht="15" customHeight="1" s="39">
      <c r="A606" s="38" t="inlineStr">
        <is>
          <t>[081786] Rajadell</t>
        </is>
      </c>
      <c r="B606" s="42" t="inlineStr">
        <is>
          <t>081786</t>
        </is>
      </c>
      <c r="C606" s="38" t="inlineStr">
        <is>
          <t>Rajadell</t>
        </is>
      </c>
      <c r="D606" s="38" t="n">
        <v>296</v>
      </c>
      <c r="E606" s="38" t="n">
        <v>202</v>
      </c>
      <c r="F606" s="38" t="n">
        <v>94</v>
      </c>
      <c r="H606" s="38" t="inlineStr">
        <is>
          <t>Total habitatges familiars; principal i no principal provenen de les categories publicades</t>
        </is>
      </c>
    </row>
    <row r="607" ht="15" customHeight="1" s="39">
      <c r="A607" s="38" t="inlineStr">
        <is>
          <t>[431362] Ràpita, la</t>
        </is>
      </c>
      <c r="B607" s="42" t="inlineStr">
        <is>
          <t>431362</t>
        </is>
      </c>
      <c r="C607" s="38" t="inlineStr">
        <is>
          <t>Ràpita, la</t>
        </is>
      </c>
      <c r="D607" s="38" t="n">
        <v>12074</v>
      </c>
      <c r="E607" s="38" t="n">
        <v>6047</v>
      </c>
      <c r="F607" s="38" t="n">
        <v>6027</v>
      </c>
      <c r="H607" s="38" t="inlineStr">
        <is>
          <t>Total habitatges familiars; principal i no principal provenen de les categories publicades</t>
        </is>
      </c>
    </row>
    <row r="608" ht="15" customHeight="1" s="39">
      <c r="A608" s="38" t="inlineStr">
        <is>
          <t>[431212] Rasquera</t>
        </is>
      </c>
      <c r="B608" s="42" t="inlineStr">
        <is>
          <t>431212</t>
        </is>
      </c>
      <c r="C608" s="38" t="inlineStr">
        <is>
          <t>Rasquera</t>
        </is>
      </c>
      <c r="D608" s="38" t="n">
        <v>674</v>
      </c>
      <c r="E608" s="38" t="n">
        <v>334</v>
      </c>
      <c r="F608" s="38" t="n">
        <v>340</v>
      </c>
      <c r="H608" s="38" t="inlineStr">
        <is>
          <t>Total habitatges familiars; principal i no principal provenen de les categories publicades</t>
        </is>
      </c>
    </row>
    <row r="609" ht="15" customHeight="1" s="39">
      <c r="A609" s="38" t="inlineStr">
        <is>
          <t>[171447] Regencós</t>
        </is>
      </c>
      <c r="B609" s="42" t="inlineStr">
        <is>
          <t>171447</t>
        </is>
      </c>
      <c r="C609" s="38" t="inlineStr">
        <is>
          <t>Regencós</t>
        </is>
      </c>
      <c r="D609" s="38" t="n">
        <v>186</v>
      </c>
      <c r="E609" s="38" t="n">
        <v>110</v>
      </c>
      <c r="F609" s="38" t="n">
        <v>76</v>
      </c>
      <c r="H609" s="38" t="inlineStr">
        <is>
          <t>Total habitatges familiars; principal i no principal provenen de les categories publicades</t>
        </is>
      </c>
    </row>
    <row r="610" ht="15" customHeight="1" s="39">
      <c r="A610" s="38" t="inlineStr">
        <is>
          <t>[081799] Rellinars</t>
        </is>
      </c>
      <c r="B610" s="42" t="inlineStr">
        <is>
          <t>081799</t>
        </is>
      </c>
      <c r="C610" s="38" t="inlineStr">
        <is>
          <t>Rellinars</t>
        </is>
      </c>
      <c r="D610" s="38" t="n">
        <v>548</v>
      </c>
      <c r="E610" s="38" t="n">
        <v>335</v>
      </c>
      <c r="F610" s="38" t="n">
        <v>213</v>
      </c>
      <c r="H610" s="38" t="inlineStr">
        <is>
          <t>Total habitatges familiars; principal i no principal provenen de les categories publicades</t>
        </is>
      </c>
    </row>
    <row r="611" ht="15" customHeight="1" s="39">
      <c r="A611" s="38" t="inlineStr">
        <is>
          <t>[431227] Renau</t>
        </is>
      </c>
      <c r="B611" s="42" t="inlineStr">
        <is>
          <t>431227</t>
        </is>
      </c>
      <c r="C611" s="38" t="inlineStr">
        <is>
          <t>Renau</t>
        </is>
      </c>
      <c r="D611" s="38" t="n">
        <v>79</v>
      </c>
      <c r="E611" s="38" t="n">
        <v>57</v>
      </c>
      <c r="F611" s="38" t="n">
        <v>22</v>
      </c>
      <c r="H611" s="38" t="inlineStr">
        <is>
          <t>Total habitatges familiars; principal i no principal provenen de les categories publicades</t>
        </is>
      </c>
    </row>
    <row r="612" ht="15" customHeight="1" s="39">
      <c r="A612" s="38" t="inlineStr">
        <is>
          <t>[431233] Reus</t>
        </is>
      </c>
      <c r="B612" s="42" t="inlineStr">
        <is>
          <t>431233</t>
        </is>
      </c>
      <c r="C612" s="38" t="inlineStr">
        <is>
          <t>Reus</t>
        </is>
      </c>
      <c r="D612" s="38" t="n">
        <v>51284</v>
      </c>
      <c r="E612" s="38" t="n">
        <v>40520</v>
      </c>
      <c r="F612" s="38" t="n">
        <v>10764</v>
      </c>
      <c r="H612" s="38" t="inlineStr">
        <is>
          <t>Total habitatges familiars; principal i no principal provenen de les categories publicades</t>
        </is>
      </c>
    </row>
    <row r="613" ht="15" customHeight="1" s="39">
      <c r="A613" s="38" t="inlineStr">
        <is>
          <t>[251832] Rialp</t>
        </is>
      </c>
      <c r="B613" s="42" t="inlineStr">
        <is>
          <t>251832</t>
        </is>
      </c>
      <c r="C613" s="38" t="inlineStr">
        <is>
          <t>Rialp</t>
        </is>
      </c>
      <c r="D613" s="38" t="n">
        <v>812</v>
      </c>
      <c r="E613" s="38" t="n">
        <v>295</v>
      </c>
      <c r="F613" s="38" t="n">
        <v>517</v>
      </c>
      <c r="H613" s="38" t="inlineStr">
        <is>
          <t>Total habitatges familiars; principal i no principal provenen de les categories publicades</t>
        </is>
      </c>
    </row>
    <row r="614" ht="15" customHeight="1" s="39">
      <c r="A614" s="38" t="inlineStr">
        <is>
          <t>[431248] Riba, la</t>
        </is>
      </c>
      <c r="B614" s="42" t="inlineStr">
        <is>
          <t>431248</t>
        </is>
      </c>
      <c r="C614" s="38" t="inlineStr">
        <is>
          <t>Riba, la</t>
        </is>
      </c>
      <c r="D614" s="38" t="n">
        <v>463</v>
      </c>
      <c r="E614" s="38" t="n">
        <v>251</v>
      </c>
      <c r="F614" s="38" t="n">
        <v>212</v>
      </c>
      <c r="H614" s="38" t="inlineStr">
        <is>
          <t>Total habitatges familiars; principal i no principal provenen de les categories publicades</t>
        </is>
      </c>
    </row>
    <row r="615" ht="15" customHeight="1" s="39">
      <c r="A615" s="38" t="inlineStr">
        <is>
          <t>[431251] Riba-roja d'Ebre</t>
        </is>
      </c>
      <c r="B615" s="42" t="inlineStr">
        <is>
          <t>431251</t>
        </is>
      </c>
      <c r="C615" s="38" t="inlineStr">
        <is>
          <t>Riba-roja d'Ebre</t>
        </is>
      </c>
      <c r="D615" s="38" t="n">
        <v>879</v>
      </c>
      <c r="E615" s="38" t="n">
        <v>475</v>
      </c>
      <c r="F615" s="38" t="n">
        <v>404</v>
      </c>
      <c r="H615" s="38" t="inlineStr">
        <is>
          <t>Total habitatges familiars; principal i no principal provenen de les categories publicades</t>
        </is>
      </c>
    </row>
    <row r="616" ht="15" customHeight="1" s="39">
      <c r="A616" s="38" t="inlineStr">
        <is>
          <t>[259059] Ribera d'Ondara</t>
        </is>
      </c>
      <c r="B616" s="42" t="inlineStr">
        <is>
          <t>259059</t>
        </is>
      </c>
      <c r="C616" s="38" t="inlineStr">
        <is>
          <t>Ribera d'Ondara</t>
        </is>
      </c>
      <c r="D616" s="38" t="n">
        <v>315</v>
      </c>
      <c r="E616" s="38" t="n">
        <v>170</v>
      </c>
      <c r="F616" s="38" t="n">
        <v>145</v>
      </c>
      <c r="H616" s="38" t="inlineStr">
        <is>
          <t>Total habitatges familiars; principal i no principal provenen de les categories publicades</t>
        </is>
      </c>
    </row>
    <row r="617" ht="15" customHeight="1" s="39">
      <c r="A617" s="38" t="inlineStr">
        <is>
          <t>[251850] Ribera d'Urgellet</t>
        </is>
      </c>
      <c r="B617" s="42" t="inlineStr">
        <is>
          <t>251850</t>
        </is>
      </c>
      <c r="C617" s="38" t="inlineStr">
        <is>
          <t>Ribera d'Urgellet</t>
        </is>
      </c>
      <c r="D617" s="38" t="n">
        <v>649</v>
      </c>
      <c r="E617" s="38" t="n">
        <v>376</v>
      </c>
      <c r="F617" s="38" t="n">
        <v>273</v>
      </c>
      <c r="H617" s="38" t="inlineStr">
        <is>
          <t>Total habitatges familiars; principal i no principal provenen de les categories publicades</t>
        </is>
      </c>
    </row>
    <row r="618" ht="15" customHeight="1" s="39">
      <c r="A618" s="38" t="inlineStr">
        <is>
          <t>[171450] Ribes de Freser</t>
        </is>
      </c>
      <c r="B618" s="42" t="inlineStr">
        <is>
          <t>171450</t>
        </is>
      </c>
      <c r="C618" s="38" t="inlineStr">
        <is>
          <t>Ribes de Freser</t>
        </is>
      </c>
      <c r="D618" s="38" t="n">
        <v>1647</v>
      </c>
      <c r="E618" s="38" t="n">
        <v>785</v>
      </c>
      <c r="F618" s="38" t="n">
        <v>862</v>
      </c>
      <c r="H618" s="38" t="inlineStr">
        <is>
          <t>Total habitatges familiars; principal i no principal provenen de les categories publicades</t>
        </is>
      </c>
    </row>
    <row r="619" ht="15" customHeight="1" s="39">
      <c r="A619" s="38" t="inlineStr">
        <is>
          <t>[171463] Riells i Viabrea</t>
        </is>
      </c>
      <c r="B619" s="42" t="inlineStr">
        <is>
          <t>171463</t>
        </is>
      </c>
      <c r="C619" s="38" t="inlineStr">
        <is>
          <t>Riells i Viabrea</t>
        </is>
      </c>
      <c r="D619" s="38" t="n">
        <v>2383</v>
      </c>
      <c r="E619" s="38" t="n">
        <v>1633</v>
      </c>
      <c r="F619" s="38" t="n">
        <v>750</v>
      </c>
      <c r="H619" s="38" t="inlineStr">
        <is>
          <t>Total habitatges familiars; principal i no principal provenen de les categories publicades</t>
        </is>
      </c>
    </row>
    <row r="620" ht="15" customHeight="1" s="39">
      <c r="A620" s="38" t="inlineStr">
        <is>
          <t>[431264] Riera de Gaià, la</t>
        </is>
      </c>
      <c r="B620" s="42" t="inlineStr">
        <is>
          <t>431264</t>
        </is>
      </c>
      <c r="C620" s="38" t="inlineStr">
        <is>
          <t>Riera de Gaià, la</t>
        </is>
      </c>
      <c r="D620" s="38" t="n">
        <v>869</v>
      </c>
      <c r="E620" s="38" t="n">
        <v>623</v>
      </c>
      <c r="F620" s="38" t="n">
        <v>246</v>
      </c>
      <c r="H620" s="38" t="inlineStr">
        <is>
          <t>Total habitatges familiars; principal i no principal provenen de les categories publicades</t>
        </is>
      </c>
    </row>
    <row r="621" ht="15" customHeight="1" s="39">
      <c r="A621" s="38" t="inlineStr">
        <is>
          <t>[251863] Riner</t>
        </is>
      </c>
      <c r="B621" s="42" t="inlineStr">
        <is>
          <t>251863</t>
        </is>
      </c>
      <c r="C621" s="38" t="inlineStr">
        <is>
          <t>Riner</t>
        </is>
      </c>
      <c r="D621" s="38" t="n">
        <v>130</v>
      </c>
      <c r="E621" s="38" t="n">
        <v>92</v>
      </c>
      <c r="F621" s="38" t="n">
        <v>38</v>
      </c>
      <c r="H621" s="38" t="inlineStr">
        <is>
          <t>Total habitatges familiars; principal i no principal provenen de les categories publicades</t>
        </is>
      </c>
    </row>
    <row r="622" ht="15" customHeight="1" s="39">
      <c r="A622" s="38" t="inlineStr">
        <is>
          <t>[171479] Ripoll</t>
        </is>
      </c>
      <c r="B622" s="42" t="inlineStr">
        <is>
          <t>171479</t>
        </is>
      </c>
      <c r="C622" s="38" t="inlineStr">
        <is>
          <t>Ripoll</t>
        </is>
      </c>
      <c r="D622" s="38" t="n">
        <v>5665</v>
      </c>
      <c r="E622" s="38" t="n">
        <v>4391</v>
      </c>
      <c r="F622" s="38" t="n">
        <v>1274</v>
      </c>
      <c r="H622" s="38" t="inlineStr">
        <is>
          <t>Total habitatges familiars; principal i no principal provenen de les categories publicades</t>
        </is>
      </c>
    </row>
    <row r="623" ht="15" customHeight="1" s="39">
      <c r="A623" s="38" t="inlineStr">
        <is>
          <t>[081803] Ripollet</t>
        </is>
      </c>
      <c r="B623" s="42" t="inlineStr">
        <is>
          <t>081803</t>
        </is>
      </c>
      <c r="C623" s="38" t="inlineStr">
        <is>
          <t>Ripollet</t>
        </is>
      </c>
      <c r="D623" s="38" t="n">
        <v>15427</v>
      </c>
      <c r="E623" s="38" t="n">
        <v>14559</v>
      </c>
      <c r="F623" s="38" t="n">
        <v>868</v>
      </c>
      <c r="H623" s="38" t="inlineStr">
        <is>
          <t>Total habitatges familiars; principal i no principal provenen de les categories publicades</t>
        </is>
      </c>
    </row>
    <row r="624" ht="15" customHeight="1" s="39">
      <c r="A624" s="38" t="inlineStr">
        <is>
          <t>[259139] Riu de Cerdanya</t>
        </is>
      </c>
      <c r="B624" s="42" t="inlineStr">
        <is>
          <t>259139</t>
        </is>
      </c>
      <c r="C624" s="38" t="inlineStr">
        <is>
          <t>Riu de Cerdanya</t>
        </is>
      </c>
      <c r="D624" s="38" t="n">
        <v>124</v>
      </c>
      <c r="E624" s="38" t="n">
        <v>47</v>
      </c>
      <c r="F624" s="38" t="n">
        <v>77</v>
      </c>
      <c r="H624" s="38" t="inlineStr">
        <is>
          <t>Total habitatges familiars; principal i no principal provenen de les categories publicades</t>
        </is>
      </c>
    </row>
    <row r="625" ht="15" customHeight="1" s="39">
      <c r="A625" s="38" t="inlineStr">
        <is>
          <t>[171485] Riudarenes</t>
        </is>
      </c>
      <c r="B625" s="42" t="inlineStr">
        <is>
          <t>171485</t>
        </is>
      </c>
      <c r="C625" s="38" t="inlineStr">
        <is>
          <t>Riudarenes</t>
        </is>
      </c>
      <c r="D625" s="38" t="n">
        <v>1443</v>
      </c>
      <c r="E625" s="38" t="n">
        <v>893</v>
      </c>
      <c r="F625" s="38" t="n">
        <v>550</v>
      </c>
      <c r="H625" s="38" t="inlineStr">
        <is>
          <t>Total habitatges familiars; principal i no principal provenen de les categories publicades</t>
        </is>
      </c>
    </row>
    <row r="626" ht="15" customHeight="1" s="39">
      <c r="A626" s="38" t="inlineStr">
        <is>
          <t>[171498] Riudaura</t>
        </is>
      </c>
      <c r="B626" s="42" t="inlineStr">
        <is>
          <t>171498</t>
        </is>
      </c>
      <c r="C626" s="38" t="inlineStr">
        <is>
          <t>Riudaura</t>
        </is>
      </c>
      <c r="D626" s="38" t="n">
        <v>256</v>
      </c>
      <c r="E626" s="38" t="n">
        <v>180</v>
      </c>
      <c r="F626" s="38" t="n">
        <v>76</v>
      </c>
      <c r="H626" s="38" t="inlineStr">
        <is>
          <t>Total habitatges familiars; principal i no principal provenen de les categories publicades</t>
        </is>
      </c>
    </row>
    <row r="627" ht="15" customHeight="1" s="39">
      <c r="A627" s="38" t="inlineStr">
        <is>
          <t>[431270] Riudecanyes</t>
        </is>
      </c>
      <c r="B627" s="42" t="inlineStr">
        <is>
          <t>431270</t>
        </is>
      </c>
      <c r="C627" s="38" t="inlineStr">
        <is>
          <t>Riudecanyes</t>
        </is>
      </c>
      <c r="D627" s="38" t="n">
        <v>766</v>
      </c>
      <c r="E627" s="38" t="n">
        <v>471</v>
      </c>
      <c r="F627" s="38" t="n">
        <v>295</v>
      </c>
      <c r="H627" s="38" t="inlineStr">
        <is>
          <t>Total habitatges familiars; principal i no principal provenen de les categories publicades</t>
        </is>
      </c>
    </row>
    <row r="628" ht="15" customHeight="1" s="39">
      <c r="A628" s="38" t="inlineStr">
        <is>
          <t>[431286] Riudecols</t>
        </is>
      </c>
      <c r="B628" s="42" t="inlineStr">
        <is>
          <t>431286</t>
        </is>
      </c>
      <c r="C628" s="38" t="inlineStr">
        <is>
          <t>Riudecols</t>
        </is>
      </c>
      <c r="D628" s="38" t="n">
        <v>711</v>
      </c>
      <c r="E628" s="38" t="n">
        <v>490</v>
      </c>
      <c r="F628" s="38" t="n">
        <v>221</v>
      </c>
      <c r="H628" s="38" t="inlineStr">
        <is>
          <t>Total habitatges familiars; principal i no principal provenen de les categories publicades</t>
        </is>
      </c>
    </row>
    <row r="629" ht="15" customHeight="1" s="39">
      <c r="A629" s="38" t="inlineStr">
        <is>
          <t>[171501] Riudellots de la Selva</t>
        </is>
      </c>
      <c r="B629" s="42" t="inlineStr">
        <is>
          <t>171501</t>
        </is>
      </c>
      <c r="C629" s="38" t="inlineStr">
        <is>
          <t>Riudellots de la Selva</t>
        </is>
      </c>
      <c r="D629" s="38" t="n">
        <v>843</v>
      </c>
      <c r="E629" s="38" t="n">
        <v>739</v>
      </c>
      <c r="F629" s="38" t="n">
        <v>104</v>
      </c>
      <c r="H629" s="38" t="inlineStr">
        <is>
          <t>Total habitatges familiars; principal i no principal provenen de les categories publicades</t>
        </is>
      </c>
    </row>
    <row r="630" ht="15" customHeight="1" s="39">
      <c r="A630" s="38" t="inlineStr">
        <is>
          <t>[431299] Riudoms</t>
        </is>
      </c>
      <c r="B630" s="42" t="inlineStr">
        <is>
          <t>431299</t>
        </is>
      </c>
      <c r="C630" s="38" t="inlineStr">
        <is>
          <t>Riudoms</t>
        </is>
      </c>
      <c r="D630" s="38" t="n">
        <v>3447</v>
      </c>
      <c r="E630" s="38" t="n">
        <v>2387</v>
      </c>
      <c r="F630" s="38" t="n">
        <v>1060</v>
      </c>
      <c r="H630" s="38" t="inlineStr">
        <is>
          <t>Total habitatges familiars; principal i no principal provenen de les categories publicades</t>
        </is>
      </c>
    </row>
    <row r="631" ht="15" customHeight="1" s="39">
      <c r="A631" s="38" t="inlineStr">
        <is>
          <t>[171518] Riumors</t>
        </is>
      </c>
      <c r="B631" s="42" t="inlineStr">
        <is>
          <t>171518</t>
        </is>
      </c>
      <c r="C631" s="38" t="inlineStr">
        <is>
          <t>Riumors</t>
        </is>
      </c>
      <c r="D631" s="38" t="n">
        <v>155</v>
      </c>
      <c r="E631" s="38" t="n">
        <v>93</v>
      </c>
      <c r="F631" s="38" t="n">
        <v>62</v>
      </c>
      <c r="H631" s="38" t="inlineStr">
        <is>
          <t>Total habitatges familiars; principal i no principal provenen de les categories publicades</t>
        </is>
      </c>
    </row>
    <row r="632" ht="15" customHeight="1" s="39">
      <c r="A632" s="38" t="inlineStr">
        <is>
          <t>[081810] Roca del Vallès, la</t>
        </is>
      </c>
      <c r="B632" s="42" t="inlineStr">
        <is>
          <t>081810</t>
        </is>
      </c>
      <c r="C632" s="38" t="inlineStr">
        <is>
          <t>Roca del Vallès, la</t>
        </is>
      </c>
      <c r="D632" s="38" t="n">
        <v>4515</v>
      </c>
      <c r="E632" s="38" t="n">
        <v>3876</v>
      </c>
      <c r="F632" s="38" t="n">
        <v>639</v>
      </c>
      <c r="H632" s="38" t="inlineStr">
        <is>
          <t>Total habitatges familiars; principal i no principal provenen de les categories publicades</t>
        </is>
      </c>
    </row>
    <row r="633" ht="15" customHeight="1" s="39">
      <c r="A633" s="38" t="inlineStr">
        <is>
          <t>[431303] Rocafort de Queralt</t>
        </is>
      </c>
      <c r="B633" s="42" t="inlineStr">
        <is>
          <t>431303</t>
        </is>
      </c>
      <c r="C633" s="38" t="inlineStr">
        <is>
          <t>Rocafort de Queralt</t>
        </is>
      </c>
      <c r="D633" s="38" t="n">
        <v>229</v>
      </c>
      <c r="E633" s="38" t="n">
        <v>97</v>
      </c>
      <c r="F633" s="38" t="n">
        <v>132</v>
      </c>
      <c r="H633" s="38" t="inlineStr">
        <is>
          <t>Total habitatges familiars; principal i no principal provenen de les categories publicades</t>
        </is>
      </c>
    </row>
    <row r="634" ht="15" customHeight="1" s="39">
      <c r="A634" s="38" t="inlineStr">
        <is>
          <t>[431310] Roda de Berà</t>
        </is>
      </c>
      <c r="B634" s="42" t="inlineStr">
        <is>
          <t>431310</t>
        </is>
      </c>
      <c r="C634" s="38" t="inlineStr">
        <is>
          <t>Roda de Berà</t>
        </is>
      </c>
      <c r="D634" s="38" t="n">
        <v>8762</v>
      </c>
      <c r="E634" s="38" t="n">
        <v>3089</v>
      </c>
      <c r="F634" s="38" t="n">
        <v>5673</v>
      </c>
      <c r="H634" s="38" t="inlineStr">
        <is>
          <t>Total habitatges familiars; principal i no principal provenen de les categories publicades</t>
        </is>
      </c>
    </row>
    <row r="635" ht="15" customHeight="1" s="39">
      <c r="A635" s="38" t="inlineStr">
        <is>
          <t>[081831] Roda de Ter</t>
        </is>
      </c>
      <c r="B635" s="42" t="inlineStr">
        <is>
          <t>081831</t>
        </is>
      </c>
      <c r="C635" s="38" t="inlineStr">
        <is>
          <t>Roda de Ter</t>
        </is>
      </c>
      <c r="D635" s="38" t="n">
        <v>2819</v>
      </c>
      <c r="E635" s="38" t="n">
        <v>2391</v>
      </c>
      <c r="F635" s="38" t="n">
        <v>428</v>
      </c>
      <c r="H635" s="38" t="inlineStr">
        <is>
          <t>Total habitatges familiars; principal i no principal provenen de les categories publicades</t>
        </is>
      </c>
    </row>
    <row r="636" ht="15" customHeight="1" s="39">
      <c r="A636" s="38" t="inlineStr">
        <is>
          <t>[431325] Rodonyà</t>
        </is>
      </c>
      <c r="B636" s="42" t="inlineStr">
        <is>
          <t>431325</t>
        </is>
      </c>
      <c r="C636" s="38" t="inlineStr">
        <is>
          <t>Rodonyà</t>
        </is>
      </c>
      <c r="D636" s="38" t="n">
        <v>385</v>
      </c>
      <c r="E636" s="38" t="n">
        <v>206</v>
      </c>
      <c r="F636" s="38" t="n">
        <v>179</v>
      </c>
      <c r="H636" s="38" t="inlineStr">
        <is>
          <t>Total habitatges familiars; principal i no principal provenen de les categories publicades</t>
        </is>
      </c>
    </row>
    <row r="637" ht="15" customHeight="1" s="39">
      <c r="A637" s="38" t="inlineStr">
        <is>
          <t>[431331] Roquetes</t>
        </is>
      </c>
      <c r="B637" s="42" t="inlineStr">
        <is>
          <t>431331</t>
        </is>
      </c>
      <c r="C637" s="38" t="inlineStr">
        <is>
          <t>Roquetes</t>
        </is>
      </c>
      <c r="D637" s="38" t="n">
        <v>4293</v>
      </c>
      <c r="E637" s="38" t="n">
        <v>2996</v>
      </c>
      <c r="F637" s="38" t="n">
        <v>1297</v>
      </c>
      <c r="H637" s="38" t="inlineStr">
        <is>
          <t>Total habitatges familiars; principal i no principal provenen de les categories publicades</t>
        </is>
      </c>
    </row>
    <row r="638" ht="15" customHeight="1" s="39">
      <c r="A638" s="38" t="inlineStr">
        <is>
          <t>[171523] Roses</t>
        </is>
      </c>
      <c r="B638" s="42" t="inlineStr">
        <is>
          <t>171523</t>
        </is>
      </c>
      <c r="C638" s="38" t="inlineStr">
        <is>
          <t>Roses</t>
        </is>
      </c>
      <c r="D638" s="38" t="n">
        <v>24743</v>
      </c>
      <c r="E638" s="38" t="n">
        <v>7877</v>
      </c>
      <c r="F638" s="38" t="n">
        <v>16866</v>
      </c>
      <c r="H638" s="38" t="inlineStr">
        <is>
          <t>Total habitatges familiars; principal i no principal provenen de les categories publicades</t>
        </is>
      </c>
    </row>
    <row r="639" ht="15" customHeight="1" s="39">
      <c r="A639" s="38" t="inlineStr">
        <is>
          <t>[251898] Rosselló</t>
        </is>
      </c>
      <c r="B639" s="42" t="inlineStr">
        <is>
          <t>251898</t>
        </is>
      </c>
      <c r="C639" s="38" t="inlineStr">
        <is>
          <t>Rosselló</t>
        </is>
      </c>
      <c r="D639" s="38" t="n">
        <v>1547</v>
      </c>
      <c r="E639" s="38" t="n">
        <v>1173</v>
      </c>
      <c r="F639" s="38" t="n">
        <v>374</v>
      </c>
      <c r="H639" s="38" t="inlineStr">
        <is>
          <t>Total habitatges familiars; principal i no principal provenen de les categories publicades</t>
        </is>
      </c>
    </row>
    <row r="640" ht="15" customHeight="1" s="39">
      <c r="A640" s="38" t="inlineStr">
        <is>
          <t>[431346] Rourell, el</t>
        </is>
      </c>
      <c r="B640" s="42" t="inlineStr">
        <is>
          <t>431346</t>
        </is>
      </c>
      <c r="C640" s="38" t="inlineStr">
        <is>
          <t>Rourell, el</t>
        </is>
      </c>
      <c r="D640" s="38" t="n">
        <v>187</v>
      </c>
      <c r="E640" s="38" t="n">
        <v>148</v>
      </c>
      <c r="F640" s="38" t="n">
        <v>39</v>
      </c>
      <c r="H640" s="38" t="inlineStr">
        <is>
          <t>Total habitatges familiars; principal i no principal provenen de les categories publicades</t>
        </is>
      </c>
    </row>
    <row r="641" ht="15" customHeight="1" s="39">
      <c r="A641" s="38" t="inlineStr">
        <is>
          <t>[081846] Rubí</t>
        </is>
      </c>
      <c r="B641" s="42" t="inlineStr">
        <is>
          <t>081846</t>
        </is>
      </c>
      <c r="C641" s="38" t="inlineStr">
        <is>
          <t>Rubí</t>
        </is>
      </c>
      <c r="D641" s="38" t="n">
        <v>32476</v>
      </c>
      <c r="E641" s="38" t="n">
        <v>28881</v>
      </c>
      <c r="F641" s="38" t="n">
        <v>3595</v>
      </c>
      <c r="H641" s="38" t="inlineStr">
        <is>
          <t>Total habitatges familiars; principal i no principal provenen de les categories publicades</t>
        </is>
      </c>
    </row>
    <row r="642" ht="15" customHeight="1" s="39">
      <c r="A642" s="38" t="inlineStr">
        <is>
          <t>[081859] Rubió</t>
        </is>
      </c>
      <c r="B642" s="42" t="inlineStr">
        <is>
          <t>081859</t>
        </is>
      </c>
      <c r="C642" s="38" t="inlineStr">
        <is>
          <t>Rubió</t>
        </is>
      </c>
      <c r="D642" s="38" t="n">
        <v>104</v>
      </c>
      <c r="E642" s="38" t="n">
        <v>74</v>
      </c>
      <c r="F642" s="38" t="n">
        <v>30</v>
      </c>
      <c r="H642" s="38" t="inlineStr">
        <is>
          <t>Total habitatges familiars; principal i no principal provenen de les categories publicades</t>
        </is>
      </c>
    </row>
    <row r="643" ht="15" customHeight="1" s="39">
      <c r="A643" s="38" t="inlineStr">
        <is>
          <t>[171539] Rupià</t>
        </is>
      </c>
      <c r="B643" s="42" t="inlineStr">
        <is>
          <t>171539</t>
        </is>
      </c>
      <c r="C643" s="38" t="inlineStr">
        <is>
          <t>Rupià</t>
        </is>
      </c>
      <c r="D643" s="38" t="n">
        <v>201</v>
      </c>
      <c r="E643" s="38" t="n">
        <v>114</v>
      </c>
      <c r="F643" s="38" t="n">
        <v>87</v>
      </c>
      <c r="H643" s="38" t="inlineStr">
        <is>
          <t>Total habitatges familiars; principal i no principal provenen de les categories publicades</t>
        </is>
      </c>
    </row>
    <row r="644" ht="15" customHeight="1" s="39">
      <c r="A644" s="38" t="inlineStr">
        <is>
          <t>[089019] Rupit i Pruit</t>
        </is>
      </c>
      <c r="B644" s="42" t="inlineStr">
        <is>
          <t>089019</t>
        </is>
      </c>
      <c r="C644" s="38" t="inlineStr">
        <is>
          <t>Rupit i Pruit</t>
        </is>
      </c>
      <c r="D644" s="38" t="n">
        <v>312</v>
      </c>
      <c r="E644" s="38" t="n">
        <v>116</v>
      </c>
      <c r="F644" s="38" t="n">
        <v>196</v>
      </c>
      <c r="H644" s="38" t="inlineStr">
        <is>
          <t>Total habitatges familiars; principal i no principal provenen de les categories publicades</t>
        </is>
      </c>
    </row>
    <row r="645" ht="15" customHeight="1" s="39">
      <c r="A645" s="38" t="inlineStr">
        <is>
          <t>[081878] Sabadell</t>
        </is>
      </c>
      <c r="B645" s="42" t="inlineStr">
        <is>
          <t>081878</t>
        </is>
      </c>
      <c r="C645" s="38" t="inlineStr">
        <is>
          <t>Sabadell</t>
        </is>
      </c>
      <c r="D645" s="38" t="n">
        <v>92772</v>
      </c>
      <c r="E645" s="38" t="n">
        <v>83558</v>
      </c>
      <c r="F645" s="38" t="n">
        <v>9214</v>
      </c>
      <c r="H645" s="38" t="inlineStr">
        <is>
          <t>Total habitatges familiars; principal i no principal provenen de les categories publicades</t>
        </is>
      </c>
    </row>
    <row r="646" ht="15" customHeight="1" s="39">
      <c r="A646" s="38" t="inlineStr">
        <is>
          <t>[081884] Sagàs</t>
        </is>
      </c>
      <c r="B646" s="42" t="inlineStr">
        <is>
          <t>081884</t>
        </is>
      </c>
      <c r="C646" s="38" t="inlineStr">
        <is>
          <t>Sagàs</t>
        </is>
      </c>
      <c r="D646" s="38" t="n">
        <v>78</v>
      </c>
      <c r="E646" s="38" t="n">
        <v>44</v>
      </c>
      <c r="F646" s="38" t="n">
        <v>34</v>
      </c>
      <c r="H646" s="38" t="inlineStr">
        <is>
          <t>Total habitatges familiars; principal i no principal provenen de les categories publicades</t>
        </is>
      </c>
    </row>
    <row r="647" ht="15" customHeight="1" s="39">
      <c r="A647" s="38" t="inlineStr">
        <is>
          <t>[251902] Salàs de Pallars</t>
        </is>
      </c>
      <c r="B647" s="42" t="inlineStr">
        <is>
          <t>251902</t>
        </is>
      </c>
      <c r="C647" s="38" t="inlineStr">
        <is>
          <t>Salàs de Pallars</t>
        </is>
      </c>
      <c r="D647" s="38" t="n">
        <v>462</v>
      </c>
      <c r="E647" s="38" t="n">
        <v>152</v>
      </c>
      <c r="F647" s="38" t="n">
        <v>310</v>
      </c>
      <c r="H647" s="38" t="inlineStr">
        <is>
          <t>Total habitatges familiars; principal i no principal provenen de les categories publicades</t>
        </is>
      </c>
    </row>
    <row r="648" ht="15" customHeight="1" s="39">
      <c r="A648" s="38" t="inlineStr">
        <is>
          <t>[081901] Saldes</t>
        </is>
      </c>
      <c r="B648" s="42" t="inlineStr">
        <is>
          <t>081901</t>
        </is>
      </c>
      <c r="C648" s="38" t="inlineStr">
        <is>
          <t>Saldes</t>
        </is>
      </c>
      <c r="D648" s="38" t="n">
        <v>367</v>
      </c>
      <c r="E648" s="38" t="n">
        <v>141</v>
      </c>
      <c r="F648" s="38" t="n">
        <v>226</v>
      </c>
      <c r="H648" s="38" t="inlineStr">
        <is>
          <t>Total habitatges familiars; principal i no principal provenen de les categories publicades</t>
        </is>
      </c>
    </row>
    <row r="649" ht="15" customHeight="1" s="39">
      <c r="A649" s="38" t="inlineStr">
        <is>
          <t>[171544] Sales de Llierca</t>
        </is>
      </c>
      <c r="B649" s="42" t="inlineStr">
        <is>
          <t>171544</t>
        </is>
      </c>
      <c r="C649" s="38" t="inlineStr">
        <is>
          <t>Sales de Llierca</t>
        </is>
      </c>
      <c r="D649" s="38" t="n">
        <v>87</v>
      </c>
      <c r="E649" s="38" t="n">
        <v>60</v>
      </c>
      <c r="F649" s="38" t="n">
        <v>27</v>
      </c>
      <c r="H649" s="38" t="inlineStr">
        <is>
          <t>Total habitatges familiars; principal i no principal provenen de les categories publicades</t>
        </is>
      </c>
    </row>
    <row r="650" ht="15" customHeight="1" s="39">
      <c r="A650" s="38" t="inlineStr">
        <is>
          <t>[081918] Sallent</t>
        </is>
      </c>
      <c r="B650" s="42" t="inlineStr">
        <is>
          <t>081918</t>
        </is>
      </c>
      <c r="C650" s="38" t="inlineStr">
        <is>
          <t>Sallent</t>
        </is>
      </c>
      <c r="D650" s="38" t="n">
        <v>3473</v>
      </c>
      <c r="E650" s="38" t="n">
        <v>2690</v>
      </c>
      <c r="F650" s="38" t="n">
        <v>783</v>
      </c>
      <c r="H650" s="38" t="inlineStr">
        <is>
          <t>Total habitatges familiars; principal i no principal provenen de les categories publicades</t>
        </is>
      </c>
    </row>
    <row r="651" ht="15" customHeight="1" s="39">
      <c r="A651" s="38" t="inlineStr">
        <is>
          <t>[431359] Salomó</t>
        </is>
      </c>
      <c r="B651" s="42" t="inlineStr">
        <is>
          <t>431359</t>
        </is>
      </c>
      <c r="C651" s="38" t="inlineStr">
        <is>
          <t>Salomó</t>
        </is>
      </c>
      <c r="D651" s="38" t="n">
        <v>353</v>
      </c>
      <c r="E651" s="38" t="n">
        <v>215</v>
      </c>
      <c r="F651" s="38" t="n">
        <v>138</v>
      </c>
      <c r="H651" s="38" t="inlineStr">
        <is>
          <t>Total habitatges familiars; principal i no principal provenen de les categories publicades</t>
        </is>
      </c>
    </row>
    <row r="652" ht="15" customHeight="1" s="39">
      <c r="A652" s="38" t="inlineStr">
        <is>
          <t>[439057] Salou</t>
        </is>
      </c>
      <c r="B652" s="42" t="inlineStr">
        <is>
          <t>439057</t>
        </is>
      </c>
      <c r="C652" s="38" t="inlineStr">
        <is>
          <t>Salou</t>
        </is>
      </c>
      <c r="D652" s="38" t="n">
        <v>31523</v>
      </c>
      <c r="E652" s="38" t="n">
        <v>11639</v>
      </c>
      <c r="F652" s="38" t="n">
        <v>19884</v>
      </c>
      <c r="H652" s="38" t="inlineStr">
        <is>
          <t>Total habitatges familiars; principal i no principal provenen de les categories publicades</t>
        </is>
      </c>
    </row>
    <row r="653" ht="15" customHeight="1" s="39">
      <c r="A653" s="38" t="inlineStr">
        <is>
          <t>[171557] Salt</t>
        </is>
      </c>
      <c r="B653" s="42" t="inlineStr">
        <is>
          <t>171557</t>
        </is>
      </c>
      <c r="C653" s="38" t="inlineStr">
        <is>
          <t>Salt</t>
        </is>
      </c>
      <c r="D653" s="38" t="n">
        <v>11642</v>
      </c>
      <c r="E653" s="38" t="n">
        <v>10518</v>
      </c>
      <c r="F653" s="38" t="n">
        <v>1124</v>
      </c>
      <c r="H653" s="38" t="inlineStr">
        <is>
          <t>Total habitatges familiars; principal i no principal provenen de les categories publicades</t>
        </is>
      </c>
    </row>
    <row r="654" ht="15" customHeight="1" s="39">
      <c r="A654" s="38" t="inlineStr">
        <is>
          <t>[251919] Sanaüja</t>
        </is>
      </c>
      <c r="B654" s="42" t="inlineStr">
        <is>
          <t>251919</t>
        </is>
      </c>
      <c r="C654" s="38" t="inlineStr">
        <is>
          <t>Sanaüja</t>
        </is>
      </c>
      <c r="D654" s="38" t="n">
        <v>374</v>
      </c>
      <c r="E654" s="38" t="n">
        <v>170</v>
      </c>
      <c r="F654" s="38" t="n">
        <v>204</v>
      </c>
      <c r="H654" s="38" t="inlineStr">
        <is>
          <t>Total habitatges familiars; principal i no principal provenen de les categories publicades</t>
        </is>
      </c>
    </row>
    <row r="655" ht="15" customHeight="1" s="39">
      <c r="A655" s="38" t="inlineStr">
        <is>
          <t>[081944] Sant Adrià de Besòs</t>
        </is>
      </c>
      <c r="B655" s="42" t="inlineStr">
        <is>
          <t>081944</t>
        </is>
      </c>
      <c r="C655" s="38" t="inlineStr">
        <is>
          <t>Sant Adrià de Besòs</t>
        </is>
      </c>
      <c r="D655" s="38" t="n">
        <v>14877</v>
      </c>
      <c r="E655" s="38" t="n">
        <v>13757</v>
      </c>
      <c r="F655" s="38" t="n">
        <v>1120</v>
      </c>
      <c r="H655" s="38" t="inlineStr">
        <is>
          <t>Total habitatges familiars; principal i no principal provenen de les categories publicades</t>
        </is>
      </c>
    </row>
    <row r="656" ht="15" customHeight="1" s="39">
      <c r="A656" s="38" t="inlineStr">
        <is>
          <t>[081957] Sant Agustí de Lluçanès</t>
        </is>
      </c>
      <c r="B656" s="42" t="inlineStr">
        <is>
          <t>081957</t>
        </is>
      </c>
      <c r="C656" s="38" t="inlineStr">
        <is>
          <t>Sant Agustí de Lluçanès</t>
        </is>
      </c>
      <c r="D656" s="38" t="n">
        <v>75</v>
      </c>
      <c r="E656" s="38" t="n">
        <v>36</v>
      </c>
      <c r="F656" s="38" t="n">
        <v>39</v>
      </c>
      <c r="H656" s="38" t="inlineStr">
        <is>
          <t>Total habitatges familiars; principal i no principal provenen de les categories publicades</t>
        </is>
      </c>
    </row>
    <row r="657" ht="15" customHeight="1" s="39">
      <c r="A657" s="38" t="inlineStr">
        <is>
          <t>[081960] Sant Andreu de la Barca</t>
        </is>
      </c>
      <c r="B657" s="42" t="inlineStr">
        <is>
          <t>081960</t>
        </is>
      </c>
      <c r="C657" s="38" t="inlineStr">
        <is>
          <t>Sant Andreu de la Barca</t>
        </is>
      </c>
      <c r="D657" s="38" t="n">
        <v>10536</v>
      </c>
      <c r="E657" s="38" t="n">
        <v>9930</v>
      </c>
      <c r="F657" s="38" t="n">
        <v>606</v>
      </c>
      <c r="H657" s="38" t="inlineStr">
        <is>
          <t>Total habitatges familiars; principal i no principal provenen de les categories publicades</t>
        </is>
      </c>
    </row>
    <row r="658" ht="15" customHeight="1" s="39">
      <c r="A658" s="38" t="inlineStr">
        <is>
          <t>[081976] Sant Andreu de Llavaneres</t>
        </is>
      </c>
      <c r="B658" s="42" t="inlineStr">
        <is>
          <t>081976</t>
        </is>
      </c>
      <c r="C658" s="38" t="inlineStr">
        <is>
          <t>Sant Andreu de Llavaneres</t>
        </is>
      </c>
      <c r="D658" s="38" t="n">
        <v>5561</v>
      </c>
      <c r="E658" s="38" t="n">
        <v>4132</v>
      </c>
      <c r="F658" s="38" t="n">
        <v>1429</v>
      </c>
      <c r="H658" s="38" t="inlineStr">
        <is>
          <t>Total habitatges familiars; principal i no principal provenen de les categories publicades</t>
        </is>
      </c>
    </row>
    <row r="659" ht="15" customHeight="1" s="39">
      <c r="A659" s="38" t="inlineStr">
        <is>
          <t>[171576] Sant Andreu Salou</t>
        </is>
      </c>
      <c r="B659" s="42" t="inlineStr">
        <is>
          <t>171576</t>
        </is>
      </c>
      <c r="C659" s="38" t="inlineStr">
        <is>
          <t>Sant Andreu Salou</t>
        </is>
      </c>
      <c r="D659" s="38" t="n">
        <v>79</v>
      </c>
      <c r="E659" s="38" t="n">
        <v>49</v>
      </c>
      <c r="F659" s="38" t="n">
        <v>30</v>
      </c>
      <c r="H659" s="38" t="inlineStr">
        <is>
          <t>Total habitatges familiars; principal i no principal provenen de les categories publicades</t>
        </is>
      </c>
    </row>
    <row r="660" ht="15" customHeight="1" s="39">
      <c r="A660" s="38" t="inlineStr">
        <is>
          <t>[171833] Sant Aniol de Finestres</t>
        </is>
      </c>
      <c r="B660" s="42" t="inlineStr">
        <is>
          <t>171833</t>
        </is>
      </c>
      <c r="C660" s="38" t="inlineStr">
        <is>
          <t>Sant Aniol de Finestres</t>
        </is>
      </c>
      <c r="D660" s="38" t="n">
        <v>229</v>
      </c>
      <c r="E660" s="38" t="n">
        <v>133</v>
      </c>
      <c r="F660" s="38" t="n">
        <v>96</v>
      </c>
      <c r="H660" s="38" t="inlineStr">
        <is>
          <t>Total habitatges familiars; principal i no principal provenen de les categories publicades</t>
        </is>
      </c>
    </row>
    <row r="661" ht="15" customHeight="1" s="39">
      <c r="A661" s="38" t="inlineStr">
        <is>
          <t>[081982] Sant Antoni de Vilamajor</t>
        </is>
      </c>
      <c r="B661" s="42" t="inlineStr">
        <is>
          <t>081982</t>
        </is>
      </c>
      <c r="C661" s="38" t="inlineStr">
        <is>
          <t>Sant Antoni de Vilamajor</t>
        </is>
      </c>
      <c r="D661" s="38" t="n">
        <v>2996</v>
      </c>
      <c r="E661" s="38" t="n">
        <v>2358</v>
      </c>
      <c r="F661" s="38" t="n">
        <v>638</v>
      </c>
      <c r="H661" s="38" t="inlineStr">
        <is>
          <t>Total habitatges familiars; principal i no principal provenen de les categories publicades</t>
        </is>
      </c>
    </row>
    <row r="662" ht="15" customHeight="1" s="39">
      <c r="A662" s="38" t="inlineStr">
        <is>
          <t>[081995] Sant Bartomeu del Grau</t>
        </is>
      </c>
      <c r="B662" s="42" t="inlineStr">
        <is>
          <t>081995</t>
        </is>
      </c>
      <c r="C662" s="38" t="inlineStr">
        <is>
          <t>Sant Bartomeu del Grau</t>
        </is>
      </c>
      <c r="D662" s="38" t="n">
        <v>424</v>
      </c>
      <c r="E662" s="38" t="n">
        <v>331</v>
      </c>
      <c r="F662" s="38" t="n">
        <v>93</v>
      </c>
      <c r="H662" s="38" t="inlineStr">
        <is>
          <t>Total habitatges familiars; principal i no principal provenen de les categories publicades</t>
        </is>
      </c>
    </row>
    <row r="663" ht="15" customHeight="1" s="39">
      <c r="A663" s="38" t="inlineStr">
        <is>
          <t>[082009] Sant Boi de Llobregat</t>
        </is>
      </c>
      <c r="B663" s="42" t="inlineStr">
        <is>
          <t>082009</t>
        </is>
      </c>
      <c r="C663" s="38" t="inlineStr">
        <is>
          <t>Sant Boi de Llobregat</t>
        </is>
      </c>
      <c r="D663" s="38" t="n">
        <v>33904</v>
      </c>
      <c r="E663" s="38" t="n">
        <v>31529</v>
      </c>
      <c r="F663" s="38" t="n">
        <v>2375</v>
      </c>
      <c r="H663" s="38" t="inlineStr">
        <is>
          <t>Total habitatges familiars; principal i no principal provenen de les categories publicades</t>
        </is>
      </c>
    </row>
    <row r="664" ht="15" customHeight="1" s="39">
      <c r="A664" s="38" t="inlineStr">
        <is>
          <t>[082016] Sant Boi de Lluçanès</t>
        </is>
      </c>
      <c r="B664" s="42" t="inlineStr">
        <is>
          <t>082016</t>
        </is>
      </c>
      <c r="C664" s="38" t="inlineStr">
        <is>
          <t>Sant Boi de Lluçanès</t>
        </is>
      </c>
      <c r="D664" s="38" t="n">
        <v>342</v>
      </c>
      <c r="E664" s="38" t="n">
        <v>188</v>
      </c>
      <c r="F664" s="38" t="n">
        <v>154</v>
      </c>
      <c r="H664" s="38" t="inlineStr">
        <is>
          <t>Total habitatges familiars; principal i no principal provenen de les categories publicades</t>
        </is>
      </c>
    </row>
    <row r="665" ht="15" customHeight="1" s="39">
      <c r="A665" s="38" t="inlineStr">
        <is>
          <t>[082037] Sant Cebrià de Vallalta</t>
        </is>
      </c>
      <c r="B665" s="42" t="inlineStr">
        <is>
          <t>082037</t>
        </is>
      </c>
      <c r="C665" s="38" t="inlineStr">
        <is>
          <t>Sant Cebrià de Vallalta</t>
        </is>
      </c>
      <c r="D665" s="38" t="n">
        <v>2166</v>
      </c>
      <c r="E665" s="38" t="n">
        <v>1433</v>
      </c>
      <c r="F665" s="38" t="n">
        <v>733</v>
      </c>
      <c r="H665" s="38" t="inlineStr">
        <is>
          <t>Total habitatges familiars; principal i no principal provenen de les categories publicades</t>
        </is>
      </c>
    </row>
    <row r="666" ht="15" customHeight="1" s="39">
      <c r="A666" s="38" t="inlineStr">
        <is>
          <t>[082021] Sant Celoni</t>
        </is>
      </c>
      <c r="B666" s="42" t="inlineStr">
        <is>
          <t>082021</t>
        </is>
      </c>
      <c r="C666" s="38" t="inlineStr">
        <is>
          <t>Sant Celoni</t>
        </is>
      </c>
      <c r="D666" s="38" t="n">
        <v>7946</v>
      </c>
      <c r="E666" s="38" t="n">
        <v>6807</v>
      </c>
      <c r="F666" s="38" t="n">
        <v>1139</v>
      </c>
      <c r="H666" s="38" t="inlineStr">
        <is>
          <t>Total habitatges familiars; principal i no principal provenen de les categories publicades</t>
        </is>
      </c>
    </row>
    <row r="667" ht="15" customHeight="1" s="39">
      <c r="A667" s="38" t="inlineStr">
        <is>
          <t>[082042] Sant Climent de Llobregat</t>
        </is>
      </c>
      <c r="B667" s="42" t="inlineStr">
        <is>
          <t>082042</t>
        </is>
      </c>
      <c r="C667" s="38" t="inlineStr">
        <is>
          <t>Sant Climent de Llobregat</t>
        </is>
      </c>
      <c r="D667" s="38" t="n">
        <v>1626</v>
      </c>
      <c r="E667" s="38" t="n">
        <v>1444</v>
      </c>
      <c r="F667" s="38" t="n">
        <v>182</v>
      </c>
      <c r="H667" s="38" t="inlineStr">
        <is>
          <t>Total habitatges familiars; principal i no principal provenen de les categories publicades</t>
        </is>
      </c>
    </row>
    <row r="668" ht="15" customHeight="1" s="39">
      <c r="A668" s="38" t="inlineStr">
        <is>
          <t>[171582] Sant Climent Sescebes</t>
        </is>
      </c>
      <c r="B668" s="42" t="inlineStr">
        <is>
          <t>171582</t>
        </is>
      </c>
      <c r="C668" s="38" t="inlineStr">
        <is>
          <t>Sant Climent Sescebes</t>
        </is>
      </c>
      <c r="D668" s="38" t="n">
        <v>366</v>
      </c>
      <c r="E668" s="38" t="n">
        <v>203</v>
      </c>
      <c r="F668" s="38" t="n">
        <v>163</v>
      </c>
      <c r="H668" s="38" t="inlineStr">
        <is>
          <t>Total habitatges familiars; principal i no principal provenen de les categories publicades</t>
        </is>
      </c>
    </row>
    <row r="669" ht="15" customHeight="1" s="39">
      <c r="A669" s="38" t="inlineStr">
        <is>
          <t>[082055] Sant Cugat del Vallès</t>
        </is>
      </c>
      <c r="B669" s="42" t="inlineStr">
        <is>
          <t>082055</t>
        </is>
      </c>
      <c r="C669" s="38" t="inlineStr">
        <is>
          <t>Sant Cugat del Vallès</t>
        </is>
      </c>
      <c r="D669" s="38" t="n">
        <v>35770</v>
      </c>
      <c r="E669" s="38" t="n">
        <v>31327</v>
      </c>
      <c r="F669" s="38" t="n">
        <v>4443</v>
      </c>
      <c r="H669" s="38" t="inlineStr">
        <is>
          <t>Total habitatges familiars; principal i no principal provenen de les categories publicades</t>
        </is>
      </c>
    </row>
    <row r="670" ht="15" customHeight="1" s="39">
      <c r="A670" s="38" t="inlineStr">
        <is>
          <t>[082068] Sant Cugat Sesgarrigues</t>
        </is>
      </c>
      <c r="B670" s="42" t="inlineStr">
        <is>
          <t>082068</t>
        </is>
      </c>
      <c r="C670" s="38" t="inlineStr">
        <is>
          <t>Sant Cugat Sesgarrigues</t>
        </is>
      </c>
      <c r="D670" s="38" t="n">
        <v>421</v>
      </c>
      <c r="E670" s="38" t="n">
        <v>347</v>
      </c>
      <c r="F670" s="38" t="n">
        <v>74</v>
      </c>
      <c r="H670" s="38" t="inlineStr">
        <is>
          <t>Total habitatges familiars; principal i no principal provenen de les categories publicades</t>
        </is>
      </c>
    </row>
    <row r="671" ht="15" customHeight="1" s="39">
      <c r="A671" s="38" t="inlineStr">
        <is>
          <t>[251961] Sant Esteve de la Sarga</t>
        </is>
      </c>
      <c r="B671" s="42" t="inlineStr">
        <is>
          <t>251961</t>
        </is>
      </c>
      <c r="C671" s="38" t="inlineStr">
        <is>
          <t>Sant Esteve de la Sarga</t>
        </is>
      </c>
      <c r="D671" s="38" t="n">
        <v>149</v>
      </c>
      <c r="E671" s="38" t="n">
        <v>60</v>
      </c>
      <c r="F671" s="38" t="n">
        <v>89</v>
      </c>
      <c r="H671" s="38" t="inlineStr">
        <is>
          <t>Total habitatges familiars; principal i no principal provenen de les categories publicades</t>
        </is>
      </c>
    </row>
    <row r="672" ht="15" customHeight="1" s="39">
      <c r="A672" s="38" t="inlineStr">
        <is>
          <t>[082074] Sant Esteve de Palautordera</t>
        </is>
      </c>
      <c r="B672" s="42" t="inlineStr">
        <is>
          <t>082074</t>
        </is>
      </c>
      <c r="C672" s="38" t="inlineStr">
        <is>
          <t>Sant Esteve de Palautordera</t>
        </is>
      </c>
      <c r="D672" s="38" t="n">
        <v>1276</v>
      </c>
      <c r="E672" s="38" t="n">
        <v>1053</v>
      </c>
      <c r="F672" s="38" t="n">
        <v>223</v>
      </c>
      <c r="H672" s="38" t="inlineStr">
        <is>
          <t>Total habitatges familiars; principal i no principal provenen de les categories publicades</t>
        </is>
      </c>
    </row>
    <row r="673" ht="15" customHeight="1" s="39">
      <c r="A673" s="38" t="inlineStr">
        <is>
          <t>[082080] Sant Esteve Sesrovires</t>
        </is>
      </c>
      <c r="B673" s="42" t="inlineStr">
        <is>
          <t>082080</t>
        </is>
      </c>
      <c r="C673" s="38" t="inlineStr">
        <is>
          <t>Sant Esteve Sesrovires</t>
        </is>
      </c>
      <c r="D673" s="38" t="n">
        <v>3435</v>
      </c>
      <c r="E673" s="38" t="n">
        <v>2787</v>
      </c>
      <c r="F673" s="38" t="n">
        <v>648</v>
      </c>
      <c r="H673" s="38" t="inlineStr">
        <is>
          <t>Total habitatges familiars; principal i no principal provenen de les categories publicades</t>
        </is>
      </c>
    </row>
    <row r="674" ht="15" customHeight="1" s="39">
      <c r="A674" s="38" t="inlineStr">
        <is>
          <t>[171595] Sant Feliu de Buixalleu</t>
        </is>
      </c>
      <c r="B674" s="42" t="inlineStr">
        <is>
          <t>171595</t>
        </is>
      </c>
      <c r="C674" s="38" t="inlineStr">
        <is>
          <t>Sant Feliu de Buixalleu</t>
        </is>
      </c>
      <c r="D674" s="38" t="n">
        <v>561</v>
      </c>
      <c r="E674" s="38" t="n">
        <v>305</v>
      </c>
      <c r="F674" s="38" t="n">
        <v>256</v>
      </c>
      <c r="H674" s="38" t="inlineStr">
        <is>
          <t>Total habitatges familiars; principal i no principal provenen de les categories publicades</t>
        </is>
      </c>
    </row>
    <row r="675" ht="15" customHeight="1" s="39">
      <c r="A675" s="38" t="inlineStr">
        <is>
          <t>[082107] Sant Feliu de Codines</t>
        </is>
      </c>
      <c r="B675" s="42" t="inlineStr">
        <is>
          <t>082107</t>
        </is>
      </c>
      <c r="C675" s="38" t="inlineStr">
        <is>
          <t>Sant Feliu de Codines</t>
        </is>
      </c>
      <c r="D675" s="38" t="n">
        <v>3272</v>
      </c>
      <c r="E675" s="38" t="n">
        <v>2452</v>
      </c>
      <c r="F675" s="38" t="n">
        <v>820</v>
      </c>
      <c r="H675" s="38" t="inlineStr">
        <is>
          <t>Total habitatges familiars; principal i no principal provenen de les categories publicades</t>
        </is>
      </c>
    </row>
    <row r="676" ht="15" customHeight="1" s="39">
      <c r="A676" s="38" t="inlineStr">
        <is>
          <t>[171609] Sant Feliu de Guíxols</t>
        </is>
      </c>
      <c r="B676" s="42" t="inlineStr">
        <is>
          <t>171609</t>
        </is>
      </c>
      <c r="C676" s="38" t="inlineStr">
        <is>
          <t>Sant Feliu de Guíxols</t>
        </is>
      </c>
      <c r="D676" s="38" t="n">
        <v>15908</v>
      </c>
      <c r="E676" s="38" t="n">
        <v>8753</v>
      </c>
      <c r="F676" s="38" t="n">
        <v>7155</v>
      </c>
      <c r="H676" s="38" t="inlineStr">
        <is>
          <t>Total habitatges familiars; principal i no principal provenen de les categories publicades</t>
        </is>
      </c>
    </row>
    <row r="677" ht="15" customHeight="1" s="39">
      <c r="A677" s="38" t="inlineStr">
        <is>
          <t>[082114] Sant Feliu de Llobregat</t>
        </is>
      </c>
      <c r="B677" s="42" t="inlineStr">
        <is>
          <t>082114</t>
        </is>
      </c>
      <c r="C677" s="38" t="inlineStr">
        <is>
          <t>Sant Feliu de Llobregat</t>
        </is>
      </c>
      <c r="D677" s="38" t="n">
        <v>18719</v>
      </c>
      <c r="E677" s="38" t="n">
        <v>17173</v>
      </c>
      <c r="F677" s="38" t="n">
        <v>1546</v>
      </c>
      <c r="H677" s="38" t="inlineStr">
        <is>
          <t>Total habitatges familiars; principal i no principal provenen de les categories publicades</t>
        </is>
      </c>
    </row>
    <row r="678" ht="15" customHeight="1" s="39">
      <c r="A678" s="38" t="inlineStr">
        <is>
          <t>[171616] Sant Feliu de Pallerols</t>
        </is>
      </c>
      <c r="B678" s="42" t="inlineStr">
        <is>
          <t>171616</t>
        </is>
      </c>
      <c r="C678" s="38" t="inlineStr">
        <is>
          <t>Sant Feliu de Pallerols</t>
        </is>
      </c>
      <c r="D678" s="38" t="n">
        <v>803</v>
      </c>
      <c r="E678" s="38" t="n">
        <v>514</v>
      </c>
      <c r="F678" s="38" t="n">
        <v>289</v>
      </c>
      <c r="H678" s="38" t="inlineStr">
        <is>
          <t>Total habitatges familiars; principal i no principal provenen de les categories publicades</t>
        </is>
      </c>
    </row>
    <row r="679" ht="15" customHeight="1" s="39">
      <c r="A679" s="38" t="inlineStr">
        <is>
          <t>[082129] Sant Feliu Sasserra</t>
        </is>
      </c>
      <c r="B679" s="42" t="inlineStr">
        <is>
          <t>082129</t>
        </is>
      </c>
      <c r="C679" s="38" t="inlineStr">
        <is>
          <t>Sant Feliu Sasserra</t>
        </is>
      </c>
      <c r="D679" s="38" t="n">
        <v>377</v>
      </c>
      <c r="E679" s="38" t="n">
        <v>227</v>
      </c>
      <c r="F679" s="38" t="n">
        <v>150</v>
      </c>
      <c r="H679" s="38" t="inlineStr">
        <is>
          <t>Total habitatges familiars; principal i no principal provenen de les categories publicades</t>
        </is>
      </c>
    </row>
    <row r="680" ht="15" customHeight="1" s="39">
      <c r="A680" s="38" t="inlineStr">
        <is>
          <t>[171621] Sant Ferriol</t>
        </is>
      </c>
      <c r="B680" s="42" t="inlineStr">
        <is>
          <t>171621</t>
        </is>
      </c>
      <c r="C680" s="38" t="inlineStr">
        <is>
          <t>Sant Ferriol</t>
        </is>
      </c>
      <c r="D680" s="38" t="n">
        <v>110</v>
      </c>
      <c r="E680" s="38" t="n">
        <v>83</v>
      </c>
      <c r="F680" s="38" t="n">
        <v>27</v>
      </c>
      <c r="H680" s="38" t="inlineStr">
        <is>
          <t>Total habitatges familiars; principal i no principal provenen de les categories publicades</t>
        </is>
      </c>
    </row>
    <row r="681" ht="15" customHeight="1" s="39">
      <c r="A681" s="38" t="inlineStr">
        <is>
          <t>[082093] Sant Fost de Campsentelles</t>
        </is>
      </c>
      <c r="B681" s="42" t="inlineStr">
        <is>
          <t>082093</t>
        </is>
      </c>
      <c r="C681" s="38" t="inlineStr">
        <is>
          <t>Sant Fost de Campsentelles</t>
        </is>
      </c>
      <c r="D681" s="38" t="n">
        <v>3427</v>
      </c>
      <c r="E681" s="38" t="n">
        <v>3005</v>
      </c>
      <c r="F681" s="38" t="n">
        <v>422</v>
      </c>
      <c r="H681" s="38" t="inlineStr">
        <is>
          <t>Total habitatges familiars; principal i no principal provenen de les categories publicades</t>
        </is>
      </c>
    </row>
    <row r="682" ht="15" customHeight="1" s="39">
      <c r="A682" s="38" t="inlineStr">
        <is>
          <t>[082135] Sant Fruitós de Bages</t>
        </is>
      </c>
      <c r="B682" s="42" t="inlineStr">
        <is>
          <t>082135</t>
        </is>
      </c>
      <c r="C682" s="38" t="inlineStr">
        <is>
          <t>Sant Fruitós de Bages</t>
        </is>
      </c>
      <c r="D682" s="38" t="n">
        <v>3876</v>
      </c>
      <c r="E682" s="38" t="n">
        <v>3336</v>
      </c>
      <c r="F682" s="38" t="n">
        <v>540</v>
      </c>
      <c r="H682" s="38" t="inlineStr">
        <is>
          <t>Total habitatges familiars; principal i no principal provenen de les categories publicades</t>
        </is>
      </c>
    </row>
    <row r="683" ht="15" customHeight="1" s="39">
      <c r="A683" s="38" t="inlineStr">
        <is>
          <t>[171637] Sant Gregori</t>
        </is>
      </c>
      <c r="B683" s="42" t="inlineStr">
        <is>
          <t>171637</t>
        </is>
      </c>
      <c r="C683" s="38" t="inlineStr">
        <is>
          <t>Sant Gregori</t>
        </is>
      </c>
      <c r="D683" s="38" t="n">
        <v>1506</v>
      </c>
      <c r="E683" s="38" t="n">
        <v>1291</v>
      </c>
      <c r="F683" s="38" t="n">
        <v>215</v>
      </c>
      <c r="H683" s="38" t="inlineStr">
        <is>
          <t>Total habitatges familiars; principal i no principal provenen de les categories publicades</t>
        </is>
      </c>
    </row>
    <row r="684" ht="15" customHeight="1" s="39">
      <c r="A684" s="38" t="inlineStr">
        <is>
          <t>[251924] Sant Guim de Freixenet</t>
        </is>
      </c>
      <c r="B684" s="42" t="inlineStr">
        <is>
          <t>251924</t>
        </is>
      </c>
      <c r="C684" s="38" t="inlineStr">
        <is>
          <t>Sant Guim de Freixenet</t>
        </is>
      </c>
      <c r="D684" s="38" t="n">
        <v>689</v>
      </c>
      <c r="E684" s="38" t="n">
        <v>437</v>
      </c>
      <c r="F684" s="38" t="n">
        <v>252</v>
      </c>
      <c r="H684" s="38" t="inlineStr">
        <is>
          <t>Total habitatges familiars; principal i no principal provenen de les categories publicades</t>
        </is>
      </c>
    </row>
    <row r="685" ht="15" customHeight="1" s="39">
      <c r="A685" s="38" t="inlineStr">
        <is>
          <t>[251977] Sant Guim de la Plana</t>
        </is>
      </c>
      <c r="B685" s="42" t="inlineStr">
        <is>
          <t>251977</t>
        </is>
      </c>
      <c r="C685" s="38" t="inlineStr">
        <is>
          <t>Sant Guim de la Plana</t>
        </is>
      </c>
      <c r="D685" s="38" t="n">
        <v>103</v>
      </c>
      <c r="E685" s="38" t="n">
        <v>63</v>
      </c>
      <c r="F685" s="38" t="n">
        <v>40</v>
      </c>
      <c r="H685" s="38" t="inlineStr">
        <is>
          <t>Total habitatges familiars; principal i no principal provenen de les categories publicades</t>
        </is>
      </c>
    </row>
    <row r="686" ht="15" customHeight="1" s="39">
      <c r="A686" s="38" t="inlineStr">
        <is>
          <t>[171642] Sant Hilari Sacalm</t>
        </is>
      </c>
      <c r="B686" s="42" t="inlineStr">
        <is>
          <t>171642</t>
        </is>
      </c>
      <c r="C686" s="38" t="inlineStr">
        <is>
          <t>Sant Hilari Sacalm</t>
        </is>
      </c>
      <c r="D686" s="38" t="n">
        <v>3048</v>
      </c>
      <c r="E686" s="38" t="n">
        <v>2203</v>
      </c>
      <c r="F686" s="38" t="n">
        <v>845</v>
      </c>
      <c r="H686" s="38" t="inlineStr">
        <is>
          <t>Total habitatges familiars; principal i no principal provenen de les categories publicades</t>
        </is>
      </c>
    </row>
    <row r="687" ht="15" customHeight="1" s="39">
      <c r="A687" s="38" t="inlineStr">
        <is>
          <t>[082153] Sant Hipòlit de Voltregà</t>
        </is>
      </c>
      <c r="B687" s="42" t="inlineStr">
        <is>
          <t>082153</t>
        </is>
      </c>
      <c r="C687" s="38" t="inlineStr">
        <is>
          <t>Sant Hipòlit de Voltregà</t>
        </is>
      </c>
      <c r="D687" s="38" t="n">
        <v>1739</v>
      </c>
      <c r="E687" s="38" t="n">
        <v>1365</v>
      </c>
      <c r="F687" s="38" t="n">
        <v>374</v>
      </c>
      <c r="H687" s="38" t="inlineStr">
        <is>
          <t>Total habitatges familiars; principal i no principal provenen de les categories publicades</t>
        </is>
      </c>
    </row>
    <row r="688" ht="15" customHeight="1" s="39">
      <c r="A688" s="38" t="inlineStr">
        <is>
          <t>[081939] Sant Iscle de Vallalta</t>
        </is>
      </c>
      <c r="B688" s="42" t="inlineStr">
        <is>
          <t>081939</t>
        </is>
      </c>
      <c r="C688" s="38" t="inlineStr">
        <is>
          <t>Sant Iscle de Vallalta</t>
        </is>
      </c>
      <c r="D688" s="38" t="n">
        <v>763</v>
      </c>
      <c r="E688" s="38" t="n">
        <v>540</v>
      </c>
      <c r="F688" s="38" t="n">
        <v>223</v>
      </c>
      <c r="H688" s="38" t="inlineStr">
        <is>
          <t>Total habitatges familiars; principal i no principal provenen de les categories publicades</t>
        </is>
      </c>
    </row>
    <row r="689" ht="15" customHeight="1" s="39">
      <c r="A689" s="38" t="inlineStr">
        <is>
          <t>[439023] Sant Jaume d'Enveja</t>
        </is>
      </c>
      <c r="B689" s="42" t="inlineStr">
        <is>
          <t>439023</t>
        </is>
      </c>
      <c r="C689" s="38" t="inlineStr">
        <is>
          <t>Sant Jaume d'Enveja</t>
        </is>
      </c>
      <c r="D689" s="38" t="n">
        <v>2498</v>
      </c>
      <c r="E689" s="38" t="n">
        <v>1369</v>
      </c>
      <c r="F689" s="38" t="n">
        <v>1129</v>
      </c>
      <c r="H689" s="38" t="inlineStr">
        <is>
          <t>Total habitatges familiars; principal i no principal provenen de les categories publicades</t>
        </is>
      </c>
    </row>
    <row r="690" ht="15" customHeight="1" s="39">
      <c r="A690" s="38" t="inlineStr">
        <is>
          <t>[082166] Sant Jaume de Frontanyà</t>
        </is>
      </c>
      <c r="B690" s="42" t="inlineStr">
        <is>
          <t>082166</t>
        </is>
      </c>
      <c r="C690" s="38" t="inlineStr">
        <is>
          <t>Sant Jaume de Frontanyà</t>
        </is>
      </c>
      <c r="D690" s="38" t="n">
        <v>39</v>
      </c>
      <c r="E690" s="38" t="n">
        <v>17</v>
      </c>
      <c r="F690" s="38" t="n">
        <v>22</v>
      </c>
      <c r="H690" s="38" t="inlineStr">
        <is>
          <t>Total habitatges familiars; principal i no principal provenen de les categories publicades</t>
        </is>
      </c>
    </row>
    <row r="691" ht="15" customHeight="1" s="39">
      <c r="A691" s="38" t="inlineStr">
        <is>
          <t>[171655] Sant Jaume de Llierca</t>
        </is>
      </c>
      <c r="B691" s="42" t="inlineStr">
        <is>
          <t>171655</t>
        </is>
      </c>
      <c r="C691" s="38" t="inlineStr">
        <is>
          <t>Sant Jaume de Llierca</t>
        </is>
      </c>
      <c r="D691" s="38" t="n">
        <v>426</v>
      </c>
      <c r="E691" s="38" t="n">
        <v>333</v>
      </c>
      <c r="F691" s="38" t="n">
        <v>93</v>
      </c>
      <c r="H691" s="38" t="inlineStr">
        <is>
          <t>Total habitatges familiars; principal i no principal provenen de les categories publicades</t>
        </is>
      </c>
    </row>
    <row r="692" ht="15" customHeight="1" s="39">
      <c r="A692" s="38" t="inlineStr">
        <is>
          <t>[431378] Sant Jaume dels Domenys</t>
        </is>
      </c>
      <c r="B692" s="42" t="inlineStr">
        <is>
          <t>431378</t>
        </is>
      </c>
      <c r="C692" s="38" t="inlineStr">
        <is>
          <t>Sant Jaume dels Domenys</t>
        </is>
      </c>
      <c r="D692" s="38" t="n">
        <v>1482</v>
      </c>
      <c r="E692" s="38" t="n">
        <v>1023</v>
      </c>
      <c r="F692" s="38" t="n">
        <v>459</v>
      </c>
      <c r="H692" s="38" t="inlineStr">
        <is>
          <t>Total habitatges familiars; principal i no principal provenen de les categories publicades</t>
        </is>
      </c>
    </row>
    <row r="693" ht="15" customHeight="1" s="39">
      <c r="A693" s="38" t="inlineStr">
        <is>
          <t>[171674] Sant Joan de les Abadesses</t>
        </is>
      </c>
      <c r="B693" s="42" t="inlineStr">
        <is>
          <t>171674</t>
        </is>
      </c>
      <c r="C693" s="38" t="inlineStr">
        <is>
          <t>Sant Joan de les Abadesses</t>
        </is>
      </c>
      <c r="D693" s="38" t="n">
        <v>2021</v>
      </c>
      <c r="E693" s="38" t="n">
        <v>1355</v>
      </c>
      <c r="F693" s="38" t="n">
        <v>666</v>
      </c>
      <c r="H693" s="38" t="inlineStr">
        <is>
          <t>Total habitatges familiars; principal i no principal provenen de les categories publicades</t>
        </is>
      </c>
    </row>
    <row r="694" ht="15" customHeight="1" s="39">
      <c r="A694" s="38" t="inlineStr">
        <is>
          <t>[171680] Sant Joan de Mollet</t>
        </is>
      </c>
      <c r="B694" s="42" t="inlineStr">
        <is>
          <t>171680</t>
        </is>
      </c>
      <c r="C694" s="38" t="inlineStr">
        <is>
          <t>Sant Joan de Mollet</t>
        </is>
      </c>
      <c r="D694" s="38" t="n">
        <v>232</v>
      </c>
      <c r="E694" s="38" t="n">
        <v>177</v>
      </c>
      <c r="F694" s="38" t="n">
        <v>55</v>
      </c>
      <c r="H694" s="38" t="inlineStr">
        <is>
          <t>Total habitatges familiars; principal i no principal provenen de les categories publicades</t>
        </is>
      </c>
    </row>
    <row r="695" ht="15" customHeight="1" s="39">
      <c r="A695" s="38" t="inlineStr">
        <is>
          <t>[082188] Sant Joan de Vilatorrada</t>
        </is>
      </c>
      <c r="B695" s="42" t="inlineStr">
        <is>
          <t>082188</t>
        </is>
      </c>
      <c r="C695" s="38" t="inlineStr">
        <is>
          <t>Sant Joan de Vilatorrada</t>
        </is>
      </c>
      <c r="D695" s="38" t="n">
        <v>4505</v>
      </c>
      <c r="E695" s="38" t="n">
        <v>4034</v>
      </c>
      <c r="F695" s="38" t="n">
        <v>471</v>
      </c>
      <c r="H695" s="38" t="inlineStr">
        <is>
          <t>Total habitatges familiars; principal i no principal provenen de les categories publicades</t>
        </is>
      </c>
    </row>
    <row r="696" ht="15" customHeight="1" s="39">
      <c r="A696" s="38" t="inlineStr">
        <is>
          <t>[082172] Sant Joan Despí</t>
        </is>
      </c>
      <c r="B696" s="42" t="inlineStr">
        <is>
          <t>082172</t>
        </is>
      </c>
      <c r="C696" s="38" t="inlineStr">
        <is>
          <t>Sant Joan Despí</t>
        </is>
      </c>
      <c r="D696" s="38" t="n">
        <v>13577</v>
      </c>
      <c r="E696" s="38" t="n">
        <v>12582</v>
      </c>
      <c r="F696" s="38" t="n">
        <v>995</v>
      </c>
      <c r="H696" s="38" t="inlineStr">
        <is>
          <t>Total habitatges familiars; principal i no principal provenen de les categories publicades</t>
        </is>
      </c>
    </row>
    <row r="697" ht="15" customHeight="1" s="39">
      <c r="A697" s="38" t="inlineStr">
        <is>
          <t>[171851] Sant Joan les Fonts</t>
        </is>
      </c>
      <c r="B697" s="42" t="inlineStr">
        <is>
          <t>171851</t>
        </is>
      </c>
      <c r="C697" s="38" t="inlineStr">
        <is>
          <t>Sant Joan les Fonts</t>
        </is>
      </c>
      <c r="D697" s="38" t="n">
        <v>1426</v>
      </c>
      <c r="E697" s="38" t="n">
        <v>1186</v>
      </c>
      <c r="F697" s="38" t="n">
        <v>240</v>
      </c>
      <c r="H697" s="38" t="inlineStr">
        <is>
          <t>Total habitatges familiars; principal i no principal provenen de les categories publicades</t>
        </is>
      </c>
    </row>
    <row r="698" ht="15" customHeight="1" s="39">
      <c r="A698" s="38" t="inlineStr">
        <is>
          <t>[171668] Sant Jordi Desvalls</t>
        </is>
      </c>
      <c r="B698" s="42" t="inlineStr">
        <is>
          <t>171668</t>
        </is>
      </c>
      <c r="C698" s="38" t="inlineStr">
        <is>
          <t>Sant Jordi Desvalls</t>
        </is>
      </c>
      <c r="D698" s="38" t="n">
        <v>400</v>
      </c>
      <c r="E698" s="38" t="n">
        <v>288</v>
      </c>
      <c r="F698" s="38" t="n">
        <v>112</v>
      </c>
      <c r="H698" s="38" t="inlineStr">
        <is>
          <t>Total habitatges familiars; principal i no principal provenen de les categories publicades</t>
        </is>
      </c>
    </row>
    <row r="699" ht="15" customHeight="1" s="39">
      <c r="A699" s="38" t="inlineStr">
        <is>
          <t>[089030] Sant Julià de Cerdanyola</t>
        </is>
      </c>
      <c r="B699" s="42" t="inlineStr">
        <is>
          <t>089030</t>
        </is>
      </c>
      <c r="C699" s="38" t="inlineStr">
        <is>
          <t>Sant Julià de Cerdanyola</t>
        </is>
      </c>
      <c r="D699" s="38" t="n">
        <v>230</v>
      </c>
      <c r="E699" s="38" t="n">
        <v>116</v>
      </c>
      <c r="F699" s="38" t="n">
        <v>114</v>
      </c>
      <c r="H699" s="38" t="inlineStr">
        <is>
          <t>Total habitatges familiars; principal i no principal provenen de les categories publicades</t>
        </is>
      </c>
    </row>
    <row r="700" ht="15" customHeight="1" s="39">
      <c r="A700" s="38" t="inlineStr">
        <is>
          <t>[171693] Sant Julià de Ramis</t>
        </is>
      </c>
      <c r="B700" s="42" t="inlineStr">
        <is>
          <t>171693</t>
        </is>
      </c>
      <c r="C700" s="38" t="inlineStr">
        <is>
          <t>Sant Julià de Ramis</t>
        </is>
      </c>
      <c r="D700" s="38" t="n">
        <v>1387</v>
      </c>
      <c r="E700" s="38" t="n">
        <v>1229</v>
      </c>
      <c r="F700" s="38" t="n">
        <v>158</v>
      </c>
      <c r="H700" s="38" t="inlineStr">
        <is>
          <t>Total habitatges familiars; principal i no principal provenen de les categories publicades</t>
        </is>
      </c>
    </row>
    <row r="701" ht="15" customHeight="1" s="39">
      <c r="A701" s="38" t="inlineStr">
        <is>
          <t>[082205] Sant Julià de Vilatorta</t>
        </is>
      </c>
      <c r="B701" s="42" t="inlineStr">
        <is>
          <t>082205</t>
        </is>
      </c>
      <c r="C701" s="38" t="inlineStr">
        <is>
          <t>Sant Julià de Vilatorta</t>
        </is>
      </c>
      <c r="D701" s="38" t="n">
        <v>1392</v>
      </c>
      <c r="E701" s="38" t="n">
        <v>1092</v>
      </c>
      <c r="F701" s="38" t="n">
        <v>300</v>
      </c>
      <c r="H701" s="38" t="inlineStr">
        <is>
          <t>Total habitatges familiars; principal i no principal provenen de les categories publicades</t>
        </is>
      </c>
    </row>
    <row r="702" ht="15" customHeight="1" s="39">
      <c r="A702" s="38" t="inlineStr">
        <is>
          <t>[179032] Sant Julià del Llor i Bonmatí</t>
        </is>
      </c>
      <c r="B702" s="42" t="inlineStr">
        <is>
          <t>179032</t>
        </is>
      </c>
      <c r="C702" s="38" t="inlineStr">
        <is>
          <t>Sant Julià del Llor i Bonmatí</t>
        </is>
      </c>
      <c r="D702" s="38" t="n">
        <v>615</v>
      </c>
      <c r="E702" s="38" t="n">
        <v>493</v>
      </c>
      <c r="F702" s="38" t="n">
        <v>122</v>
      </c>
      <c r="H702" s="38" t="inlineStr">
        <is>
          <t>Total habitatges familiars; principal i no principal provenen de les categories publicades</t>
        </is>
      </c>
    </row>
    <row r="703" ht="15" customHeight="1" s="39">
      <c r="A703" s="38" t="inlineStr">
        <is>
          <t>[082212] Sant Just Desvern</t>
        </is>
      </c>
      <c r="B703" s="42" t="inlineStr">
        <is>
          <t>082212</t>
        </is>
      </c>
      <c r="C703" s="38" t="inlineStr">
        <is>
          <t>Sant Just Desvern</t>
        </is>
      </c>
      <c r="D703" s="38" t="n">
        <v>7958</v>
      </c>
      <c r="E703" s="38" t="n">
        <v>7104</v>
      </c>
      <c r="F703" s="38" t="n">
        <v>854</v>
      </c>
      <c r="H703" s="38" t="inlineStr">
        <is>
          <t>Total habitatges familiars; principal i no principal provenen de les categories publicades</t>
        </is>
      </c>
    </row>
    <row r="704" ht="15" customHeight="1" s="39">
      <c r="A704" s="38" t="inlineStr">
        <is>
          <t>[082227] Sant Llorenç d'Hortons</t>
        </is>
      </c>
      <c r="B704" s="42" t="inlineStr">
        <is>
          <t>082227</t>
        </is>
      </c>
      <c r="C704" s="38" t="inlineStr">
        <is>
          <t>Sant Llorenç d'Hortons</t>
        </is>
      </c>
      <c r="D704" s="38" t="n">
        <v>1228</v>
      </c>
      <c r="E704" s="38" t="n">
        <v>928</v>
      </c>
      <c r="F704" s="38" t="n">
        <v>300</v>
      </c>
      <c r="H704" s="38" t="inlineStr">
        <is>
          <t>Total habitatges familiars; principal i no principal provenen de les categories publicades</t>
        </is>
      </c>
    </row>
    <row r="705" ht="15" customHeight="1" s="39">
      <c r="A705" s="38" t="inlineStr">
        <is>
          <t>[171714] Sant Llorenç de la Muga</t>
        </is>
      </c>
      <c r="B705" s="42" t="inlineStr">
        <is>
          <t>171714</t>
        </is>
      </c>
      <c r="C705" s="38" t="inlineStr">
        <is>
          <t>Sant Llorenç de la Muga</t>
        </is>
      </c>
      <c r="D705" s="38" t="n">
        <v>261</v>
      </c>
      <c r="E705" s="38" t="n">
        <v>113</v>
      </c>
      <c r="F705" s="38" t="n">
        <v>148</v>
      </c>
      <c r="H705" s="38" t="inlineStr">
        <is>
          <t>Total habitatges familiars; principal i no principal provenen de les categories publicades</t>
        </is>
      </c>
    </row>
    <row r="706" ht="15" customHeight="1" s="39">
      <c r="A706" s="38" t="inlineStr">
        <is>
          <t>[251930] Sant Llorenç de Morunys</t>
        </is>
      </c>
      <c r="B706" s="42" t="inlineStr">
        <is>
          <t>251930</t>
        </is>
      </c>
      <c r="C706" s="38" t="inlineStr">
        <is>
          <t>Sant Llorenç de Morunys</t>
        </is>
      </c>
      <c r="D706" s="38" t="n">
        <v>1157</v>
      </c>
      <c r="E706" s="38" t="n">
        <v>417</v>
      </c>
      <c r="F706" s="38" t="n">
        <v>740</v>
      </c>
      <c r="H706" s="38" t="inlineStr">
        <is>
          <t>Total habitatges familiars; principal i no principal provenen de les categories publicades</t>
        </is>
      </c>
    </row>
    <row r="707" ht="15" customHeight="1" s="39">
      <c r="A707" s="38" t="inlineStr">
        <is>
          <t>[082233] Sant Llorenç Savall</t>
        </is>
      </c>
      <c r="B707" s="42" t="inlineStr">
        <is>
          <t>082233</t>
        </is>
      </c>
      <c r="C707" s="38" t="inlineStr">
        <is>
          <t>Sant Llorenç Savall</t>
        </is>
      </c>
      <c r="D707" s="38" t="n">
        <v>1366</v>
      </c>
      <c r="E707" s="38" t="n">
        <v>982</v>
      </c>
      <c r="F707" s="38" t="n">
        <v>384</v>
      </c>
      <c r="H707" s="38" t="inlineStr">
        <is>
          <t>Total habitatges familiars; principal i no principal provenen de les categories publicades</t>
        </is>
      </c>
    </row>
    <row r="708" ht="15" customHeight="1" s="39">
      <c r="A708" s="38" t="inlineStr">
        <is>
          <t>[082251] Sant Martí d'Albars</t>
        </is>
      </c>
      <c r="B708" s="42" t="inlineStr">
        <is>
          <t>082251</t>
        </is>
      </c>
      <c r="C708" s="38" t="inlineStr">
        <is>
          <t>Sant Martí d'Albars</t>
        </is>
      </c>
      <c r="D708" s="38" t="n">
        <v>73</v>
      </c>
      <c r="E708" s="38" t="n">
        <v>41</v>
      </c>
      <c r="F708" s="38" t="n">
        <v>32</v>
      </c>
      <c r="H708" s="38" t="inlineStr">
        <is>
          <t>Total habitatges familiars; principal i no principal provenen de les categories publicades</t>
        </is>
      </c>
    </row>
    <row r="709" ht="15" customHeight="1" s="39">
      <c r="A709" s="38" t="inlineStr">
        <is>
          <t>[082248] Sant Martí de Centelles</t>
        </is>
      </c>
      <c r="B709" s="42" t="inlineStr">
        <is>
          <t>082248</t>
        </is>
      </c>
      <c r="C709" s="38" t="inlineStr">
        <is>
          <t>Sant Martí de Centelles</t>
        </is>
      </c>
      <c r="D709" s="38" t="n">
        <v>618</v>
      </c>
      <c r="E709" s="38" t="n">
        <v>483</v>
      </c>
      <c r="F709" s="38" t="n">
        <v>135</v>
      </c>
      <c r="H709" s="38" t="inlineStr">
        <is>
          <t>Total habitatges familiars; principal i no principal provenen de les categories publicades</t>
        </is>
      </c>
    </row>
    <row r="710" ht="15" customHeight="1" s="39">
      <c r="A710" s="38" t="inlineStr">
        <is>
          <t>[171729] Sant Martí de Llémena</t>
        </is>
      </c>
      <c r="B710" s="42" t="inlineStr">
        <is>
          <t>171729</t>
        </is>
      </c>
      <c r="C710" s="38" t="inlineStr">
        <is>
          <t>Sant Martí de Llémena</t>
        </is>
      </c>
      <c r="D710" s="38" t="n">
        <v>383</v>
      </c>
      <c r="E710" s="38" t="n">
        <v>243</v>
      </c>
      <c r="F710" s="38" t="n">
        <v>140</v>
      </c>
      <c r="H710" s="38" t="inlineStr">
        <is>
          <t>Total habitatges familiars; principal i no principal provenen de les categories publicades</t>
        </is>
      </c>
    </row>
    <row r="711" ht="15" customHeight="1" s="39">
      <c r="A711" s="38" t="inlineStr">
        <is>
          <t>[259025] Sant Martí de Riucorb</t>
        </is>
      </c>
      <c r="B711" s="42" t="inlineStr">
        <is>
          <t>259025</t>
        </is>
      </c>
      <c r="C711" s="38" t="inlineStr">
        <is>
          <t>Sant Martí de Riucorb</t>
        </is>
      </c>
      <c r="D711" s="38" t="n">
        <v>525</v>
      </c>
      <c r="E711" s="38" t="n">
        <v>260</v>
      </c>
      <c r="F711" s="38" t="n">
        <v>265</v>
      </c>
      <c r="H711" s="38" t="inlineStr">
        <is>
          <t>Total habitatges familiars; principal i no principal provenen de les categories publicades</t>
        </is>
      </c>
    </row>
    <row r="712" ht="15" customHeight="1" s="39">
      <c r="A712" s="38" t="inlineStr">
        <is>
          <t>[082264] Sant Martí de Tous</t>
        </is>
      </c>
      <c r="B712" s="42" t="inlineStr">
        <is>
          <t>082264</t>
        </is>
      </c>
      <c r="C712" s="38" t="inlineStr">
        <is>
          <t>Sant Martí de Tous</t>
        </is>
      </c>
      <c r="D712" s="38" t="n">
        <v>595</v>
      </c>
      <c r="E712" s="38" t="n">
        <v>427</v>
      </c>
      <c r="F712" s="38" t="n">
        <v>168</v>
      </c>
      <c r="H712" s="38" t="inlineStr">
        <is>
          <t>Total habitatges familiars; principal i no principal provenen de les categories publicades</t>
        </is>
      </c>
    </row>
    <row r="713" ht="15" customHeight="1" s="39">
      <c r="A713" s="38" t="inlineStr">
        <is>
          <t>[082270] Sant Martí Sarroca</t>
        </is>
      </c>
      <c r="B713" s="42" t="inlineStr">
        <is>
          <t>082270</t>
        </is>
      </c>
      <c r="C713" s="38" t="inlineStr">
        <is>
          <t>Sant Martí Sarroca</t>
        </is>
      </c>
      <c r="D713" s="38" t="n">
        <v>1673</v>
      </c>
      <c r="E713" s="38" t="n">
        <v>1199</v>
      </c>
      <c r="F713" s="38" t="n">
        <v>474</v>
      </c>
      <c r="H713" s="38" t="inlineStr">
        <is>
          <t>Total habitatges familiars; principal i no principal provenen de les categories publicades</t>
        </is>
      </c>
    </row>
    <row r="714" ht="15" customHeight="1" s="39">
      <c r="A714" s="38" t="inlineStr">
        <is>
          <t>[082286] Sant Martí Sesgueioles</t>
        </is>
      </c>
      <c r="B714" s="42" t="inlineStr">
        <is>
          <t>082286</t>
        </is>
      </c>
      <c r="C714" s="38" t="inlineStr">
        <is>
          <t>Sant Martí Sesgueioles</t>
        </is>
      </c>
      <c r="D714" s="38" t="n">
        <v>253</v>
      </c>
      <c r="E714" s="38" t="n">
        <v>128</v>
      </c>
      <c r="F714" s="38" t="n">
        <v>125</v>
      </c>
      <c r="H714" s="38" t="inlineStr">
        <is>
          <t>Total habitatges familiars; principal i no principal provenen de les categories publicades</t>
        </is>
      </c>
    </row>
    <row r="715" ht="15" customHeight="1" s="39">
      <c r="A715" s="38" t="inlineStr">
        <is>
          <t>[171735] Sant Martí Vell</t>
        </is>
      </c>
      <c r="B715" s="42" t="inlineStr">
        <is>
          <t>171735</t>
        </is>
      </c>
      <c r="C715" s="38" t="inlineStr">
        <is>
          <t>Sant Martí Vell</t>
        </is>
      </c>
      <c r="D715" s="38" t="n">
        <v>119</v>
      </c>
      <c r="E715" s="38" t="n">
        <v>82</v>
      </c>
      <c r="F715" s="38" t="n">
        <v>37</v>
      </c>
      <c r="H715" s="38" t="inlineStr">
        <is>
          <t>Total habitatges familiars; principal i no principal provenen de les categories publicades</t>
        </is>
      </c>
    </row>
    <row r="716" ht="15" customHeight="1" s="39">
      <c r="A716" s="38" t="inlineStr">
        <is>
          <t>[082299] Sant Mateu de Bages</t>
        </is>
      </c>
      <c r="B716" s="42" t="inlineStr">
        <is>
          <t>082299</t>
        </is>
      </c>
      <c r="C716" s="38" t="inlineStr">
        <is>
          <t>Sant Mateu de Bages</t>
        </is>
      </c>
      <c r="D716" s="38" t="n">
        <v>377</v>
      </c>
      <c r="E716" s="38" t="n">
        <v>261</v>
      </c>
      <c r="F716" s="38" t="n">
        <v>116</v>
      </c>
      <c r="H716" s="38" t="inlineStr">
        <is>
          <t>Total habitatges familiars; principal i no principal provenen de les categories publicades</t>
        </is>
      </c>
    </row>
    <row r="717" ht="15" customHeight="1" s="39">
      <c r="A717" s="38" t="inlineStr">
        <is>
          <t>[171740] Sant Miquel de Campmajor</t>
        </is>
      </c>
      <c r="B717" s="42" t="inlineStr">
        <is>
          <t>171740</t>
        </is>
      </c>
      <c r="C717" s="38" t="inlineStr">
        <is>
          <t>Sant Miquel de Campmajor</t>
        </is>
      </c>
      <c r="D717" s="38" t="n">
        <v>134</v>
      </c>
      <c r="E717" s="38" t="n">
        <v>81</v>
      </c>
      <c r="F717" s="38" t="n">
        <v>53</v>
      </c>
      <c r="H717" s="38" t="inlineStr">
        <is>
          <t>Total habitatges familiars; principal i no principal provenen de les categories publicades</t>
        </is>
      </c>
    </row>
    <row r="718" ht="15" customHeight="1" s="39">
      <c r="A718" s="38" t="inlineStr">
        <is>
          <t>[171753] Sant Miquel de Fluvià</t>
        </is>
      </c>
      <c r="B718" s="42" t="inlineStr">
        <is>
          <t>171753</t>
        </is>
      </c>
      <c r="C718" s="38" t="inlineStr">
        <is>
          <t>Sant Miquel de Fluvià</t>
        </is>
      </c>
      <c r="D718" s="38" t="n">
        <v>361</v>
      </c>
      <c r="E718" s="38" t="n">
        <v>275</v>
      </c>
      <c r="F718" s="38" t="n">
        <v>86</v>
      </c>
      <c r="H718" s="38" t="inlineStr">
        <is>
          <t>Total habitatges familiars; principal i no principal provenen de les categories publicades</t>
        </is>
      </c>
    </row>
    <row r="719" ht="15" customHeight="1" s="39">
      <c r="A719" s="38" t="inlineStr">
        <is>
          <t>[171766] Sant Mori</t>
        </is>
      </c>
      <c r="B719" s="42" t="inlineStr">
        <is>
          <t>171766</t>
        </is>
      </c>
      <c r="C719" s="38" t="inlineStr">
        <is>
          <t>Sant Mori</t>
        </is>
      </c>
      <c r="D719" s="38" t="n">
        <v>166</v>
      </c>
      <c r="E719" s="38" t="n">
        <v>76</v>
      </c>
      <c r="F719" s="38" t="n">
        <v>90</v>
      </c>
      <c r="H719" s="38" t="inlineStr">
        <is>
          <t>Total habitatges familiars; principal i no principal provenen de les categories publicades</t>
        </is>
      </c>
    </row>
    <row r="720" ht="15" customHeight="1" s="39">
      <c r="A720" s="38" t="inlineStr">
        <is>
          <t>[171772] Sant Pau de Segúries</t>
        </is>
      </c>
      <c r="B720" s="42" t="inlineStr">
        <is>
          <t>171772</t>
        </is>
      </c>
      <c r="C720" s="38" t="inlineStr">
        <is>
          <t>Sant Pau de Segúries</t>
        </is>
      </c>
      <c r="D720" s="38" t="n">
        <v>575</v>
      </c>
      <c r="E720" s="38" t="n">
        <v>301</v>
      </c>
      <c r="F720" s="38" t="n">
        <v>274</v>
      </c>
      <c r="H720" s="38" t="inlineStr">
        <is>
          <t>Total habitatges familiars; principal i no principal provenen de les categories publicades</t>
        </is>
      </c>
    </row>
    <row r="721" ht="15" customHeight="1" s="39">
      <c r="A721" s="38" t="inlineStr">
        <is>
          <t>[082310] Sant Pere de Ribes</t>
        </is>
      </c>
      <c r="B721" s="42" t="inlineStr">
        <is>
          <t>082310</t>
        </is>
      </c>
      <c r="C721" s="38" t="inlineStr">
        <is>
          <t>Sant Pere de Ribes</t>
        </is>
      </c>
      <c r="D721" s="38" t="n">
        <v>14150</v>
      </c>
      <c r="E721" s="38" t="n">
        <v>11807</v>
      </c>
      <c r="F721" s="38" t="n">
        <v>2343</v>
      </c>
      <c r="H721" s="38" t="inlineStr">
        <is>
          <t>Total habitatges familiars; principal i no principal provenen de les categories publicades</t>
        </is>
      </c>
    </row>
    <row r="722" ht="15" customHeight="1" s="39">
      <c r="A722" s="38" t="inlineStr">
        <is>
          <t>[082325] Sant Pere de Riudebitlles</t>
        </is>
      </c>
      <c r="B722" s="42" t="inlineStr">
        <is>
          <t>082325</t>
        </is>
      </c>
      <c r="C722" s="38" t="inlineStr">
        <is>
          <t>Sant Pere de Riudebitlles</t>
        </is>
      </c>
      <c r="D722" s="38" t="n">
        <v>1185</v>
      </c>
      <c r="E722" s="38" t="n">
        <v>930</v>
      </c>
      <c r="F722" s="38" t="n">
        <v>255</v>
      </c>
      <c r="H722" s="38" t="inlineStr">
        <is>
          <t>Total habitatges familiars; principal i no principal provenen de les categories publicades</t>
        </is>
      </c>
    </row>
    <row r="723" ht="15" customHeight="1" s="39">
      <c r="A723" s="38" t="inlineStr">
        <is>
          <t>[082331] Sant Pere de Torelló</t>
        </is>
      </c>
      <c r="B723" s="42" t="inlineStr">
        <is>
          <t>082331</t>
        </is>
      </c>
      <c r="C723" s="38" t="inlineStr">
        <is>
          <t>Sant Pere de Torelló</t>
        </is>
      </c>
      <c r="D723" s="38" t="n">
        <v>1172</v>
      </c>
      <c r="E723" s="38" t="n">
        <v>941</v>
      </c>
      <c r="F723" s="38" t="n">
        <v>231</v>
      </c>
      <c r="H723" s="38" t="inlineStr">
        <is>
          <t>Total habitatges familiars; principal i no principal provenen de les categories publicades</t>
        </is>
      </c>
    </row>
    <row r="724" ht="15" customHeight="1" s="39">
      <c r="A724" s="38" t="inlineStr">
        <is>
          <t>[082346] Sant Pere de Vilamajor</t>
        </is>
      </c>
      <c r="B724" s="42" t="inlineStr">
        <is>
          <t>082346</t>
        </is>
      </c>
      <c r="C724" s="38" t="inlineStr">
        <is>
          <t>Sant Pere de Vilamajor</t>
        </is>
      </c>
      <c r="D724" s="38" t="n">
        <v>2402</v>
      </c>
      <c r="E724" s="38" t="n">
        <v>1715</v>
      </c>
      <c r="F724" s="38" t="n">
        <v>687</v>
      </c>
      <c r="H724" s="38" t="inlineStr">
        <is>
          <t>Total habitatges familiars; principal i no principal provenen de les categories publicades</t>
        </is>
      </c>
    </row>
    <row r="725" ht="15" customHeight="1" s="39">
      <c r="A725" s="38" t="inlineStr">
        <is>
          <t>[171788] Sant Pere Pescador</t>
        </is>
      </c>
      <c r="B725" s="42" t="inlineStr">
        <is>
          <t>171788</t>
        </is>
      </c>
      <c r="C725" s="38" t="inlineStr">
        <is>
          <t>Sant Pere Pescador</t>
        </is>
      </c>
      <c r="D725" s="38" t="n">
        <v>1640</v>
      </c>
      <c r="E725" s="38" t="n">
        <v>791</v>
      </c>
      <c r="F725" s="38" t="n">
        <v>849</v>
      </c>
      <c r="H725" s="38" t="inlineStr">
        <is>
          <t>Total habitatges familiars; principal i no principal provenen de les categories publicades</t>
        </is>
      </c>
    </row>
    <row r="726" ht="15" customHeight="1" s="39">
      <c r="A726" s="38" t="inlineStr">
        <is>
          <t>[081897] Sant Pere Sallavinera</t>
        </is>
      </c>
      <c r="B726" s="42" t="inlineStr">
        <is>
          <t>081897</t>
        </is>
      </c>
      <c r="C726" s="38" t="inlineStr">
        <is>
          <t>Sant Pere Sallavinera</t>
        </is>
      </c>
      <c r="D726" s="38" t="n">
        <v>101</v>
      </c>
      <c r="E726" s="38" t="n">
        <v>61</v>
      </c>
      <c r="F726" s="38" t="n">
        <v>40</v>
      </c>
      <c r="H726" s="38" t="inlineStr">
        <is>
          <t>Total habitatges familiars; principal i no principal provenen de les categories publicades</t>
        </is>
      </c>
    </row>
    <row r="727" ht="15" customHeight="1" s="39">
      <c r="A727" s="38" t="inlineStr">
        <is>
          <t>[082359] Sant Pol de Mar</t>
        </is>
      </c>
      <c r="B727" s="42" t="inlineStr">
        <is>
          <t>082359</t>
        </is>
      </c>
      <c r="C727" s="38" t="inlineStr">
        <is>
          <t>Sant Pol de Mar</t>
        </is>
      </c>
      <c r="D727" s="38" t="n">
        <v>3884</v>
      </c>
      <c r="E727" s="38" t="n">
        <v>2246</v>
      </c>
      <c r="F727" s="38" t="n">
        <v>1638</v>
      </c>
      <c r="H727" s="38" t="inlineStr">
        <is>
          <t>Total habitatges familiars; principal i no principal provenen de les categories publicades</t>
        </is>
      </c>
    </row>
    <row r="728" ht="15" customHeight="1" s="39">
      <c r="A728" s="38" t="inlineStr">
        <is>
          <t>[082362] Sant Quintí de Mediona</t>
        </is>
      </c>
      <c r="B728" s="42" t="inlineStr">
        <is>
          <t>082362</t>
        </is>
      </c>
      <c r="C728" s="38" t="inlineStr">
        <is>
          <t>Sant Quintí de Mediona</t>
        </is>
      </c>
      <c r="D728" s="38" t="n">
        <v>1233</v>
      </c>
      <c r="E728" s="38" t="n">
        <v>886</v>
      </c>
      <c r="F728" s="38" t="n">
        <v>347</v>
      </c>
      <c r="H728" s="38" t="inlineStr">
        <is>
          <t>Total habitatges familiars; principal i no principal provenen de les categories publicades</t>
        </is>
      </c>
    </row>
    <row r="729" ht="15" customHeight="1" s="39">
      <c r="A729" s="38" t="inlineStr">
        <is>
          <t>[082378] Sant Quirze de Besora</t>
        </is>
      </c>
      <c r="B729" s="42" t="inlineStr">
        <is>
          <t>082378</t>
        </is>
      </c>
      <c r="C729" s="38" t="inlineStr">
        <is>
          <t>Sant Quirze de Besora</t>
        </is>
      </c>
      <c r="D729" s="38" t="n">
        <v>1103</v>
      </c>
      <c r="E729" s="38" t="n">
        <v>847</v>
      </c>
      <c r="F729" s="38" t="n">
        <v>256</v>
      </c>
      <c r="H729" s="38" t="inlineStr">
        <is>
          <t>Total habitatges familiars; principal i no principal provenen de les categories publicades</t>
        </is>
      </c>
    </row>
    <row r="730" ht="15" customHeight="1" s="39">
      <c r="A730" s="38" t="inlineStr">
        <is>
          <t>[082384] Sant Quirze del Vallès</t>
        </is>
      </c>
      <c r="B730" s="42" t="inlineStr">
        <is>
          <t>082384</t>
        </is>
      </c>
      <c r="C730" s="38" t="inlineStr">
        <is>
          <t>Sant Quirze del Vallès</t>
        </is>
      </c>
      <c r="D730" s="38" t="n">
        <v>7609</v>
      </c>
      <c r="E730" s="38" t="n">
        <v>6994</v>
      </c>
      <c r="F730" s="38" t="n">
        <v>615</v>
      </c>
      <c r="H730" s="38" t="inlineStr">
        <is>
          <t>Total habitatges familiars; principal i no principal provenen de les categories publicades</t>
        </is>
      </c>
    </row>
    <row r="731" ht="15" customHeight="1" s="39">
      <c r="A731" s="38" t="inlineStr">
        <is>
          <t>[082397] Sant Quirze Safaja</t>
        </is>
      </c>
      <c r="B731" s="42" t="inlineStr">
        <is>
          <t>082397</t>
        </is>
      </c>
      <c r="C731" s="38" t="inlineStr">
        <is>
          <t>Sant Quirze Safaja</t>
        </is>
      </c>
      <c r="D731" s="38" t="n">
        <v>479</v>
      </c>
      <c r="E731" s="38" t="n">
        <v>261</v>
      </c>
      <c r="F731" s="38" t="n">
        <v>218</v>
      </c>
      <c r="H731" s="38" t="inlineStr">
        <is>
          <t>Total habitatges familiars; principal i no principal provenen de les categories publicades</t>
        </is>
      </c>
    </row>
    <row r="732" ht="15" customHeight="1" s="39">
      <c r="A732" s="38" t="inlineStr">
        <is>
          <t>[251945] Sant Ramon</t>
        </is>
      </c>
      <c r="B732" s="42" t="inlineStr">
        <is>
          <t>251945</t>
        </is>
      </c>
      <c r="C732" s="38" t="inlineStr">
        <is>
          <t>Sant Ramon</t>
        </is>
      </c>
      <c r="D732" s="38" t="n">
        <v>281</v>
      </c>
      <c r="E732" s="38" t="n">
        <v>177</v>
      </c>
      <c r="F732" s="38" t="n">
        <v>104</v>
      </c>
      <c r="H732" s="38" t="inlineStr">
        <is>
          <t>Total habitatges familiars; principal i no principal provenen de les categories publicades</t>
        </is>
      </c>
    </row>
    <row r="733" ht="15" customHeight="1" s="39">
      <c r="A733" s="38" t="inlineStr">
        <is>
          <t>[082401] Sant Sadurní d'Anoia</t>
        </is>
      </c>
      <c r="B733" s="42" t="inlineStr">
        <is>
          <t>082401</t>
        </is>
      </c>
      <c r="C733" s="38" t="inlineStr">
        <is>
          <t>Sant Sadurní d'Anoia</t>
        </is>
      </c>
      <c r="D733" s="38" t="n">
        <v>5636</v>
      </c>
      <c r="E733" s="38" t="n">
        <v>4824</v>
      </c>
      <c r="F733" s="38" t="n">
        <v>812</v>
      </c>
      <c r="H733" s="38" t="inlineStr">
        <is>
          <t>Total habitatges familiars; principal i no principal provenen de les categories publicades</t>
        </is>
      </c>
    </row>
    <row r="734" ht="15" customHeight="1" s="39">
      <c r="A734" s="38" t="inlineStr">
        <is>
          <t>[082418] Sant Sadurní d'Osormort</t>
        </is>
      </c>
      <c r="B734" s="42" t="inlineStr">
        <is>
          <t>082418</t>
        </is>
      </c>
      <c r="C734" s="38" t="inlineStr">
        <is>
          <t>Sant Sadurní d'Osormort</t>
        </is>
      </c>
      <c r="D734" s="38" t="n">
        <v>124</v>
      </c>
      <c r="E734" s="38" t="n">
        <v>39</v>
      </c>
      <c r="F734" s="38" t="n">
        <v>85</v>
      </c>
      <c r="H734" s="38" t="inlineStr">
        <is>
          <t>Total habitatges familiars; principal i no principal provenen de les categories publicades</t>
        </is>
      </c>
    </row>
    <row r="735" ht="15" customHeight="1" s="39">
      <c r="A735" s="38" t="inlineStr">
        <is>
          <t>[080983] Sant Salvador de Guardiola</t>
        </is>
      </c>
      <c r="B735" s="42" t="inlineStr">
        <is>
          <t>080983</t>
        </is>
      </c>
      <c r="C735" s="38" t="inlineStr">
        <is>
          <t>Sant Salvador de Guardiola</t>
        </is>
      </c>
      <c r="D735" s="38" t="n">
        <v>1607</v>
      </c>
      <c r="E735" s="38" t="n">
        <v>1169</v>
      </c>
      <c r="F735" s="38" t="n">
        <v>438</v>
      </c>
      <c r="H735" s="38" t="inlineStr">
        <is>
          <t>Total habitatges familiars; principal i no principal provenen de les categories publicades</t>
        </is>
      </c>
    </row>
    <row r="736" ht="15" customHeight="1" s="39">
      <c r="A736" s="38" t="inlineStr">
        <is>
          <t>[082628] Sant Vicenç de Castellet</t>
        </is>
      </c>
      <c r="B736" s="42" t="inlineStr">
        <is>
          <t>082628</t>
        </is>
      </c>
      <c r="C736" s="38" t="inlineStr">
        <is>
          <t>Sant Vicenç de Castellet</t>
        </is>
      </c>
      <c r="D736" s="38" t="n">
        <v>4424</v>
      </c>
      <c r="E736" s="38" t="n">
        <v>3773</v>
      </c>
      <c r="F736" s="38" t="n">
        <v>651</v>
      </c>
      <c r="H736" s="38" t="inlineStr">
        <is>
          <t>Total habitatges familiars; principal i no principal provenen de les categories publicades</t>
        </is>
      </c>
    </row>
    <row r="737" ht="15" customHeight="1" s="39">
      <c r="A737" s="38" t="inlineStr">
        <is>
          <t>[082649] Sant Vicenç de Montalt</t>
        </is>
      </c>
      <c r="B737" s="42" t="inlineStr">
        <is>
          <t>082649</t>
        </is>
      </c>
      <c r="C737" s="38" t="inlineStr">
        <is>
          <t>Sant Vicenç de Montalt</t>
        </is>
      </c>
      <c r="D737" s="38" t="n">
        <v>3612</v>
      </c>
      <c r="E737" s="38" t="n">
        <v>2369</v>
      </c>
      <c r="F737" s="38" t="n">
        <v>1243</v>
      </c>
      <c r="H737" s="38" t="inlineStr">
        <is>
          <t>Total habitatges familiars; principal i no principal provenen de les categories publicades</t>
        </is>
      </c>
    </row>
    <row r="738" ht="15" customHeight="1" s="39">
      <c r="A738" s="38" t="inlineStr">
        <is>
          <t>[082652] Sant Vicenç de Torelló</t>
        </is>
      </c>
      <c r="B738" s="42" t="inlineStr">
        <is>
          <t>082652</t>
        </is>
      </c>
      <c r="C738" s="38" t="inlineStr">
        <is>
          <t>Sant Vicenç de Torelló</t>
        </is>
      </c>
      <c r="D738" s="38" t="n">
        <v>939</v>
      </c>
      <c r="E738" s="38" t="n">
        <v>782</v>
      </c>
      <c r="F738" s="38" t="n">
        <v>157</v>
      </c>
      <c r="H738" s="38" t="inlineStr">
        <is>
          <t>Total habitatges familiars; principal i no principal provenen de les categories publicades</t>
        </is>
      </c>
    </row>
    <row r="739" ht="15" customHeight="1" s="39">
      <c r="A739" s="38" t="inlineStr">
        <is>
          <t>[082634] Sant Vicenç dels Horts</t>
        </is>
      </c>
      <c r="B739" s="42" t="inlineStr">
        <is>
          <t>082634</t>
        </is>
      </c>
      <c r="C739" s="38" t="inlineStr">
        <is>
          <t>Sant Vicenç dels Horts</t>
        </is>
      </c>
      <c r="D739" s="38" t="n">
        <v>11530</v>
      </c>
      <c r="E739" s="38" t="n">
        <v>10010</v>
      </c>
      <c r="F739" s="38" t="n">
        <v>1520</v>
      </c>
      <c r="H739" s="38" t="inlineStr">
        <is>
          <t>Total habitatges familiars; principal i no principal provenen de les categories publicades</t>
        </is>
      </c>
    </row>
    <row r="740" ht="15" customHeight="1" s="39">
      <c r="A740" s="38" t="inlineStr">
        <is>
          <t>[431384] Santa Bàrbara</t>
        </is>
      </c>
      <c r="B740" s="42" t="inlineStr">
        <is>
          <t>431384</t>
        </is>
      </c>
      <c r="C740" s="38" t="inlineStr">
        <is>
          <t>Santa Bàrbara</t>
        </is>
      </c>
      <c r="D740" s="38" t="n">
        <v>2304</v>
      </c>
      <c r="E740" s="38" t="n">
        <v>1489</v>
      </c>
      <c r="F740" s="38" t="n">
        <v>815</v>
      </c>
      <c r="H740" s="38" t="inlineStr">
        <is>
          <t>Total habitatges familiars; principal i no principal provenen de les categories publicades</t>
        </is>
      </c>
    </row>
    <row r="741" ht="15" customHeight="1" s="39">
      <c r="A741" s="38" t="inlineStr">
        <is>
          <t>[082439] Santa Cecília de Voltregà</t>
        </is>
      </c>
      <c r="B741" s="42" t="inlineStr">
        <is>
          <t>082439</t>
        </is>
      </c>
      <c r="C741" s="38" t="inlineStr">
        <is>
          <t>Santa Cecília de Voltregà</t>
        </is>
      </c>
      <c r="D741" s="38" t="n">
        <v>71</v>
      </c>
      <c r="E741" s="38" t="n">
        <v>58</v>
      </c>
      <c r="F741" s="38" t="n">
        <v>13</v>
      </c>
      <c r="H741" s="38" t="inlineStr">
        <is>
          <t>Total habitatges familiars; principal i no principal provenen de les categories publicades</t>
        </is>
      </c>
    </row>
    <row r="742" ht="15" customHeight="1" s="39">
      <c r="A742" s="38" t="inlineStr">
        <is>
          <t>[082444] Santa Coloma de Cervelló</t>
        </is>
      </c>
      <c r="B742" s="42" t="inlineStr">
        <is>
          <t>082444</t>
        </is>
      </c>
      <c r="C742" s="38" t="inlineStr">
        <is>
          <t>Santa Coloma de Cervelló</t>
        </is>
      </c>
      <c r="D742" s="38" t="n">
        <v>3071</v>
      </c>
      <c r="E742" s="38" t="n">
        <v>2813</v>
      </c>
      <c r="F742" s="38" t="n">
        <v>258</v>
      </c>
      <c r="H742" s="38" t="inlineStr">
        <is>
          <t>Total habitatges familiars; principal i no principal provenen de les categories publicades</t>
        </is>
      </c>
    </row>
    <row r="743" ht="15" customHeight="1" s="39">
      <c r="A743" s="38" t="inlineStr">
        <is>
          <t>[171805] Santa Coloma de Farners</t>
        </is>
      </c>
      <c r="B743" s="42" t="inlineStr">
        <is>
          <t>171805</t>
        </is>
      </c>
      <c r="C743" s="38" t="inlineStr">
        <is>
          <t>Santa Coloma de Farners</t>
        </is>
      </c>
      <c r="D743" s="38" t="n">
        <v>5995</v>
      </c>
      <c r="E743" s="38" t="n">
        <v>4894</v>
      </c>
      <c r="F743" s="38" t="n">
        <v>1101</v>
      </c>
      <c r="H743" s="38" t="inlineStr">
        <is>
          <t>Total habitatges familiars; principal i no principal provenen de les categories publicades</t>
        </is>
      </c>
    </row>
    <row r="744" ht="15" customHeight="1" s="39">
      <c r="A744" s="38" t="inlineStr">
        <is>
          <t>[082457] Santa Coloma de Gramenet</t>
        </is>
      </c>
      <c r="B744" s="42" t="inlineStr">
        <is>
          <t>082457</t>
        </is>
      </c>
      <c r="C744" s="38" t="inlineStr">
        <is>
          <t>Santa Coloma de Gramenet</t>
        </is>
      </c>
      <c r="D744" s="38" t="n">
        <v>48100</v>
      </c>
      <c r="E744" s="38" t="n">
        <v>44180</v>
      </c>
      <c r="F744" s="38" t="n">
        <v>3920</v>
      </c>
      <c r="H744" s="38" t="inlineStr">
        <is>
          <t>Total habitatges familiars; principal i no principal provenen de les categories publicades</t>
        </is>
      </c>
    </row>
    <row r="745" ht="15" customHeight="1" s="39">
      <c r="A745" s="38" t="inlineStr">
        <is>
          <t>[431397] Santa Coloma de Queralt</t>
        </is>
      </c>
      <c r="B745" s="42" t="inlineStr">
        <is>
          <t>431397</t>
        </is>
      </c>
      <c r="C745" s="38" t="inlineStr">
        <is>
          <t>Santa Coloma de Queralt</t>
        </is>
      </c>
      <c r="D745" s="38" t="n">
        <v>1584</v>
      </c>
      <c r="E745" s="38" t="n">
        <v>1039</v>
      </c>
      <c r="F745" s="38" t="n">
        <v>545</v>
      </c>
      <c r="H745" s="38" t="inlineStr">
        <is>
          <t>Total habitatges familiars; principal i no principal provenen de les categories publicades</t>
        </is>
      </c>
    </row>
    <row r="746" ht="15" customHeight="1" s="39">
      <c r="A746" s="38" t="inlineStr">
        <is>
          <t>[171812] Santa Cristina d'Aro</t>
        </is>
      </c>
      <c r="B746" s="42" t="inlineStr">
        <is>
          <t>171812</t>
        </is>
      </c>
      <c r="C746" s="38" t="inlineStr">
        <is>
          <t>Santa Cristina d'Aro</t>
        </is>
      </c>
      <c r="D746" s="38" t="n">
        <v>3914</v>
      </c>
      <c r="E746" s="38" t="n">
        <v>2110</v>
      </c>
      <c r="F746" s="38" t="n">
        <v>1804</v>
      </c>
      <c r="H746" s="38" t="inlineStr">
        <is>
          <t>Total habitatges familiars; principal i no principal provenen de les categories publicades</t>
        </is>
      </c>
    </row>
    <row r="747" ht="15" customHeight="1" s="39">
      <c r="A747" s="38" t="inlineStr">
        <is>
          <t>[082460] Santa Eugènia de Berga</t>
        </is>
      </c>
      <c r="B747" s="42" t="inlineStr">
        <is>
          <t>082460</t>
        </is>
      </c>
      <c r="C747" s="38" t="inlineStr">
        <is>
          <t>Santa Eugènia de Berga</t>
        </is>
      </c>
      <c r="D747" s="38" t="n">
        <v>964</v>
      </c>
      <c r="E747" s="38" t="n">
        <v>840</v>
      </c>
      <c r="F747" s="38" t="n">
        <v>124</v>
      </c>
      <c r="H747" s="38" t="inlineStr">
        <is>
          <t>Total habitatges familiars; principal i no principal provenen de les categories publicades</t>
        </is>
      </c>
    </row>
    <row r="748" ht="15" customHeight="1" s="39">
      <c r="A748" s="38" t="inlineStr">
        <is>
          <t>[082476] Santa Eulàlia de Riuprimer</t>
        </is>
      </c>
      <c r="B748" s="42" t="inlineStr">
        <is>
          <t>082476</t>
        </is>
      </c>
      <c r="C748" s="38" t="inlineStr">
        <is>
          <t>Santa Eulàlia de Riuprimer</t>
        </is>
      </c>
      <c r="D748" s="38" t="n">
        <v>565</v>
      </c>
      <c r="E748" s="38" t="n">
        <v>498</v>
      </c>
      <c r="F748" s="38" t="n">
        <v>67</v>
      </c>
      <c r="H748" s="38" t="inlineStr">
        <is>
          <t>Total habitatges familiars; principal i no principal provenen de les categories publicades</t>
        </is>
      </c>
    </row>
    <row r="749" ht="15" customHeight="1" s="39">
      <c r="A749" s="38" t="inlineStr">
        <is>
          <t>[082482] Santa Eulàlia de Ronçana</t>
        </is>
      </c>
      <c r="B749" s="42" t="inlineStr">
        <is>
          <t>082482</t>
        </is>
      </c>
      <c r="C749" s="38" t="inlineStr">
        <is>
          <t>Santa Eulàlia de Ronçana</t>
        </is>
      </c>
      <c r="D749" s="38" t="n">
        <v>3218</v>
      </c>
      <c r="E749" s="38" t="n">
        <v>2665</v>
      </c>
      <c r="F749" s="38" t="n">
        <v>553</v>
      </c>
      <c r="H749" s="38" t="inlineStr">
        <is>
          <t>Total habitatges familiars; principal i no principal provenen de les categories publicades</t>
        </is>
      </c>
    </row>
    <row r="750" ht="15" customHeight="1" s="39">
      <c r="A750" s="38" t="inlineStr">
        <is>
          <t>[082495] Santa Fe del Penedès</t>
        </is>
      </c>
      <c r="B750" s="42" t="inlineStr">
        <is>
          <t>082495</t>
        </is>
      </c>
      <c r="C750" s="38" t="inlineStr">
        <is>
          <t>Santa Fe del Penedès</t>
        </is>
      </c>
      <c r="D750" s="38" t="n">
        <v>146</v>
      </c>
      <c r="E750" s="38" t="n">
        <v>127</v>
      </c>
      <c r="F750" s="38" t="n">
        <v>19</v>
      </c>
      <c r="H750" s="38" t="inlineStr">
        <is>
          <t>Total habitatges familiars; principal i no principal provenen de les categories publicades</t>
        </is>
      </c>
    </row>
    <row r="751" ht="15" customHeight="1" s="39">
      <c r="A751" s="38" t="inlineStr">
        <is>
          <t>[171827] Santa Llogaia d'Àlguema</t>
        </is>
      </c>
      <c r="B751" s="42" t="inlineStr">
        <is>
          <t>171827</t>
        </is>
      </c>
      <c r="C751" s="38" t="inlineStr">
        <is>
          <t>Santa Llogaia d'Àlguema</t>
        </is>
      </c>
      <c r="D751" s="38" t="n">
        <v>151</v>
      </c>
      <c r="E751" s="38" t="n">
        <v>126</v>
      </c>
      <c r="F751" s="38" t="n">
        <v>25</v>
      </c>
      <c r="H751" s="38" t="inlineStr">
        <is>
          <t>Total habitatges familiars; principal i no principal provenen de les categories publicades</t>
        </is>
      </c>
    </row>
    <row r="752" ht="15" customHeight="1" s="39">
      <c r="A752" s="38" t="inlineStr">
        <is>
          <t>[082508] Santa Margarida de Montbui</t>
        </is>
      </c>
      <c r="B752" s="42" t="inlineStr">
        <is>
          <t>082508</t>
        </is>
      </c>
      <c r="C752" s="38" t="inlineStr">
        <is>
          <t>Santa Margarida de Montbui</t>
        </is>
      </c>
      <c r="D752" s="38" t="n">
        <v>4473</v>
      </c>
      <c r="E752" s="38" t="n">
        <v>3723</v>
      </c>
      <c r="F752" s="38" t="n">
        <v>750</v>
      </c>
      <c r="H752" s="38" t="inlineStr">
        <is>
          <t>Total habitatges familiars; principal i no principal provenen de les categories publicades</t>
        </is>
      </c>
    </row>
    <row r="753" ht="15" customHeight="1" s="39">
      <c r="A753" s="38" t="inlineStr">
        <is>
          <t>[082515] Santa Margarida i els Monjos</t>
        </is>
      </c>
      <c r="B753" s="42" t="inlineStr">
        <is>
          <t>082515</t>
        </is>
      </c>
      <c r="C753" s="38" t="inlineStr">
        <is>
          <t>Santa Margarida i els Monjos</t>
        </is>
      </c>
      <c r="D753" s="38" t="n">
        <v>3231</v>
      </c>
      <c r="E753" s="38" t="n">
        <v>2787</v>
      </c>
      <c r="F753" s="38" t="n">
        <v>444</v>
      </c>
      <c r="H753" s="38" t="inlineStr">
        <is>
          <t>Total habitatges familiars; principal i no principal provenen de les categories publicades</t>
        </is>
      </c>
    </row>
    <row r="754" ht="15" customHeight="1" s="39">
      <c r="A754" s="38" t="inlineStr">
        <is>
          <t>[082589] Santa Maria d'Oló</t>
        </is>
      </c>
      <c r="B754" s="42" t="inlineStr">
        <is>
          <t>082589</t>
        </is>
      </c>
      <c r="C754" s="38" t="inlineStr">
        <is>
          <t>Santa Maria d'Oló</t>
        </is>
      </c>
      <c r="D754" s="38" t="n">
        <v>693</v>
      </c>
      <c r="E754" s="38" t="n">
        <v>418</v>
      </c>
      <c r="F754" s="38" t="n">
        <v>275</v>
      </c>
      <c r="H754" s="38" t="inlineStr">
        <is>
          <t>Total habitatges familiars; principal i no principal provenen de les categories publicades</t>
        </is>
      </c>
    </row>
    <row r="755" ht="15" customHeight="1" s="39">
      <c r="A755" s="38" t="inlineStr">
        <is>
          <t>[082536] Santa Maria de Besora</t>
        </is>
      </c>
      <c r="B755" s="42" t="inlineStr">
        <is>
          <t>082536</t>
        </is>
      </c>
      <c r="C755" s="38" t="inlineStr">
        <is>
          <t>Santa Maria de Besora</t>
        </is>
      </c>
      <c r="D755" s="38" t="n">
        <v>109</v>
      </c>
      <c r="E755" s="38" t="n">
        <v>70</v>
      </c>
      <c r="F755" s="38" t="n">
        <v>39</v>
      </c>
      <c r="H755" s="38" t="inlineStr">
        <is>
          <t>Total habitatges familiars; principal i no principal provenen de les categories publicades</t>
        </is>
      </c>
    </row>
    <row r="756" ht="15" customHeight="1" s="39">
      <c r="A756" s="38" t="inlineStr">
        <is>
          <t>[082567] Santa Maria de Martorelles</t>
        </is>
      </c>
      <c r="B756" s="42" t="inlineStr">
        <is>
          <t>082567</t>
        </is>
      </c>
      <c r="C756" s="38" t="inlineStr">
        <is>
          <t>Santa Maria de Martorelles</t>
        </is>
      </c>
      <c r="D756" s="38" t="n">
        <v>388</v>
      </c>
      <c r="E756" s="38" t="n">
        <v>308</v>
      </c>
      <c r="F756" s="38" t="n">
        <v>80</v>
      </c>
      <c r="H756" s="38" t="inlineStr">
        <is>
          <t>Total habitatges familiars; principal i no principal provenen de les categories publicades</t>
        </is>
      </c>
    </row>
    <row r="757" ht="15" customHeight="1" s="39">
      <c r="A757" s="38" t="inlineStr">
        <is>
          <t>[082554] Santa Maria de Merlès</t>
        </is>
      </c>
      <c r="B757" s="42" t="inlineStr">
        <is>
          <t>082554</t>
        </is>
      </c>
      <c r="C757" s="38" t="inlineStr">
        <is>
          <t>Santa Maria de Merlès</t>
        </is>
      </c>
      <c r="D757" s="38" t="n">
        <v>111</v>
      </c>
      <c r="E757" s="38" t="n">
        <v>59</v>
      </c>
      <c r="F757" s="38" t="n">
        <v>52</v>
      </c>
      <c r="H757" s="38" t="inlineStr">
        <is>
          <t>Total habitatges familiars; principal i no principal provenen de les categories publicades</t>
        </is>
      </c>
    </row>
    <row r="758" ht="15" customHeight="1" s="39">
      <c r="A758" s="38" t="inlineStr">
        <is>
          <t>[082573] Santa Maria de Miralles</t>
        </is>
      </c>
      <c r="B758" s="42" t="inlineStr">
        <is>
          <t>082573</t>
        </is>
      </c>
      <c r="C758" s="38" t="inlineStr">
        <is>
          <t>Santa Maria de Miralles</t>
        </is>
      </c>
      <c r="D758" s="38" t="n">
        <v>105</v>
      </c>
      <c r="E758" s="38" t="n">
        <v>55</v>
      </c>
      <c r="F758" s="38" t="n">
        <v>50</v>
      </c>
      <c r="H758" s="38" t="inlineStr">
        <is>
          <t>Total habitatges familiars; principal i no principal provenen de les categories publicades</t>
        </is>
      </c>
    </row>
    <row r="759" ht="15" customHeight="1" s="39">
      <c r="A759" s="38" t="inlineStr">
        <is>
          <t>[082592] Santa Maria de Palautordera</t>
        </is>
      </c>
      <c r="B759" s="42" t="inlineStr">
        <is>
          <t>082592</t>
        </is>
      </c>
      <c r="C759" s="38" t="inlineStr">
        <is>
          <t>Santa Maria de Palautordera</t>
        </is>
      </c>
      <c r="D759" s="38" t="n">
        <v>4216</v>
      </c>
      <c r="E759" s="38" t="n">
        <v>3581</v>
      </c>
      <c r="F759" s="38" t="n">
        <v>635</v>
      </c>
      <c r="H759" s="38" t="inlineStr">
        <is>
          <t>Total habitatges familiars; principal i no principal provenen de les categories publicades</t>
        </is>
      </c>
    </row>
    <row r="760" ht="15" customHeight="1" s="39">
      <c r="A760" s="38" t="inlineStr">
        <is>
          <t>[431401] Santa Oliva</t>
        </is>
      </c>
      <c r="B760" s="42" t="inlineStr">
        <is>
          <t>431401</t>
        </is>
      </c>
      <c r="C760" s="38" t="inlineStr">
        <is>
          <t>Santa Oliva</t>
        </is>
      </c>
      <c r="D760" s="38" t="n">
        <v>1729</v>
      </c>
      <c r="E760" s="38" t="n">
        <v>1269</v>
      </c>
      <c r="F760" s="38" t="n">
        <v>460</v>
      </c>
      <c r="H760" s="38" t="inlineStr">
        <is>
          <t>Total habitatges familiars; principal i no principal provenen de les categories publicades</t>
        </is>
      </c>
    </row>
    <row r="761" ht="15" customHeight="1" s="39">
      <c r="A761" s="38" t="inlineStr">
        <is>
          <t>[171848] Santa Pau</t>
        </is>
      </c>
      <c r="B761" s="42" t="inlineStr">
        <is>
          <t>171848</t>
        </is>
      </c>
      <c r="C761" s="38" t="inlineStr">
        <is>
          <t>Santa Pau</t>
        </is>
      </c>
      <c r="D761" s="38" t="n">
        <v>826</v>
      </c>
      <c r="E761" s="38" t="n">
        <v>599</v>
      </c>
      <c r="F761" s="38" t="n">
        <v>227</v>
      </c>
      <c r="H761" s="38" t="inlineStr">
        <is>
          <t>Total habitatges familiars; principal i no principal provenen de les categories publicades</t>
        </is>
      </c>
    </row>
    <row r="762" ht="15" customHeight="1" s="39">
      <c r="A762" s="38" t="inlineStr">
        <is>
          <t>[082606] Santa Perpètua de Mogoda</t>
        </is>
      </c>
      <c r="B762" s="42" t="inlineStr">
        <is>
          <t>082606</t>
        </is>
      </c>
      <c r="C762" s="38" t="inlineStr">
        <is>
          <t>Santa Perpètua de Mogoda</t>
        </is>
      </c>
      <c r="D762" s="38" t="n">
        <v>10045</v>
      </c>
      <c r="E762" s="38" t="n">
        <v>9369</v>
      </c>
      <c r="F762" s="38" t="n">
        <v>676</v>
      </c>
      <c r="H762" s="38" t="inlineStr">
        <is>
          <t>Total habitatges familiars; principal i no principal provenen de les categories publicades</t>
        </is>
      </c>
    </row>
    <row r="763" ht="15" customHeight="1" s="39">
      <c r="A763" s="38" t="inlineStr">
        <is>
          <t>[082613] Santa Susanna</t>
        </is>
      </c>
      <c r="B763" s="42" t="inlineStr">
        <is>
          <t>082613</t>
        </is>
      </c>
      <c r="C763" s="38" t="inlineStr">
        <is>
          <t>Santa Susanna</t>
        </is>
      </c>
      <c r="D763" s="38" t="n">
        <v>2225</v>
      </c>
      <c r="E763" s="38" t="n">
        <v>1324</v>
      </c>
      <c r="F763" s="38" t="n">
        <v>901</v>
      </c>
      <c r="H763" s="38" t="inlineStr">
        <is>
          <t>Total habitatges familiars; principal i no principal provenen de les categories publicades</t>
        </is>
      </c>
    </row>
    <row r="764" ht="15" customHeight="1" s="39">
      <c r="A764" s="38" t="inlineStr">
        <is>
          <t>[081923] Santpedor</t>
        </is>
      </c>
      <c r="B764" s="42" t="inlineStr">
        <is>
          <t>081923</t>
        </is>
      </c>
      <c r="C764" s="38" t="inlineStr">
        <is>
          <t>Santpedor</t>
        </is>
      </c>
      <c r="D764" s="38" t="n">
        <v>3282</v>
      </c>
      <c r="E764" s="38" t="n">
        <v>2751</v>
      </c>
      <c r="F764" s="38" t="n">
        <v>531</v>
      </c>
      <c r="H764" s="38" t="inlineStr">
        <is>
          <t>Total habitatges familiars; principal i no principal provenen de les categories publicades</t>
        </is>
      </c>
    </row>
    <row r="765" ht="15" customHeight="1" s="39">
      <c r="A765" s="38" t="inlineStr">
        <is>
          <t>[431423] Sarral</t>
        </is>
      </c>
      <c r="B765" s="42" t="inlineStr">
        <is>
          <t>431423</t>
        </is>
      </c>
      <c r="C765" s="38" t="inlineStr">
        <is>
          <t>Sarral</t>
        </is>
      </c>
      <c r="D765" s="38" t="n">
        <v>983</v>
      </c>
      <c r="E765" s="38" t="n">
        <v>566</v>
      </c>
      <c r="F765" s="38" t="n">
        <v>417</v>
      </c>
      <c r="H765" s="38" t="inlineStr">
        <is>
          <t>Total habitatges familiars; principal i no principal provenen de les categories publicades</t>
        </is>
      </c>
    </row>
    <row r="766" ht="15" customHeight="1" s="39">
      <c r="A766" s="38" t="inlineStr">
        <is>
          <t>[171864] Sarrià de Ter</t>
        </is>
      </c>
      <c r="B766" s="42" t="inlineStr">
        <is>
          <t>171864</t>
        </is>
      </c>
      <c r="C766" s="38" t="inlineStr">
        <is>
          <t>Sarrià de Ter</t>
        </is>
      </c>
      <c r="D766" s="38" t="n">
        <v>2178</v>
      </c>
      <c r="E766" s="38" t="n">
        <v>1947</v>
      </c>
      <c r="F766" s="38" t="n">
        <v>231</v>
      </c>
      <c r="H766" s="38" t="inlineStr">
        <is>
          <t>Total habitatges familiars; principal i no principal provenen de les categories publicades</t>
        </is>
      </c>
    </row>
    <row r="767" ht="15" customHeight="1" s="39">
      <c r="A767" s="38" t="inlineStr">
        <is>
          <t>[252017] Sarroca de Bellera</t>
        </is>
      </c>
      <c r="B767" s="42" t="inlineStr">
        <is>
          <t>252017</t>
        </is>
      </c>
      <c r="C767" s="38" t="inlineStr">
        <is>
          <t>Sarroca de Bellera</t>
        </is>
      </c>
      <c r="D767" s="38" t="n">
        <v>290</v>
      </c>
      <c r="E767" s="38" t="n">
        <v>53</v>
      </c>
      <c r="F767" s="38" t="n">
        <v>237</v>
      </c>
      <c r="H767" s="38" t="inlineStr">
        <is>
          <t>Total habitatges familiars; principal i no principal provenen de les categories publicades</t>
        </is>
      </c>
    </row>
    <row r="768" ht="15" customHeight="1" s="39">
      <c r="A768" s="38" t="inlineStr">
        <is>
          <t>[252000] Sarroca de Lleida</t>
        </is>
      </c>
      <c r="B768" s="42" t="inlineStr">
        <is>
          <t>252000</t>
        </is>
      </c>
      <c r="C768" s="38" t="inlineStr">
        <is>
          <t>Sarroca de Lleida</t>
        </is>
      </c>
      <c r="D768" s="38" t="n">
        <v>248</v>
      </c>
      <c r="E768" s="38" t="n">
        <v>151</v>
      </c>
      <c r="F768" s="38" t="n">
        <v>97</v>
      </c>
      <c r="H768" s="38" t="inlineStr">
        <is>
          <t>Total habitatges familiars; principal i no principal provenen de les categories publicades</t>
        </is>
      </c>
    </row>
    <row r="769" ht="15" customHeight="1" s="39">
      <c r="A769" s="38" t="inlineStr">
        <is>
          <t>[171870] Saus, Camallera i Llampaies</t>
        </is>
      </c>
      <c r="B769" s="42" t="inlineStr">
        <is>
          <t>171870</t>
        </is>
      </c>
      <c r="C769" s="38" t="inlineStr">
        <is>
          <t>Saus, Camallera i Llampaies</t>
        </is>
      </c>
      <c r="D769" s="38" t="n">
        <v>517</v>
      </c>
      <c r="E769" s="38" t="n">
        <v>332</v>
      </c>
      <c r="F769" s="38" t="n">
        <v>185</v>
      </c>
      <c r="H769" s="38" t="inlineStr">
        <is>
          <t>Total habitatges familiars; principal i no principal provenen de les categories publicades</t>
        </is>
      </c>
    </row>
    <row r="770" ht="15" customHeight="1" s="39">
      <c r="A770" s="38" t="inlineStr">
        <is>
          <t>[431439] Savallà del Comtat</t>
        </is>
      </c>
      <c r="B770" s="42" t="inlineStr">
        <is>
          <t>431439</t>
        </is>
      </c>
      <c r="C770" s="38" t="inlineStr">
        <is>
          <t>Savallà del Comtat</t>
        </is>
      </c>
      <c r="D770" s="38" t="n">
        <v>87</v>
      </c>
      <c r="E770" s="38" t="n">
        <v>24</v>
      </c>
      <c r="F770" s="38" t="n">
        <v>63</v>
      </c>
      <c r="H770" s="38" t="inlineStr">
        <is>
          <t>Total habitatges familiars; principal i no principal provenen de les categories publicades</t>
        </is>
      </c>
    </row>
    <row r="771" ht="15" customHeight="1" s="39">
      <c r="A771" s="38" t="inlineStr">
        <is>
          <t>[431444] Secuita, la</t>
        </is>
      </c>
      <c r="B771" s="42" t="inlineStr">
        <is>
          <t>431444</t>
        </is>
      </c>
      <c r="C771" s="38" t="inlineStr">
        <is>
          <t>Secuita, la</t>
        </is>
      </c>
      <c r="D771" s="38" t="n">
        <v>981</v>
      </c>
      <c r="E771" s="38" t="n">
        <v>651</v>
      </c>
      <c r="F771" s="38" t="n">
        <v>330</v>
      </c>
      <c r="H771" s="38" t="inlineStr">
        <is>
          <t>Total habitatges familiars; principal i no principal provenen de les categories publicades</t>
        </is>
      </c>
    </row>
    <row r="772" ht="15" customHeight="1" s="39">
      <c r="A772" s="38" t="inlineStr">
        <is>
          <t>[171886] Selva de Mar, la</t>
        </is>
      </c>
      <c r="B772" s="42" t="inlineStr">
        <is>
          <t>171886</t>
        </is>
      </c>
      <c r="C772" s="38" t="inlineStr">
        <is>
          <t>Selva de Mar, la</t>
        </is>
      </c>
      <c r="D772" s="38" t="n">
        <v>271</v>
      </c>
      <c r="E772" s="38" t="n">
        <v>93</v>
      </c>
      <c r="F772" s="38" t="n">
        <v>178</v>
      </c>
      <c r="H772" s="38" t="inlineStr">
        <is>
          <t>Total habitatges familiars; principal i no principal provenen de les categories publicades</t>
        </is>
      </c>
    </row>
    <row r="773" ht="15" customHeight="1" s="39">
      <c r="A773" s="38" t="inlineStr">
        <is>
          <t>[431457] Selva del Camp, la</t>
        </is>
      </c>
      <c r="B773" s="42" t="inlineStr">
        <is>
          <t>431457</t>
        </is>
      </c>
      <c r="C773" s="38" t="inlineStr">
        <is>
          <t>Selva del Camp, la</t>
        </is>
      </c>
      <c r="D773" s="38" t="n">
        <v>2696</v>
      </c>
      <c r="E773" s="38" t="n">
        <v>2036</v>
      </c>
      <c r="F773" s="38" t="n">
        <v>660</v>
      </c>
      <c r="H773" s="38" t="inlineStr">
        <is>
          <t>Total habitatges familiars; principal i no principal provenen de les categories publicades</t>
        </is>
      </c>
    </row>
    <row r="774" ht="15" customHeight="1" s="39">
      <c r="A774" s="38" t="inlineStr">
        <is>
          <t>[431460] Senan</t>
        </is>
      </c>
      <c r="B774" s="42" t="inlineStr">
        <is>
          <t>431460</t>
        </is>
      </c>
      <c r="C774" s="38" t="inlineStr">
        <is>
          <t>Senan</t>
        </is>
      </c>
      <c r="D774" s="38" t="n">
        <v>62</v>
      </c>
      <c r="E774" s="38" t="n">
        <v>22</v>
      </c>
      <c r="F774" s="38" t="n">
        <v>40</v>
      </c>
      <c r="H774" s="38" t="inlineStr">
        <is>
          <t>Total habitatges familiars; principal i no principal provenen de les categories publicades</t>
        </is>
      </c>
    </row>
    <row r="775" ht="15" customHeight="1" s="39">
      <c r="A775" s="38" t="inlineStr">
        <is>
          <t>[430445] Sénia, la</t>
        </is>
      </c>
      <c r="B775" s="42" t="inlineStr">
        <is>
          <t>430445</t>
        </is>
      </c>
      <c r="C775" s="38" t="inlineStr">
        <is>
          <t>Sénia, la</t>
        </is>
      </c>
      <c r="D775" s="38" t="n">
        <v>3055</v>
      </c>
      <c r="E775" s="38" t="n">
        <v>2169</v>
      </c>
      <c r="F775" s="38" t="n">
        <v>886</v>
      </c>
      <c r="H775" s="38" t="inlineStr">
        <is>
          <t>Total habitatges familiars; principal i no principal provenen de les categories publicades</t>
        </is>
      </c>
    </row>
    <row r="776" ht="15" customHeight="1" s="39">
      <c r="A776" s="38" t="inlineStr">
        <is>
          <t>[252022] Senterada</t>
        </is>
      </c>
      <c r="B776" s="42" t="inlineStr">
        <is>
          <t>252022</t>
        </is>
      </c>
      <c r="C776" s="38" t="inlineStr">
        <is>
          <t>Senterada</t>
        </is>
      </c>
      <c r="D776" s="38" t="n">
        <v>350</v>
      </c>
      <c r="E776" s="38" t="n">
        <v>66</v>
      </c>
      <c r="F776" s="38" t="n">
        <v>284</v>
      </c>
      <c r="H776" s="38" t="inlineStr">
        <is>
          <t>Total habitatges familiars; principal i no principal provenen de les categories publicades</t>
        </is>
      </c>
    </row>
    <row r="777" ht="15" customHeight="1" s="39">
      <c r="A777" s="38" t="inlineStr">
        <is>
          <t>[250352] Sentiu de Sió, la</t>
        </is>
      </c>
      <c r="B777" s="42" t="inlineStr">
        <is>
          <t>250352</t>
        </is>
      </c>
      <c r="C777" s="38" t="inlineStr">
        <is>
          <t>Sentiu de Sió, la</t>
        </is>
      </c>
      <c r="D777" s="38" t="n">
        <v>284</v>
      </c>
      <c r="E777" s="38" t="n">
        <v>177</v>
      </c>
      <c r="F777" s="38" t="n">
        <v>107</v>
      </c>
      <c r="H777" s="38" t="inlineStr">
        <is>
          <t>Total habitatges familiars; principal i no principal provenen de les categories publicades</t>
        </is>
      </c>
    </row>
    <row r="778" ht="15" customHeight="1" s="39">
      <c r="A778" s="38" t="inlineStr">
        <is>
          <t>[082671] Sentmenat</t>
        </is>
      </c>
      <c r="B778" s="42" t="inlineStr">
        <is>
          <t>082671</t>
        </is>
      </c>
      <c r="C778" s="38" t="inlineStr">
        <is>
          <t>Sentmenat</t>
        </is>
      </c>
      <c r="D778" s="38" t="n">
        <v>3990</v>
      </c>
      <c r="E778" s="38" t="n">
        <v>3350</v>
      </c>
      <c r="F778" s="38" t="n">
        <v>640</v>
      </c>
      <c r="H778" s="38" t="inlineStr">
        <is>
          <t>Total habitatges familiars; principal i no principal provenen de les categories publicades</t>
        </is>
      </c>
    </row>
    <row r="779" ht="15" customHeight="1" s="39">
      <c r="A779" s="38" t="inlineStr">
        <is>
          <t>[171903] Serinyà</t>
        </is>
      </c>
      <c r="B779" s="42" t="inlineStr">
        <is>
          <t>171903</t>
        </is>
      </c>
      <c r="C779" s="38" t="inlineStr">
        <is>
          <t>Serinyà</t>
        </is>
      </c>
      <c r="D779" s="38" t="n">
        <v>520</v>
      </c>
      <c r="E779" s="38" t="n">
        <v>410</v>
      </c>
      <c r="F779" s="38" t="n">
        <v>110</v>
      </c>
      <c r="H779" s="38" t="inlineStr">
        <is>
          <t>Total habitatges familiars; principal i no principal provenen de les categories publicades</t>
        </is>
      </c>
    </row>
    <row r="780" ht="15" customHeight="1" s="39">
      <c r="A780" s="38" t="inlineStr">
        <is>
          <t>[252043] Seròs</t>
        </is>
      </c>
      <c r="B780" s="42" t="inlineStr">
        <is>
          <t>252043</t>
        </is>
      </c>
      <c r="C780" s="38" t="inlineStr">
        <is>
          <t>Seròs</t>
        </is>
      </c>
      <c r="D780" s="38" t="n">
        <v>951</v>
      </c>
      <c r="E780" s="38" t="n">
        <v>674</v>
      </c>
      <c r="F780" s="38" t="n">
        <v>277</v>
      </c>
      <c r="H780" s="38" t="inlineStr">
        <is>
          <t>Total habitatges familiars; principal i no principal provenen de les categories publicades</t>
        </is>
      </c>
    </row>
    <row r="781" ht="15" customHeight="1" s="39">
      <c r="A781" s="38" t="inlineStr">
        <is>
          <t>[171910] Serra de Daró</t>
        </is>
      </c>
      <c r="B781" s="42" t="inlineStr">
        <is>
          <t>171910</t>
        </is>
      </c>
      <c r="C781" s="38" t="inlineStr">
        <is>
          <t>Serra de Daró</t>
        </is>
      </c>
      <c r="D781" s="38" t="n">
        <v>150</v>
      </c>
      <c r="E781" s="38" t="n">
        <v>77</v>
      </c>
      <c r="F781" s="38" t="n">
        <v>73</v>
      </c>
      <c r="H781" s="38" t="inlineStr">
        <is>
          <t>Total habitatges familiars; principal i no principal provenen de les categories publicades</t>
        </is>
      </c>
    </row>
    <row r="782" ht="15" customHeight="1" s="39">
      <c r="A782" s="38" t="inlineStr">
        <is>
          <t>[171925] Setcases</t>
        </is>
      </c>
      <c r="B782" s="42" t="inlineStr">
        <is>
          <t>171925</t>
        </is>
      </c>
      <c r="C782" s="38" t="inlineStr">
        <is>
          <t>Setcases</t>
        </is>
      </c>
      <c r="D782" s="38" t="n">
        <v>412</v>
      </c>
      <c r="E782" s="38" t="n">
        <v>80</v>
      </c>
      <c r="F782" s="38" t="n">
        <v>332</v>
      </c>
      <c r="H782" s="38" t="inlineStr">
        <is>
          <t>Total habitatges familiars; principal i no principal provenen de les categories publicades</t>
        </is>
      </c>
    </row>
    <row r="783" ht="15" customHeight="1" s="39">
      <c r="A783" s="38" t="inlineStr">
        <is>
          <t>[252038] Seu d'Urgell, la</t>
        </is>
      </c>
      <c r="B783" s="42" t="inlineStr">
        <is>
          <t>252038</t>
        </is>
      </c>
      <c r="C783" s="38" t="inlineStr">
        <is>
          <t>Seu d'Urgell, la</t>
        </is>
      </c>
      <c r="D783" s="38" t="n">
        <v>7482</v>
      </c>
      <c r="E783" s="38" t="n">
        <v>5075</v>
      </c>
      <c r="F783" s="38" t="n">
        <v>2407</v>
      </c>
      <c r="H783" s="38" t="inlineStr">
        <is>
          <t>Total habitatges familiars; principal i no principal provenen de les categories publicades</t>
        </is>
      </c>
    </row>
    <row r="784" ht="15" customHeight="1" s="39">
      <c r="A784" s="38" t="inlineStr">
        <is>
          <t>[082690] Seva</t>
        </is>
      </c>
      <c r="B784" s="42" t="inlineStr">
        <is>
          <t>082690</t>
        </is>
      </c>
      <c r="C784" s="38" t="inlineStr">
        <is>
          <t>Seva</t>
        </is>
      </c>
      <c r="D784" s="38" t="n">
        <v>1912</v>
      </c>
      <c r="E784" s="38" t="n">
        <v>1407</v>
      </c>
      <c r="F784" s="38" t="n">
        <v>505</v>
      </c>
      <c r="H784" s="38" t="inlineStr">
        <is>
          <t>Total habitatges familiars; principal i no principal provenen de les categories publicades</t>
        </is>
      </c>
    </row>
    <row r="785" ht="15" customHeight="1" s="39">
      <c r="A785" s="38" t="inlineStr">
        <is>
          <t>[252056] Sidamon</t>
        </is>
      </c>
      <c r="B785" s="42" t="inlineStr">
        <is>
          <t>252056</t>
        </is>
      </c>
      <c r="C785" s="38" t="inlineStr">
        <is>
          <t>Sidamon</t>
        </is>
      </c>
      <c r="D785" s="38" t="n">
        <v>362</v>
      </c>
      <c r="E785" s="38" t="n">
        <v>277</v>
      </c>
      <c r="F785" s="38" t="n">
        <v>85</v>
      </c>
      <c r="H785" s="38" t="inlineStr">
        <is>
          <t>Total habitatges familiars; principal i no principal provenen de les categories publicades</t>
        </is>
      </c>
    </row>
    <row r="786" ht="15" customHeight="1" s="39">
      <c r="A786" s="38" t="inlineStr">
        <is>
          <t>[171931] Sils</t>
        </is>
      </c>
      <c r="B786" s="42" t="inlineStr">
        <is>
          <t>171931</t>
        </is>
      </c>
      <c r="C786" s="38" t="inlineStr">
        <is>
          <t>Sils</t>
        </is>
      </c>
      <c r="D786" s="38" t="n">
        <v>3099</v>
      </c>
      <c r="E786" s="38" t="n">
        <v>2349</v>
      </c>
      <c r="F786" s="38" t="n">
        <v>750</v>
      </c>
      <c r="H786" s="38" t="inlineStr">
        <is>
          <t>Total habitatges familiars; principal i no principal provenen de les categories publicades</t>
        </is>
      </c>
    </row>
    <row r="787" ht="15" customHeight="1" s="39">
      <c r="A787" s="38" t="inlineStr">
        <is>
          <t>[082704] Sitges</t>
        </is>
      </c>
      <c r="B787" s="42" t="inlineStr">
        <is>
          <t>082704</t>
        </is>
      </c>
      <c r="C787" s="38" t="inlineStr">
        <is>
          <t>Sitges</t>
        </is>
      </c>
      <c r="D787" s="38" t="n">
        <v>19230</v>
      </c>
      <c r="E787" s="38" t="n">
        <v>12862</v>
      </c>
      <c r="F787" s="38" t="n">
        <v>6368</v>
      </c>
      <c r="H787" s="38" t="inlineStr">
        <is>
          <t>Total habitatges familiars; principal i no principal provenen de les categories publicades</t>
        </is>
      </c>
    </row>
    <row r="788" ht="15" customHeight="1" s="39">
      <c r="A788" s="38" t="inlineStr">
        <is>
          <t>[170524] Siurana</t>
        </is>
      </c>
      <c r="B788" s="42" t="inlineStr">
        <is>
          <t>170524</t>
        </is>
      </c>
      <c r="C788" s="38" t="inlineStr">
        <is>
          <t>Siurana</t>
        </is>
      </c>
      <c r="D788" s="38" t="n">
        <v>89</v>
      </c>
      <c r="E788" s="38" t="n">
        <v>62</v>
      </c>
      <c r="F788" s="38" t="n">
        <v>27</v>
      </c>
      <c r="H788" s="38" t="inlineStr">
        <is>
          <t>Total habitatges familiars; principal i no principal provenen de les categories publicades</t>
        </is>
      </c>
    </row>
    <row r="789" ht="15" customHeight="1" s="39">
      <c r="A789" s="38" t="inlineStr">
        <is>
          <t>[082711] Sobremunt</t>
        </is>
      </c>
      <c r="B789" s="42" t="inlineStr">
        <is>
          <t>082711</t>
        </is>
      </c>
      <c r="C789" s="38" t="inlineStr">
        <is>
          <t>Sobremunt</t>
        </is>
      </c>
      <c r="D789" s="38" t="n">
        <v>58</v>
      </c>
      <c r="E789" s="38" t="n">
        <v>28</v>
      </c>
      <c r="F789" s="38" t="n">
        <v>30</v>
      </c>
      <c r="H789" s="38" t="inlineStr">
        <is>
          <t>Total habitatges familiars; principal i no principal provenen de les categories publicades</t>
        </is>
      </c>
    </row>
    <row r="790" ht="15" customHeight="1" s="39">
      <c r="A790" s="38" t="inlineStr">
        <is>
          <t>[252069] Soleràs, el</t>
        </is>
      </c>
      <c r="B790" s="42" t="inlineStr">
        <is>
          <t>252069</t>
        </is>
      </c>
      <c r="C790" s="38" t="inlineStr">
        <is>
          <t>Soleràs, el</t>
        </is>
      </c>
      <c r="D790" s="38" t="n">
        <v>222</v>
      </c>
      <c r="E790" s="38" t="n">
        <v>139</v>
      </c>
      <c r="F790" s="38" t="n">
        <v>83</v>
      </c>
      <c r="H790" s="38" t="inlineStr">
        <is>
          <t>Total habitatges familiars; principal i no principal provenen de les categories publicades</t>
        </is>
      </c>
    </row>
    <row r="791" ht="15" customHeight="1" s="39">
      <c r="A791" s="38" t="inlineStr">
        <is>
          <t>[431476] Solivella</t>
        </is>
      </c>
      <c r="B791" s="42" t="inlineStr">
        <is>
          <t>431476</t>
        </is>
      </c>
      <c r="C791" s="38" t="inlineStr">
        <is>
          <t>Solivella</t>
        </is>
      </c>
      <c r="D791" s="38" t="n">
        <v>492</v>
      </c>
      <c r="E791" s="38" t="n">
        <v>258</v>
      </c>
      <c r="F791" s="38" t="n">
        <v>234</v>
      </c>
      <c r="H791" s="38" t="inlineStr">
        <is>
          <t>Total habitatges familiars; principal i no principal provenen de les categories publicades</t>
        </is>
      </c>
    </row>
    <row r="792" ht="15" customHeight="1" s="39">
      <c r="A792" s="38" t="inlineStr">
        <is>
          <t>[252075] Solsona</t>
        </is>
      </c>
      <c r="B792" s="42" t="inlineStr">
        <is>
          <t>252075</t>
        </is>
      </c>
      <c r="C792" s="38" t="inlineStr">
        <is>
          <t>Solsona</t>
        </is>
      </c>
      <c r="D792" s="38" t="n">
        <v>5146</v>
      </c>
      <c r="E792" s="38" t="n">
        <v>3693</v>
      </c>
      <c r="F792" s="38" t="n">
        <v>1453</v>
      </c>
      <c r="H792" s="38" t="inlineStr">
        <is>
          <t>Total habitatges familiars; principal i no principal provenen de les categories publicades</t>
        </is>
      </c>
    </row>
    <row r="793" ht="15" customHeight="1" s="39">
      <c r="A793" s="38" t="inlineStr">
        <is>
          <t>[082726] Sora</t>
        </is>
      </c>
      <c r="B793" s="42" t="inlineStr">
        <is>
          <t>082726</t>
        </is>
      </c>
      <c r="C793" s="38" t="inlineStr">
        <is>
          <t>Sora</t>
        </is>
      </c>
      <c r="D793" s="38" t="n">
        <v>143</v>
      </c>
      <c r="E793" s="38" t="n">
        <v>79</v>
      </c>
      <c r="F793" s="38" t="n">
        <v>64</v>
      </c>
      <c r="H793" s="38" t="inlineStr">
        <is>
          <t>Total habitatges familiars; principal i no principal provenen de les categories publicades</t>
        </is>
      </c>
    </row>
    <row r="794" ht="15" customHeight="1" s="39">
      <c r="A794" s="38" t="inlineStr">
        <is>
          <t>[252081] Soriguera</t>
        </is>
      </c>
      <c r="B794" s="42" t="inlineStr">
        <is>
          <t>252081</t>
        </is>
      </c>
      <c r="C794" s="38" t="inlineStr">
        <is>
          <t>Soriguera</t>
        </is>
      </c>
      <c r="D794" s="38" t="n">
        <v>378</v>
      </c>
      <c r="E794" s="38" t="n">
        <v>188</v>
      </c>
      <c r="F794" s="38" t="n">
        <v>190</v>
      </c>
      <c r="H794" s="38" t="inlineStr">
        <is>
          <t>Total habitatges familiars; principal i no principal provenen de les categories publicades</t>
        </is>
      </c>
    </row>
    <row r="795" ht="15" customHeight="1" s="39">
      <c r="A795" s="38" t="inlineStr">
        <is>
          <t>[252094] Sort</t>
        </is>
      </c>
      <c r="B795" s="42" t="inlineStr">
        <is>
          <t>252094</t>
        </is>
      </c>
      <c r="C795" s="38" t="inlineStr">
        <is>
          <t>Sort</t>
        </is>
      </c>
      <c r="D795" s="38" t="n">
        <v>2197</v>
      </c>
      <c r="E795" s="38" t="n">
        <v>979</v>
      </c>
      <c r="F795" s="38" t="n">
        <v>1218</v>
      </c>
      <c r="H795" s="38" t="inlineStr">
        <is>
          <t>Total habitatges familiars; principal i no principal provenen de les categories publicades</t>
        </is>
      </c>
    </row>
    <row r="796" ht="15" customHeight="1" s="39">
      <c r="A796" s="38" t="inlineStr">
        <is>
          <t>[252108] Soses</t>
        </is>
      </c>
      <c r="B796" s="42" t="inlineStr">
        <is>
          <t>252108</t>
        </is>
      </c>
      <c r="C796" s="38" t="inlineStr">
        <is>
          <t>Soses</t>
        </is>
      </c>
      <c r="D796" s="38" t="n">
        <v>779</v>
      </c>
      <c r="E796" s="38" t="n">
        <v>612</v>
      </c>
      <c r="F796" s="38" t="n">
        <v>167</v>
      </c>
      <c r="H796" s="38" t="inlineStr">
        <is>
          <t>Total habitatges familiars; principal i no principal provenen de les categories publicades</t>
        </is>
      </c>
    </row>
    <row r="797" ht="15" customHeight="1" s="39">
      <c r="A797" s="38" t="inlineStr">
        <is>
          <t>[082732] Subirats</t>
        </is>
      </c>
      <c r="B797" s="42" t="inlineStr">
        <is>
          <t>082732</t>
        </is>
      </c>
      <c r="C797" s="38" t="inlineStr">
        <is>
          <t>Subirats</t>
        </is>
      </c>
      <c r="D797" s="38" t="n">
        <v>1680</v>
      </c>
      <c r="E797" s="38" t="n">
        <v>1167</v>
      </c>
      <c r="F797" s="38" t="n">
        <v>513</v>
      </c>
      <c r="H797" s="38" t="inlineStr">
        <is>
          <t>Total habitatges familiars; principal i no principal provenen de les categories publicades</t>
        </is>
      </c>
    </row>
    <row r="798" ht="15" customHeight="1" s="39">
      <c r="A798" s="38" t="inlineStr">
        <is>
          <t>[252115] Sudanell</t>
        </is>
      </c>
      <c r="B798" s="42" t="inlineStr">
        <is>
          <t>252115</t>
        </is>
      </c>
      <c r="C798" s="38" t="inlineStr">
        <is>
          <t>Sudanell</t>
        </is>
      </c>
      <c r="D798" s="38" t="n">
        <v>493</v>
      </c>
      <c r="E798" s="38" t="n">
        <v>316</v>
      </c>
      <c r="F798" s="38" t="n">
        <v>177</v>
      </c>
      <c r="H798" s="38" t="inlineStr">
        <is>
          <t>Total habitatges familiars; principal i no principal provenen de les categories publicades</t>
        </is>
      </c>
    </row>
    <row r="799" ht="15" customHeight="1" s="39">
      <c r="A799" s="38" t="inlineStr">
        <is>
          <t>[252120] Sunyer</t>
        </is>
      </c>
      <c r="B799" s="42" t="inlineStr">
        <is>
          <t>252120</t>
        </is>
      </c>
      <c r="C799" s="38" t="inlineStr">
        <is>
          <t>Sunyer</t>
        </is>
      </c>
      <c r="D799" s="38" t="n">
        <v>183</v>
      </c>
      <c r="E799" s="38" t="n">
        <v>128</v>
      </c>
      <c r="F799" s="38" t="n">
        <v>55</v>
      </c>
      <c r="H799" s="38" t="inlineStr">
        <is>
          <t>Total habitatges familiars; principal i no principal provenen de les categories publicades</t>
        </is>
      </c>
    </row>
    <row r="800" ht="15" customHeight="1" s="39">
      <c r="A800" s="38" t="inlineStr">
        <is>
          <t>[082747] Súria</t>
        </is>
      </c>
      <c r="B800" s="42" t="inlineStr">
        <is>
          <t>082747</t>
        </is>
      </c>
      <c r="C800" s="38" t="inlineStr">
        <is>
          <t>Súria</t>
        </is>
      </c>
      <c r="D800" s="38" t="n">
        <v>2905</v>
      </c>
      <c r="E800" s="38" t="n">
        <v>2328</v>
      </c>
      <c r="F800" s="38" t="n">
        <v>577</v>
      </c>
      <c r="H800" s="38" t="inlineStr">
        <is>
          <t>Total habitatges familiars; principal i no principal provenen de les categories publicades</t>
        </is>
      </c>
    </row>
    <row r="801" ht="15" customHeight="1" s="39">
      <c r="A801" s="38" t="inlineStr">
        <is>
          <t>[171946] Susqueda</t>
        </is>
      </c>
      <c r="B801" s="42" t="inlineStr">
        <is>
          <t>171946</t>
        </is>
      </c>
      <c r="C801" s="38" t="inlineStr">
        <is>
          <t>Susqueda</t>
        </is>
      </c>
      <c r="D801" s="38" t="n">
        <v>117</v>
      </c>
      <c r="E801" s="38" t="n">
        <v>43</v>
      </c>
      <c r="F801" s="38" t="n">
        <v>74</v>
      </c>
      <c r="H801" s="38" t="inlineStr">
        <is>
          <t>Total habitatges familiars; principal i no principal provenen de les categories publicades</t>
        </is>
      </c>
    </row>
    <row r="802" ht="15" customHeight="1" s="39">
      <c r="A802" s="38" t="inlineStr">
        <is>
          <t>[082763] Tagamanent</t>
        </is>
      </c>
      <c r="B802" s="42" t="inlineStr">
        <is>
          <t>082763</t>
        </is>
      </c>
      <c r="C802" s="38" t="inlineStr">
        <is>
          <t>Tagamanent</t>
        </is>
      </c>
      <c r="D802" s="38" t="n">
        <v>181</v>
      </c>
      <c r="E802" s="38" t="n">
        <v>125</v>
      </c>
      <c r="F802" s="38" t="n">
        <v>56</v>
      </c>
      <c r="H802" s="38" t="inlineStr">
        <is>
          <t>Total habitatges familiars; principal i no principal provenen de les categories publicades</t>
        </is>
      </c>
    </row>
    <row r="803" ht="15" customHeight="1" s="39">
      <c r="A803" s="38" t="inlineStr">
        <is>
          <t>[082779] Talamanca</t>
        </is>
      </c>
      <c r="B803" s="42" t="inlineStr">
        <is>
          <t>082779</t>
        </is>
      </c>
      <c r="C803" s="38" t="inlineStr">
        <is>
          <t>Talamanca</t>
        </is>
      </c>
      <c r="D803" s="38" t="n">
        <v>244</v>
      </c>
      <c r="E803" s="38" t="n">
        <v>95</v>
      </c>
      <c r="F803" s="38" t="n">
        <v>149</v>
      </c>
      <c r="H803" s="38" t="inlineStr">
        <is>
          <t>Total habitatges familiars; principal i no principal provenen de les categories publicades</t>
        </is>
      </c>
    </row>
    <row r="804" ht="15" customHeight="1" s="39">
      <c r="A804" s="38" t="inlineStr">
        <is>
          <t>[252154] Talarn</t>
        </is>
      </c>
      <c r="B804" s="42" t="inlineStr">
        <is>
          <t>252154</t>
        </is>
      </c>
      <c r="C804" s="38" t="inlineStr">
        <is>
          <t>Talarn</t>
        </is>
      </c>
      <c r="D804" s="38" t="n">
        <v>349</v>
      </c>
      <c r="E804" s="38" t="n">
        <v>157</v>
      </c>
      <c r="F804" s="38" t="n">
        <v>192</v>
      </c>
      <c r="H804" s="38" t="inlineStr">
        <is>
          <t>Total habitatges familiars; principal i no principal provenen de les categories publicades</t>
        </is>
      </c>
    </row>
    <row r="805" ht="15" customHeight="1" s="39">
      <c r="A805" s="38" t="inlineStr">
        <is>
          <t>[252167] Talavera</t>
        </is>
      </c>
      <c r="B805" s="42" t="inlineStr">
        <is>
          <t>252167</t>
        </is>
      </c>
      <c r="C805" s="38" t="inlineStr">
        <is>
          <t>Talavera</t>
        </is>
      </c>
      <c r="D805" s="38" t="n">
        <v>179</v>
      </c>
      <c r="E805" s="38" t="n">
        <v>96</v>
      </c>
      <c r="F805" s="38" t="n">
        <v>83</v>
      </c>
      <c r="H805" s="38" t="inlineStr">
        <is>
          <t>Total habitatges familiars; principal i no principal provenen de les categories publicades</t>
        </is>
      </c>
    </row>
    <row r="806" ht="15" customHeight="1" s="39">
      <c r="A806" s="38" t="inlineStr">
        <is>
          <t>[171959] Tallada d'Empordà, la</t>
        </is>
      </c>
      <c r="B806" s="42" t="inlineStr">
        <is>
          <t>171959</t>
        </is>
      </c>
      <c r="C806" s="38" t="inlineStr">
        <is>
          <t>Tallada d'Empordà, la</t>
        </is>
      </c>
      <c r="D806" s="38" t="n">
        <v>306</v>
      </c>
      <c r="E806" s="38" t="n">
        <v>186</v>
      </c>
      <c r="F806" s="38" t="n">
        <v>120</v>
      </c>
      <c r="H806" s="38" t="inlineStr">
        <is>
          <t>Total habitatges familiars; principal i no principal provenen de les categories publicades</t>
        </is>
      </c>
    </row>
    <row r="807" ht="15" customHeight="1" s="39">
      <c r="A807" s="38" t="inlineStr">
        <is>
          <t>[082785] Taradell</t>
        </is>
      </c>
      <c r="B807" s="42" t="inlineStr">
        <is>
          <t>082785</t>
        </is>
      </c>
      <c r="C807" s="38" t="inlineStr">
        <is>
          <t>Taradell</t>
        </is>
      </c>
      <c r="D807" s="38" t="n">
        <v>2948</v>
      </c>
      <c r="E807" s="38" t="n">
        <v>2431</v>
      </c>
      <c r="F807" s="38" t="n">
        <v>517</v>
      </c>
      <c r="H807" s="38" t="inlineStr">
        <is>
          <t>Total habitatges familiars; principal i no principal provenen de les categories publicades</t>
        </is>
      </c>
    </row>
    <row r="808" ht="15" customHeight="1" s="39">
      <c r="A808" s="38" t="inlineStr">
        <is>
          <t>[431482] Tarragona</t>
        </is>
      </c>
      <c r="B808" s="42" t="inlineStr">
        <is>
          <t>431482</t>
        </is>
      </c>
      <c r="C808" s="38" t="inlineStr">
        <is>
          <t>Tarragona</t>
        </is>
      </c>
      <c r="D808" s="38" t="n">
        <v>67200</v>
      </c>
      <c r="E808" s="38" t="n">
        <v>53551</v>
      </c>
      <c r="F808" s="38" t="n">
        <v>13649</v>
      </c>
      <c r="H808" s="38" t="inlineStr">
        <is>
          <t>Total habitatges familiars; principal i no principal provenen de les categories publicades</t>
        </is>
      </c>
    </row>
    <row r="809" ht="15" customHeight="1" s="39">
      <c r="A809" s="38" t="inlineStr">
        <is>
          <t>[252173] Tàrrega</t>
        </is>
      </c>
      <c r="B809" s="42" t="inlineStr">
        <is>
          <t>252173</t>
        </is>
      </c>
      <c r="C809" s="38" t="inlineStr">
        <is>
          <t>Tàrrega</t>
        </is>
      </c>
      <c r="D809" s="38" t="n">
        <v>8832</v>
      </c>
      <c r="E809" s="38" t="n">
        <v>6612</v>
      </c>
      <c r="F809" s="38" t="n">
        <v>2220</v>
      </c>
      <c r="H809" s="38" t="inlineStr">
        <is>
          <t>Total habitatges familiars; principal i no principal provenen de les categories publicades</t>
        </is>
      </c>
    </row>
    <row r="810" ht="15" customHeight="1" s="39">
      <c r="A810" s="38" t="inlineStr">
        <is>
          <t>[252189] Tarrés</t>
        </is>
      </c>
      <c r="B810" s="42" t="inlineStr">
        <is>
          <t>252189</t>
        </is>
      </c>
      <c r="C810" s="38" t="inlineStr">
        <is>
          <t>Tarrés</t>
        </is>
      </c>
      <c r="D810" s="38" t="n">
        <v>110</v>
      </c>
      <c r="E810" s="38" t="n">
        <v>46</v>
      </c>
      <c r="F810" s="38" t="n">
        <v>64</v>
      </c>
      <c r="H810" s="38" t="inlineStr">
        <is>
          <t>Total habitatges familiars; principal i no principal provenen de les categories publicades</t>
        </is>
      </c>
    </row>
    <row r="811" ht="15" customHeight="1" s="39">
      <c r="A811" s="38" t="inlineStr">
        <is>
          <t>[252192] Tarroja de Segarra</t>
        </is>
      </c>
      <c r="B811" s="42" t="inlineStr">
        <is>
          <t>252192</t>
        </is>
      </c>
      <c r="C811" s="38" t="inlineStr">
        <is>
          <t>Tarroja de Segarra</t>
        </is>
      </c>
      <c r="D811" s="38" t="n">
        <v>129</v>
      </c>
      <c r="E811" s="38" t="n">
        <v>72</v>
      </c>
      <c r="F811" s="38" t="n">
        <v>57</v>
      </c>
      <c r="H811" s="38" t="inlineStr">
        <is>
          <t>Total habitatges familiars; principal i no principal provenen de les categories publicades</t>
        </is>
      </c>
    </row>
    <row r="812" ht="15" customHeight="1" s="39">
      <c r="A812" s="38" t="inlineStr">
        <is>
          <t>[082750] Tavèrnoles</t>
        </is>
      </c>
      <c r="B812" s="42" t="inlineStr">
        <is>
          <t>082750</t>
        </is>
      </c>
      <c r="C812" s="38" t="inlineStr">
        <is>
          <t>Tavèrnoles</t>
        </is>
      </c>
      <c r="D812" s="38" t="n">
        <v>173</v>
      </c>
      <c r="E812" s="38" t="n">
        <v>115</v>
      </c>
      <c r="F812" s="38" t="n">
        <v>58</v>
      </c>
      <c r="H812" s="38" t="inlineStr">
        <is>
          <t>Total habitatges familiars; principal i no principal provenen de les categories publicades</t>
        </is>
      </c>
    </row>
    <row r="813" ht="15" customHeight="1" s="39">
      <c r="A813" s="38" t="inlineStr">
        <is>
          <t>[082802] Tavertet</t>
        </is>
      </c>
      <c r="B813" s="42" t="inlineStr">
        <is>
          <t>082802</t>
        </is>
      </c>
      <c r="C813" s="38" t="inlineStr">
        <is>
          <t>Tavertet</t>
        </is>
      </c>
      <c r="D813" s="38" t="n">
        <v>194</v>
      </c>
      <c r="E813" s="38" t="n">
        <v>55</v>
      </c>
      <c r="F813" s="38" t="n">
        <v>139</v>
      </c>
      <c r="H813" s="38" t="inlineStr">
        <is>
          <t>Total habitatges familiars; principal i no principal provenen de les categories publicades</t>
        </is>
      </c>
    </row>
    <row r="814" ht="15" customHeight="1" s="39">
      <c r="A814" s="38" t="inlineStr">
        <is>
          <t>[082819] Teià</t>
        </is>
      </c>
      <c r="B814" s="42" t="inlineStr">
        <is>
          <t>082819</t>
        </is>
      </c>
      <c r="C814" s="38" t="inlineStr">
        <is>
          <t>Teià</t>
        </is>
      </c>
      <c r="D814" s="38" t="n">
        <v>2693</v>
      </c>
      <c r="E814" s="38" t="n">
        <v>2325</v>
      </c>
      <c r="F814" s="38" t="n">
        <v>368</v>
      </c>
      <c r="H814" s="38" t="inlineStr">
        <is>
          <t>Total habitatges familiars; principal i no principal provenen de les categories publicades</t>
        </is>
      </c>
    </row>
    <row r="815" ht="15" customHeight="1" s="39">
      <c r="A815" s="38" t="inlineStr">
        <is>
          <t>[252206] Térmens</t>
        </is>
      </c>
      <c r="B815" s="42" t="inlineStr">
        <is>
          <t>252206</t>
        </is>
      </c>
      <c r="C815" s="38" t="inlineStr">
        <is>
          <t>Térmens</t>
        </is>
      </c>
      <c r="D815" s="38" t="n">
        <v>702</v>
      </c>
      <c r="E815" s="38" t="n">
        <v>476</v>
      </c>
      <c r="F815" s="38" t="n">
        <v>226</v>
      </c>
      <c r="H815" s="38" t="inlineStr">
        <is>
          <t>Total habitatges familiars; principal i no principal provenen de les categories publicades</t>
        </is>
      </c>
    </row>
    <row r="816" ht="15" customHeight="1" s="39">
      <c r="A816" s="38" t="inlineStr">
        <is>
          <t>[171962] Terrades</t>
        </is>
      </c>
      <c r="B816" s="42" t="inlineStr">
        <is>
          <t>171962</t>
        </is>
      </c>
      <c r="C816" s="38" t="inlineStr">
        <is>
          <t>Terrades</t>
        </is>
      </c>
      <c r="D816" s="38" t="n">
        <v>186</v>
      </c>
      <c r="E816" s="38" t="n">
        <v>109</v>
      </c>
      <c r="F816" s="38" t="n">
        <v>77</v>
      </c>
      <c r="H816" s="38" t="inlineStr">
        <is>
          <t>Total habitatges familiars; principal i no principal provenen de les categories publicades</t>
        </is>
      </c>
    </row>
    <row r="817" ht="15" customHeight="1" s="39">
      <c r="A817" s="38" t="inlineStr">
        <is>
          <t>[082798] Terrassa</t>
        </is>
      </c>
      <c r="B817" s="42" t="inlineStr">
        <is>
          <t>082798</t>
        </is>
      </c>
      <c r="C817" s="38" t="inlineStr">
        <is>
          <t>Terrassa</t>
        </is>
      </c>
      <c r="D817" s="38" t="n">
        <v>101134</v>
      </c>
      <c r="E817" s="38" t="n">
        <v>84791</v>
      </c>
      <c r="F817" s="38" t="n">
        <v>16343</v>
      </c>
      <c r="H817" s="38" t="inlineStr">
        <is>
          <t>Total habitatges familiars; principal i no principal provenen de les categories publicades</t>
        </is>
      </c>
    </row>
    <row r="818" ht="15" customHeight="1" s="39">
      <c r="A818" s="38" t="inlineStr">
        <is>
          <t>[082824] Tiana</t>
        </is>
      </c>
      <c r="B818" s="42" t="inlineStr">
        <is>
          <t>082824</t>
        </is>
      </c>
      <c r="C818" s="38" t="inlineStr">
        <is>
          <t>Tiana</t>
        </is>
      </c>
      <c r="D818" s="38" t="n">
        <v>3436</v>
      </c>
      <c r="E818" s="38" t="n">
        <v>3110</v>
      </c>
      <c r="F818" s="38" t="n">
        <v>326</v>
      </c>
      <c r="H818" s="38" t="inlineStr">
        <is>
          <t>Total habitatges familiars; principal i no principal provenen de les categories publicades</t>
        </is>
      </c>
    </row>
    <row r="819" ht="15" customHeight="1" s="39">
      <c r="A819" s="38" t="inlineStr">
        <is>
          <t>[252213] Tírvia</t>
        </is>
      </c>
      <c r="B819" s="42" t="inlineStr">
        <is>
          <t>252213</t>
        </is>
      </c>
      <c r="C819" s="38" t="inlineStr">
        <is>
          <t>Tírvia</t>
        </is>
      </c>
      <c r="D819" s="38" t="n">
        <v>143</v>
      </c>
      <c r="E819" s="38" t="n">
        <v>61</v>
      </c>
      <c r="F819" s="38" t="n">
        <v>82</v>
      </c>
      <c r="H819" s="38" t="inlineStr">
        <is>
          <t>Total habitatges familiars; principal i no principal provenen de les categories publicades</t>
        </is>
      </c>
    </row>
    <row r="820" ht="15" customHeight="1" s="39">
      <c r="A820" s="38" t="inlineStr">
        <is>
          <t>[252228] Tiurana</t>
        </is>
      </c>
      <c r="B820" s="42" t="inlineStr">
        <is>
          <t>252228</t>
        </is>
      </c>
      <c r="C820" s="38" t="inlineStr">
        <is>
          <t>Tiurana</t>
        </is>
      </c>
      <c r="D820" s="38" t="n">
        <v>32</v>
      </c>
      <c r="E820" s="38" t="n">
        <v>29</v>
      </c>
      <c r="F820" s="38" t="n">
        <v>3</v>
      </c>
      <c r="H820" s="38" t="inlineStr">
        <is>
          <t>Total habitatges familiars; principal i no principal provenen de les categories publicades</t>
        </is>
      </c>
    </row>
    <row r="821" ht="15" customHeight="1" s="39">
      <c r="A821" s="38" t="inlineStr">
        <is>
          <t>[431495] Tivenys</t>
        </is>
      </c>
      <c r="B821" s="42" t="inlineStr">
        <is>
          <t>431495</t>
        </is>
      </c>
      <c r="C821" s="38" t="inlineStr">
        <is>
          <t>Tivenys</t>
        </is>
      </c>
      <c r="D821" s="38" t="n">
        <v>668</v>
      </c>
      <c r="E821" s="38" t="n">
        <v>367</v>
      </c>
      <c r="F821" s="38" t="n">
        <v>301</v>
      </c>
      <c r="H821" s="38" t="inlineStr">
        <is>
          <t>Total habitatges familiars; principal i no principal provenen de les categories publicades</t>
        </is>
      </c>
    </row>
    <row r="822" ht="15" customHeight="1" s="39">
      <c r="A822" s="38" t="inlineStr">
        <is>
          <t>[431508] Tivissa</t>
        </is>
      </c>
      <c r="B822" s="42" t="inlineStr">
        <is>
          <t>431508</t>
        </is>
      </c>
      <c r="C822" s="38" t="inlineStr">
        <is>
          <t>Tivissa</t>
        </is>
      </c>
      <c r="D822" s="38" t="n">
        <v>1239</v>
      </c>
      <c r="E822" s="38" t="n">
        <v>661</v>
      </c>
      <c r="F822" s="38" t="n">
        <v>578</v>
      </c>
      <c r="H822" s="38" t="inlineStr">
        <is>
          <t>Total habitatges familiars; principal i no principal provenen de les categories publicades</t>
        </is>
      </c>
    </row>
    <row r="823" ht="15" customHeight="1" s="39">
      <c r="A823" s="38" t="inlineStr">
        <is>
          <t>[082830] Tona</t>
        </is>
      </c>
      <c r="B823" s="42" t="inlineStr">
        <is>
          <t>082830</t>
        </is>
      </c>
      <c r="C823" s="38" t="inlineStr">
        <is>
          <t>Tona</t>
        </is>
      </c>
      <c r="D823" s="38" t="n">
        <v>3605</v>
      </c>
      <c r="E823" s="38" t="n">
        <v>3036</v>
      </c>
      <c r="F823" s="38" t="n">
        <v>569</v>
      </c>
      <c r="H823" s="38" t="inlineStr">
        <is>
          <t>Total habitatges familiars; principal i no principal provenen de les categories publicades</t>
        </is>
      </c>
    </row>
    <row r="824" ht="15" customHeight="1" s="39">
      <c r="A824" s="38" t="inlineStr">
        <is>
          <t>[252234] Torà</t>
        </is>
      </c>
      <c r="B824" s="42" t="inlineStr">
        <is>
          <t>252234</t>
        </is>
      </c>
      <c r="C824" s="38" t="inlineStr">
        <is>
          <t>Torà</t>
        </is>
      </c>
      <c r="D824" s="38" t="n">
        <v>765</v>
      </c>
      <c r="E824" s="38" t="n">
        <v>491</v>
      </c>
      <c r="F824" s="38" t="n">
        <v>274</v>
      </c>
      <c r="H824" s="38" t="inlineStr">
        <is>
          <t>Total habitatges familiars; principal i no principal provenen de les categories publicades</t>
        </is>
      </c>
    </row>
    <row r="825" ht="15" customHeight="1" s="39">
      <c r="A825" s="38" t="inlineStr">
        <is>
          <t>[082845] Tordera</t>
        </is>
      </c>
      <c r="B825" s="42" t="inlineStr">
        <is>
          <t>082845</t>
        </is>
      </c>
      <c r="C825" s="38" t="inlineStr">
        <is>
          <t>Tordera</t>
        </is>
      </c>
      <c r="D825" s="38" t="n">
        <v>9628</v>
      </c>
      <c r="E825" s="38" t="n">
        <v>6841</v>
      </c>
      <c r="F825" s="38" t="n">
        <v>2787</v>
      </c>
      <c r="H825" s="38" t="inlineStr">
        <is>
          <t>Total habitatges familiars; principal i no principal provenen de les categories publicades</t>
        </is>
      </c>
    </row>
    <row r="826" ht="15" customHeight="1" s="39">
      <c r="A826" s="38" t="inlineStr">
        <is>
          <t>[082858] Torelló</t>
        </is>
      </c>
      <c r="B826" s="42" t="inlineStr">
        <is>
          <t>082858</t>
        </is>
      </c>
      <c r="C826" s="38" t="inlineStr">
        <is>
          <t>Torelló</t>
        </is>
      </c>
      <c r="D826" s="38" t="n">
        <v>6587</v>
      </c>
      <c r="E826" s="38" t="n">
        <v>5612</v>
      </c>
      <c r="F826" s="38" t="n">
        <v>975</v>
      </c>
      <c r="H826" s="38" t="inlineStr">
        <is>
          <t>Total habitatges familiars; principal i no principal provenen de les categories publicades</t>
        </is>
      </c>
    </row>
    <row r="827" ht="15" customHeight="1" s="39">
      <c r="A827" s="38" t="inlineStr">
        <is>
          <t>[252249] Torms, els</t>
        </is>
      </c>
      <c r="B827" s="42" t="inlineStr">
        <is>
          <t>252249</t>
        </is>
      </c>
      <c r="C827" s="38" t="inlineStr">
        <is>
          <t>Torms, els</t>
        </is>
      </c>
      <c r="D827" s="38" t="n">
        <v>119</v>
      </c>
      <c r="E827" s="38" t="n">
        <v>66</v>
      </c>
      <c r="F827" s="38" t="n">
        <v>53</v>
      </c>
      <c r="H827" s="38" t="inlineStr">
        <is>
          <t>Total habitatges familiars; principal i no principal provenen de les categories publicades</t>
        </is>
      </c>
    </row>
    <row r="828" ht="15" customHeight="1" s="39">
      <c r="A828" s="38" t="inlineStr">
        <is>
          <t>[252252] Tornabous</t>
        </is>
      </c>
      <c r="B828" s="42" t="inlineStr">
        <is>
          <t>252252</t>
        </is>
      </c>
      <c r="C828" s="38" t="inlineStr">
        <is>
          <t>Tornabous</t>
        </is>
      </c>
      <c r="D828" s="38" t="n">
        <v>498</v>
      </c>
      <c r="E828" s="38" t="n">
        <v>302</v>
      </c>
      <c r="F828" s="38" t="n">
        <v>196</v>
      </c>
      <c r="H828" s="38" t="inlineStr">
        <is>
          <t>Total habitatges familiars; principal i no principal provenen de les categories publicades</t>
        </is>
      </c>
    </row>
    <row r="829" ht="15" customHeight="1" s="39">
      <c r="A829" s="38" t="inlineStr">
        <is>
          <t>[252271] Torre de Cabdella, la</t>
        </is>
      </c>
      <c r="B829" s="42" t="inlineStr">
        <is>
          <t>252271</t>
        </is>
      </c>
      <c r="C829" s="38" t="inlineStr">
        <is>
          <t>Torre de Cabdella, la</t>
        </is>
      </c>
      <c r="D829" s="38" t="n">
        <v>751</v>
      </c>
      <c r="E829" s="38" t="n">
        <v>401</v>
      </c>
      <c r="F829" s="38" t="n">
        <v>350</v>
      </c>
      <c r="H829" s="38" t="inlineStr">
        <is>
          <t>Total habitatges familiars; principal i no principal provenen de les categories publicades</t>
        </is>
      </c>
    </row>
    <row r="830" ht="15" customHeight="1" s="39">
      <c r="A830" s="38" t="inlineStr">
        <is>
          <t>[082861] Torre de Claramunt, la</t>
        </is>
      </c>
      <c r="B830" s="42" t="inlineStr">
        <is>
          <t>082861</t>
        </is>
      </c>
      <c r="C830" s="38" t="inlineStr">
        <is>
          <t>Torre de Claramunt, la</t>
        </is>
      </c>
      <c r="D830" s="38" t="n">
        <v>2277</v>
      </c>
      <c r="E830" s="38" t="n">
        <v>1488</v>
      </c>
      <c r="F830" s="38" t="n">
        <v>789</v>
      </c>
      <c r="H830" s="38" t="inlineStr">
        <is>
          <t>Total habitatges familiars; principal i no principal provenen de les categories publicades</t>
        </is>
      </c>
    </row>
    <row r="831" ht="15" customHeight="1" s="39">
      <c r="A831" s="38" t="inlineStr">
        <is>
          <t>[431515] Torre de Fontaubella, la</t>
        </is>
      </c>
      <c r="B831" s="42" t="inlineStr">
        <is>
          <t>431515</t>
        </is>
      </c>
      <c r="C831" s="38" t="inlineStr">
        <is>
          <t>Torre de Fontaubella, la</t>
        </is>
      </c>
      <c r="D831" s="38" t="n">
        <v>106</v>
      </c>
      <c r="E831" s="38" t="n">
        <v>55</v>
      </c>
      <c r="F831" s="38" t="n">
        <v>51</v>
      </c>
      <c r="H831" s="38" t="inlineStr">
        <is>
          <t>Total habitatges familiars; principal i no principal provenen de les categories publicades</t>
        </is>
      </c>
    </row>
    <row r="832" ht="15" customHeight="1" s="39">
      <c r="A832" s="38" t="inlineStr">
        <is>
          <t>[431520] Torre de l'Espanyol, la</t>
        </is>
      </c>
      <c r="B832" s="42" t="inlineStr">
        <is>
          <t>431520</t>
        </is>
      </c>
      <c r="C832" s="38" t="inlineStr">
        <is>
          <t>Torre de l'Espanyol, la</t>
        </is>
      </c>
      <c r="D832" s="38" t="n">
        <v>399</v>
      </c>
      <c r="E832" s="38" t="n">
        <v>236</v>
      </c>
      <c r="F832" s="38" t="n">
        <v>163</v>
      </c>
      <c r="H832" s="38" t="inlineStr">
        <is>
          <t>Total habitatges familiars; principal i no principal provenen de les categories publicades</t>
        </is>
      </c>
    </row>
    <row r="833" ht="15" customHeight="1" s="39">
      <c r="A833" s="38" t="inlineStr">
        <is>
          <t>[252265] Torrebesses</t>
        </is>
      </c>
      <c r="B833" s="42" t="inlineStr">
        <is>
          <t>252265</t>
        </is>
      </c>
      <c r="C833" s="38" t="inlineStr">
        <is>
          <t>Torrebesses</t>
        </is>
      </c>
      <c r="D833" s="38" t="n">
        <v>227</v>
      </c>
      <c r="E833" s="38" t="n">
        <v>121</v>
      </c>
      <c r="F833" s="38" t="n">
        <v>106</v>
      </c>
      <c r="H833" s="38" t="inlineStr">
        <is>
          <t>Total habitatges familiars; principal i no principal provenen de les categories publicades</t>
        </is>
      </c>
    </row>
    <row r="834" ht="15" customHeight="1" s="39">
      <c r="A834" s="38" t="inlineStr">
        <is>
          <t>[431536] Torredembarra</t>
        </is>
      </c>
      <c r="B834" s="42" t="inlineStr">
        <is>
          <t>431536</t>
        </is>
      </c>
      <c r="C834" s="38" t="inlineStr">
        <is>
          <t>Torredembarra</t>
        </is>
      </c>
      <c r="D834" s="38" t="n">
        <v>14553</v>
      </c>
      <c r="E834" s="38" t="n">
        <v>6954</v>
      </c>
      <c r="F834" s="38" t="n">
        <v>7599</v>
      </c>
      <c r="H834" s="38" t="inlineStr">
        <is>
          <t>Total habitatges familiars; principal i no principal provenen de les categories publicades</t>
        </is>
      </c>
    </row>
    <row r="835" ht="15" customHeight="1" s="39">
      <c r="A835" s="38" t="inlineStr">
        <is>
          <t>[252287] Torrefarrera</t>
        </is>
      </c>
      <c r="B835" s="42" t="inlineStr">
        <is>
          <t>252287</t>
        </is>
      </c>
      <c r="C835" s="38" t="inlineStr">
        <is>
          <t>Torrefarrera</t>
        </is>
      </c>
      <c r="D835" s="38" t="n">
        <v>2134</v>
      </c>
      <c r="E835" s="38" t="n">
        <v>1677</v>
      </c>
      <c r="F835" s="38" t="n">
        <v>457</v>
      </c>
      <c r="H835" s="38" t="inlineStr">
        <is>
          <t>Total habitatges familiars; principal i no principal provenen de les categories publicades</t>
        </is>
      </c>
    </row>
    <row r="836" ht="15" customHeight="1" s="39">
      <c r="A836" s="38" t="inlineStr">
        <is>
          <t>[259078] Torrefeta i Florejacs</t>
        </is>
      </c>
      <c r="B836" s="42" t="inlineStr">
        <is>
          <t>259078</t>
        </is>
      </c>
      <c r="C836" s="38" t="inlineStr">
        <is>
          <t>Torrefeta i Florejacs</t>
        </is>
      </c>
      <c r="D836" s="38" t="n">
        <v>441</v>
      </c>
      <c r="E836" s="38" t="n">
        <v>246</v>
      </c>
      <c r="F836" s="38" t="n">
        <v>195</v>
      </c>
      <c r="H836" s="38" t="inlineStr">
        <is>
          <t>Total habitatges familiars; principal i no principal provenen de les categories publicades</t>
        </is>
      </c>
    </row>
    <row r="837" ht="15" customHeight="1" s="39">
      <c r="A837" s="38" t="inlineStr">
        <is>
          <t>[252304] Torregrossa</t>
        </is>
      </c>
      <c r="B837" s="42" t="inlineStr">
        <is>
          <t>252304</t>
        </is>
      </c>
      <c r="C837" s="38" t="inlineStr">
        <is>
          <t>Torregrossa</t>
        </is>
      </c>
      <c r="D837" s="38" t="n">
        <v>1107</v>
      </c>
      <c r="E837" s="38" t="n">
        <v>812</v>
      </c>
      <c r="F837" s="38" t="n">
        <v>295</v>
      </c>
      <c r="H837" s="38" t="inlineStr">
        <is>
          <t>Total habitatges familiars; principal i no principal provenen de les categories publicades</t>
        </is>
      </c>
    </row>
    <row r="838" ht="15" customHeight="1" s="39">
      <c r="A838" s="38" t="inlineStr">
        <is>
          <t>[252311] Torrelameu</t>
        </is>
      </c>
      <c r="B838" s="42" t="inlineStr">
        <is>
          <t>252311</t>
        </is>
      </c>
      <c r="C838" s="38" t="inlineStr">
        <is>
          <t>Torrelameu</t>
        </is>
      </c>
      <c r="D838" s="38" t="n">
        <v>310</v>
      </c>
      <c r="E838" s="38" t="n">
        <v>258</v>
      </c>
      <c r="F838" s="38" t="n">
        <v>52</v>
      </c>
      <c r="H838" s="38" t="inlineStr">
        <is>
          <t>Total habitatges familiars; principal i no principal provenen de les categories publicades</t>
        </is>
      </c>
    </row>
    <row r="839" ht="15" customHeight="1" s="39">
      <c r="A839" s="38" t="inlineStr">
        <is>
          <t>[082877] Torrelavit</t>
        </is>
      </c>
      <c r="B839" s="42" t="inlineStr">
        <is>
          <t>082877</t>
        </is>
      </c>
      <c r="C839" s="38" t="inlineStr">
        <is>
          <t>Torrelavit</t>
        </is>
      </c>
      <c r="D839" s="38" t="n">
        <v>739</v>
      </c>
      <c r="E839" s="38" t="n">
        <v>548</v>
      </c>
      <c r="F839" s="38" t="n">
        <v>191</v>
      </c>
      <c r="H839" s="38" t="inlineStr">
        <is>
          <t>Total habitatges familiars; principal i no principal provenen de les categories publicades</t>
        </is>
      </c>
    </row>
    <row r="840" ht="15" customHeight="1" s="39">
      <c r="A840" s="38" t="inlineStr">
        <is>
          <t>[082883] Torrelles de Foix</t>
        </is>
      </c>
      <c r="B840" s="42" t="inlineStr">
        <is>
          <t>082883</t>
        </is>
      </c>
      <c r="C840" s="38" t="inlineStr">
        <is>
          <t>Torrelles de Foix</t>
        </is>
      </c>
      <c r="D840" s="38" t="n">
        <v>1838</v>
      </c>
      <c r="E840" s="38" t="n">
        <v>963</v>
      </c>
      <c r="F840" s="38" t="n">
        <v>875</v>
      </c>
      <c r="H840" s="38" t="inlineStr">
        <is>
          <t>Total habitatges familiars; principal i no principal provenen de les categories publicades</t>
        </is>
      </c>
    </row>
    <row r="841" ht="15" customHeight="1" s="39">
      <c r="A841" s="38" t="inlineStr">
        <is>
          <t>[082896] Torrelles de Llobregat</t>
        </is>
      </c>
      <c r="B841" s="42" t="inlineStr">
        <is>
          <t>082896</t>
        </is>
      </c>
      <c r="C841" s="38" t="inlineStr">
        <is>
          <t>Torrelles de Llobregat</t>
        </is>
      </c>
      <c r="D841" s="38" t="n">
        <v>2593</v>
      </c>
      <c r="E841" s="38" t="n">
        <v>2182</v>
      </c>
      <c r="F841" s="38" t="n">
        <v>411</v>
      </c>
      <c r="H841" s="38" t="inlineStr">
        <is>
          <t>Total habitatges familiars; principal i no principal provenen de les categories publicades</t>
        </is>
      </c>
    </row>
    <row r="842" ht="15" customHeight="1" s="39">
      <c r="A842" s="38" t="inlineStr">
        <is>
          <t>[171978] Torrent</t>
        </is>
      </c>
      <c r="B842" s="42" t="inlineStr">
        <is>
          <t>171978</t>
        </is>
      </c>
      <c r="C842" s="38" t="inlineStr">
        <is>
          <t>Torrent</t>
        </is>
      </c>
      <c r="D842" s="38" t="n">
        <v>176</v>
      </c>
      <c r="E842" s="38" t="n">
        <v>63</v>
      </c>
      <c r="F842" s="38" t="n">
        <v>113</v>
      </c>
      <c r="H842" s="38" t="inlineStr">
        <is>
          <t>Total habitatges familiars; principal i no principal provenen de les categories publicades</t>
        </is>
      </c>
    </row>
    <row r="843" ht="15" customHeight="1" s="39">
      <c r="A843" s="38" t="inlineStr">
        <is>
          <t>[252326] Torres de Segre</t>
        </is>
      </c>
      <c r="B843" s="42" t="inlineStr">
        <is>
          <t>252326</t>
        </is>
      </c>
      <c r="C843" s="38" t="inlineStr">
        <is>
          <t>Torres de Segre</t>
        </is>
      </c>
      <c r="D843" s="38" t="n">
        <v>1124</v>
      </c>
      <c r="E843" s="38" t="n">
        <v>815</v>
      </c>
      <c r="F843" s="38" t="n">
        <v>309</v>
      </c>
      <c r="H843" s="38" t="inlineStr">
        <is>
          <t>Total habitatges familiars; principal i no principal provenen de les categories publicades</t>
        </is>
      </c>
    </row>
    <row r="844" ht="15" customHeight="1" s="39">
      <c r="A844" s="38" t="inlineStr">
        <is>
          <t>[252332] Torre-serona</t>
        </is>
      </c>
      <c r="B844" s="42" t="inlineStr">
        <is>
          <t>252332</t>
        </is>
      </c>
      <c r="C844" s="38" t="inlineStr">
        <is>
          <t>Torre-serona</t>
        </is>
      </c>
      <c r="D844" s="38" t="n">
        <v>164</v>
      </c>
      <c r="E844" s="38" t="n">
        <v>140</v>
      </c>
      <c r="F844" s="38" t="n">
        <v>24</v>
      </c>
      <c r="H844" s="38" t="inlineStr">
        <is>
          <t>Total habitatges familiars; principal i no principal provenen de les categories publicades</t>
        </is>
      </c>
    </row>
    <row r="845" ht="15" customHeight="1" s="39">
      <c r="A845" s="38" t="inlineStr">
        <is>
          <t>[171984] Torroella de Fluvià</t>
        </is>
      </c>
      <c r="B845" s="42" t="inlineStr">
        <is>
          <t>171984</t>
        </is>
      </c>
      <c r="C845" s="38" t="inlineStr">
        <is>
          <t>Torroella de Fluvià</t>
        </is>
      </c>
      <c r="D845" s="38" t="n">
        <v>464</v>
      </c>
      <c r="E845" s="38" t="n">
        <v>301</v>
      </c>
      <c r="F845" s="38" t="n">
        <v>163</v>
      </c>
      <c r="H845" s="38" t="inlineStr">
        <is>
          <t>Total habitatges familiars; principal i no principal provenen de les categories publicades</t>
        </is>
      </c>
    </row>
    <row r="846" ht="15" customHeight="1" s="39">
      <c r="A846" s="38" t="inlineStr">
        <is>
          <t>[171997] Torroella de Montgrí</t>
        </is>
      </c>
      <c r="B846" s="42" t="inlineStr">
        <is>
          <t>171997</t>
        </is>
      </c>
      <c r="C846" s="38" t="inlineStr">
        <is>
          <t>Torroella de Montgrí</t>
        </is>
      </c>
      <c r="D846" s="38" t="n">
        <v>11730</v>
      </c>
      <c r="E846" s="38" t="n">
        <v>4569</v>
      </c>
      <c r="F846" s="38" t="n">
        <v>7161</v>
      </c>
      <c r="H846" s="38" t="inlineStr">
        <is>
          <t>Total habitatges familiars; principal i no principal provenen de les categories publicades</t>
        </is>
      </c>
    </row>
    <row r="847" ht="15" customHeight="1" s="39">
      <c r="A847" s="38" t="inlineStr">
        <is>
          <t>[431541] Torroja del Priorat</t>
        </is>
      </c>
      <c r="B847" s="42" t="inlineStr">
        <is>
          <t>431541</t>
        </is>
      </c>
      <c r="C847" s="38" t="inlineStr">
        <is>
          <t>Torroja del Priorat</t>
        </is>
      </c>
      <c r="D847" s="38" t="n">
        <v>175</v>
      </c>
      <c r="E847" s="38" t="n">
        <v>71</v>
      </c>
      <c r="F847" s="38" t="n">
        <v>104</v>
      </c>
      <c r="H847" s="38" t="inlineStr">
        <is>
          <t>Total habitatges familiars; principal i no principal provenen de les categories publicades</t>
        </is>
      </c>
    </row>
    <row r="848" ht="15" customHeight="1" s="39">
      <c r="A848" s="38" t="inlineStr">
        <is>
          <t>[172001] Tortellà</t>
        </is>
      </c>
      <c r="B848" s="42" t="inlineStr">
        <is>
          <t>172001</t>
        </is>
      </c>
      <c r="C848" s="38" t="inlineStr">
        <is>
          <t>Tortellà</t>
        </is>
      </c>
      <c r="D848" s="38" t="n">
        <v>425</v>
      </c>
      <c r="E848" s="38" t="n">
        <v>315</v>
      </c>
      <c r="F848" s="38" t="n">
        <v>110</v>
      </c>
      <c r="H848" s="38" t="inlineStr">
        <is>
          <t>Total habitatges familiars; principal i no principal provenen de les categories publicades</t>
        </is>
      </c>
    </row>
    <row r="849" ht="15" customHeight="1" s="39">
      <c r="A849" s="38" t="inlineStr">
        <is>
          <t>[431554] Tortosa</t>
        </is>
      </c>
      <c r="B849" s="42" t="inlineStr">
        <is>
          <t>431554</t>
        </is>
      </c>
      <c r="C849" s="38" t="inlineStr">
        <is>
          <t>Tortosa</t>
        </is>
      </c>
      <c r="D849" s="38" t="n">
        <v>19654</v>
      </c>
      <c r="E849" s="38" t="n">
        <v>12778</v>
      </c>
      <c r="F849" s="38" t="n">
        <v>6876</v>
      </c>
      <c r="H849" s="38" t="inlineStr">
        <is>
          <t>Total habitatges familiars; principal i no principal provenen de les categories publicades</t>
        </is>
      </c>
    </row>
    <row r="850" ht="15" customHeight="1" s="39">
      <c r="A850" s="38" t="inlineStr">
        <is>
          <t>[172018] Toses</t>
        </is>
      </c>
      <c r="B850" s="42" t="inlineStr">
        <is>
          <t>172018</t>
        </is>
      </c>
      <c r="C850" s="38" t="inlineStr">
        <is>
          <t>Toses</t>
        </is>
      </c>
      <c r="D850" s="38" t="n">
        <v>246</v>
      </c>
      <c r="E850" s="38" t="n">
        <v>70</v>
      </c>
      <c r="F850" s="38" t="n">
        <v>176</v>
      </c>
      <c r="H850" s="38" t="inlineStr">
        <is>
          <t>Total habitatges familiars; principal i no principal provenen de les categories publicades</t>
        </is>
      </c>
    </row>
    <row r="851" ht="15" customHeight="1" s="39">
      <c r="A851" s="38" t="inlineStr">
        <is>
          <t>[172023] Tossa de Mar</t>
        </is>
      </c>
      <c r="B851" s="42" t="inlineStr">
        <is>
          <t>172023</t>
        </is>
      </c>
      <c r="C851" s="38" t="inlineStr">
        <is>
          <t>Tossa de Mar</t>
        </is>
      </c>
      <c r="D851" s="38" t="n">
        <v>7105</v>
      </c>
      <c r="E851" s="38" t="n">
        <v>2520</v>
      </c>
      <c r="F851" s="38" t="n">
        <v>4585</v>
      </c>
      <c r="H851" s="38" t="inlineStr">
        <is>
          <t>Total habitatges familiars; principal i no principal provenen de les categories publicades</t>
        </is>
      </c>
    </row>
    <row r="852" ht="15" customHeight="1" s="39">
      <c r="A852" s="38" t="inlineStr">
        <is>
          <t>[252347] Tremp</t>
        </is>
      </c>
      <c r="B852" s="42" t="inlineStr">
        <is>
          <t>252347</t>
        </is>
      </c>
      <c r="C852" s="38" t="inlineStr">
        <is>
          <t>Tremp</t>
        </is>
      </c>
      <c r="D852" s="38" t="n">
        <v>4729</v>
      </c>
      <c r="E852" s="38" t="n">
        <v>2497</v>
      </c>
      <c r="F852" s="38" t="n">
        <v>2232</v>
      </c>
      <c r="H852" s="38" t="inlineStr">
        <is>
          <t>Total habitatges familiars; principal i no principal provenen de les categories publicades</t>
        </is>
      </c>
    </row>
    <row r="853" ht="15" customHeight="1" s="39">
      <c r="A853" s="38" t="inlineStr">
        <is>
          <t>[172044] Ullà</t>
        </is>
      </c>
      <c r="B853" s="42" t="inlineStr">
        <is>
          <t>172044</t>
        </is>
      </c>
      <c r="C853" s="38" t="inlineStr">
        <is>
          <t>Ullà</t>
        </is>
      </c>
      <c r="D853" s="38" t="n">
        <v>525</v>
      </c>
      <c r="E853" s="38" t="n">
        <v>385</v>
      </c>
      <c r="F853" s="38" t="n">
        <v>140</v>
      </c>
      <c r="H853" s="38" t="inlineStr">
        <is>
          <t>Total habitatges familiars; principal i no principal provenen de les categories publicades</t>
        </is>
      </c>
    </row>
    <row r="854" ht="15" customHeight="1" s="39">
      <c r="A854" s="38" t="inlineStr">
        <is>
          <t>[082900] Ullastrell</t>
        </is>
      </c>
      <c r="B854" s="42" t="inlineStr">
        <is>
          <t>082900</t>
        </is>
      </c>
      <c r="C854" s="38" t="inlineStr">
        <is>
          <t>Ullastrell</t>
        </is>
      </c>
      <c r="D854" s="38" t="n">
        <v>820</v>
      </c>
      <c r="E854" s="38" t="n">
        <v>727</v>
      </c>
      <c r="F854" s="38" t="n">
        <v>93</v>
      </c>
      <c r="H854" s="38" t="inlineStr">
        <is>
          <t>Total habitatges familiars; principal i no principal provenen de les categories publicades</t>
        </is>
      </c>
    </row>
    <row r="855" ht="15" customHeight="1" s="39">
      <c r="A855" s="38" t="inlineStr">
        <is>
          <t>[172057] Ullastret</t>
        </is>
      </c>
      <c r="B855" s="42" t="inlineStr">
        <is>
          <t>172057</t>
        </is>
      </c>
      <c r="C855" s="38" t="inlineStr">
        <is>
          <t>Ullastret</t>
        </is>
      </c>
      <c r="D855" s="38" t="n">
        <v>197</v>
      </c>
      <c r="E855" s="38" t="n">
        <v>95</v>
      </c>
      <c r="F855" s="38" t="n">
        <v>102</v>
      </c>
      <c r="H855" s="38" t="inlineStr">
        <is>
          <t>Total habitatges familiars; principal i no principal provenen de les categories publicades</t>
        </is>
      </c>
    </row>
    <row r="856" ht="15" customHeight="1" s="39">
      <c r="A856" s="38" t="inlineStr">
        <is>
          <t>[431567] Ulldecona</t>
        </is>
      </c>
      <c r="B856" s="42" t="inlineStr">
        <is>
          <t>431567</t>
        </is>
      </c>
      <c r="C856" s="38" t="inlineStr">
        <is>
          <t>Ulldecona</t>
        </is>
      </c>
      <c r="D856" s="38" t="n">
        <v>3926</v>
      </c>
      <c r="E856" s="38" t="n">
        <v>2429</v>
      </c>
      <c r="F856" s="38" t="n">
        <v>1497</v>
      </c>
      <c r="H856" s="38" t="inlineStr">
        <is>
          <t>Total habitatges familiars; principal i no principal provenen de les categories publicades</t>
        </is>
      </c>
    </row>
    <row r="857" ht="15" customHeight="1" s="39">
      <c r="A857" s="38" t="inlineStr">
        <is>
          <t>[431573] Ulldemolins</t>
        </is>
      </c>
      <c r="B857" s="42" t="inlineStr">
        <is>
          <t>431573</t>
        </is>
      </c>
      <c r="C857" s="38" t="inlineStr">
        <is>
          <t>Ulldemolins</t>
        </is>
      </c>
      <c r="D857" s="38" t="n">
        <v>434</v>
      </c>
      <c r="E857" s="38" t="n">
        <v>190</v>
      </c>
      <c r="F857" s="38" t="n">
        <v>244</v>
      </c>
      <c r="H857" s="38" t="inlineStr">
        <is>
          <t>Total habitatges familiars; principal i no principal provenen de les categories publicades</t>
        </is>
      </c>
    </row>
    <row r="858" ht="15" customHeight="1" s="39">
      <c r="A858" s="38" t="inlineStr">
        <is>
          <t>[172039] Ultramort</t>
        </is>
      </c>
      <c r="B858" s="42" t="inlineStr">
        <is>
          <t>172039</t>
        </is>
      </c>
      <c r="C858" s="38" t="inlineStr">
        <is>
          <t>Ultramort</t>
        </is>
      </c>
      <c r="D858" s="38" t="n">
        <v>124</v>
      </c>
      <c r="E858" s="38" t="n">
        <v>76</v>
      </c>
      <c r="F858" s="38" t="n">
        <v>48</v>
      </c>
      <c r="H858" s="38" t="inlineStr">
        <is>
          <t>Total habitatges familiars; principal i no principal provenen de les categories publicades</t>
        </is>
      </c>
    </row>
    <row r="859" ht="15" customHeight="1" s="39">
      <c r="A859" s="38" t="inlineStr">
        <is>
          <t>[172060] Urús</t>
        </is>
      </c>
      <c r="B859" s="42" t="inlineStr">
        <is>
          <t>172060</t>
        </is>
      </c>
      <c r="C859" s="38" t="inlineStr">
        <is>
          <t>Urús</t>
        </is>
      </c>
      <c r="D859" s="38" t="n">
        <v>350</v>
      </c>
      <c r="E859" s="38" t="n">
        <v>82</v>
      </c>
      <c r="F859" s="38" t="n">
        <v>268</v>
      </c>
      <c r="H859" s="38" t="inlineStr">
        <is>
          <t>Total habitatges familiars; principal i no principal provenen de les categories publicades</t>
        </is>
      </c>
    </row>
    <row r="860" ht="15" customHeight="1" s="39">
      <c r="A860" s="38" t="inlineStr">
        <is>
          <t>[082917] Vacarisses</t>
        </is>
      </c>
      <c r="B860" s="42" t="inlineStr">
        <is>
          <t>082917</t>
        </is>
      </c>
      <c r="C860" s="38" t="inlineStr">
        <is>
          <t>Vacarisses</t>
        </is>
      </c>
      <c r="D860" s="38" t="n">
        <v>3707</v>
      </c>
      <c r="E860" s="38" t="n">
        <v>2517</v>
      </c>
      <c r="F860" s="38" t="n">
        <v>1190</v>
      </c>
      <c r="H860" s="38" t="inlineStr">
        <is>
          <t>Total habitatges familiars; principal i no principal provenen de les categories publicades</t>
        </is>
      </c>
    </row>
    <row r="861" ht="15" customHeight="1" s="39">
      <c r="A861" s="38" t="inlineStr">
        <is>
          <t>[170144] Vajol, la</t>
        </is>
      </c>
      <c r="B861" s="42" t="inlineStr">
        <is>
          <t>170144</t>
        </is>
      </c>
      <c r="C861" s="38" t="inlineStr">
        <is>
          <t>Vajol, la</t>
        </is>
      </c>
      <c r="D861" s="38" t="n">
        <v>85</v>
      </c>
      <c r="E861" s="38" t="n">
        <v>35</v>
      </c>
      <c r="F861" s="38" t="n">
        <v>50</v>
      </c>
      <c r="H861" s="38" t="inlineStr">
        <is>
          <t>Total habitatges familiars; principal i no principal provenen de les categories publicades</t>
        </is>
      </c>
    </row>
    <row r="862" ht="15" customHeight="1" s="39">
      <c r="A862" s="38" t="inlineStr">
        <is>
          <t>[172076] Vall d'en Bas, la</t>
        </is>
      </c>
      <c r="B862" s="42" t="inlineStr">
        <is>
          <t>172076</t>
        </is>
      </c>
      <c r="C862" s="38" t="inlineStr">
        <is>
          <t>Vall d'en Bas, la</t>
        </is>
      </c>
      <c r="D862" s="38" t="n">
        <v>1585</v>
      </c>
      <c r="E862" s="38" t="n">
        <v>1145</v>
      </c>
      <c r="F862" s="38" t="n">
        <v>440</v>
      </c>
      <c r="H862" s="38" t="inlineStr">
        <is>
          <t>Total habitatges familiars; principal i no principal provenen de les categories publicades</t>
        </is>
      </c>
    </row>
    <row r="863" ht="15" customHeight="1" s="39">
      <c r="A863" s="38" t="inlineStr">
        <is>
          <t>[172082] Vall de Bianya, la</t>
        </is>
      </c>
      <c r="B863" s="42" t="inlineStr">
        <is>
          <t>172082</t>
        </is>
      </c>
      <c r="C863" s="38" t="inlineStr">
        <is>
          <t>Vall de Bianya, la</t>
        </is>
      </c>
      <c r="D863" s="38" t="n">
        <v>644</v>
      </c>
      <c r="E863" s="38" t="n">
        <v>475</v>
      </c>
      <c r="F863" s="38" t="n">
        <v>169</v>
      </c>
      <c r="H863" s="38" t="inlineStr">
        <is>
          <t>Total habitatges familiars; principal i no principal provenen de les categories publicades</t>
        </is>
      </c>
    </row>
    <row r="864" ht="15" customHeight="1" s="39">
      <c r="A864" s="38" t="inlineStr">
        <is>
          <t>[250432] Vall de Boí, la</t>
        </is>
      </c>
      <c r="B864" s="42" t="inlineStr">
        <is>
          <t>250432</t>
        </is>
      </c>
      <c r="C864" s="38" t="inlineStr">
        <is>
          <t>Vall de Boí, la</t>
        </is>
      </c>
      <c r="D864" s="38" t="n">
        <v>1910</v>
      </c>
      <c r="E864" s="38" t="n">
        <v>482</v>
      </c>
      <c r="F864" s="38" t="n">
        <v>1428</v>
      </c>
      <c r="H864" s="38" t="inlineStr">
        <is>
          <t>Total habitatges familiars; principal i no principal provenen de les categories publicades</t>
        </is>
      </c>
    </row>
    <row r="865" ht="15" customHeight="1" s="39">
      <c r="A865" s="38" t="inlineStr">
        <is>
          <t>[259010] Vall de Cardós</t>
        </is>
      </c>
      <c r="B865" s="42" t="inlineStr">
        <is>
          <t>259010</t>
        </is>
      </c>
      <c r="C865" s="38" t="inlineStr">
        <is>
          <t>Vall de Cardós</t>
        </is>
      </c>
      <c r="D865" s="38" t="n">
        <v>550</v>
      </c>
      <c r="E865" s="38" t="n">
        <v>185</v>
      </c>
      <c r="F865" s="38" t="n">
        <v>365</v>
      </c>
      <c r="H865" s="38" t="inlineStr">
        <is>
          <t>Total habitatges familiars; principal i no principal provenen de les categories publicades</t>
        </is>
      </c>
    </row>
    <row r="866" ht="15" customHeight="1" s="39">
      <c r="A866" s="38" t="inlineStr">
        <is>
          <t>[082922] Vallbona d'Anoia</t>
        </is>
      </c>
      <c r="B866" s="42" t="inlineStr">
        <is>
          <t>082922</t>
        </is>
      </c>
      <c r="C866" s="38" t="inlineStr">
        <is>
          <t>Vallbona d'Anoia</t>
        </is>
      </c>
      <c r="D866" s="38" t="n">
        <v>670</v>
      </c>
      <c r="E866" s="38" t="n">
        <v>522</v>
      </c>
      <c r="F866" s="38" t="n">
        <v>148</v>
      </c>
      <c r="H866" s="38" t="inlineStr">
        <is>
          <t>Total habitatges familiars; principal i no principal provenen de les categories publicades</t>
        </is>
      </c>
    </row>
    <row r="867" ht="15" customHeight="1" s="39">
      <c r="A867" s="38" t="inlineStr">
        <is>
          <t>[252385] Vallbona de les Monges</t>
        </is>
      </c>
      <c r="B867" s="42" t="inlineStr">
        <is>
          <t>252385</t>
        </is>
      </c>
      <c r="C867" s="38" t="inlineStr">
        <is>
          <t>Vallbona de les Monges</t>
        </is>
      </c>
      <c r="D867" s="38" t="n">
        <v>295</v>
      </c>
      <c r="E867" s="38" t="n">
        <v>98</v>
      </c>
      <c r="F867" s="38" t="n">
        <v>197</v>
      </c>
      <c r="H867" s="38" t="inlineStr">
        <is>
          <t>Total habitatges familiars; principal i no principal provenen de les categories publicades</t>
        </is>
      </c>
    </row>
    <row r="868" ht="15" customHeight="1" s="39">
      <c r="A868" s="38" t="inlineStr">
        <is>
          <t>[082938] Vallcebre</t>
        </is>
      </c>
      <c r="B868" s="42" t="inlineStr">
        <is>
          <t>082938</t>
        </is>
      </c>
      <c r="C868" s="38" t="inlineStr">
        <is>
          <t>Vallcebre</t>
        </is>
      </c>
      <c r="D868" s="38" t="n">
        <v>260</v>
      </c>
      <c r="E868" s="38" t="n">
        <v>122</v>
      </c>
      <c r="F868" s="38" t="n">
        <v>138</v>
      </c>
      <c r="H868" s="38" t="inlineStr">
        <is>
          <t>Total habitatges familiars; principal i no principal provenen de les categories publicades</t>
        </is>
      </c>
    </row>
    <row r="869" ht="15" customHeight="1" s="39">
      <c r="A869" s="38" t="inlineStr">
        <is>
          <t>[431589] Vallclara</t>
        </is>
      </c>
      <c r="B869" s="42" t="inlineStr">
        <is>
          <t>431589</t>
        </is>
      </c>
      <c r="C869" s="38" t="inlineStr">
        <is>
          <t>Vallclara</t>
        </is>
      </c>
      <c r="D869" s="38" t="n">
        <v>139</v>
      </c>
      <c r="E869" s="38" t="n">
        <v>44</v>
      </c>
      <c r="F869" s="38" t="n">
        <v>95</v>
      </c>
      <c r="H869" s="38" t="inlineStr">
        <is>
          <t>Total habitatges familiars; principal i no principal provenen de les categories publicades</t>
        </is>
      </c>
    </row>
    <row r="870" ht="15" customHeight="1" s="39">
      <c r="A870" s="38" t="inlineStr">
        <is>
          <t>[252402] Vallfogona de Balaguer</t>
        </is>
      </c>
      <c r="B870" s="42" t="inlineStr">
        <is>
          <t>252402</t>
        </is>
      </c>
      <c r="C870" s="38" t="inlineStr">
        <is>
          <t>Vallfogona de Balaguer</t>
        </is>
      </c>
      <c r="D870" s="38" t="n">
        <v>925</v>
      </c>
      <c r="E870" s="38" t="n">
        <v>690</v>
      </c>
      <c r="F870" s="38" t="n">
        <v>235</v>
      </c>
      <c r="H870" s="38" t="inlineStr">
        <is>
          <t>Total habitatges familiars; principal i no principal provenen de les categories publicades</t>
        </is>
      </c>
    </row>
    <row r="871" ht="15" customHeight="1" s="39">
      <c r="A871" s="38" t="inlineStr">
        <is>
          <t>[171707] Vallfogona de Ripollès</t>
        </is>
      </c>
      <c r="B871" s="42" t="inlineStr">
        <is>
          <t>171707</t>
        </is>
      </c>
      <c r="C871" s="38" t="inlineStr">
        <is>
          <t>Vallfogona de Ripollès</t>
        </is>
      </c>
      <c r="D871" s="38" t="n">
        <v>197</v>
      </c>
      <c r="E871" s="38" t="n">
        <v>94</v>
      </c>
      <c r="F871" s="38" t="n">
        <v>103</v>
      </c>
      <c r="H871" s="38" t="inlineStr">
        <is>
          <t>Total habitatges familiars; principal i no principal provenen de les categories publicades</t>
        </is>
      </c>
    </row>
    <row r="872" ht="15" customHeight="1" s="39">
      <c r="A872" s="38" t="inlineStr">
        <is>
          <t>[431592] Vallfogona de Riucorb</t>
        </is>
      </c>
      <c r="B872" s="42" t="inlineStr">
        <is>
          <t>431592</t>
        </is>
      </c>
      <c r="C872" s="38" t="inlineStr">
        <is>
          <t>Vallfogona de Riucorb</t>
        </is>
      </c>
      <c r="D872" s="38" t="n">
        <v>192</v>
      </c>
      <c r="E872" s="38" t="n">
        <v>48</v>
      </c>
      <c r="F872" s="38" t="n">
        <v>144</v>
      </c>
      <c r="H872" s="38" t="inlineStr">
        <is>
          <t>Total habitatges familiars; principal i no principal provenen de les categories publicades</t>
        </is>
      </c>
    </row>
    <row r="873" ht="15" customHeight="1" s="39">
      <c r="A873" s="38" t="inlineStr">
        <is>
          <t>[082943] Vallgorguina</t>
        </is>
      </c>
      <c r="B873" s="42" t="inlineStr">
        <is>
          <t>082943</t>
        </is>
      </c>
      <c r="C873" s="38" t="inlineStr">
        <is>
          <t>Vallgorguina</t>
        </is>
      </c>
      <c r="D873" s="38" t="n">
        <v>1640</v>
      </c>
      <c r="E873" s="38" t="n">
        <v>1166</v>
      </c>
      <c r="F873" s="38" t="n">
        <v>474</v>
      </c>
      <c r="H873" s="38" t="inlineStr">
        <is>
          <t>Total habitatges familiars; principal i no principal provenen de les categories publicades</t>
        </is>
      </c>
    </row>
    <row r="874" ht="15" customHeight="1" s="39">
      <c r="A874" s="38" t="inlineStr">
        <is>
          <t>[082956] Vallirana</t>
        </is>
      </c>
      <c r="B874" s="42" t="inlineStr">
        <is>
          <t>082956</t>
        </is>
      </c>
      <c r="C874" s="38" t="inlineStr">
        <is>
          <t>Vallirana</t>
        </is>
      </c>
      <c r="D874" s="38" t="n">
        <v>6949</v>
      </c>
      <c r="E874" s="38" t="n">
        <v>5431</v>
      </c>
      <c r="F874" s="38" t="n">
        <v>1518</v>
      </c>
      <c r="H874" s="38" t="inlineStr">
        <is>
          <t>Total habitatges familiars; principal i no principal provenen de les categories publicades</t>
        </is>
      </c>
    </row>
    <row r="875" ht="15" customHeight="1" s="39">
      <c r="A875" s="38" t="inlineStr">
        <is>
          <t>[172095] Vall-llobrega</t>
        </is>
      </c>
      <c r="B875" s="42" t="inlineStr">
        <is>
          <t>172095</t>
        </is>
      </c>
      <c r="C875" s="38" t="inlineStr">
        <is>
          <t>Vall-llobrega</t>
        </is>
      </c>
      <c r="D875" s="38" t="n">
        <v>464</v>
      </c>
      <c r="E875" s="38" t="n">
        <v>329</v>
      </c>
      <c r="F875" s="38" t="n">
        <v>135</v>
      </c>
      <c r="H875" s="38" t="inlineStr">
        <is>
          <t>Total habitatges familiars; principal i no principal provenen de les categories publicades</t>
        </is>
      </c>
    </row>
    <row r="876" ht="15" customHeight="1" s="39">
      <c r="A876" s="38" t="inlineStr">
        <is>
          <t>[431606] Vallmoll</t>
        </is>
      </c>
      <c r="B876" s="42" t="inlineStr">
        <is>
          <t>431606</t>
        </is>
      </c>
      <c r="C876" s="38" t="inlineStr">
        <is>
          <t>Vallmoll</t>
        </is>
      </c>
      <c r="D876" s="38" t="n">
        <v>1038</v>
      </c>
      <c r="E876" s="38" t="n">
        <v>672</v>
      </c>
      <c r="F876" s="38" t="n">
        <v>366</v>
      </c>
      <c r="H876" s="38" t="inlineStr">
        <is>
          <t>Total habitatges familiars; principal i no principal provenen de les categories publicades</t>
        </is>
      </c>
    </row>
    <row r="877" ht="15" customHeight="1" s="39">
      <c r="A877" s="38" t="inlineStr">
        <is>
          <t>[082969] Vallromanes</t>
        </is>
      </c>
      <c r="B877" s="42" t="inlineStr">
        <is>
          <t>082969</t>
        </is>
      </c>
      <c r="C877" s="38" t="inlineStr">
        <is>
          <t>Vallromanes</t>
        </is>
      </c>
      <c r="D877" s="38" t="n">
        <v>1157</v>
      </c>
      <c r="E877" s="38" t="n">
        <v>908</v>
      </c>
      <c r="F877" s="38" t="n">
        <v>249</v>
      </c>
      <c r="H877" s="38" t="inlineStr">
        <is>
          <t>Total habitatges familiars; principal i no principal provenen de les categories publicades</t>
        </is>
      </c>
    </row>
    <row r="878" ht="15" customHeight="1" s="39">
      <c r="A878" s="38" t="inlineStr">
        <is>
          <t>[431613] Valls</t>
        </is>
      </c>
      <c r="B878" s="42" t="inlineStr">
        <is>
          <t>431613</t>
        </is>
      </c>
      <c r="C878" s="38" t="inlineStr">
        <is>
          <t>Valls</t>
        </is>
      </c>
      <c r="D878" s="38" t="n">
        <v>13368</v>
      </c>
      <c r="E878" s="38" t="n">
        <v>9347</v>
      </c>
      <c r="F878" s="38" t="n">
        <v>4021</v>
      </c>
      <c r="H878" s="38" t="inlineStr">
        <is>
          <t>Total habitatges familiars; principal i no principal provenen de les categories publicades</t>
        </is>
      </c>
    </row>
    <row r="879" ht="15" customHeight="1" s="39">
      <c r="A879" s="38" t="inlineStr">
        <is>
          <t>[259062] Valls d'Aguilar, les</t>
        </is>
      </c>
      <c r="B879" s="42" t="inlineStr">
        <is>
          <t>259062</t>
        </is>
      </c>
      <c r="C879" s="38" t="inlineStr">
        <is>
          <t>Valls d'Aguilar, les</t>
        </is>
      </c>
      <c r="D879" s="38" t="n">
        <v>289</v>
      </c>
      <c r="E879" s="38" t="n">
        <v>126</v>
      </c>
      <c r="F879" s="38" t="n">
        <v>163</v>
      </c>
      <c r="H879" s="38" t="inlineStr">
        <is>
          <t>Total habitatges familiars; principal i no principal provenen de les categories publicades</t>
        </is>
      </c>
    </row>
    <row r="880" ht="15" customHeight="1" s="39">
      <c r="A880" s="38" t="inlineStr">
        <is>
          <t>[252398] Valls de Valira, les</t>
        </is>
      </c>
      <c r="B880" s="42" t="inlineStr">
        <is>
          <t>252398</t>
        </is>
      </c>
      <c r="C880" s="38" t="inlineStr">
        <is>
          <t>Valls de Valira, les</t>
        </is>
      </c>
      <c r="D880" s="38" t="n">
        <v>661</v>
      </c>
      <c r="E880" s="38" t="n">
        <v>315</v>
      </c>
      <c r="F880" s="38" t="n">
        <v>346</v>
      </c>
      <c r="H880" s="38" t="inlineStr">
        <is>
          <t>Total habitatges familiars; principal i no principal provenen de les categories publicades</t>
        </is>
      </c>
    </row>
    <row r="881" ht="15" customHeight="1" s="39">
      <c r="A881" s="38" t="inlineStr">
        <is>
          <t>[431628] Vandellòs i l'Hospitalet de l'Infant</t>
        </is>
      </c>
      <c r="B881" s="42" t="inlineStr">
        <is>
          <t>431628</t>
        </is>
      </c>
      <c r="C881" s="38" t="inlineStr">
        <is>
          <t>Vandellòs i l'Hospitalet de l'Infant</t>
        </is>
      </c>
      <c r="D881" s="38" t="n">
        <v>5913</v>
      </c>
      <c r="E881" s="38" t="n">
        <v>2572</v>
      </c>
      <c r="F881" s="38" t="n">
        <v>3341</v>
      </c>
      <c r="H881" s="38" t="inlineStr">
        <is>
          <t>Total habitatges familiars; principal i no principal provenen de les categories publicades</t>
        </is>
      </c>
    </row>
    <row r="882" ht="15" customHeight="1" s="39">
      <c r="A882" s="38" t="inlineStr">
        <is>
          <t>[259097] Vansa i Fórnols, la</t>
        </is>
      </c>
      <c r="B882" s="42" t="inlineStr">
        <is>
          <t>259097</t>
        </is>
      </c>
      <c r="C882" s="38" t="inlineStr">
        <is>
          <t>Vansa i Fórnols, la</t>
        </is>
      </c>
      <c r="D882" s="38" t="n">
        <v>226</v>
      </c>
      <c r="E882" s="38" t="n">
        <v>76</v>
      </c>
      <c r="F882" s="38" t="n">
        <v>150</v>
      </c>
      <c r="H882" s="38" t="inlineStr">
        <is>
          <t>Total habitatges familiars; principal i no principal provenen de les categories publicades</t>
        </is>
      </c>
    </row>
    <row r="883" ht="15" customHeight="1" s="39">
      <c r="A883" s="38" t="inlineStr">
        <is>
          <t>[082975] Veciana</t>
        </is>
      </c>
      <c r="B883" s="42" t="inlineStr">
        <is>
          <t>082975</t>
        </is>
      </c>
      <c r="C883" s="38" t="inlineStr">
        <is>
          <t>Veciana</t>
        </is>
      </c>
      <c r="D883" s="38" t="n">
        <v>127</v>
      </c>
      <c r="E883" s="38" t="n">
        <v>59</v>
      </c>
      <c r="F883" s="38" t="n">
        <v>68</v>
      </c>
      <c r="H883" s="38" t="inlineStr">
        <is>
          <t>Total habitatges familiars; principal i no principal provenen de les categories publicades</t>
        </is>
      </c>
    </row>
    <row r="884" ht="15" customHeight="1" s="39">
      <c r="A884" s="38" t="inlineStr">
        <is>
          <t>[431634] Vendrell, el</t>
        </is>
      </c>
      <c r="B884" s="42" t="inlineStr">
        <is>
          <t>431634</t>
        </is>
      </c>
      <c r="C884" s="38" t="inlineStr">
        <is>
          <t>Vendrell, el</t>
        </is>
      </c>
      <c r="D884" s="38" t="n">
        <v>31063</v>
      </c>
      <c r="E884" s="38" t="n">
        <v>15625</v>
      </c>
      <c r="F884" s="38" t="n">
        <v>15438</v>
      </c>
      <c r="H884" s="38" t="inlineStr">
        <is>
          <t>Total habitatges familiars; principal i no principal provenen de les categories publicades</t>
        </is>
      </c>
    </row>
    <row r="885" ht="15" customHeight="1" s="39">
      <c r="A885" s="38" t="inlineStr">
        <is>
          <t>[172109] Ventalló</t>
        </is>
      </c>
      <c r="B885" s="42" t="inlineStr">
        <is>
          <t>172109</t>
        </is>
      </c>
      <c r="C885" s="38" t="inlineStr">
        <is>
          <t>Ventalló</t>
        </is>
      </c>
      <c r="D885" s="38" t="n">
        <v>620</v>
      </c>
      <c r="E885" s="38" t="n">
        <v>346</v>
      </c>
      <c r="F885" s="38" t="n">
        <v>274</v>
      </c>
      <c r="H885" s="38" t="inlineStr">
        <is>
          <t>Total habitatges familiars; principal i no principal provenen de les categories publicades</t>
        </is>
      </c>
    </row>
    <row r="886" ht="15" customHeight="1" s="39">
      <c r="A886" s="38" t="inlineStr">
        <is>
          <t>[252424] Verdú</t>
        </is>
      </c>
      <c r="B886" s="42" t="inlineStr">
        <is>
          <t>252424</t>
        </is>
      </c>
      <c r="C886" s="38" t="inlineStr">
        <is>
          <t>Verdú</t>
        </is>
      </c>
      <c r="D886" s="38" t="n">
        <v>642</v>
      </c>
      <c r="E886" s="38" t="n">
        <v>337</v>
      </c>
      <c r="F886" s="38" t="n">
        <v>305</v>
      </c>
      <c r="H886" s="38" t="inlineStr">
        <is>
          <t>Total habitatges familiars; principal i no principal provenen de les categories publicades</t>
        </is>
      </c>
    </row>
    <row r="887" ht="15" customHeight="1" s="39">
      <c r="A887" s="38" t="inlineStr">
        <is>
          <t>[172116] Verges</t>
        </is>
      </c>
      <c r="B887" s="42" t="inlineStr">
        <is>
          <t>172116</t>
        </is>
      </c>
      <c r="C887" s="38" t="inlineStr">
        <is>
          <t>Verges</t>
        </is>
      </c>
      <c r="D887" s="38" t="n">
        <v>639</v>
      </c>
      <c r="E887" s="38" t="n">
        <v>436</v>
      </c>
      <c r="F887" s="38" t="n">
        <v>203</v>
      </c>
      <c r="H887" s="38" t="inlineStr">
        <is>
          <t>Total habitatges familiars; principal i no principal provenen de les categories publicades</t>
        </is>
      </c>
    </row>
    <row r="888" ht="15" customHeight="1" s="39">
      <c r="A888" s="38" t="inlineStr">
        <is>
          <t>[431649] Vespella de Gaià</t>
        </is>
      </c>
      <c r="B888" s="42" t="inlineStr">
        <is>
          <t>431649</t>
        </is>
      </c>
      <c r="C888" s="38" t="inlineStr">
        <is>
          <t>Vespella de Gaià</t>
        </is>
      </c>
      <c r="D888" s="38" t="n">
        <v>433</v>
      </c>
      <c r="E888" s="38" t="n">
        <v>194</v>
      </c>
      <c r="F888" s="38" t="n">
        <v>239</v>
      </c>
      <c r="H888" s="38" t="inlineStr">
        <is>
          <t>Total habitatges familiars; principal i no principal provenen de les categories publicades</t>
        </is>
      </c>
    </row>
    <row r="889" ht="15" customHeight="1" s="39">
      <c r="A889" s="38" t="inlineStr">
        <is>
          <t>[082981] Vic</t>
        </is>
      </c>
      <c r="B889" s="42" t="inlineStr">
        <is>
          <t>082981</t>
        </is>
      </c>
      <c r="C889" s="38" t="inlineStr">
        <is>
          <t>Vic</t>
        </is>
      </c>
      <c r="D889" s="38" t="n">
        <v>19836</v>
      </c>
      <c r="E889" s="38" t="n">
        <v>16979</v>
      </c>
      <c r="F889" s="38" t="n">
        <v>2857</v>
      </c>
      <c r="H889" s="38" t="inlineStr">
        <is>
          <t>Total habitatges familiars; principal i no principal provenen de les categories publicades</t>
        </is>
      </c>
    </row>
    <row r="890" ht="15" customHeight="1" s="39">
      <c r="A890" s="38" t="inlineStr">
        <is>
          <t>[172121] Vidrà</t>
        </is>
      </c>
      <c r="B890" s="42" t="inlineStr">
        <is>
          <t>172121</t>
        </is>
      </c>
      <c r="C890" s="38" t="inlineStr">
        <is>
          <t>Vidrà</t>
        </is>
      </c>
      <c r="D890" s="38" t="n">
        <v>123</v>
      </c>
      <c r="E890" s="38" t="n">
        <v>73</v>
      </c>
      <c r="F890" s="38" t="n">
        <v>50</v>
      </c>
      <c r="H890" s="38" t="inlineStr">
        <is>
          <t>Total habitatges familiars; principal i no principal provenen de les categories publicades</t>
        </is>
      </c>
    </row>
    <row r="891" ht="15" customHeight="1" s="39">
      <c r="A891" s="38" t="inlineStr">
        <is>
          <t>[172137] Vidreres</t>
        </is>
      </c>
      <c r="B891" s="42" t="inlineStr">
        <is>
          <t>172137</t>
        </is>
      </c>
      <c r="C891" s="38" t="inlineStr">
        <is>
          <t>Vidreres</t>
        </is>
      </c>
      <c r="D891" s="38" t="n">
        <v>4348</v>
      </c>
      <c r="E891" s="38" t="n">
        <v>3036</v>
      </c>
      <c r="F891" s="38" t="n">
        <v>1312</v>
      </c>
      <c r="H891" s="38" t="inlineStr">
        <is>
          <t>Total habitatges familiars; principal i no principal provenen de les categories publicades</t>
        </is>
      </c>
    </row>
    <row r="892" ht="15" customHeight="1" s="39">
      <c r="A892" s="38" t="inlineStr">
        <is>
          <t>[252430] Vielha e Mijaran</t>
        </is>
      </c>
      <c r="B892" s="42" t="inlineStr">
        <is>
          <t>252430</t>
        </is>
      </c>
      <c r="C892" s="38" t="inlineStr">
        <is>
          <t>Vielha e Mijaran</t>
        </is>
      </c>
      <c r="D892" s="38" t="n">
        <v>5312</v>
      </c>
      <c r="E892" s="38" t="n">
        <v>2395</v>
      </c>
      <c r="F892" s="38" t="n">
        <v>2917</v>
      </c>
      <c r="H892" s="38" t="inlineStr">
        <is>
          <t>Total habitatges familiars; principal i no principal provenen de les categories publicades</t>
        </is>
      </c>
    </row>
    <row r="893" ht="15" customHeight="1" s="39">
      <c r="A893" s="38" t="inlineStr">
        <is>
          <t>[431652] Vilabella</t>
        </is>
      </c>
      <c r="B893" s="42" t="inlineStr">
        <is>
          <t>431652</t>
        </is>
      </c>
      <c r="C893" s="38" t="inlineStr">
        <is>
          <t>Vilabella</t>
        </is>
      </c>
      <c r="D893" s="38" t="n">
        <v>411</v>
      </c>
      <c r="E893" s="38" t="n">
        <v>274</v>
      </c>
      <c r="F893" s="38" t="n">
        <v>137</v>
      </c>
      <c r="H893" s="38" t="inlineStr">
        <is>
          <t>Total habitatges familiars; principal i no principal provenen de les categories publicades</t>
        </is>
      </c>
    </row>
    <row r="894" ht="15" customHeight="1" s="39">
      <c r="A894" s="38" t="inlineStr">
        <is>
          <t>[172142] Vilabertran</t>
        </is>
      </c>
      <c r="B894" s="42" t="inlineStr">
        <is>
          <t>172142</t>
        </is>
      </c>
      <c r="C894" s="38" t="inlineStr">
        <is>
          <t>Vilabertran</t>
        </is>
      </c>
      <c r="D894" s="38" t="n">
        <v>398</v>
      </c>
      <c r="E894" s="38" t="n">
        <v>325</v>
      </c>
      <c r="F894" s="38" t="n">
        <v>73</v>
      </c>
      <c r="H894" s="38" t="inlineStr">
        <is>
          <t>Total habitatges familiars; principal i no principal provenen de les categories publicades</t>
        </is>
      </c>
    </row>
    <row r="895" ht="15" customHeight="1" s="39">
      <c r="A895" s="38" t="inlineStr">
        <is>
          <t>[172155] Vilablareix</t>
        </is>
      </c>
      <c r="B895" s="42" t="inlineStr">
        <is>
          <t>172155</t>
        </is>
      </c>
      <c r="C895" s="38" t="inlineStr">
        <is>
          <t>Vilablareix</t>
        </is>
      </c>
      <c r="D895" s="38" t="n">
        <v>1180</v>
      </c>
      <c r="E895" s="38" t="n">
        <v>1078</v>
      </c>
      <c r="F895" s="38" t="n">
        <v>102</v>
      </c>
      <c r="H895" s="38" t="inlineStr">
        <is>
          <t>Total habitatges familiars; principal i no principal provenen de les categories publicades</t>
        </is>
      </c>
    </row>
    <row r="896" ht="15" customHeight="1" s="39">
      <c r="A896" s="38" t="inlineStr">
        <is>
          <t>[082994] Vilada</t>
        </is>
      </c>
      <c r="B896" s="42" t="inlineStr">
        <is>
          <t>082994</t>
        </is>
      </c>
      <c r="C896" s="38" t="inlineStr">
        <is>
          <t>Vilada</t>
        </is>
      </c>
      <c r="D896" s="38" t="n">
        <v>325</v>
      </c>
      <c r="E896" s="38" t="n">
        <v>181</v>
      </c>
      <c r="F896" s="38" t="n">
        <v>144</v>
      </c>
      <c r="H896" s="38" t="inlineStr">
        <is>
          <t>Total habitatges familiars; principal i no principal provenen de les categories publicades</t>
        </is>
      </c>
    </row>
    <row r="897" ht="15" customHeight="1" s="39">
      <c r="A897" s="38" t="inlineStr">
        <is>
          <t>[172174] Viladamat</t>
        </is>
      </c>
      <c r="B897" s="42" t="inlineStr">
        <is>
          <t>172174</t>
        </is>
      </c>
      <c r="C897" s="38" t="inlineStr">
        <is>
          <t>Viladamat</t>
        </is>
      </c>
      <c r="D897" s="38" t="n">
        <v>274</v>
      </c>
      <c r="E897" s="38" t="n">
        <v>182</v>
      </c>
      <c r="F897" s="38" t="n">
        <v>92</v>
      </c>
      <c r="H897" s="38" t="inlineStr">
        <is>
          <t>Total habitatges familiars; principal i no principal provenen de les categories publicades</t>
        </is>
      </c>
    </row>
    <row r="898" ht="15" customHeight="1" s="39">
      <c r="A898" s="38" t="inlineStr">
        <is>
          <t>[172168] Viladasens</t>
        </is>
      </c>
      <c r="B898" s="42" t="inlineStr">
        <is>
          <t>172168</t>
        </is>
      </c>
      <c r="C898" s="38" t="inlineStr">
        <is>
          <t>Viladasens</t>
        </is>
      </c>
      <c r="D898" s="38" t="n">
        <v>114</v>
      </c>
      <c r="E898" s="38" t="n">
        <v>78</v>
      </c>
      <c r="F898" s="38" t="n">
        <v>36</v>
      </c>
      <c r="H898" s="38" t="inlineStr">
        <is>
          <t>Total habitatges familiars; principal i no principal provenen de les categories publicades</t>
        </is>
      </c>
    </row>
    <row r="899" ht="15" customHeight="1" s="39">
      <c r="A899" s="38" t="inlineStr">
        <is>
          <t>[083015] Viladecans</t>
        </is>
      </c>
      <c r="B899" s="42" t="inlineStr">
        <is>
          <t>083015</t>
        </is>
      </c>
      <c r="C899" s="38" t="inlineStr">
        <is>
          <t>Viladecans</t>
        </is>
      </c>
      <c r="D899" s="38" t="n">
        <v>26586</v>
      </c>
      <c r="E899" s="38" t="n">
        <v>24405</v>
      </c>
      <c r="F899" s="38" t="n">
        <v>2181</v>
      </c>
      <c r="H899" s="38" t="inlineStr">
        <is>
          <t>Total habitatges familiars; principal i no principal provenen de les categories publicades</t>
        </is>
      </c>
    </row>
    <row r="900" ht="15" customHeight="1" s="39">
      <c r="A900" s="38" t="inlineStr">
        <is>
          <t>[083008] Viladecavalls</t>
        </is>
      </c>
      <c r="B900" s="42" t="inlineStr">
        <is>
          <t>083008</t>
        </is>
      </c>
      <c r="C900" s="38" t="inlineStr">
        <is>
          <t>Viladecavalls</t>
        </is>
      </c>
      <c r="D900" s="38" t="n">
        <v>2966</v>
      </c>
      <c r="E900" s="38" t="n">
        <v>2565</v>
      </c>
      <c r="F900" s="38" t="n">
        <v>401</v>
      </c>
      <c r="H900" s="38" t="inlineStr">
        <is>
          <t>Total habitatges familiars; principal i no principal provenen de les categories publicades</t>
        </is>
      </c>
    </row>
    <row r="901" ht="15" customHeight="1" s="39">
      <c r="A901" s="38" t="inlineStr">
        <is>
          <t>[172180] Vilademuls</t>
        </is>
      </c>
      <c r="B901" s="42" t="inlineStr">
        <is>
          <t>172180</t>
        </is>
      </c>
      <c r="C901" s="38" t="inlineStr">
        <is>
          <t>Vilademuls</t>
        </is>
      </c>
      <c r="D901" s="38" t="n">
        <v>436</v>
      </c>
      <c r="E901" s="38" t="n">
        <v>284</v>
      </c>
      <c r="F901" s="38" t="n">
        <v>152</v>
      </c>
      <c r="H901" s="38" t="inlineStr">
        <is>
          <t>Total habitatges familiars; principal i no principal provenen de les categories publicades</t>
        </is>
      </c>
    </row>
    <row r="902" ht="15" customHeight="1" s="39">
      <c r="A902" s="38" t="inlineStr">
        <is>
          <t>[172207] Viladrau</t>
        </is>
      </c>
      <c r="B902" s="42" t="inlineStr">
        <is>
          <t>172207</t>
        </is>
      </c>
      <c r="C902" s="38" t="inlineStr">
        <is>
          <t>Viladrau</t>
        </is>
      </c>
      <c r="D902" s="38" t="n">
        <v>987</v>
      </c>
      <c r="E902" s="38" t="n">
        <v>443</v>
      </c>
      <c r="F902" s="38" t="n">
        <v>544</v>
      </c>
      <c r="H902" s="38" t="inlineStr">
        <is>
          <t>Total habitatges familiars; principal i no principal provenen de les categories publicades</t>
        </is>
      </c>
    </row>
    <row r="903" ht="15" customHeight="1" s="39">
      <c r="A903" s="38" t="inlineStr">
        <is>
          <t>[172214] Vilafant</t>
        </is>
      </c>
      <c r="B903" s="42" t="inlineStr">
        <is>
          <t>172214</t>
        </is>
      </c>
      <c r="C903" s="38" t="inlineStr">
        <is>
          <t>Vilafant</t>
        </is>
      </c>
      <c r="D903" s="38" t="n">
        <v>2014</v>
      </c>
      <c r="E903" s="38" t="n">
        <v>1835</v>
      </c>
      <c r="F903" s="38" t="n">
        <v>179</v>
      </c>
      <c r="H903" s="38" t="inlineStr">
        <is>
          <t>Total habitatges familiars; principal i no principal provenen de les categories publicades</t>
        </is>
      </c>
    </row>
    <row r="904" ht="15" customHeight="1" s="39">
      <c r="A904" s="38" t="inlineStr">
        <is>
          <t>[083054] Vilafranca del Penedès</t>
        </is>
      </c>
      <c r="B904" s="42" t="inlineStr">
        <is>
          <t>083054</t>
        </is>
      </c>
      <c r="C904" s="38" t="inlineStr">
        <is>
          <t>Vilafranca del Penedès</t>
        </is>
      </c>
      <c r="D904" s="38" t="n">
        <v>18264</v>
      </c>
      <c r="E904" s="38" t="n">
        <v>15485</v>
      </c>
      <c r="F904" s="38" t="n">
        <v>2779</v>
      </c>
      <c r="H904" s="38" t="inlineStr">
        <is>
          <t>Total habitatges familiars; principal i no principal provenen de les categories publicades</t>
        </is>
      </c>
    </row>
    <row r="905" ht="15" customHeight="1" s="39">
      <c r="A905" s="38" t="inlineStr">
        <is>
          <t>[252445] Vilagrassa</t>
        </is>
      </c>
      <c r="B905" s="42" t="inlineStr">
        <is>
          <t>252445</t>
        </is>
      </c>
      <c r="C905" s="38" t="inlineStr">
        <is>
          <t>Vilagrassa</t>
        </is>
      </c>
      <c r="D905" s="38" t="n">
        <v>413</v>
      </c>
      <c r="E905" s="38" t="n">
        <v>215</v>
      </c>
      <c r="F905" s="38" t="n">
        <v>198</v>
      </c>
      <c r="H905" s="38" t="inlineStr">
        <is>
          <t>Total habitatges familiars; principal i no principal provenen de les categories publicades</t>
        </is>
      </c>
    </row>
    <row r="906" ht="15" customHeight="1" s="39">
      <c r="A906" s="38" t="inlineStr">
        <is>
          <t>[172235] Vilajuïga</t>
        </is>
      </c>
      <c r="B906" s="42" t="inlineStr">
        <is>
          <t>172235</t>
        </is>
      </c>
      <c r="C906" s="38" t="inlineStr">
        <is>
          <t>Vilajuïga</t>
        </is>
      </c>
      <c r="D906" s="38" t="n">
        <v>573</v>
      </c>
      <c r="E906" s="38" t="n">
        <v>436</v>
      </c>
      <c r="F906" s="38" t="n">
        <v>137</v>
      </c>
      <c r="H906" s="38" t="inlineStr">
        <is>
          <t>Total habitatges familiars; principal i no principal provenen de les categories publicades</t>
        </is>
      </c>
    </row>
    <row r="907" ht="15" customHeight="1" s="39">
      <c r="A907" s="38" t="inlineStr">
        <is>
          <t>[431750] Vilalba dels Arcs</t>
        </is>
      </c>
      <c r="B907" s="42" t="inlineStr">
        <is>
          <t>431750</t>
        </is>
      </c>
      <c r="C907" s="38" t="inlineStr">
        <is>
          <t>Vilalba dels Arcs</t>
        </is>
      </c>
      <c r="D907" s="38" t="n">
        <v>426</v>
      </c>
      <c r="E907" s="38" t="n">
        <v>246</v>
      </c>
      <c r="F907" s="38" t="n">
        <v>180</v>
      </c>
      <c r="H907" s="38" t="inlineStr">
        <is>
          <t>Total habitatges familiars; principal i no principal provenen de les categories publicades</t>
        </is>
      </c>
    </row>
    <row r="908" ht="15" customHeight="1" s="39">
      <c r="A908" s="38" t="inlineStr">
        <is>
          <t>[083067] Vilalba Sasserra</t>
        </is>
      </c>
      <c r="B908" s="42" t="inlineStr">
        <is>
          <t>083067</t>
        </is>
      </c>
      <c r="C908" s="38" t="inlineStr">
        <is>
          <t>Vilalba Sasserra</t>
        </is>
      </c>
      <c r="D908" s="38" t="n">
        <v>326</v>
      </c>
      <c r="E908" s="38" t="n">
        <v>282</v>
      </c>
      <c r="F908" s="38" t="n">
        <v>44</v>
      </c>
      <c r="H908" s="38" t="inlineStr">
        <is>
          <t>Total habitatges familiars; principal i no principal provenen de les categories publicades</t>
        </is>
      </c>
    </row>
    <row r="909" ht="15" customHeight="1" s="39">
      <c r="A909" s="38" t="inlineStr">
        <is>
          <t>[252458] Vilaller</t>
        </is>
      </c>
      <c r="B909" s="42" t="inlineStr">
        <is>
          <t>252458</t>
        </is>
      </c>
      <c r="C909" s="38" t="inlineStr">
        <is>
          <t>Vilaller</t>
        </is>
      </c>
      <c r="D909" s="38" t="n">
        <v>574</v>
      </c>
      <c r="E909" s="38" t="n">
        <v>247</v>
      </c>
      <c r="F909" s="38" t="n">
        <v>327</v>
      </c>
      <c r="H909" s="38" t="inlineStr">
        <is>
          <t>Total habitatges familiars; principal i no principal provenen de les categories publicades</t>
        </is>
      </c>
    </row>
    <row r="910" ht="15" customHeight="1" s="39">
      <c r="A910" s="38" t="inlineStr">
        <is>
          <t>[172240] Vilallonga de Ter</t>
        </is>
      </c>
      <c r="B910" s="42" t="inlineStr">
        <is>
          <t>172240</t>
        </is>
      </c>
      <c r="C910" s="38" t="inlineStr">
        <is>
          <t>Vilallonga de Ter</t>
        </is>
      </c>
      <c r="D910" s="38" t="n">
        <v>758</v>
      </c>
      <c r="E910" s="38" t="n">
        <v>176</v>
      </c>
      <c r="F910" s="38" t="n">
        <v>582</v>
      </c>
      <c r="H910" s="38" t="inlineStr">
        <is>
          <t>Total habitatges familiars; principal i no principal provenen de les categories publicades</t>
        </is>
      </c>
    </row>
    <row r="911" ht="15" customHeight="1" s="39">
      <c r="A911" s="38" t="inlineStr">
        <is>
          <t>[431665] Vilallonga del Camp</t>
        </is>
      </c>
      <c r="B911" s="42" t="inlineStr">
        <is>
          <t>431665</t>
        </is>
      </c>
      <c r="C911" s="38" t="inlineStr">
        <is>
          <t>Vilallonga del Camp</t>
        </is>
      </c>
      <c r="D911" s="38" t="n">
        <v>1189</v>
      </c>
      <c r="E911" s="38" t="n">
        <v>897</v>
      </c>
      <c r="F911" s="38" t="n">
        <v>292</v>
      </c>
      <c r="H911" s="38" t="inlineStr">
        <is>
          <t>Total habitatges familiars; principal i no principal provenen de les categories publicades</t>
        </is>
      </c>
    </row>
    <row r="912" ht="15" customHeight="1" s="39">
      <c r="A912" s="38" t="inlineStr">
        <is>
          <t>[172253] Vilamacolum</t>
        </is>
      </c>
      <c r="B912" s="42" t="inlineStr">
        <is>
          <t>172253</t>
        </is>
      </c>
      <c r="C912" s="38" t="inlineStr">
        <is>
          <t>Vilamacolum</t>
        </is>
      </c>
      <c r="D912" s="38" t="n">
        <v>185</v>
      </c>
      <c r="E912" s="38" t="n">
        <v>125</v>
      </c>
      <c r="F912" s="38" t="n">
        <v>60</v>
      </c>
      <c r="H912" s="38" t="inlineStr">
        <is>
          <t>Total habitatges familiars; principal i no principal provenen de les categories publicades</t>
        </is>
      </c>
    </row>
    <row r="913" ht="15" customHeight="1" s="39">
      <c r="A913" s="38" t="inlineStr">
        <is>
          <t>[172266] Vilamalla</t>
        </is>
      </c>
      <c r="B913" s="42" t="inlineStr">
        <is>
          <t>172266</t>
        </is>
      </c>
      <c r="C913" s="38" t="inlineStr">
        <is>
          <t>Vilamalla</t>
        </is>
      </c>
      <c r="D913" s="38" t="n">
        <v>453</v>
      </c>
      <c r="E913" s="38" t="n">
        <v>377</v>
      </c>
      <c r="F913" s="38" t="n">
        <v>76</v>
      </c>
      <c r="H913" s="38" t="inlineStr">
        <is>
          <t>Total habitatges familiars; principal i no principal provenen de les categories publicades</t>
        </is>
      </c>
    </row>
    <row r="914" ht="15" customHeight="1" s="39">
      <c r="A914" s="38" t="inlineStr">
        <is>
          <t>[172272] Vilamaniscle</t>
        </is>
      </c>
      <c r="B914" s="42" t="inlineStr">
        <is>
          <t>172272</t>
        </is>
      </c>
      <c r="C914" s="38" t="inlineStr">
        <is>
          <t>Vilamaniscle</t>
        </is>
      </c>
      <c r="D914" s="38" t="n">
        <v>158</v>
      </c>
      <c r="E914" s="38" t="n">
        <v>86</v>
      </c>
      <c r="F914" s="38" t="n">
        <v>72</v>
      </c>
      <c r="H914" s="38" t="inlineStr">
        <is>
          <t>Total habitatges familiars; principal i no principal provenen de les categories publicades</t>
        </is>
      </c>
    </row>
    <row r="915" ht="15" customHeight="1" s="39">
      <c r="A915" s="38" t="inlineStr">
        <is>
          <t>[252477] Vilamòs</t>
        </is>
      </c>
      <c r="B915" s="42" t="inlineStr">
        <is>
          <t>252477</t>
        </is>
      </c>
      <c r="C915" s="38" t="inlineStr">
        <is>
          <t>Vilamòs</t>
        </is>
      </c>
      <c r="D915" s="38" t="n">
        <v>167</v>
      </c>
      <c r="E915" s="38" t="n">
        <v>73</v>
      </c>
      <c r="F915" s="38" t="n">
        <v>94</v>
      </c>
      <c r="H915" s="38" t="inlineStr">
        <is>
          <t>Total habitatges familiars; principal i no principal provenen de les categories publicades</t>
        </is>
      </c>
    </row>
    <row r="916" ht="15" customHeight="1" s="39">
      <c r="A916" s="38" t="inlineStr">
        <is>
          <t>[172288] Vilanant</t>
        </is>
      </c>
      <c r="B916" s="42" t="inlineStr">
        <is>
          <t>172288</t>
        </is>
      </c>
      <c r="C916" s="38" t="inlineStr">
        <is>
          <t>Vilanant</t>
        </is>
      </c>
      <c r="D916" s="38" t="n">
        <v>206</v>
      </c>
      <c r="E916" s="38" t="n">
        <v>141</v>
      </c>
      <c r="F916" s="38" t="n">
        <v>65</v>
      </c>
      <c r="H916" s="38" t="inlineStr">
        <is>
          <t>Total habitatges familiars; principal i no principal provenen de les categories publicades</t>
        </is>
      </c>
    </row>
    <row r="917" ht="15" customHeight="1" s="39">
      <c r="A917" s="38" t="inlineStr">
        <is>
          <t>[431671] Vilanova d'Escornalbou</t>
        </is>
      </c>
      <c r="B917" s="42" t="inlineStr">
        <is>
          <t>431671</t>
        </is>
      </c>
      <c r="C917" s="38" t="inlineStr">
        <is>
          <t>Vilanova d'Escornalbou</t>
        </is>
      </c>
      <c r="D917" s="38" t="n">
        <v>387</v>
      </c>
      <c r="E917" s="38" t="n">
        <v>227</v>
      </c>
      <c r="F917" s="38" t="n">
        <v>160</v>
      </c>
      <c r="H917" s="38" t="inlineStr">
        <is>
          <t>Total habitatges familiars; principal i no principal provenen de les categories publicades</t>
        </is>
      </c>
    </row>
    <row r="918" ht="15" customHeight="1" s="39">
      <c r="A918" s="38" t="inlineStr">
        <is>
          <t>[252483] Vilanova de Bellpuig</t>
        </is>
      </c>
      <c r="B918" s="42" t="inlineStr">
        <is>
          <t>252483</t>
        </is>
      </c>
      <c r="C918" s="38" t="inlineStr">
        <is>
          <t>Vilanova de Bellpuig</t>
        </is>
      </c>
      <c r="D918" s="38" t="n">
        <v>554</v>
      </c>
      <c r="E918" s="38" t="n">
        <v>414</v>
      </c>
      <c r="F918" s="38" t="n">
        <v>140</v>
      </c>
      <c r="H918" s="38" t="inlineStr">
        <is>
          <t>Total habitatges familiars; principal i no principal provenen de les categories publicades</t>
        </is>
      </c>
    </row>
    <row r="919" ht="15" customHeight="1" s="39">
      <c r="A919" s="38" t="inlineStr">
        <is>
          <t>[252496] Vilanova de l'Aguda</t>
        </is>
      </c>
      <c r="B919" s="42" t="inlineStr">
        <is>
          <t>252496</t>
        </is>
      </c>
      <c r="C919" s="38" t="inlineStr">
        <is>
          <t>Vilanova de l'Aguda</t>
        </is>
      </c>
      <c r="D919" s="38" t="n">
        <v>128</v>
      </c>
      <c r="E919" s="38" t="n">
        <v>72</v>
      </c>
      <c r="F919" s="38" t="n">
        <v>56</v>
      </c>
      <c r="H919" s="38" t="inlineStr">
        <is>
          <t>Total habitatges familiars; principal i no principal provenen de les categories publicades</t>
        </is>
      </c>
    </row>
    <row r="920" ht="15" customHeight="1" s="39">
      <c r="A920" s="38" t="inlineStr">
        <is>
          <t>[252542] Vilanova de la Barca</t>
        </is>
      </c>
      <c r="B920" s="42" t="inlineStr">
        <is>
          <t>252542</t>
        </is>
      </c>
      <c r="C920" s="38" t="inlineStr">
        <is>
          <t>Vilanova de la Barca</t>
        </is>
      </c>
      <c r="D920" s="38" t="n">
        <v>574</v>
      </c>
      <c r="E920" s="38" t="n">
        <v>392</v>
      </c>
      <c r="F920" s="38" t="n">
        <v>182</v>
      </c>
      <c r="H920" s="38" t="inlineStr">
        <is>
          <t>Total habitatges familiars; principal i no principal provenen de les categories publicades</t>
        </is>
      </c>
    </row>
    <row r="921" ht="15" customHeight="1" s="39">
      <c r="A921" s="38" t="inlineStr">
        <is>
          <t>[252509] Vilanova de Meià</t>
        </is>
      </c>
      <c r="B921" s="42" t="inlineStr">
        <is>
          <t>252509</t>
        </is>
      </c>
      <c r="C921" s="38" t="inlineStr">
        <is>
          <t>Vilanova de Meià</t>
        </is>
      </c>
      <c r="D921" s="38" t="n">
        <v>516</v>
      </c>
      <c r="E921" s="38" t="n">
        <v>179</v>
      </c>
      <c r="F921" s="38" t="n">
        <v>337</v>
      </c>
      <c r="H921" s="38" t="inlineStr">
        <is>
          <t>Total habitatges familiars; principal i no principal provenen de les categories publicades</t>
        </is>
      </c>
    </row>
    <row r="922" ht="15" customHeight="1" s="39">
      <c r="A922" s="38" t="inlineStr">
        <is>
          <t>[431687] Vilanova de Prades</t>
        </is>
      </c>
      <c r="B922" s="42" t="inlineStr">
        <is>
          <t>431687</t>
        </is>
      </c>
      <c r="C922" s="38" t="inlineStr">
        <is>
          <t>Vilanova de Prades</t>
        </is>
      </c>
      <c r="D922" s="38" t="n">
        <v>132</v>
      </c>
      <c r="E922" s="38" t="n">
        <v>48</v>
      </c>
      <c r="F922" s="38" t="n">
        <v>84</v>
      </c>
      <c r="H922" s="38" t="inlineStr">
        <is>
          <t>Total habitatges familiars; principal i no principal provenen de les categories publicades</t>
        </is>
      </c>
    </row>
    <row r="923" ht="15" customHeight="1" s="39">
      <c r="A923" s="38" t="inlineStr">
        <is>
          <t>[083036] Vilanova de Sau</t>
        </is>
      </c>
      <c r="B923" s="42" t="inlineStr">
        <is>
          <t>083036</t>
        </is>
      </c>
      <c r="C923" s="38" t="inlineStr">
        <is>
          <t>Vilanova de Sau</t>
        </is>
      </c>
      <c r="D923" s="38" t="n">
        <v>258</v>
      </c>
      <c r="E923" s="38" t="n">
        <v>134</v>
      </c>
      <c r="F923" s="38" t="n">
        <v>124</v>
      </c>
      <c r="H923" s="38" t="inlineStr">
        <is>
          <t>Total habitatges familiars; principal i no principal provenen de les categories publicades</t>
        </is>
      </c>
    </row>
    <row r="924" ht="15" customHeight="1" s="39">
      <c r="A924" s="38" t="inlineStr">
        <is>
          <t>[252516] Vilanova de Segrià</t>
        </is>
      </c>
      <c r="B924" s="42" t="inlineStr">
        <is>
          <t>252516</t>
        </is>
      </c>
      <c r="C924" s="38" t="inlineStr">
        <is>
          <t>Vilanova de Segrià</t>
        </is>
      </c>
      <c r="D924" s="38" t="n">
        <v>585</v>
      </c>
      <c r="E924" s="38" t="n">
        <v>387</v>
      </c>
      <c r="F924" s="38" t="n">
        <v>198</v>
      </c>
      <c r="H924" s="38" t="inlineStr">
        <is>
          <t>Total habitatges familiars; principal i no principal provenen de les categories publicades</t>
        </is>
      </c>
    </row>
    <row r="925" ht="15" customHeight="1" s="39">
      <c r="A925" s="38" t="inlineStr">
        <is>
          <t>[083020] Vilanova del Camí</t>
        </is>
      </c>
      <c r="B925" s="42" t="inlineStr">
        <is>
          <t>083020</t>
        </is>
      </c>
      <c r="C925" s="38" t="inlineStr">
        <is>
          <t>Vilanova del Camí</t>
        </is>
      </c>
      <c r="D925" s="38" t="n">
        <v>5339</v>
      </c>
      <c r="E925" s="38" t="n">
        <v>4716</v>
      </c>
      <c r="F925" s="38" t="n">
        <v>623</v>
      </c>
      <c r="H925" s="38" t="inlineStr">
        <is>
          <t>Total habitatges familiars; principal i no principal provenen de les categories publicades</t>
        </is>
      </c>
    </row>
    <row r="926" ht="15" customHeight="1" s="39">
      <c r="A926" s="38" t="inlineStr">
        <is>
          <t>[089024] Vilanova del Vallès</t>
        </is>
      </c>
      <c r="B926" s="42" t="inlineStr">
        <is>
          <t>089024</t>
        </is>
      </c>
      <c r="C926" s="38" t="inlineStr">
        <is>
          <t>Vilanova del Vallès</t>
        </is>
      </c>
      <c r="D926" s="38" t="n">
        <v>2277</v>
      </c>
      <c r="E926" s="38" t="n">
        <v>1885</v>
      </c>
      <c r="F926" s="38" t="n">
        <v>392</v>
      </c>
      <c r="H926" s="38" t="inlineStr">
        <is>
          <t>Total habitatges familiars; principal i no principal provenen de les categories publicades</t>
        </is>
      </c>
    </row>
    <row r="927" ht="15" customHeight="1" s="39">
      <c r="A927" s="38" t="inlineStr">
        <is>
          <t>[083073] Vilanova i la Geltrú</t>
        </is>
      </c>
      <c r="B927" s="42" t="inlineStr">
        <is>
          <t>083073</t>
        </is>
      </c>
      <c r="C927" s="38" t="inlineStr">
        <is>
          <t>Vilanova i la Geltrú</t>
        </is>
      </c>
      <c r="D927" s="38" t="n">
        <v>33155</v>
      </c>
      <c r="E927" s="38" t="n">
        <v>26067</v>
      </c>
      <c r="F927" s="38" t="n">
        <v>7088</v>
      </c>
      <c r="H927" s="38" t="inlineStr">
        <is>
          <t>Total habitatges familiars; principal i no principal provenen de les categories publicades</t>
        </is>
      </c>
    </row>
    <row r="928" ht="15" customHeight="1" s="39">
      <c r="A928" s="38" t="inlineStr">
        <is>
          <t>[431690] Vilaplana</t>
        </is>
      </c>
      <c r="B928" s="42" t="inlineStr">
        <is>
          <t>431690</t>
        </is>
      </c>
      <c r="C928" s="38" t="inlineStr">
        <is>
          <t>Vilaplana</t>
        </is>
      </c>
      <c r="D928" s="38" t="n">
        <v>332</v>
      </c>
      <c r="E928" s="38" t="n">
        <v>218</v>
      </c>
      <c r="F928" s="38" t="n">
        <v>114</v>
      </c>
      <c r="H928" s="38" t="inlineStr">
        <is>
          <t>Total habitatges familiars; principal i no principal provenen de les categories publicades</t>
        </is>
      </c>
    </row>
    <row r="929" ht="15" customHeight="1" s="39">
      <c r="A929" s="38" t="inlineStr">
        <is>
          <t>[431704] Vila-rodona</t>
        </is>
      </c>
      <c r="B929" s="42" t="inlineStr">
        <is>
          <t>431704</t>
        </is>
      </c>
      <c r="C929" s="38" t="inlineStr">
        <is>
          <t>Vila-rodona</t>
        </is>
      </c>
      <c r="D929" s="38" t="n">
        <v>845</v>
      </c>
      <c r="E929" s="38" t="n">
        <v>519</v>
      </c>
      <c r="F929" s="38" t="n">
        <v>326</v>
      </c>
      <c r="H929" s="38" t="inlineStr">
        <is>
          <t>Total habitatges familiars; principal i no principal provenen de les categories publicades</t>
        </is>
      </c>
    </row>
    <row r="930" ht="15" customHeight="1" s="39">
      <c r="A930" s="38" t="inlineStr">
        <is>
          <t>[172305] Vila-sacra</t>
        </is>
      </c>
      <c r="B930" s="42" t="inlineStr">
        <is>
          <t>172305</t>
        </is>
      </c>
      <c r="C930" s="38" t="inlineStr">
        <is>
          <t>Vila-sacra</t>
        </is>
      </c>
      <c r="D930" s="38" t="n">
        <v>299</v>
      </c>
      <c r="E930" s="38" t="n">
        <v>278</v>
      </c>
      <c r="F930" s="38" t="n">
        <v>21</v>
      </c>
      <c r="H930" s="38" t="inlineStr">
        <is>
          <t>Total habitatges familiars; principal i no principal provenen de les categories publicades</t>
        </is>
      </c>
    </row>
    <row r="931" ht="15" customHeight="1" s="39">
      <c r="A931" s="38" t="inlineStr">
        <is>
          <t>[252521] Vila-sana</t>
        </is>
      </c>
      <c r="B931" s="42" t="inlineStr">
        <is>
          <t>252521</t>
        </is>
      </c>
      <c r="C931" s="38" t="inlineStr">
        <is>
          <t>Vila-sana</t>
        </is>
      </c>
      <c r="D931" s="38" t="n">
        <v>341</v>
      </c>
      <c r="E931" s="38" t="n">
        <v>281</v>
      </c>
      <c r="F931" s="38" t="n">
        <v>60</v>
      </c>
      <c r="H931" s="38" t="inlineStr">
        <is>
          <t>Total habitatges familiars; principal i no principal provenen de les categories publicades</t>
        </is>
      </c>
    </row>
    <row r="932" ht="15" customHeight="1" s="39">
      <c r="A932" s="38" t="inlineStr">
        <is>
          <t>[431711] Vila-seca</t>
        </is>
      </c>
      <c r="B932" s="42" t="inlineStr">
        <is>
          <t>431711</t>
        </is>
      </c>
      <c r="C932" s="38" t="inlineStr">
        <is>
          <t>Vila-seca</t>
        </is>
      </c>
      <c r="D932" s="38" t="n">
        <v>17417</v>
      </c>
      <c r="E932" s="38" t="n">
        <v>8725</v>
      </c>
      <c r="F932" s="38" t="n">
        <v>8692</v>
      </c>
      <c r="H932" s="38" t="inlineStr">
        <is>
          <t>Total habitatges familiars; principal i no principal provenen de les categories publicades</t>
        </is>
      </c>
    </row>
    <row r="933" ht="15" customHeight="1" s="39">
      <c r="A933" s="38" t="inlineStr">
        <is>
          <t>[082140] Vilassar de Dalt</t>
        </is>
      </c>
      <c r="B933" s="42" t="inlineStr">
        <is>
          <t>082140</t>
        </is>
      </c>
      <c r="C933" s="38" t="inlineStr">
        <is>
          <t>Vilassar de Dalt</t>
        </is>
      </c>
      <c r="D933" s="38" t="n">
        <v>4058</v>
      </c>
      <c r="E933" s="38" t="n">
        <v>3334</v>
      </c>
      <c r="F933" s="38" t="n">
        <v>724</v>
      </c>
      <c r="H933" s="38" t="inlineStr">
        <is>
          <t>Total habitatges familiars; principal i no principal provenen de les categories publicades</t>
        </is>
      </c>
    </row>
    <row r="934" ht="15" customHeight="1" s="39">
      <c r="A934" s="38" t="inlineStr">
        <is>
          <t>[082191] Vilassar de Mar</t>
        </is>
      </c>
      <c r="B934" s="42" t="inlineStr">
        <is>
          <t>082191</t>
        </is>
      </c>
      <c r="C934" s="38" t="inlineStr">
        <is>
          <t>Vilassar de Mar</t>
        </is>
      </c>
      <c r="D934" s="38" t="n">
        <v>10186</v>
      </c>
      <c r="E934" s="38" t="n">
        <v>7998</v>
      </c>
      <c r="F934" s="38" t="n">
        <v>2188</v>
      </c>
      <c r="H934" s="38" t="inlineStr">
        <is>
          <t>Total habitatges familiars; principal i no principal provenen de les categories publicades</t>
        </is>
      </c>
    </row>
    <row r="935" ht="15" customHeight="1" s="39">
      <c r="A935" s="38" t="inlineStr">
        <is>
          <t>[172229] Vilaür</t>
        </is>
      </c>
      <c r="B935" s="42" t="inlineStr">
        <is>
          <t>172229</t>
        </is>
      </c>
      <c r="C935" s="38" t="inlineStr">
        <is>
          <t>Vilaür</t>
        </is>
      </c>
      <c r="D935" s="38" t="n">
        <v>112</v>
      </c>
      <c r="E935" s="38" t="n">
        <v>58</v>
      </c>
      <c r="F935" s="38" t="n">
        <v>54</v>
      </c>
      <c r="H935" s="38" t="inlineStr">
        <is>
          <t>Total habitatges familiars; principal i no principal provenen de les categories publicades</t>
        </is>
      </c>
    </row>
    <row r="936" ht="15" customHeight="1" s="39">
      <c r="A936" s="38" t="inlineStr">
        <is>
          <t>[431726] Vilaverd</t>
        </is>
      </c>
      <c r="B936" s="42" t="inlineStr">
        <is>
          <t>431726</t>
        </is>
      </c>
      <c r="C936" s="38" t="inlineStr">
        <is>
          <t>Vilaverd</t>
        </is>
      </c>
      <c r="D936" s="38" t="n">
        <v>332</v>
      </c>
      <c r="E936" s="38" t="n">
        <v>181</v>
      </c>
      <c r="F936" s="38" t="n">
        <v>151</v>
      </c>
      <c r="H936" s="38" t="inlineStr">
        <is>
          <t>Total habitatges familiars; principal i no principal provenen de les categories publicades</t>
        </is>
      </c>
    </row>
    <row r="937" ht="15" customHeight="1" s="39">
      <c r="A937" s="38" t="inlineStr">
        <is>
          <t>[431732] Vilella Alta, la</t>
        </is>
      </c>
      <c r="B937" s="42" t="inlineStr">
        <is>
          <t>431732</t>
        </is>
      </c>
      <c r="C937" s="38" t="inlineStr">
        <is>
          <t>Vilella Alta, la</t>
        </is>
      </c>
      <c r="D937" s="38" t="n">
        <v>116</v>
      </c>
      <c r="E937" s="38" t="n">
        <v>50</v>
      </c>
      <c r="F937" s="38" t="n">
        <v>66</v>
      </c>
      <c r="H937" s="38" t="inlineStr">
        <is>
          <t>Total habitatges familiars; principal i no principal provenen de les categories publicades</t>
        </is>
      </c>
    </row>
    <row r="938" ht="15" customHeight="1" s="39">
      <c r="A938" s="38" t="inlineStr">
        <is>
          <t>[431747] Vilella Baixa, la</t>
        </is>
      </c>
      <c r="B938" s="42" t="inlineStr">
        <is>
          <t>431747</t>
        </is>
      </c>
      <c r="C938" s="38" t="inlineStr">
        <is>
          <t>Vilella Baixa, la</t>
        </is>
      </c>
      <c r="D938" s="38" t="n">
        <v>226</v>
      </c>
      <c r="E938" s="38" t="n">
        <v>95</v>
      </c>
      <c r="F938" s="38" t="n">
        <v>131</v>
      </c>
      <c r="H938" s="38" t="inlineStr">
        <is>
          <t>Total habitatges familiars; principal i no principal provenen de les categories publicades</t>
        </is>
      </c>
    </row>
    <row r="939" ht="15" customHeight="1" s="39">
      <c r="A939" s="38" t="inlineStr">
        <is>
          <t>[172333] Vilobí d'Onyar</t>
        </is>
      </c>
      <c r="B939" s="42" t="inlineStr">
        <is>
          <t>172333</t>
        </is>
      </c>
      <c r="C939" s="38" t="inlineStr">
        <is>
          <t>Vilobí d'Onyar</t>
        </is>
      </c>
      <c r="D939" s="38" t="n">
        <v>1346</v>
      </c>
      <c r="E939" s="38" t="n">
        <v>1161</v>
      </c>
      <c r="F939" s="38" t="n">
        <v>185</v>
      </c>
      <c r="H939" s="38" t="inlineStr">
        <is>
          <t>Total habitatges familiars; principal i no principal provenen de les categories publicades</t>
        </is>
      </c>
    </row>
    <row r="940" ht="15" customHeight="1" s="39">
      <c r="A940" s="38" t="inlineStr">
        <is>
          <t>[083041] Vilobí del Penedès</t>
        </is>
      </c>
      <c r="B940" s="42" t="inlineStr">
        <is>
          <t>083041</t>
        </is>
      </c>
      <c r="C940" s="38" t="inlineStr">
        <is>
          <t>Vilobí del Penedès</t>
        </is>
      </c>
      <c r="D940" s="38" t="n">
        <v>492</v>
      </c>
      <c r="E940" s="38" t="n">
        <v>388</v>
      </c>
      <c r="F940" s="38" t="n">
        <v>104</v>
      </c>
      <c r="H940" s="38" t="inlineStr">
        <is>
          <t>Total habitatges familiars; principal i no principal provenen de les categories publicades</t>
        </is>
      </c>
    </row>
    <row r="941" ht="15" customHeight="1" s="39">
      <c r="A941" s="38" t="inlineStr">
        <is>
          <t>[172327] Vilopriu</t>
        </is>
      </c>
      <c r="B941" s="42" t="inlineStr">
        <is>
          <t>172327</t>
        </is>
      </c>
      <c r="C941" s="38" t="inlineStr">
        <is>
          <t>Vilopriu</t>
        </is>
      </c>
      <c r="D941" s="38" t="n">
        <v>216</v>
      </c>
      <c r="E941" s="38" t="n">
        <v>96</v>
      </c>
      <c r="F941" s="38" t="n">
        <v>120</v>
      </c>
      <c r="H941" s="38" t="inlineStr">
        <is>
          <t>Total habitatges familiars; principal i no principal provenen de les categories publicades</t>
        </is>
      </c>
    </row>
    <row r="942" ht="15" customHeight="1" s="39">
      <c r="A942" s="38" t="inlineStr">
        <is>
          <t>[252537] Vilosell, el</t>
        </is>
      </c>
      <c r="B942" s="42" t="inlineStr">
        <is>
          <t>252537</t>
        </is>
      </c>
      <c r="C942" s="38" t="inlineStr">
        <is>
          <t>Vilosell, el</t>
        </is>
      </c>
      <c r="D942" s="38" t="n">
        <v>239</v>
      </c>
      <c r="E942" s="38" t="n">
        <v>90</v>
      </c>
      <c r="F942" s="38" t="n">
        <v>149</v>
      </c>
      <c r="H942" s="38" t="inlineStr">
        <is>
          <t>Total habitatges familiars; principal i no principal provenen de les categories publicades</t>
        </is>
      </c>
    </row>
    <row r="943" ht="15" customHeight="1" s="39">
      <c r="A943" s="38" t="inlineStr">
        <is>
          <t>[431763] Vimbodí i Poblet</t>
        </is>
      </c>
      <c r="B943" s="42" t="inlineStr">
        <is>
          <t>431763</t>
        </is>
      </c>
      <c r="C943" s="38" t="inlineStr">
        <is>
          <t>Vimbodí i Poblet</t>
        </is>
      </c>
      <c r="D943" s="38" t="n">
        <v>722</v>
      </c>
      <c r="E943" s="38" t="n">
        <v>362</v>
      </c>
      <c r="F943" s="38" t="n">
        <v>360</v>
      </c>
      <c r="H943" s="38" t="inlineStr">
        <is>
          <t>Total habitatges familiars; principal i no principal provenen de les categories publicades</t>
        </is>
      </c>
    </row>
    <row r="944" ht="15" customHeight="1" s="39">
      <c r="A944" s="38" t="inlineStr">
        <is>
          <t>[252555] Vinaixa</t>
        </is>
      </c>
      <c r="B944" s="42" t="inlineStr">
        <is>
          <t>252555</t>
        </is>
      </c>
      <c r="C944" s="38" t="inlineStr">
        <is>
          <t>Vinaixa</t>
        </is>
      </c>
      <c r="D944" s="38" t="n">
        <v>381</v>
      </c>
      <c r="E944" s="38" t="n">
        <v>198</v>
      </c>
      <c r="F944" s="38" t="n">
        <v>183</v>
      </c>
      <c r="H944" s="38" t="inlineStr">
        <is>
          <t>Total habitatges familiars; principal i no principal provenen de les categories publicades</t>
        </is>
      </c>
    </row>
    <row r="945" ht="15" customHeight="1" s="39">
      <c r="A945" s="38" t="inlineStr">
        <is>
          <t>[431779] Vinebre</t>
        </is>
      </c>
      <c r="B945" s="42" t="inlineStr">
        <is>
          <t>431779</t>
        </is>
      </c>
      <c r="C945" s="38" t="inlineStr">
        <is>
          <t>Vinebre</t>
        </is>
      </c>
      <c r="D945" s="38" t="n">
        <v>324</v>
      </c>
      <c r="E945" s="38" t="n">
        <v>171</v>
      </c>
      <c r="F945" s="38" t="n">
        <v>153</v>
      </c>
      <c r="H945" s="38" t="inlineStr">
        <is>
          <t>Total habitatges familiars; principal i no principal provenen de les categories publicades</t>
        </is>
      </c>
    </row>
    <row r="946" ht="15" customHeight="1" s="39">
      <c r="A946" s="38" t="inlineStr">
        <is>
          <t>[431785] Vinyols i els Arcs</t>
        </is>
      </c>
      <c r="B946" s="42" t="inlineStr">
        <is>
          <t>431785</t>
        </is>
      </c>
      <c r="C946" s="38" t="inlineStr">
        <is>
          <t>Vinyols i els Arcs</t>
        </is>
      </c>
      <c r="D946" s="38" t="n">
        <v>1530</v>
      </c>
      <c r="E946" s="38" t="n">
        <v>844</v>
      </c>
      <c r="F946" s="38" t="n">
        <v>686</v>
      </c>
      <c r="H946" s="38" t="inlineStr">
        <is>
          <t>Total habitatges familiars; principal i no principal provenen de les categories publicades</t>
        </is>
      </c>
    </row>
    <row r="947" ht="15" customHeight="1" s="39">
      <c r="A947" s="38" t="inlineStr">
        <is>
          <t>[083089] Viver i Serrateix</t>
        </is>
      </c>
      <c r="B947" s="42" t="inlineStr">
        <is>
          <t>083089</t>
        </is>
      </c>
      <c r="C947" s="38" t="inlineStr">
        <is>
          <t>Viver i Serrateix</t>
        </is>
      </c>
      <c r="D947" s="38" t="n">
        <v>95</v>
      </c>
      <c r="E947" s="38" t="n">
        <v>55</v>
      </c>
      <c r="F947" s="38" t="n">
        <v>40</v>
      </c>
      <c r="H947" s="38" t="inlineStr">
        <is>
          <t>Total habitatges familiars; principal i no principal provenen de les categories publicades</t>
        </is>
      </c>
    </row>
    <row r="948" ht="15" customHeight="1" s="39">
      <c r="A948" s="38" t="inlineStr">
        <is>
          <t>[430521] Xerta</t>
        </is>
      </c>
      <c r="B948" s="42" t="inlineStr">
        <is>
          <t>430521</t>
        </is>
      </c>
      <c r="C948" s="38" t="inlineStr">
        <is>
          <t>Xerta</t>
        </is>
      </c>
      <c r="D948" s="38" t="n">
        <v>855</v>
      </c>
      <c r="E948" s="38" t="n">
        <v>486</v>
      </c>
      <c r="F948" s="38" t="n">
        <v>369</v>
      </c>
      <c r="H948" s="38" t="inlineStr">
        <is>
          <t>Total habitatges familiars; principal i no principal provenen de les categories publicades</t>
        </is>
      </c>
    </row>
  </sheetData>
  <autoFilter ref="A1:H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20" customWidth="1" style="38" min="2" max="2"/>
    <col width="38" customWidth="1" style="38" min="3" max="3"/>
    <col width="28" customWidth="1" style="38" min="4" max="4"/>
    <col width="18" customWidth="1" style="38" min="5" max="5"/>
    <col width="12" customWidth="1" style="38" min="6" max="6"/>
    <col width="38" customWidth="1" style="38" min="7" max="7"/>
  </cols>
  <sheetData>
    <row r="1" ht="15.75" customHeight="1" s="39">
      <c r="A1" s="40" t="inlineStr">
        <is>
          <t>check_id</t>
        </is>
      </c>
      <c r="B1" s="40" t="inlineStr">
        <is>
          <t>scope</t>
        </is>
      </c>
      <c r="C1" s="40" t="inlineStr">
        <is>
          <t>test</t>
        </is>
      </c>
      <c r="D1" s="40" t="inlineStr">
        <is>
          <t>expected</t>
        </is>
      </c>
      <c r="E1" s="40" t="inlineStr">
        <is>
          <t>observed</t>
        </is>
      </c>
      <c r="F1" s="40" t="inlineStr">
        <is>
          <t>status</t>
        </is>
      </c>
      <c r="G1" s="40" t="inlineStr">
        <is>
          <t>notes</t>
        </is>
      </c>
    </row>
    <row r="2" ht="15" customHeight="1" s="39">
      <c r="A2" s="38" t="inlineStr">
        <is>
          <t>C01</t>
        </is>
      </c>
      <c r="B2" s="38" t="inlineStr">
        <is>
          <t>source_codes</t>
        </is>
      </c>
      <c r="C2" s="38" t="inlineStr">
        <is>
          <t>Files municipals importades</t>
        </is>
      </c>
      <c r="D2" s="38" t="n">
        <v>947</v>
      </c>
      <c r="E2" s="38" t="n">
        <v>947</v>
      </c>
      <c r="F2" s="38" t="inlineStr">
        <is>
          <t>OK</t>
        </is>
      </c>
      <c r="G2" s="38" t="inlineStr">
        <is>
          <t>Capçalera detectada: Codi, Nom, Codi comarca, Nom comarca</t>
        </is>
      </c>
    </row>
    <row r="3" ht="15" customHeight="1" s="39">
      <c r="A3" s="38" t="inlineStr">
        <is>
          <t>C02</t>
        </is>
      </c>
      <c r="B3" s="38" t="inlineStr">
        <is>
          <t>prepared_codes</t>
        </is>
      </c>
      <c r="C3" s="38" t="inlineStr">
        <is>
          <t>Codis municipals duplicats</t>
        </is>
      </c>
      <c r="D3" s="38" t="n">
        <v>0</v>
      </c>
      <c r="E3" s="38" t="n">
        <v>0</v>
      </c>
      <c r="F3" s="38" t="inlineStr">
        <is>
          <t>OK</t>
        </is>
      </c>
      <c r="G3" s="38" t="inlineStr">
        <is>
          <t>Clau de sis caràcters conservada com a text</t>
        </is>
      </c>
    </row>
    <row r="4" ht="15" customHeight="1" s="39">
      <c r="A4" s="38" t="inlineStr">
        <is>
          <t>C03</t>
        </is>
      </c>
      <c r="B4" s="38" t="inlineStr">
        <is>
          <t>municipal</t>
        </is>
      </c>
      <c r="C4" s="38" t="inlineStr">
        <is>
          <t>Municipis del Tarragonès</t>
        </is>
      </c>
      <c r="D4" s="38" t="n">
        <v>22</v>
      </c>
      <c r="E4" s="38" t="n">
        <v>22</v>
      </c>
      <c r="F4" s="38" t="inlineStr">
        <is>
          <t>OK</t>
        </is>
      </c>
      <c r="G4" s="38" t="inlineStr">
        <is>
          <t>Filtrats amb el codi de comarca 36</t>
        </is>
      </c>
    </row>
    <row r="5" ht="15" customHeight="1" s="39">
      <c r="A5" s="38" t="inlineStr">
        <is>
          <t>C04</t>
        </is>
      </c>
      <c r="B5" s="38" t="inlineStr">
        <is>
          <t>municipal</t>
        </is>
      </c>
      <c r="C5" s="38" t="inlineStr">
        <is>
          <t>Fonts sense correspondència</t>
        </is>
      </c>
      <c r="D5" s="38" t="n">
        <v>0</v>
      </c>
      <c r="E5" s="38" t="n">
        <v>0</v>
      </c>
      <c r="F5" s="38" t="inlineStr">
        <is>
          <t>OK</t>
        </is>
      </c>
      <c r="G5" s="38" t="inlineStr">
        <is>
          <t>Població, habitatge i superfície contrastats per codi</t>
        </is>
      </c>
    </row>
    <row r="6" ht="15" customHeight="1" s="39">
      <c r="A6" s="38" t="inlineStr">
        <is>
          <t>C05</t>
        </is>
      </c>
      <c r="B6" s="38" t="inlineStr">
        <is>
          <t>municipal</t>
        </is>
      </c>
      <c r="C6" s="38" t="inlineStr">
        <is>
          <t>Suma dels grups d'edat diferent del total</t>
        </is>
      </c>
      <c r="D6" s="38" t="inlineStr">
        <is>
          <t>0 o documentat</t>
        </is>
      </c>
      <c r="E6" s="38" t="n">
        <v>0</v>
      </c>
      <c r="F6" s="38" t="inlineStr">
        <is>
          <t>OK</t>
        </is>
      </c>
      <c r="G6" s="38" t="inlineStr">
        <is>
          <t>No es força la coincidència si la font presenta arrodoniments</t>
        </is>
      </c>
    </row>
    <row r="7" ht="15" customHeight="1" s="39">
      <c r="A7" s="38" t="inlineStr">
        <is>
          <t>C06</t>
        </is>
      </c>
      <c r="B7" s="38" t="inlineStr">
        <is>
          <t>municipal</t>
        </is>
      </c>
      <c r="C7" s="38" t="inlineStr">
        <is>
          <t>Municipi de control</t>
        </is>
      </c>
      <c r="D7" s="38" t="inlineStr">
        <is>
          <t>431711 Vila-seca</t>
        </is>
      </c>
      <c r="E7" s="38" t="inlineStr">
        <is>
          <t>431711 Vila-seca</t>
        </is>
      </c>
      <c r="F7" s="38" t="inlineStr">
        <is>
          <t>OK</t>
        </is>
      </c>
      <c r="G7" s="38" t="inlineStr">
        <is>
          <t>Codi contrastat entre les quatre fonts</t>
        </is>
      </c>
    </row>
    <row r="8" ht="15" customHeight="1" s="39">
      <c r="A8" s="38" t="inlineStr">
        <is>
          <t>C07</t>
        </is>
      </c>
      <c r="B8" s="38" t="inlineStr">
        <is>
          <t>source_surface</t>
        </is>
      </c>
      <c r="C8" s="38" t="inlineStr">
        <is>
          <t>Període de la superfície</t>
        </is>
      </c>
      <c r="D8" s="38" t="inlineStr">
        <is>
          <t>Compatibilitat documentada</t>
        </is>
      </c>
      <c r="E8" s="38" t="inlineStr">
        <is>
          <t>Publicació 2025</t>
        </is>
      </c>
      <c r="F8" s="38" t="inlineStr">
        <is>
          <t>REVISAR</t>
        </is>
      </c>
      <c r="G8" s="38" t="inlineStr">
        <is>
          <t>Cal justificar l'ús com a denominador de població 2021 o obtenir una edició territorial equivalent</t>
        </is>
      </c>
    </row>
    <row r="9" ht="15" customHeight="1" s="39">
      <c r="A9" s="38" t="inlineStr">
        <is>
          <t>C08</t>
        </is>
      </c>
      <c r="B9" s="38" t="inlineStr">
        <is>
          <t>indicators_*</t>
        </is>
      </c>
      <c r="C9" s="38" t="inlineStr">
        <is>
          <t>Files municipals i codis únics</t>
        </is>
      </c>
      <c r="D9" s="38" t="inlineStr">
        <is>
          <t>22 i 22</t>
        </is>
      </c>
      <c r="E9" s="38" t="inlineStr">
        <is>
          <t>22 i 22</t>
        </is>
      </c>
      <c r="F9" s="38" t="inlineStr">
        <is>
          <t>OK</t>
        </is>
      </c>
      <c r="G9" s="38" t="inlineStr">
        <is>
          <t>Una fila per municipi a cada família</t>
        </is>
      </c>
    </row>
    <row r="10" ht="15" customHeight="1" s="39">
      <c r="A10" s="38" t="inlineStr">
        <is>
          <t>C09</t>
        </is>
      </c>
      <c r="B10" s="38" t="inlineStr">
        <is>
          <t>indicators_*</t>
        </is>
      </c>
      <c r="C10" s="38" t="inlineStr">
        <is>
          <t>Denominadors no positius</t>
        </is>
      </c>
      <c r="D10" s="38" t="n">
        <v>0</v>
      </c>
      <c r="E10" s="38" t="n">
        <v>0</v>
      </c>
      <c r="F10" s="38" t="inlineStr">
        <is>
          <t>OK</t>
        </is>
      </c>
      <c r="G10" s="38" t="inlineStr">
        <is>
          <t>Població, població jove, superfície, habitatges totals i principals</t>
        </is>
      </c>
    </row>
    <row r="11" ht="15" customHeight="1" s="39">
      <c r="A11" s="38" t="inlineStr">
        <is>
          <t>C10</t>
        </is>
      </c>
      <c r="B11" s="38" t="inlineStr">
        <is>
          <t>municipal</t>
        </is>
      </c>
      <c r="C11" s="38" t="inlineStr">
        <is>
          <t>Components diferents dels totals</t>
        </is>
      </c>
      <c r="D11" s="38" t="n">
        <v>0</v>
      </c>
      <c r="E11" s="38" t="n">
        <v>0</v>
      </c>
      <c r="F11" s="38" t="inlineStr">
        <is>
          <t>OK</t>
        </is>
      </c>
      <c r="G11" s="38" t="inlineStr">
        <is>
          <t>Població i habitatges reconstruïts</t>
        </is>
      </c>
    </row>
    <row r="12" ht="15" customHeight="1" s="39">
      <c r="A12" s="38" t="inlineStr">
        <is>
          <t>C11</t>
        </is>
      </c>
      <c r="B12" s="38" t="inlineStr">
        <is>
          <t>indicators_*</t>
        </is>
      </c>
      <c r="C12" s="38" t="inlineStr">
        <is>
          <t>Fórmules municipals</t>
        </is>
      </c>
      <c r="D12" s="38" t="n">
        <v>132</v>
      </c>
      <c r="E12" s="38" t="n">
        <v>132</v>
      </c>
      <c r="F12" s="38" t="inlineStr">
        <is>
          <t>OK</t>
        </is>
      </c>
      <c r="G12" s="38" t="inlineStr">
        <is>
          <t>Sis indicadors per 22 municipis</t>
        </is>
      </c>
    </row>
    <row r="13" ht="15" customHeight="1" s="39">
      <c r="A13" s="38" t="inlineStr">
        <is>
          <t>C12</t>
        </is>
      </c>
      <c r="B13" s="38" t="inlineStr">
        <is>
          <t>indicators_*</t>
        </is>
      </c>
      <c r="C13" s="38" t="inlineStr">
        <is>
          <t>Percentatges fora de 0–100</t>
        </is>
      </c>
      <c r="D13" s="38" t="n">
        <v>0</v>
      </c>
      <c r="E13" s="38" t="n">
        <v>0</v>
      </c>
      <c r="F13" s="38" t="inlineStr">
        <is>
          <t>OK</t>
        </is>
      </c>
      <c r="G13" s="38" t="inlineStr">
        <is>
          <t>Pes jove, pes gran i habitatge no principal</t>
        </is>
      </c>
    </row>
    <row r="14" ht="15" customHeight="1" s="39">
      <c r="A14" s="38" t="inlineStr">
        <is>
          <t>C13</t>
        </is>
      </c>
      <c r="B14" s="38" t="inlineStr">
        <is>
          <t>indicators_summary</t>
        </is>
      </c>
      <c r="C14" s="38" t="inlineStr">
        <is>
          <t>Agregats calculats des de components</t>
        </is>
      </c>
      <c r="D14" s="38" t="n">
        <v>8</v>
      </c>
      <c r="E14" s="38" t="n">
        <v>8</v>
      </c>
      <c r="F14" s="38" t="inlineStr">
        <is>
          <t>OK</t>
        </is>
      </c>
      <c r="G14" s="38" t="inlineStr">
        <is>
          <t>No s'utilitzen mitjanes simples de percentatges</t>
        </is>
      </c>
    </row>
    <row r="15" ht="15" customHeight="1" s="39">
      <c r="A15" s="38" t="inlineStr">
        <is>
          <t>C14</t>
        </is>
      </c>
      <c r="B15" s="38" t="inlineStr">
        <is>
          <t>indicators_summary</t>
        </is>
      </c>
      <c r="C15" s="38" t="inlineStr">
        <is>
          <t>Superfície temporalment compatible</t>
        </is>
      </c>
      <c r="D15" s="38" t="inlineStr">
        <is>
          <t>Justificació</t>
        </is>
      </c>
      <c r="E15" s="38" t="inlineStr">
        <is>
          <t>Pendent</t>
        </is>
      </c>
      <c r="F15" s="38" t="inlineStr">
        <is>
          <t>REVISAR</t>
        </is>
      </c>
      <c r="G15" s="38" t="inlineStr">
        <is>
          <t>La densitat continua provisional fins a resoldre C07</t>
        </is>
      </c>
    </row>
  </sheetData>
  <autoFilter ref="A1:G1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2" customWidth="1" style="38" min="1" max="4"/>
    <col width="42" customWidth="1" style="38" min="5" max="8"/>
    <col width="24" customWidth="1" style="38" min="9" max="12"/>
    <col width="42" customWidth="1" style="38" min="13" max="13"/>
  </cols>
  <sheetData>
    <row r="1" ht="15.75" customHeight="1" s="39">
      <c r="A1" s="41" t="inlineStr">
        <is>
          <t>municipality_code</t>
        </is>
      </c>
      <c r="B1" s="40" t="inlineStr">
        <is>
          <t>municipality_name</t>
        </is>
      </c>
      <c r="C1" s="40" t="inlineStr">
        <is>
          <t>county_code</t>
        </is>
      </c>
      <c r="D1" s="40" t="inlineStr">
        <is>
          <t>county_name</t>
        </is>
      </c>
      <c r="E1" s="40" t="inlineStr">
        <is>
          <t>population_total</t>
        </is>
      </c>
      <c r="F1" s="40" t="inlineStr">
        <is>
          <t>population_0_14</t>
        </is>
      </c>
      <c r="G1" s="40" t="inlineStr">
        <is>
          <t>population_15_64</t>
        </is>
      </c>
      <c r="H1" s="40" t="inlineStr">
        <is>
          <t>population_65_plus</t>
        </is>
      </c>
      <c r="I1" s="40" t="inlineStr">
        <is>
          <t>housing_total</t>
        </is>
      </c>
      <c r="J1" s="40" t="inlineStr">
        <is>
          <t>housing_main</t>
        </is>
      </c>
      <c r="K1" s="40" t="inlineStr">
        <is>
          <t>housing_non_main</t>
        </is>
      </c>
      <c r="L1" s="40" t="inlineStr">
        <is>
          <t>surface_km2</t>
        </is>
      </c>
      <c r="M1" s="40" t="inlineStr">
        <is>
          <t>preparation_notes</t>
        </is>
      </c>
    </row>
    <row r="2" ht="15" customHeight="1" s="39">
      <c r="A2" s="42">
        <f>prepared_codes!B48</f>
        <v/>
      </c>
      <c r="B2" s="38">
        <f>prepared_codes!C48</f>
        <v/>
      </c>
      <c r="C2" s="38">
        <f>prepared_codes!D48</f>
        <v/>
      </c>
      <c r="D2" s="38">
        <f>prepared_codes!E48</f>
        <v/>
      </c>
      <c r="E2" s="38">
        <f>SUMIFS(prepared_population!$G:$G,prepared_population!$B:$B,$A2,prepared_population!$D:$D,"TOTAL")</f>
        <v/>
      </c>
      <c r="F2" s="38">
        <f>SUMIFS(prepared_population!$G:$G,prepared_population!$B:$B,$A2,prepared_population!$F:$F,"&gt;=0",prepared_population!$F:$F,"&lt;=14")</f>
        <v/>
      </c>
      <c r="G2" s="38">
        <f>SUMIFS(prepared_population!$G:$G,prepared_population!$B:$B,$A2,prepared_population!$F:$F,"&gt;=15",prepared_population!$F:$F,"&lt;=64")</f>
        <v/>
      </c>
      <c r="H2" s="38">
        <f>SUMIFS(prepared_population!$G:$G,prepared_population!$B:$B,$A2,prepared_population!$F:$F,"&gt;=65")</f>
        <v/>
      </c>
      <c r="I2" s="38">
        <f>prepared_housing!D48</f>
        <v/>
      </c>
      <c r="J2" s="38">
        <f>prepared_housing!E48</f>
        <v/>
      </c>
      <c r="K2" s="38">
        <f>prepared_housing!F48</f>
        <v/>
      </c>
      <c r="L2" s="44">
        <f>prepared_surface!D48</f>
        <v/>
      </c>
      <c r="M2" s="38" t="inlineStr">
        <is>
          <t>Població i habitatge: 2021; superfície: publicació 2025, amb compatibilitat territorial pendent de revisió explícita</t>
        </is>
      </c>
    </row>
    <row r="3" ht="15" customHeight="1" s="39">
      <c r="A3" s="42">
        <f>prepared_codes!B222</f>
        <v/>
      </c>
      <c r="B3" s="38">
        <f>prepared_codes!C222</f>
        <v/>
      </c>
      <c r="C3" s="38">
        <f>prepared_codes!D222</f>
        <v/>
      </c>
      <c r="D3" s="38">
        <f>prepared_codes!E222</f>
        <v/>
      </c>
      <c r="E3" s="38">
        <f>SUMIFS(prepared_population!$G:$G,prepared_population!$B:$B,$A3,prepared_population!$D:$D,"TOTAL")</f>
        <v/>
      </c>
      <c r="F3" s="38">
        <f>SUMIFS(prepared_population!$G:$G,prepared_population!$B:$B,$A3,prepared_population!$F:$F,"&gt;=0",prepared_population!$F:$F,"&lt;=14")</f>
        <v/>
      </c>
      <c r="G3" s="38">
        <f>SUMIFS(prepared_population!$G:$G,prepared_population!$B:$B,$A3,prepared_population!$F:$F,"&gt;=15",prepared_population!$F:$F,"&lt;=64")</f>
        <v/>
      </c>
      <c r="H3" s="38">
        <f>SUMIFS(prepared_population!$G:$G,prepared_population!$B:$B,$A3,prepared_population!$F:$F,"&gt;=65")</f>
        <v/>
      </c>
      <c r="I3" s="38">
        <f>prepared_housing!D222</f>
        <v/>
      </c>
      <c r="J3" s="38">
        <f>prepared_housing!E222</f>
        <v/>
      </c>
      <c r="K3" s="38">
        <f>prepared_housing!F222</f>
        <v/>
      </c>
      <c r="L3" s="44">
        <f>prepared_surface!D222</f>
        <v/>
      </c>
      <c r="M3" s="38" t="inlineStr">
        <is>
          <t>Població i habitatge: 2021; superfície: publicació 2025, amb compatibilitat territorial pendent de revisió explícita</t>
        </is>
      </c>
    </row>
    <row r="4" ht="15" customHeight="1" s="39">
      <c r="A4" s="42">
        <f>prepared_codes!B246</f>
        <v/>
      </c>
      <c r="B4" s="38">
        <f>prepared_codes!C246</f>
        <v/>
      </c>
      <c r="C4" s="38">
        <f>prepared_codes!D246</f>
        <v/>
      </c>
      <c r="D4" s="38">
        <f>prepared_codes!E246</f>
        <v/>
      </c>
      <c r="E4" s="38">
        <f>SUMIFS(prepared_population!$G:$G,prepared_population!$B:$B,$A4,prepared_population!$D:$D,"TOTAL")</f>
        <v/>
      </c>
      <c r="F4" s="38">
        <f>SUMIFS(prepared_population!$G:$G,prepared_population!$B:$B,$A4,prepared_population!$F:$F,"&gt;=0",prepared_population!$F:$F,"&lt;=14")</f>
        <v/>
      </c>
      <c r="G4" s="38">
        <f>SUMIFS(prepared_population!$G:$G,prepared_population!$B:$B,$A4,prepared_population!$F:$F,"&gt;=15",prepared_population!$F:$F,"&lt;=64")</f>
        <v/>
      </c>
      <c r="H4" s="38">
        <f>SUMIFS(prepared_population!$G:$G,prepared_population!$B:$B,$A4,prepared_population!$F:$F,"&gt;=65")</f>
        <v/>
      </c>
      <c r="I4" s="38">
        <f>prepared_housing!D246</f>
        <v/>
      </c>
      <c r="J4" s="38">
        <f>prepared_housing!E246</f>
        <v/>
      </c>
      <c r="K4" s="38">
        <f>prepared_housing!F246</f>
        <v/>
      </c>
      <c r="L4" s="44">
        <f>prepared_surface!D246</f>
        <v/>
      </c>
      <c r="M4" s="38" t="inlineStr">
        <is>
          <t>Població i habitatge: 2021; superfície: publicació 2025, amb compatibilitat territorial pendent de revisió explícita</t>
        </is>
      </c>
    </row>
    <row r="5" ht="15" customHeight="1" s="39">
      <c r="A5" s="42">
        <f>prepared_codes!B255</f>
        <v/>
      </c>
      <c r="B5" s="38">
        <f>prepared_codes!C255</f>
        <v/>
      </c>
      <c r="C5" s="38">
        <f>prepared_codes!D255</f>
        <v/>
      </c>
      <c r="D5" s="38">
        <f>prepared_codes!E255</f>
        <v/>
      </c>
      <c r="E5" s="38">
        <f>SUMIFS(prepared_population!$G:$G,prepared_population!$B:$B,$A5,prepared_population!$D:$D,"TOTAL")</f>
        <v/>
      </c>
      <c r="F5" s="38">
        <f>SUMIFS(prepared_population!$G:$G,prepared_population!$B:$B,$A5,prepared_population!$F:$F,"&gt;=0",prepared_population!$F:$F,"&lt;=14")</f>
        <v/>
      </c>
      <c r="G5" s="38">
        <f>SUMIFS(prepared_population!$G:$G,prepared_population!$B:$B,$A5,prepared_population!$F:$F,"&gt;=15",prepared_population!$F:$F,"&lt;=64")</f>
        <v/>
      </c>
      <c r="H5" s="38">
        <f>SUMIFS(prepared_population!$G:$G,prepared_population!$B:$B,$A5,prepared_population!$F:$F,"&gt;=65")</f>
        <v/>
      </c>
      <c r="I5" s="38">
        <f>prepared_housing!D255</f>
        <v/>
      </c>
      <c r="J5" s="38">
        <f>prepared_housing!E255</f>
        <v/>
      </c>
      <c r="K5" s="38">
        <f>prepared_housing!F255</f>
        <v/>
      </c>
      <c r="L5" s="44">
        <f>prepared_surface!D255</f>
        <v/>
      </c>
      <c r="M5" s="38" t="inlineStr">
        <is>
          <t>Població i habitatge: 2021; superfície: publicació 2025, amb compatibilitat territorial pendent de revisió explícita</t>
        </is>
      </c>
    </row>
    <row r="6" ht="15" customHeight="1" s="39">
      <c r="A6" s="42">
        <f>prepared_codes!B475</f>
        <v/>
      </c>
      <c r="B6" s="38">
        <f>prepared_codes!C475</f>
        <v/>
      </c>
      <c r="C6" s="38">
        <f>prepared_codes!D475</f>
        <v/>
      </c>
      <c r="D6" s="38">
        <f>prepared_codes!E475</f>
        <v/>
      </c>
      <c r="E6" s="38">
        <f>SUMIFS(prepared_population!$G:$G,prepared_population!$B:$B,$A6,prepared_population!$D:$D,"TOTAL")</f>
        <v/>
      </c>
      <c r="F6" s="38">
        <f>SUMIFS(prepared_population!$G:$G,prepared_population!$B:$B,$A6,prepared_population!$F:$F,"&gt;=0",prepared_population!$F:$F,"&lt;=14")</f>
        <v/>
      </c>
      <c r="G6" s="38">
        <f>SUMIFS(prepared_population!$G:$G,prepared_population!$B:$B,$A6,prepared_population!$F:$F,"&gt;=15",prepared_population!$F:$F,"&lt;=64")</f>
        <v/>
      </c>
      <c r="H6" s="38">
        <f>SUMIFS(prepared_population!$G:$G,prepared_population!$B:$B,$A6,prepared_population!$F:$F,"&gt;=65")</f>
        <v/>
      </c>
      <c r="I6" s="38">
        <f>prepared_housing!D475</f>
        <v/>
      </c>
      <c r="J6" s="38">
        <f>prepared_housing!E475</f>
        <v/>
      </c>
      <c r="K6" s="38">
        <f>prepared_housing!F475</f>
        <v/>
      </c>
      <c r="L6" s="44">
        <f>prepared_surface!D475</f>
        <v/>
      </c>
      <c r="M6" s="38" t="inlineStr">
        <is>
          <t>Població i habitatge: 2021; superfície: publicació 2025, amb compatibilitat territorial pendent de revisió explícita</t>
        </is>
      </c>
    </row>
    <row r="7" ht="15" customHeight="1" s="39">
      <c r="A7" s="42">
        <f>prepared_codes!B486</f>
        <v/>
      </c>
      <c r="B7" s="38">
        <f>prepared_codes!C486</f>
        <v/>
      </c>
      <c r="C7" s="38">
        <f>prepared_codes!D486</f>
        <v/>
      </c>
      <c r="D7" s="38">
        <f>prepared_codes!E486</f>
        <v/>
      </c>
      <c r="E7" s="38">
        <f>SUMIFS(prepared_population!$G:$G,prepared_population!$B:$B,$A7,prepared_population!$D:$D,"TOTAL")</f>
        <v/>
      </c>
      <c r="F7" s="38">
        <f>SUMIFS(prepared_population!$G:$G,prepared_population!$B:$B,$A7,prepared_population!$F:$F,"&gt;=0",prepared_population!$F:$F,"&lt;=14")</f>
        <v/>
      </c>
      <c r="G7" s="38">
        <f>SUMIFS(prepared_population!$G:$G,prepared_population!$B:$B,$A7,prepared_population!$F:$F,"&gt;=15",prepared_population!$F:$F,"&lt;=64")</f>
        <v/>
      </c>
      <c r="H7" s="38">
        <f>SUMIFS(prepared_population!$G:$G,prepared_population!$B:$B,$A7,prepared_population!$F:$F,"&gt;=65")</f>
        <v/>
      </c>
      <c r="I7" s="38">
        <f>prepared_housing!D486</f>
        <v/>
      </c>
      <c r="J7" s="38">
        <f>prepared_housing!E486</f>
        <v/>
      </c>
      <c r="K7" s="38">
        <f>prepared_housing!F486</f>
        <v/>
      </c>
      <c r="L7" s="44">
        <f>prepared_surface!D486</f>
        <v/>
      </c>
      <c r="M7" s="38" t="inlineStr">
        <is>
          <t>Població i habitatge: 2021; superfície: publicació 2025, amb compatibilitat territorial pendent de revisió explícita</t>
        </is>
      </c>
    </row>
    <row r="8" ht="15" customHeight="1" s="39">
      <c r="A8" s="42">
        <f>prepared_codes!B522</f>
        <v/>
      </c>
      <c r="B8" s="38">
        <f>prepared_codes!C522</f>
        <v/>
      </c>
      <c r="C8" s="38">
        <f>prepared_codes!D522</f>
        <v/>
      </c>
      <c r="D8" s="38">
        <f>prepared_codes!E522</f>
        <v/>
      </c>
      <c r="E8" s="38">
        <f>SUMIFS(prepared_population!$G:$G,prepared_population!$B:$B,$A8,prepared_population!$D:$D,"TOTAL")</f>
        <v/>
      </c>
      <c r="F8" s="38">
        <f>SUMIFS(prepared_population!$G:$G,prepared_population!$B:$B,$A8,prepared_population!$F:$F,"&gt;=0",prepared_population!$F:$F,"&lt;=14")</f>
        <v/>
      </c>
      <c r="G8" s="38">
        <f>SUMIFS(prepared_population!$G:$G,prepared_population!$B:$B,$A8,prepared_population!$F:$F,"&gt;=15",prepared_population!$F:$F,"&lt;=64")</f>
        <v/>
      </c>
      <c r="H8" s="38">
        <f>SUMIFS(prepared_population!$G:$G,prepared_population!$B:$B,$A8,prepared_population!$F:$F,"&gt;=65")</f>
        <v/>
      </c>
      <c r="I8" s="38">
        <f>prepared_housing!D522</f>
        <v/>
      </c>
      <c r="J8" s="38">
        <f>prepared_housing!E522</f>
        <v/>
      </c>
      <c r="K8" s="38">
        <f>prepared_housing!F522</f>
        <v/>
      </c>
      <c r="L8" s="44">
        <f>prepared_surface!D522</f>
        <v/>
      </c>
      <c r="M8" s="38" t="inlineStr">
        <is>
          <t>Població i habitatge: 2021; superfície: publicació 2025, amb compatibilitat territorial pendent de revisió explícita</t>
        </is>
      </c>
    </row>
    <row r="9" ht="15" customHeight="1" s="39">
      <c r="A9" s="42">
        <f>prepared_codes!B539</f>
        <v/>
      </c>
      <c r="B9" s="38">
        <f>prepared_codes!C539</f>
        <v/>
      </c>
      <c r="C9" s="38">
        <f>prepared_codes!D539</f>
        <v/>
      </c>
      <c r="D9" s="38">
        <f>prepared_codes!E539</f>
        <v/>
      </c>
      <c r="E9" s="38">
        <f>SUMIFS(prepared_population!$G:$G,prepared_population!$B:$B,$A9,prepared_population!$D:$D,"TOTAL")</f>
        <v/>
      </c>
      <c r="F9" s="38">
        <f>SUMIFS(prepared_population!$G:$G,prepared_population!$B:$B,$A9,prepared_population!$F:$F,"&gt;=0",prepared_population!$F:$F,"&lt;=14")</f>
        <v/>
      </c>
      <c r="G9" s="38">
        <f>SUMIFS(prepared_population!$G:$G,prepared_population!$B:$B,$A9,prepared_population!$F:$F,"&gt;=15",prepared_population!$F:$F,"&lt;=64")</f>
        <v/>
      </c>
      <c r="H9" s="38">
        <f>SUMIFS(prepared_population!$G:$G,prepared_population!$B:$B,$A9,prepared_population!$F:$F,"&gt;=65")</f>
        <v/>
      </c>
      <c r="I9" s="38">
        <f>prepared_housing!D539</f>
        <v/>
      </c>
      <c r="J9" s="38">
        <f>prepared_housing!E539</f>
        <v/>
      </c>
      <c r="K9" s="38">
        <f>prepared_housing!F539</f>
        <v/>
      </c>
      <c r="L9" s="44">
        <f>prepared_surface!D539</f>
        <v/>
      </c>
      <c r="M9" s="38" t="inlineStr">
        <is>
          <t>Població i habitatge: 2021; superfície: publicació 2025, amb compatibilitat territorial pendent de revisió explícita</t>
        </is>
      </c>
    </row>
    <row r="10" ht="15" customHeight="1" s="39">
      <c r="A10" s="42">
        <f>prepared_codes!B559</f>
        <v/>
      </c>
      <c r="B10" s="38">
        <f>prepared_codes!C559</f>
        <v/>
      </c>
      <c r="C10" s="38">
        <f>prepared_codes!D559</f>
        <v/>
      </c>
      <c r="D10" s="38">
        <f>prepared_codes!E559</f>
        <v/>
      </c>
      <c r="E10" s="38">
        <f>SUMIFS(prepared_population!$G:$G,prepared_population!$B:$B,$A10,prepared_population!$D:$D,"TOTAL")</f>
        <v/>
      </c>
      <c r="F10" s="38">
        <f>SUMIFS(prepared_population!$G:$G,prepared_population!$B:$B,$A10,prepared_population!$F:$F,"&gt;=0",prepared_population!$F:$F,"&lt;=14")</f>
        <v/>
      </c>
      <c r="G10" s="38">
        <f>SUMIFS(prepared_population!$G:$G,prepared_population!$B:$B,$A10,prepared_population!$F:$F,"&gt;=15",prepared_population!$F:$F,"&lt;=64")</f>
        <v/>
      </c>
      <c r="H10" s="38">
        <f>SUMIFS(prepared_population!$G:$G,prepared_population!$B:$B,$A10,prepared_population!$F:$F,"&gt;=65")</f>
        <v/>
      </c>
      <c r="I10" s="38">
        <f>prepared_housing!D559</f>
        <v/>
      </c>
      <c r="J10" s="38">
        <f>prepared_housing!E559</f>
        <v/>
      </c>
      <c r="K10" s="38">
        <f>prepared_housing!F559</f>
        <v/>
      </c>
      <c r="L10" s="44">
        <f>prepared_surface!D559</f>
        <v/>
      </c>
      <c r="M10" s="38" t="inlineStr">
        <is>
          <t>Població i habitatge: 2021; superfície: publicació 2025, amb compatibilitat territorial pendent de revisió explícita</t>
        </is>
      </c>
    </row>
    <row r="11" ht="15" customHeight="1" s="39">
      <c r="A11" s="42">
        <f>prepared_codes!B561</f>
        <v/>
      </c>
      <c r="B11" s="38">
        <f>prepared_codes!C561</f>
        <v/>
      </c>
      <c r="C11" s="38">
        <f>prepared_codes!D561</f>
        <v/>
      </c>
      <c r="D11" s="38">
        <f>prepared_codes!E561</f>
        <v/>
      </c>
      <c r="E11" s="38">
        <f>SUMIFS(prepared_population!$G:$G,prepared_population!$B:$B,$A11,prepared_population!$D:$D,"TOTAL")</f>
        <v/>
      </c>
      <c r="F11" s="38">
        <f>SUMIFS(prepared_population!$G:$G,prepared_population!$B:$B,$A11,prepared_population!$F:$F,"&gt;=0",prepared_population!$F:$F,"&lt;=14")</f>
        <v/>
      </c>
      <c r="G11" s="38">
        <f>SUMIFS(prepared_population!$G:$G,prepared_population!$B:$B,$A11,prepared_population!$F:$F,"&gt;=15",prepared_population!$F:$F,"&lt;=64")</f>
        <v/>
      </c>
      <c r="H11" s="38">
        <f>SUMIFS(prepared_population!$G:$G,prepared_population!$B:$B,$A11,prepared_population!$F:$F,"&gt;=65")</f>
        <v/>
      </c>
      <c r="I11" s="38">
        <f>prepared_housing!D561</f>
        <v/>
      </c>
      <c r="J11" s="38">
        <f>prepared_housing!E561</f>
        <v/>
      </c>
      <c r="K11" s="38">
        <f>prepared_housing!F561</f>
        <v/>
      </c>
      <c r="L11" s="44">
        <f>prepared_surface!D561</f>
        <v/>
      </c>
      <c r="M11" s="38" t="inlineStr">
        <is>
          <t>Població i habitatge: 2021; superfície: publicació 2025, amb compatibilitat territorial pendent de revisió explícita</t>
        </is>
      </c>
    </row>
    <row r="12" ht="15" customHeight="1" s="39">
      <c r="A12" s="42">
        <f>prepared_codes!B611</f>
        <v/>
      </c>
      <c r="B12" s="38">
        <f>prepared_codes!C611</f>
        <v/>
      </c>
      <c r="C12" s="38">
        <f>prepared_codes!D611</f>
        <v/>
      </c>
      <c r="D12" s="38">
        <f>prepared_codes!E611</f>
        <v/>
      </c>
      <c r="E12" s="38">
        <f>SUMIFS(prepared_population!$G:$G,prepared_population!$B:$B,$A12,prepared_population!$D:$D,"TOTAL")</f>
        <v/>
      </c>
      <c r="F12" s="38">
        <f>SUMIFS(prepared_population!$G:$G,prepared_population!$B:$B,$A12,prepared_population!$F:$F,"&gt;=0",prepared_population!$F:$F,"&lt;=14")</f>
        <v/>
      </c>
      <c r="G12" s="38">
        <f>SUMIFS(prepared_population!$G:$G,prepared_population!$B:$B,$A12,prepared_population!$F:$F,"&gt;=15",prepared_population!$F:$F,"&lt;=64")</f>
        <v/>
      </c>
      <c r="H12" s="38">
        <f>SUMIFS(prepared_population!$G:$G,prepared_population!$B:$B,$A12,prepared_population!$F:$F,"&gt;=65")</f>
        <v/>
      </c>
      <c r="I12" s="38">
        <f>prepared_housing!D611</f>
        <v/>
      </c>
      <c r="J12" s="38">
        <f>prepared_housing!E611</f>
        <v/>
      </c>
      <c r="K12" s="38">
        <f>prepared_housing!F611</f>
        <v/>
      </c>
      <c r="L12" s="44">
        <f>prepared_surface!D611</f>
        <v/>
      </c>
      <c r="M12" s="38" t="inlineStr">
        <is>
          <t>Població i habitatge: 2021; superfície: publicació 2025, amb compatibilitat territorial pendent de revisió explícita</t>
        </is>
      </c>
    </row>
    <row r="13" ht="15" customHeight="1" s="39">
      <c r="A13" s="42">
        <f>prepared_codes!B620</f>
        <v/>
      </c>
      <c r="B13" s="38">
        <f>prepared_codes!C620</f>
        <v/>
      </c>
      <c r="C13" s="38">
        <f>prepared_codes!D620</f>
        <v/>
      </c>
      <c r="D13" s="38">
        <f>prepared_codes!E620</f>
        <v/>
      </c>
      <c r="E13" s="38">
        <f>SUMIFS(prepared_population!$G:$G,prepared_population!$B:$B,$A13,prepared_population!$D:$D,"TOTAL")</f>
        <v/>
      </c>
      <c r="F13" s="38">
        <f>SUMIFS(prepared_population!$G:$G,prepared_population!$B:$B,$A13,prepared_population!$F:$F,"&gt;=0",prepared_population!$F:$F,"&lt;=14")</f>
        <v/>
      </c>
      <c r="G13" s="38">
        <f>SUMIFS(prepared_population!$G:$G,prepared_population!$B:$B,$A13,prepared_population!$F:$F,"&gt;=15",prepared_population!$F:$F,"&lt;=64")</f>
        <v/>
      </c>
      <c r="H13" s="38">
        <f>SUMIFS(prepared_population!$G:$G,prepared_population!$B:$B,$A13,prepared_population!$F:$F,"&gt;=65")</f>
        <v/>
      </c>
      <c r="I13" s="38">
        <f>prepared_housing!D620</f>
        <v/>
      </c>
      <c r="J13" s="38">
        <f>prepared_housing!E620</f>
        <v/>
      </c>
      <c r="K13" s="38">
        <f>prepared_housing!F620</f>
        <v/>
      </c>
      <c r="L13" s="44">
        <f>prepared_surface!D620</f>
        <v/>
      </c>
      <c r="M13" s="38" t="inlineStr">
        <is>
          <t>Població i habitatge: 2021; superfície: publicació 2025, amb compatibilitat territorial pendent de revisió explícita</t>
        </is>
      </c>
    </row>
    <row r="14" ht="15" customHeight="1" s="39">
      <c r="A14" s="42">
        <f>prepared_codes!B634</f>
        <v/>
      </c>
      <c r="B14" s="38">
        <f>prepared_codes!C634</f>
        <v/>
      </c>
      <c r="C14" s="38">
        <f>prepared_codes!D634</f>
        <v/>
      </c>
      <c r="D14" s="38">
        <f>prepared_codes!E634</f>
        <v/>
      </c>
      <c r="E14" s="38">
        <f>SUMIFS(prepared_population!$G:$G,prepared_population!$B:$B,$A14,prepared_population!$D:$D,"TOTAL")</f>
        <v/>
      </c>
      <c r="F14" s="38">
        <f>SUMIFS(prepared_population!$G:$G,prepared_population!$B:$B,$A14,prepared_population!$F:$F,"&gt;=0",prepared_population!$F:$F,"&lt;=14")</f>
        <v/>
      </c>
      <c r="G14" s="38">
        <f>SUMIFS(prepared_population!$G:$G,prepared_population!$B:$B,$A14,prepared_population!$F:$F,"&gt;=15",prepared_population!$F:$F,"&lt;=64")</f>
        <v/>
      </c>
      <c r="H14" s="38">
        <f>SUMIFS(prepared_population!$G:$G,prepared_population!$B:$B,$A14,prepared_population!$F:$F,"&gt;=65")</f>
        <v/>
      </c>
      <c r="I14" s="38">
        <f>prepared_housing!D634</f>
        <v/>
      </c>
      <c r="J14" s="38">
        <f>prepared_housing!E634</f>
        <v/>
      </c>
      <c r="K14" s="38">
        <f>prepared_housing!F634</f>
        <v/>
      </c>
      <c r="L14" s="44">
        <f>prepared_surface!D634</f>
        <v/>
      </c>
      <c r="M14" s="38" t="inlineStr">
        <is>
          <t>Població i habitatge: 2021; superfície: publicació 2025, amb compatibilitat territorial pendent de revisió explícita</t>
        </is>
      </c>
    </row>
    <row r="15" ht="15" customHeight="1" s="39">
      <c r="A15" s="42">
        <f>prepared_codes!B651</f>
        <v/>
      </c>
      <c r="B15" s="38">
        <f>prepared_codes!C651</f>
        <v/>
      </c>
      <c r="C15" s="38">
        <f>prepared_codes!D651</f>
        <v/>
      </c>
      <c r="D15" s="38">
        <f>prepared_codes!E651</f>
        <v/>
      </c>
      <c r="E15" s="38">
        <f>SUMIFS(prepared_population!$G:$G,prepared_population!$B:$B,$A15,prepared_population!$D:$D,"TOTAL")</f>
        <v/>
      </c>
      <c r="F15" s="38">
        <f>SUMIFS(prepared_population!$G:$G,prepared_population!$B:$B,$A15,prepared_population!$F:$F,"&gt;=0",prepared_population!$F:$F,"&lt;=14")</f>
        <v/>
      </c>
      <c r="G15" s="38">
        <f>SUMIFS(prepared_population!$G:$G,prepared_population!$B:$B,$A15,prepared_population!$F:$F,"&gt;=15",prepared_population!$F:$F,"&lt;=64")</f>
        <v/>
      </c>
      <c r="H15" s="38">
        <f>SUMIFS(prepared_population!$G:$G,prepared_population!$B:$B,$A15,prepared_population!$F:$F,"&gt;=65")</f>
        <v/>
      </c>
      <c r="I15" s="38">
        <f>prepared_housing!D651</f>
        <v/>
      </c>
      <c r="J15" s="38">
        <f>prepared_housing!E651</f>
        <v/>
      </c>
      <c r="K15" s="38">
        <f>prepared_housing!F651</f>
        <v/>
      </c>
      <c r="L15" s="44">
        <f>prepared_surface!D651</f>
        <v/>
      </c>
      <c r="M15" s="38" t="inlineStr">
        <is>
          <t>Població i habitatge: 2021; superfície: publicació 2025, amb compatibilitat territorial pendent de revisió explícita</t>
        </is>
      </c>
    </row>
    <row r="16" ht="15" customHeight="1" s="39">
      <c r="A16" s="42">
        <f>prepared_codes!B771</f>
        <v/>
      </c>
      <c r="B16" s="38">
        <f>prepared_codes!C771</f>
        <v/>
      </c>
      <c r="C16" s="38">
        <f>prepared_codes!D771</f>
        <v/>
      </c>
      <c r="D16" s="38">
        <f>prepared_codes!E771</f>
        <v/>
      </c>
      <c r="E16" s="38">
        <f>SUMIFS(prepared_population!$G:$G,prepared_population!$B:$B,$A16,prepared_population!$D:$D,"TOTAL")</f>
        <v/>
      </c>
      <c r="F16" s="38">
        <f>SUMIFS(prepared_population!$G:$G,prepared_population!$B:$B,$A16,prepared_population!$F:$F,"&gt;=0",prepared_population!$F:$F,"&lt;=14")</f>
        <v/>
      </c>
      <c r="G16" s="38">
        <f>SUMIFS(prepared_population!$G:$G,prepared_population!$B:$B,$A16,prepared_population!$F:$F,"&gt;=15",prepared_population!$F:$F,"&lt;=64")</f>
        <v/>
      </c>
      <c r="H16" s="38">
        <f>SUMIFS(prepared_population!$G:$G,prepared_population!$B:$B,$A16,prepared_population!$F:$F,"&gt;=65")</f>
        <v/>
      </c>
      <c r="I16" s="38">
        <f>prepared_housing!D771</f>
        <v/>
      </c>
      <c r="J16" s="38">
        <f>prepared_housing!E771</f>
        <v/>
      </c>
      <c r="K16" s="38">
        <f>prepared_housing!F771</f>
        <v/>
      </c>
      <c r="L16" s="44">
        <f>prepared_surface!D771</f>
        <v/>
      </c>
      <c r="M16" s="38" t="inlineStr">
        <is>
          <t>Població i habitatge: 2021; superfície: publicació 2025, amb compatibilitat territorial pendent de revisió explícita</t>
        </is>
      </c>
    </row>
    <row r="17" ht="15" customHeight="1" s="39">
      <c r="A17" s="42">
        <f>prepared_codes!B808</f>
        <v/>
      </c>
      <c r="B17" s="38">
        <f>prepared_codes!C808</f>
        <v/>
      </c>
      <c r="C17" s="38">
        <f>prepared_codes!D808</f>
        <v/>
      </c>
      <c r="D17" s="38">
        <f>prepared_codes!E808</f>
        <v/>
      </c>
      <c r="E17" s="38">
        <f>SUMIFS(prepared_population!$G:$G,prepared_population!$B:$B,$A17,prepared_population!$D:$D,"TOTAL")</f>
        <v/>
      </c>
      <c r="F17" s="38">
        <f>SUMIFS(prepared_population!$G:$G,prepared_population!$B:$B,$A17,prepared_population!$F:$F,"&gt;=0",prepared_population!$F:$F,"&lt;=14")</f>
        <v/>
      </c>
      <c r="G17" s="38">
        <f>SUMIFS(prepared_population!$G:$G,prepared_population!$B:$B,$A17,prepared_population!$F:$F,"&gt;=15",prepared_population!$F:$F,"&lt;=64")</f>
        <v/>
      </c>
      <c r="H17" s="38">
        <f>SUMIFS(prepared_population!$G:$G,prepared_population!$B:$B,$A17,prepared_population!$F:$F,"&gt;=65")</f>
        <v/>
      </c>
      <c r="I17" s="38">
        <f>prepared_housing!D808</f>
        <v/>
      </c>
      <c r="J17" s="38">
        <f>prepared_housing!E808</f>
        <v/>
      </c>
      <c r="K17" s="38">
        <f>prepared_housing!F808</f>
        <v/>
      </c>
      <c r="L17" s="44">
        <f>prepared_surface!D808</f>
        <v/>
      </c>
      <c r="M17" s="38" t="inlineStr">
        <is>
          <t>Població i habitatge: 2021; superfície: publicació 2025, amb compatibilitat territorial pendent de revisió explícita</t>
        </is>
      </c>
    </row>
    <row r="18" ht="15" customHeight="1" s="39">
      <c r="A18" s="42">
        <f>prepared_codes!B835</f>
        <v/>
      </c>
      <c r="B18" s="38">
        <f>prepared_codes!C835</f>
        <v/>
      </c>
      <c r="C18" s="38">
        <f>prepared_codes!D835</f>
        <v/>
      </c>
      <c r="D18" s="38">
        <f>prepared_codes!E835</f>
        <v/>
      </c>
      <c r="E18" s="38">
        <f>SUMIFS(prepared_population!$G:$G,prepared_population!$B:$B,$A18,prepared_population!$D:$D,"TOTAL")</f>
        <v/>
      </c>
      <c r="F18" s="38">
        <f>SUMIFS(prepared_population!$G:$G,prepared_population!$B:$B,$A18,prepared_population!$F:$F,"&gt;=0",prepared_population!$F:$F,"&lt;=14")</f>
        <v/>
      </c>
      <c r="G18" s="38">
        <f>SUMIFS(prepared_population!$G:$G,prepared_population!$B:$B,$A18,prepared_population!$F:$F,"&gt;=15",prepared_population!$F:$F,"&lt;=64")</f>
        <v/>
      </c>
      <c r="H18" s="38">
        <f>SUMIFS(prepared_population!$G:$G,prepared_population!$B:$B,$A18,prepared_population!$F:$F,"&gt;=65")</f>
        <v/>
      </c>
      <c r="I18" s="38">
        <f>prepared_housing!D834</f>
        <v/>
      </c>
      <c r="J18" s="38">
        <f>prepared_housing!E834</f>
        <v/>
      </c>
      <c r="K18" s="38">
        <f>prepared_housing!F834</f>
        <v/>
      </c>
      <c r="L18" s="44">
        <f>prepared_surface!D834</f>
        <v/>
      </c>
      <c r="M18" s="38" t="inlineStr">
        <is>
          <t>Població i habitatge: 2021; superfície: publicació 2025, amb compatibilitat territorial pendent de revisió explícita</t>
        </is>
      </c>
    </row>
    <row r="19" ht="15" customHeight="1" s="39">
      <c r="A19" s="42">
        <f>prepared_codes!B888</f>
        <v/>
      </c>
      <c r="B19" s="38">
        <f>prepared_codes!C888</f>
        <v/>
      </c>
      <c r="C19" s="38">
        <f>prepared_codes!D888</f>
        <v/>
      </c>
      <c r="D19" s="38">
        <f>prepared_codes!E888</f>
        <v/>
      </c>
      <c r="E19" s="38">
        <f>SUMIFS(prepared_population!$G:$G,prepared_population!$B:$B,$A19,prepared_population!$D:$D,"TOTAL")</f>
        <v/>
      </c>
      <c r="F19" s="38">
        <f>SUMIFS(prepared_population!$G:$G,prepared_population!$B:$B,$A19,prepared_population!$F:$F,"&gt;=0",prepared_population!$F:$F,"&lt;=14")</f>
        <v/>
      </c>
      <c r="G19" s="38">
        <f>SUMIFS(prepared_population!$G:$G,prepared_population!$B:$B,$A19,prepared_population!$F:$F,"&gt;=15",prepared_population!$F:$F,"&lt;=64")</f>
        <v/>
      </c>
      <c r="H19" s="38">
        <f>SUMIFS(prepared_population!$G:$G,prepared_population!$B:$B,$A19,prepared_population!$F:$F,"&gt;=65")</f>
        <v/>
      </c>
      <c r="I19" s="38">
        <f>prepared_housing!D888</f>
        <v/>
      </c>
      <c r="J19" s="38">
        <f>prepared_housing!E888</f>
        <v/>
      </c>
      <c r="K19" s="38">
        <f>prepared_housing!F888</f>
        <v/>
      </c>
      <c r="L19" s="44">
        <f>prepared_surface!D888</f>
        <v/>
      </c>
      <c r="M19" s="38" t="inlineStr">
        <is>
          <t>Població i habitatge: 2021; superfície: publicació 2025, amb compatibilitat territorial pendent de revisió explícita</t>
        </is>
      </c>
    </row>
    <row r="20" ht="15" customHeight="1" s="39">
      <c r="A20" s="42">
        <f>prepared_codes!B915</f>
        <v/>
      </c>
      <c r="B20" s="38">
        <f>prepared_codes!C915</f>
        <v/>
      </c>
      <c r="C20" s="38">
        <f>prepared_codes!D915</f>
        <v/>
      </c>
      <c r="D20" s="38">
        <f>prepared_codes!E915</f>
        <v/>
      </c>
      <c r="E20" s="38">
        <f>SUMIFS(prepared_population!$G:$G,prepared_population!$B:$B,$A20,prepared_population!$D:$D,"TOTAL")</f>
        <v/>
      </c>
      <c r="F20" s="38">
        <f>SUMIFS(prepared_population!$G:$G,prepared_population!$B:$B,$A20,prepared_population!$F:$F,"&gt;=0",prepared_population!$F:$F,"&lt;=14")</f>
        <v/>
      </c>
      <c r="G20" s="38">
        <f>SUMIFS(prepared_population!$G:$G,prepared_population!$B:$B,$A20,prepared_population!$F:$F,"&gt;=15",prepared_population!$F:$F,"&lt;=64")</f>
        <v/>
      </c>
      <c r="H20" s="38">
        <f>SUMIFS(prepared_population!$G:$G,prepared_population!$B:$B,$A20,prepared_population!$F:$F,"&gt;=65")</f>
        <v/>
      </c>
      <c r="I20" s="38">
        <f>prepared_housing!D911</f>
        <v/>
      </c>
      <c r="J20" s="38">
        <f>prepared_housing!E911</f>
        <v/>
      </c>
      <c r="K20" s="38">
        <f>prepared_housing!F911</f>
        <v/>
      </c>
      <c r="L20" s="44">
        <f>prepared_surface!D911</f>
        <v/>
      </c>
      <c r="M20" s="38" t="inlineStr">
        <is>
          <t>Població i habitatge: 2021; superfície: publicació 2025, amb compatibilitat territorial pendent de revisió explícita</t>
        </is>
      </c>
    </row>
    <row r="21" ht="15" customHeight="1" s="39">
      <c r="A21" s="42">
        <f>prepared_codes!B896</f>
        <v/>
      </c>
      <c r="B21" s="38">
        <f>prepared_codes!C896</f>
        <v/>
      </c>
      <c r="C21" s="38">
        <f>prepared_codes!D896</f>
        <v/>
      </c>
      <c r="D21" s="38">
        <f>prepared_codes!E896</f>
        <v/>
      </c>
      <c r="E21" s="38">
        <f>SUMIFS(prepared_population!$G:$G,prepared_population!$B:$B,$A21,prepared_population!$D:$D,"TOTAL")</f>
        <v/>
      </c>
      <c r="F21" s="38">
        <f>SUMIFS(prepared_population!$G:$G,prepared_population!$B:$B,$A21,prepared_population!$F:$F,"&gt;=0",prepared_population!$F:$F,"&lt;=14")</f>
        <v/>
      </c>
      <c r="G21" s="38">
        <f>SUMIFS(prepared_population!$G:$G,prepared_population!$B:$B,$A21,prepared_population!$F:$F,"&gt;=15",prepared_population!$F:$F,"&lt;=64")</f>
        <v/>
      </c>
      <c r="H21" s="38">
        <f>SUMIFS(prepared_population!$G:$G,prepared_population!$B:$B,$A21,prepared_population!$F:$F,"&gt;=65")</f>
        <v/>
      </c>
      <c r="I21" s="38">
        <f>prepared_housing!D932</f>
        <v/>
      </c>
      <c r="J21" s="38">
        <f>prepared_housing!E932</f>
        <v/>
      </c>
      <c r="K21" s="38">
        <f>prepared_housing!F932</f>
        <v/>
      </c>
      <c r="L21" s="44">
        <f>prepared_surface!D932</f>
        <v/>
      </c>
      <c r="M21" s="38" t="inlineStr">
        <is>
          <t>Població i habitatge: 2021; superfície: publicació 2025, amb compatibilitat territorial pendent de revisió explícita</t>
        </is>
      </c>
    </row>
    <row r="22" ht="15" customHeight="1" s="39">
      <c r="A22" s="42">
        <f>prepared_codes!B652</f>
        <v/>
      </c>
      <c r="B22" s="38">
        <f>prepared_codes!C652</f>
        <v/>
      </c>
      <c r="C22" s="38">
        <f>prepared_codes!D652</f>
        <v/>
      </c>
      <c r="D22" s="38">
        <f>prepared_codes!E652</f>
        <v/>
      </c>
      <c r="E22" s="38">
        <f>SUMIFS(prepared_population!$G:$G,prepared_population!$B:$B,$A22,prepared_population!$D:$D,"TOTAL")</f>
        <v/>
      </c>
      <c r="F22" s="38">
        <f>SUMIFS(prepared_population!$G:$G,prepared_population!$B:$B,$A22,prepared_population!$F:$F,"&gt;=0",prepared_population!$F:$F,"&lt;=14")</f>
        <v/>
      </c>
      <c r="G22" s="38">
        <f>SUMIFS(prepared_population!$G:$G,prepared_population!$B:$B,$A22,prepared_population!$F:$F,"&gt;=15",prepared_population!$F:$F,"&lt;=64")</f>
        <v/>
      </c>
      <c r="H22" s="38">
        <f>SUMIFS(prepared_population!$G:$G,prepared_population!$B:$B,$A22,prepared_population!$F:$F,"&gt;=65")</f>
        <v/>
      </c>
      <c r="I22" s="38">
        <f>prepared_housing!D652</f>
        <v/>
      </c>
      <c r="J22" s="38">
        <f>prepared_housing!E652</f>
        <v/>
      </c>
      <c r="K22" s="38">
        <f>prepared_housing!F652</f>
        <v/>
      </c>
      <c r="L22" s="44">
        <f>prepared_surface!D652</f>
        <v/>
      </c>
      <c r="M22" s="38" t="inlineStr">
        <is>
          <t>Població i habitatge: 2021; superfície: publicació 2025, amb compatibilitat territorial pendent de revisió explícita</t>
        </is>
      </c>
    </row>
    <row r="23" ht="15" customHeight="1" s="39">
      <c r="A23" s="42">
        <f>prepared_codes!B179</f>
        <v/>
      </c>
      <c r="B23" s="38">
        <f>prepared_codes!C179</f>
        <v/>
      </c>
      <c r="C23" s="38">
        <f>prepared_codes!D179</f>
        <v/>
      </c>
      <c r="D23" s="38">
        <f>prepared_codes!E179</f>
        <v/>
      </c>
      <c r="E23" s="38">
        <f>SUMIFS(prepared_population!$G:$G,prepared_population!$B:$B,$A23,prepared_population!$D:$D,"TOTAL")</f>
        <v/>
      </c>
      <c r="F23" s="38">
        <f>SUMIFS(prepared_population!$G:$G,prepared_population!$B:$B,$A23,prepared_population!$F:$F,"&gt;=0",prepared_population!$F:$F,"&lt;=14")</f>
        <v/>
      </c>
      <c r="G23" s="38">
        <f>SUMIFS(prepared_population!$G:$G,prepared_population!$B:$B,$A23,prepared_population!$F:$F,"&gt;=15",prepared_population!$F:$F,"&lt;=64")</f>
        <v/>
      </c>
      <c r="H23" s="38">
        <f>SUMIFS(prepared_population!$G:$G,prepared_population!$B:$B,$A23,prepared_population!$F:$F,"&gt;=65")</f>
        <v/>
      </c>
      <c r="I23" s="38">
        <f>prepared_housing!D179</f>
        <v/>
      </c>
      <c r="J23" s="38">
        <f>prepared_housing!E179</f>
        <v/>
      </c>
      <c r="K23" s="38">
        <f>prepared_housing!F179</f>
        <v/>
      </c>
      <c r="L23" s="44">
        <f>prepared_surface!D179</f>
        <v/>
      </c>
      <c r="M23" s="38" t="inlineStr">
        <is>
          <t>Població i habitatge: 2021; superfície: publicació 2025, amb compatibilitat territorial pendent de revisió explícita</t>
        </is>
      </c>
    </row>
  </sheetData>
  <autoFilter ref="A1:M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1">
    <outlinePr summaryBelow="1" summaryRight="1"/>
    <pageSetUpPr fitToPage="0"/>
  </sheetPr>
  <dimension ref="A1:B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3" customWidth="1" style="38" min="1" max="1"/>
    <col width="19" customWidth="1" style="38" min="2" max="2"/>
    <col width="20" customWidth="1" style="38" min="3" max="3"/>
    <col width="42" customWidth="1" style="38" min="4" max="4"/>
  </cols>
  <sheetData>
    <row r="1" ht="15" customHeight="1" s="39">
      <c r="A1" s="38" t="inlineStr">
        <is>
          <t>Filtrar</t>
        </is>
      </c>
      <c r="B1" s="38" t="n"/>
    </row>
    <row r="2" ht="15" customHeight="1" s="39">
      <c r="A2" s="38" t="n"/>
      <c r="B2" s="38" t="n"/>
    </row>
    <row r="3" ht="15" customHeight="1" s="39">
      <c r="A3" s="45" t="inlineStr">
        <is>
          <t>county_name</t>
        </is>
      </c>
      <c r="B3" s="46" t="inlineStr">
        <is>
          <t>Suma - municipality_code</t>
        </is>
      </c>
    </row>
    <row r="4" ht="15" customHeight="1" s="39">
      <c r="A4" s="47" t="inlineStr">
        <is>
          <t>Alt Camp</t>
        </is>
      </c>
      <c r="B4" s="48" t="n"/>
    </row>
    <row r="5" ht="15" customHeight="1" s="39">
      <c r="A5" s="49" t="inlineStr">
        <is>
          <t>Alt Empordà</t>
        </is>
      </c>
      <c r="B5" s="50" t="n"/>
    </row>
    <row r="6" ht="15" customHeight="1" s="39">
      <c r="A6" s="49" t="inlineStr">
        <is>
          <t>Alt Penedès</t>
        </is>
      </c>
      <c r="B6" s="50" t="n"/>
    </row>
    <row r="7" ht="15" customHeight="1" s="39">
      <c r="A7" s="49" t="inlineStr">
        <is>
          <t>Alt Urgell</t>
        </is>
      </c>
      <c r="B7" s="50" t="n"/>
    </row>
    <row r="8" ht="15" customHeight="1" s="39">
      <c r="A8" s="49" t="inlineStr">
        <is>
          <t>Alta Ribagorça</t>
        </is>
      </c>
      <c r="B8" s="50" t="n"/>
    </row>
    <row r="9" ht="15" customHeight="1" s="39">
      <c r="A9" s="49" t="inlineStr">
        <is>
          <t>Anoia</t>
        </is>
      </c>
      <c r="B9" s="50" t="n"/>
    </row>
    <row r="10" ht="15" customHeight="1" s="39">
      <c r="A10" s="49" t="inlineStr">
        <is>
          <t>Aran</t>
        </is>
      </c>
      <c r="B10" s="50" t="n"/>
    </row>
    <row r="11" ht="15" customHeight="1" s="39">
      <c r="A11" s="49" t="inlineStr">
        <is>
          <t>Bages</t>
        </is>
      </c>
      <c r="B11" s="50" t="n"/>
    </row>
    <row r="12" ht="15" customHeight="1" s="39">
      <c r="A12" s="49" t="inlineStr">
        <is>
          <t>Baix Camp</t>
        </is>
      </c>
      <c r="B12" s="50" t="n"/>
    </row>
    <row r="13" ht="15" customHeight="1" s="39">
      <c r="A13" s="49" t="inlineStr">
        <is>
          <t>Baix Ebre</t>
        </is>
      </c>
      <c r="B13" s="50" t="n"/>
    </row>
    <row r="14" ht="15" customHeight="1" s="39">
      <c r="A14" s="49" t="inlineStr">
        <is>
          <t>Baix Empordà</t>
        </is>
      </c>
      <c r="B14" s="50" t="n"/>
    </row>
    <row r="15" ht="15" customHeight="1" s="39">
      <c r="A15" s="49" t="inlineStr">
        <is>
          <t>Baix Llobregat</t>
        </is>
      </c>
      <c r="B15" s="50" t="n"/>
    </row>
    <row r="16" ht="15" customHeight="1" s="39">
      <c r="A16" s="49" t="inlineStr">
        <is>
          <t>Baix Penedès</t>
        </is>
      </c>
      <c r="B16" s="50" t="n"/>
    </row>
    <row r="17" ht="15" customHeight="1" s="39">
      <c r="A17" s="49" t="inlineStr">
        <is>
          <t>Barcelonès</t>
        </is>
      </c>
      <c r="B17" s="50" t="n"/>
    </row>
    <row r="18" ht="15" customHeight="1" s="39">
      <c r="A18" s="49" t="inlineStr">
        <is>
          <t>Berguedà</t>
        </is>
      </c>
      <c r="B18" s="50" t="n"/>
    </row>
    <row r="19" ht="15" customHeight="1" s="39">
      <c r="A19" s="49" t="inlineStr">
        <is>
          <t>Cerdanya</t>
        </is>
      </c>
      <c r="B19" s="50" t="n"/>
    </row>
    <row r="20" ht="15" customHeight="1" s="39">
      <c r="A20" s="49" t="inlineStr">
        <is>
          <t>Conca de Barberà</t>
        </is>
      </c>
      <c r="B20" s="50" t="n"/>
    </row>
    <row r="21" ht="15" customHeight="1" s="39">
      <c r="A21" s="49" t="inlineStr">
        <is>
          <t>Garraf</t>
        </is>
      </c>
      <c r="B21" s="50" t="n"/>
    </row>
    <row r="22" ht="15" customHeight="1" s="39">
      <c r="A22" s="49" t="inlineStr">
        <is>
          <t>Garrigues</t>
        </is>
      </c>
      <c r="B22" s="50" t="n"/>
    </row>
    <row r="23" ht="15" customHeight="1" s="39">
      <c r="A23" s="49" t="inlineStr">
        <is>
          <t>Garrotxa</t>
        </is>
      </c>
      <c r="B23" s="50" t="n"/>
    </row>
    <row r="24" ht="15" customHeight="1" s="39">
      <c r="A24" s="49" t="inlineStr">
        <is>
          <t>Gironès</t>
        </is>
      </c>
      <c r="B24" s="50" t="n"/>
    </row>
    <row r="25" ht="15" customHeight="1" s="39">
      <c r="A25" s="49" t="inlineStr">
        <is>
          <t>Lluçanès</t>
        </is>
      </c>
      <c r="B25" s="50" t="n"/>
    </row>
    <row r="26" ht="15" customHeight="1" s="39">
      <c r="A26" s="49" t="inlineStr">
        <is>
          <t>Maresme</t>
        </is>
      </c>
      <c r="B26" s="50" t="n"/>
    </row>
    <row r="27" ht="15" customHeight="1" s="39">
      <c r="A27" s="49" t="inlineStr">
        <is>
          <t>Moianès</t>
        </is>
      </c>
      <c r="B27" s="50" t="n"/>
    </row>
    <row r="28" ht="15" customHeight="1" s="39">
      <c r="A28" s="49" t="inlineStr">
        <is>
          <t>Montsià</t>
        </is>
      </c>
      <c r="B28" s="50" t="n"/>
    </row>
    <row r="29" ht="15" customHeight="1" s="39">
      <c r="A29" s="49" t="inlineStr">
        <is>
          <t>Noguera</t>
        </is>
      </c>
      <c r="B29" s="50" t="n"/>
    </row>
    <row r="30" ht="15" customHeight="1" s="39">
      <c r="A30" s="49" t="inlineStr">
        <is>
          <t>Osona</t>
        </is>
      </c>
      <c r="B30" s="50" t="n"/>
    </row>
    <row r="31" ht="15" customHeight="1" s="39">
      <c r="A31" s="49" t="inlineStr">
        <is>
          <t>Pallars Jussà</t>
        </is>
      </c>
      <c r="B31" s="50" t="n"/>
    </row>
    <row r="32" ht="15" customHeight="1" s="39">
      <c r="A32" s="49" t="inlineStr">
        <is>
          <t>Pallars Sobirà</t>
        </is>
      </c>
      <c r="B32" s="50" t="n"/>
    </row>
    <row r="33" ht="15" customHeight="1" s="39">
      <c r="A33" s="49" t="inlineStr">
        <is>
          <t>Pla d'Urgell</t>
        </is>
      </c>
      <c r="B33" s="50" t="n"/>
    </row>
    <row r="34" ht="15" customHeight="1" s="39">
      <c r="A34" s="49" t="inlineStr">
        <is>
          <t>Pla de l'Estany</t>
        </is>
      </c>
      <c r="B34" s="50" t="n"/>
    </row>
    <row r="35" ht="15" customHeight="1" s="39">
      <c r="A35" s="49" t="inlineStr">
        <is>
          <t>Priorat</t>
        </is>
      </c>
      <c r="B35" s="50" t="n"/>
    </row>
    <row r="36" ht="15" customHeight="1" s="39">
      <c r="A36" s="49" t="inlineStr">
        <is>
          <t>Ribera d'Ebre</t>
        </is>
      </c>
      <c r="B36" s="50" t="n"/>
    </row>
    <row r="37" ht="15" customHeight="1" s="39">
      <c r="A37" s="49" t="inlineStr">
        <is>
          <t>Ripollès</t>
        </is>
      </c>
      <c r="B37" s="50" t="n"/>
    </row>
    <row r="38" ht="15" customHeight="1" s="39">
      <c r="A38" s="49" t="inlineStr">
        <is>
          <t>Segarra</t>
        </is>
      </c>
      <c r="B38" s="50" t="n"/>
    </row>
    <row r="39" ht="15" customHeight="1" s="39">
      <c r="A39" s="49" t="inlineStr">
        <is>
          <t>Segrià</t>
        </is>
      </c>
      <c r="B39" s="50" t="n"/>
    </row>
    <row r="40" ht="15" customHeight="1" s="39">
      <c r="A40" s="49" t="inlineStr">
        <is>
          <t>Selva</t>
        </is>
      </c>
      <c r="B40" s="50" t="n"/>
    </row>
    <row r="41" ht="15" customHeight="1" s="39">
      <c r="A41" s="49" t="inlineStr">
        <is>
          <t>Solsonès</t>
        </is>
      </c>
      <c r="B41" s="50" t="n"/>
    </row>
    <row r="42" ht="15" customHeight="1" s="39">
      <c r="A42" s="49" t="inlineStr">
        <is>
          <t>Tarragonès</t>
        </is>
      </c>
      <c r="B42" s="50" t="n"/>
    </row>
    <row r="43" ht="15" customHeight="1" s="39">
      <c r="A43" s="49" t="inlineStr">
        <is>
          <t>Terra Alta</t>
        </is>
      </c>
      <c r="B43" s="50" t="n"/>
    </row>
    <row r="44" ht="15" customHeight="1" s="39">
      <c r="A44" s="49" t="inlineStr">
        <is>
          <t>Urgell</t>
        </is>
      </c>
      <c r="B44" s="50" t="n"/>
    </row>
    <row r="45" ht="15" customHeight="1" s="39">
      <c r="A45" s="49" t="inlineStr">
        <is>
          <t>Vallès Occidental</t>
        </is>
      </c>
      <c r="B45" s="50" t="n"/>
    </row>
    <row r="46" ht="15" customHeight="1" s="39">
      <c r="A46" s="49" t="inlineStr">
        <is>
          <t>Vallès Oriental</t>
        </is>
      </c>
      <c r="B46" s="51" t="n"/>
    </row>
    <row r="47" ht="15" customHeight="1" s="39">
      <c r="A47" s="52" t="inlineStr">
        <is>
          <t>Total Resultado</t>
        </is>
      </c>
      <c r="B47" s="53" t="n"/>
    </row>
  </sheetData>
  <autoFilter ref="A1:D44">
    <filterColumn colId="0" hiddenButton="1" showButton="1"/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J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9" customWidth="1" style="38" min="1" max="2"/>
    <col width="18" customWidth="1" style="38" min="3" max="3"/>
    <col width="17" customWidth="1" style="38" min="4" max="4"/>
    <col width="20" customWidth="1" style="38" min="5" max="5"/>
    <col width="16" customWidth="1" style="38" min="6" max="6"/>
    <col width="38" customWidth="1" style="38" min="7" max="10"/>
  </cols>
  <sheetData>
    <row r="1" ht="30.75" customHeight="1" s="39">
      <c r="A1" s="40" t="inlineStr">
        <is>
          <t>municipality_code</t>
        </is>
      </c>
      <c r="B1" s="40" t="inlineStr">
        <is>
          <t>municipality_name</t>
        </is>
      </c>
      <c r="C1" s="40" t="inlineStr">
        <is>
          <t>population_total</t>
        </is>
      </c>
      <c r="D1" s="40" t="inlineStr">
        <is>
          <t>population_0_14</t>
        </is>
      </c>
      <c r="E1" s="40" t="inlineStr">
        <is>
          <t>population_65_plus</t>
        </is>
      </c>
      <c r="F1" s="40" t="inlineStr">
        <is>
          <t>surface_km2</t>
        </is>
      </c>
      <c r="G1" s="43" t="inlineStr">
        <is>
          <t>population_0_14_pct</t>
        </is>
      </c>
      <c r="H1" s="43" t="inlineStr">
        <is>
          <t>population_65_plus_pct</t>
        </is>
      </c>
      <c r="I1" s="43" t="inlineStr">
        <is>
          <t>ageing_index_per_100_young</t>
        </is>
      </c>
      <c r="J1" s="43" t="inlineStr">
        <is>
          <t>population_density_hab_km2</t>
        </is>
      </c>
    </row>
    <row r="2" ht="15" customHeight="1" s="39">
      <c r="A2" s="38">
        <f>municipal!A2</f>
        <v/>
      </c>
      <c r="B2" s="38">
        <f>municipal!B2</f>
        <v/>
      </c>
      <c r="C2" s="38">
        <f>municipal!E2</f>
        <v/>
      </c>
      <c r="D2" s="38">
        <f>municipal!F2</f>
        <v/>
      </c>
      <c r="E2" s="38">
        <f>municipal!H2</f>
        <v/>
      </c>
      <c r="F2" s="44">
        <f>municipal!L2</f>
        <v/>
      </c>
      <c r="G2" s="44">
        <f>IF(AND(ISNUMBER(D2),ISNUMBER(C2),C2&gt;0),D2/C2*100,NA())</f>
        <v/>
      </c>
      <c r="H2" s="44">
        <f>IF(AND(ISNUMBER(E2),ISNUMBER(C2),C2&gt;0),E2/C2*100,NA())</f>
        <v/>
      </c>
      <c r="I2" s="44">
        <f>IF(AND(ISNUMBER(E2),ISNUMBER(D2),D2&gt;0),E2/D2*100,NA())</f>
        <v/>
      </c>
      <c r="J2" s="44">
        <f>IF(AND(ISNUMBER(C2),ISNUMBER(F2),F2&gt;0),C2/F2,NA())</f>
        <v/>
      </c>
    </row>
    <row r="3" ht="15" customHeight="1" s="39">
      <c r="A3" s="38">
        <f>municipal!A3</f>
        <v/>
      </c>
      <c r="B3" s="38">
        <f>municipal!B3</f>
        <v/>
      </c>
      <c r="C3" s="38">
        <f>municipal!E3</f>
        <v/>
      </c>
      <c r="D3" s="38">
        <f>municipal!F3</f>
        <v/>
      </c>
      <c r="E3" s="38">
        <f>municipal!H3</f>
        <v/>
      </c>
      <c r="F3" s="44">
        <f>municipal!L3</f>
        <v/>
      </c>
      <c r="G3" s="44">
        <f>IF(AND(ISNUMBER(D3),ISNUMBER(C3),C3&gt;0),D3/C3*100,NA())</f>
        <v/>
      </c>
      <c r="H3" s="44">
        <f>IF(AND(ISNUMBER(E3),ISNUMBER(C3),C3&gt;0),E3/C3*100,NA())</f>
        <v/>
      </c>
      <c r="I3" s="44">
        <f>IF(AND(ISNUMBER(E3),ISNUMBER(D3),D3&gt;0),E3/D3*100,NA())</f>
        <v/>
      </c>
      <c r="J3" s="44">
        <f>IF(AND(ISNUMBER(C3),ISNUMBER(F3),F3&gt;0),C3/F3,NA())</f>
        <v/>
      </c>
    </row>
    <row r="4" ht="15" customHeight="1" s="39">
      <c r="A4" s="38">
        <f>municipal!A4</f>
        <v/>
      </c>
      <c r="B4" s="38">
        <f>municipal!B4</f>
        <v/>
      </c>
      <c r="C4" s="38">
        <f>municipal!E4</f>
        <v/>
      </c>
      <c r="D4" s="38">
        <f>municipal!F4</f>
        <v/>
      </c>
      <c r="E4" s="38">
        <f>municipal!H4</f>
        <v/>
      </c>
      <c r="F4" s="44">
        <f>municipal!L4</f>
        <v/>
      </c>
      <c r="G4" s="44">
        <f>IF(AND(ISNUMBER(D4),ISNUMBER(C4),C4&gt;0),D4/C4*100,NA())</f>
        <v/>
      </c>
      <c r="H4" s="44">
        <f>IF(AND(ISNUMBER(E4),ISNUMBER(C4),C4&gt;0),E4/C4*100,NA())</f>
        <v/>
      </c>
      <c r="I4" s="44">
        <f>IF(AND(ISNUMBER(E4),ISNUMBER(D4),D4&gt;0),E4/D4*100,NA())</f>
        <v/>
      </c>
      <c r="J4" s="44">
        <f>IF(AND(ISNUMBER(C4),ISNUMBER(F4),F4&gt;0),C4/F4,NA())</f>
        <v/>
      </c>
    </row>
    <row r="5" ht="15" customHeight="1" s="39">
      <c r="A5" s="38">
        <f>municipal!A5</f>
        <v/>
      </c>
      <c r="B5" s="38">
        <f>municipal!B5</f>
        <v/>
      </c>
      <c r="C5" s="38">
        <f>municipal!E5</f>
        <v/>
      </c>
      <c r="D5" s="38">
        <f>municipal!F5</f>
        <v/>
      </c>
      <c r="E5" s="38">
        <f>municipal!H5</f>
        <v/>
      </c>
      <c r="F5" s="44">
        <f>municipal!L5</f>
        <v/>
      </c>
      <c r="G5" s="44">
        <f>IF(AND(ISNUMBER(D5),ISNUMBER(C5),C5&gt;0),D5/C5*100,NA())</f>
        <v/>
      </c>
      <c r="H5" s="44">
        <f>IF(AND(ISNUMBER(E5),ISNUMBER(C5),C5&gt;0),E5/C5*100,NA())</f>
        <v/>
      </c>
      <c r="I5" s="44">
        <f>IF(AND(ISNUMBER(E5),ISNUMBER(D5),D5&gt;0),E5/D5*100,NA())</f>
        <v/>
      </c>
      <c r="J5" s="44">
        <f>IF(AND(ISNUMBER(C5),ISNUMBER(F5),F5&gt;0),C5/F5,NA())</f>
        <v/>
      </c>
    </row>
    <row r="6" ht="15" customHeight="1" s="39">
      <c r="A6" s="38">
        <f>municipal!A6</f>
        <v/>
      </c>
      <c r="B6" s="38">
        <f>municipal!B6</f>
        <v/>
      </c>
      <c r="C6" s="38">
        <f>municipal!E6</f>
        <v/>
      </c>
      <c r="D6" s="38">
        <f>municipal!F6</f>
        <v/>
      </c>
      <c r="E6" s="38">
        <f>municipal!H6</f>
        <v/>
      </c>
      <c r="F6" s="44">
        <f>municipal!L6</f>
        <v/>
      </c>
      <c r="G6" s="44">
        <f>IF(AND(ISNUMBER(D6),ISNUMBER(C6),C6&gt;0),D6/C6*100,NA())</f>
        <v/>
      </c>
      <c r="H6" s="44">
        <f>IF(AND(ISNUMBER(E6),ISNUMBER(C6),C6&gt;0),E6/C6*100,NA())</f>
        <v/>
      </c>
      <c r="I6" s="44">
        <f>IF(AND(ISNUMBER(E6),ISNUMBER(D6),D6&gt;0),E6/D6*100,NA())</f>
        <v/>
      </c>
      <c r="J6" s="44">
        <f>IF(AND(ISNUMBER(C6),ISNUMBER(F6),F6&gt;0),C6/F6,NA())</f>
        <v/>
      </c>
    </row>
    <row r="7" ht="15" customHeight="1" s="39">
      <c r="A7" s="38">
        <f>municipal!A7</f>
        <v/>
      </c>
      <c r="B7" s="38">
        <f>municipal!B7</f>
        <v/>
      </c>
      <c r="C7" s="38">
        <f>municipal!E7</f>
        <v/>
      </c>
      <c r="D7" s="38">
        <f>municipal!F7</f>
        <v/>
      </c>
      <c r="E7" s="38">
        <f>municipal!H7</f>
        <v/>
      </c>
      <c r="F7" s="44">
        <f>municipal!L7</f>
        <v/>
      </c>
      <c r="G7" s="44">
        <f>IF(AND(ISNUMBER(D7),ISNUMBER(C7),C7&gt;0),D7/C7*100,NA())</f>
        <v/>
      </c>
      <c r="H7" s="44">
        <f>IF(AND(ISNUMBER(E7),ISNUMBER(C7),C7&gt;0),E7/C7*100,NA())</f>
        <v/>
      </c>
      <c r="I7" s="44">
        <f>IF(AND(ISNUMBER(E7),ISNUMBER(D7),D7&gt;0),E7/D7*100,NA())</f>
        <v/>
      </c>
      <c r="J7" s="44">
        <f>IF(AND(ISNUMBER(C7),ISNUMBER(F7),F7&gt;0),C7/F7,NA())</f>
        <v/>
      </c>
    </row>
    <row r="8" ht="15" customHeight="1" s="39">
      <c r="A8" s="38">
        <f>municipal!A8</f>
        <v/>
      </c>
      <c r="B8" s="38">
        <f>municipal!B8</f>
        <v/>
      </c>
      <c r="C8" s="38">
        <f>municipal!E8</f>
        <v/>
      </c>
      <c r="D8" s="38">
        <f>municipal!F8</f>
        <v/>
      </c>
      <c r="E8" s="38">
        <f>municipal!H8</f>
        <v/>
      </c>
      <c r="F8" s="44">
        <f>municipal!L8</f>
        <v/>
      </c>
      <c r="G8" s="44">
        <f>IF(AND(ISNUMBER(D8),ISNUMBER(C8),C8&gt;0),D8/C8*100,NA())</f>
        <v/>
      </c>
      <c r="H8" s="44">
        <f>IF(AND(ISNUMBER(E8),ISNUMBER(C8),C8&gt;0),E8/C8*100,NA())</f>
        <v/>
      </c>
      <c r="I8" s="44">
        <f>IF(AND(ISNUMBER(E8),ISNUMBER(D8),D8&gt;0),E8/D8*100,NA())</f>
        <v/>
      </c>
      <c r="J8" s="44">
        <f>IF(AND(ISNUMBER(C8),ISNUMBER(F8),F8&gt;0),C8/F8,NA())</f>
        <v/>
      </c>
    </row>
    <row r="9" ht="15" customHeight="1" s="39">
      <c r="A9" s="38">
        <f>municipal!A9</f>
        <v/>
      </c>
      <c r="B9" s="38">
        <f>municipal!B9</f>
        <v/>
      </c>
      <c r="C9" s="38">
        <f>municipal!E9</f>
        <v/>
      </c>
      <c r="D9" s="38">
        <f>municipal!F9</f>
        <v/>
      </c>
      <c r="E9" s="38">
        <f>municipal!H9</f>
        <v/>
      </c>
      <c r="F9" s="44">
        <f>municipal!L9</f>
        <v/>
      </c>
      <c r="G9" s="44">
        <f>IF(AND(ISNUMBER(D9),ISNUMBER(C9),C9&gt;0),D9/C9*100,NA())</f>
        <v/>
      </c>
      <c r="H9" s="44">
        <f>IF(AND(ISNUMBER(E9),ISNUMBER(C9),C9&gt;0),E9/C9*100,NA())</f>
        <v/>
      </c>
      <c r="I9" s="44">
        <f>IF(AND(ISNUMBER(E9),ISNUMBER(D9),D9&gt;0),E9/D9*100,NA())</f>
        <v/>
      </c>
      <c r="J9" s="44">
        <f>IF(AND(ISNUMBER(C9),ISNUMBER(F9),F9&gt;0),C9/F9,NA())</f>
        <v/>
      </c>
    </row>
    <row r="10" ht="15" customHeight="1" s="39">
      <c r="A10" s="38">
        <f>municipal!A10</f>
        <v/>
      </c>
      <c r="B10" s="38">
        <f>municipal!B10</f>
        <v/>
      </c>
      <c r="C10" s="38">
        <f>municipal!E10</f>
        <v/>
      </c>
      <c r="D10" s="38">
        <f>municipal!F10</f>
        <v/>
      </c>
      <c r="E10" s="38">
        <f>municipal!H10</f>
        <v/>
      </c>
      <c r="F10" s="44">
        <f>municipal!L10</f>
        <v/>
      </c>
      <c r="G10" s="44">
        <f>IF(AND(ISNUMBER(D10),ISNUMBER(C10),C10&gt;0),D10/C10*100,NA())</f>
        <v/>
      </c>
      <c r="H10" s="44">
        <f>IF(AND(ISNUMBER(E10),ISNUMBER(C10),C10&gt;0),E10/C10*100,NA())</f>
        <v/>
      </c>
      <c r="I10" s="44">
        <f>IF(AND(ISNUMBER(E10),ISNUMBER(D10),D10&gt;0),E10/D10*100,NA())</f>
        <v/>
      </c>
      <c r="J10" s="44">
        <f>IF(AND(ISNUMBER(C10),ISNUMBER(F10),F10&gt;0),C10/F10,NA())</f>
        <v/>
      </c>
    </row>
    <row r="11" ht="15" customHeight="1" s="39">
      <c r="A11" s="38">
        <f>municipal!A11</f>
        <v/>
      </c>
      <c r="B11" s="38">
        <f>municipal!B11</f>
        <v/>
      </c>
      <c r="C11" s="38">
        <f>municipal!E11</f>
        <v/>
      </c>
      <c r="D11" s="38">
        <f>municipal!F11</f>
        <v/>
      </c>
      <c r="E11" s="38">
        <f>municipal!H11</f>
        <v/>
      </c>
      <c r="F11" s="44">
        <f>municipal!L11</f>
        <v/>
      </c>
      <c r="G11" s="44">
        <f>IF(AND(ISNUMBER(D11),ISNUMBER(C11),C11&gt;0),D11/C11*100,NA())</f>
        <v/>
      </c>
      <c r="H11" s="44">
        <f>IF(AND(ISNUMBER(E11),ISNUMBER(C11),C11&gt;0),E11/C11*100,NA())</f>
        <v/>
      </c>
      <c r="I11" s="44">
        <f>IF(AND(ISNUMBER(E11),ISNUMBER(D11),D11&gt;0),E11/D11*100,NA())</f>
        <v/>
      </c>
      <c r="J11" s="44">
        <f>IF(AND(ISNUMBER(C11),ISNUMBER(F11),F11&gt;0),C11/F11,NA())</f>
        <v/>
      </c>
    </row>
    <row r="12" ht="15" customHeight="1" s="39">
      <c r="A12" s="38">
        <f>municipal!A12</f>
        <v/>
      </c>
      <c r="B12" s="38">
        <f>municipal!B12</f>
        <v/>
      </c>
      <c r="C12" s="38">
        <f>municipal!E12</f>
        <v/>
      </c>
      <c r="D12" s="38">
        <f>municipal!F12</f>
        <v/>
      </c>
      <c r="E12" s="38">
        <f>municipal!H12</f>
        <v/>
      </c>
      <c r="F12" s="44">
        <f>municipal!L12</f>
        <v/>
      </c>
      <c r="G12" s="44">
        <f>IF(AND(ISNUMBER(D12),ISNUMBER(C12),C12&gt;0),D12/C12*100,NA())</f>
        <v/>
      </c>
      <c r="H12" s="44">
        <f>IF(AND(ISNUMBER(E12),ISNUMBER(C12),C12&gt;0),E12/C12*100,NA())</f>
        <v/>
      </c>
      <c r="I12" s="44">
        <f>IF(AND(ISNUMBER(E12),ISNUMBER(D12),D12&gt;0),E12/D12*100,NA())</f>
        <v/>
      </c>
      <c r="J12" s="44">
        <f>IF(AND(ISNUMBER(C12),ISNUMBER(F12),F12&gt;0),C12/F12,NA())</f>
        <v/>
      </c>
    </row>
    <row r="13" ht="15" customHeight="1" s="39">
      <c r="A13" s="38">
        <f>municipal!A13</f>
        <v/>
      </c>
      <c r="B13" s="38">
        <f>municipal!B13</f>
        <v/>
      </c>
      <c r="C13" s="38">
        <f>municipal!E13</f>
        <v/>
      </c>
      <c r="D13" s="38">
        <f>municipal!F13</f>
        <v/>
      </c>
      <c r="E13" s="38">
        <f>municipal!H13</f>
        <v/>
      </c>
      <c r="F13" s="44">
        <f>municipal!L13</f>
        <v/>
      </c>
      <c r="G13" s="44">
        <f>IF(AND(ISNUMBER(D13),ISNUMBER(C13),C13&gt;0),D13/C13*100,NA())</f>
        <v/>
      </c>
      <c r="H13" s="44">
        <f>IF(AND(ISNUMBER(E13),ISNUMBER(C13),C13&gt;0),E13/C13*100,NA())</f>
        <v/>
      </c>
      <c r="I13" s="44">
        <f>IF(AND(ISNUMBER(E13),ISNUMBER(D13),D13&gt;0),E13/D13*100,NA())</f>
        <v/>
      </c>
      <c r="J13" s="44">
        <f>IF(AND(ISNUMBER(C13),ISNUMBER(F13),F13&gt;0),C13/F13,NA())</f>
        <v/>
      </c>
    </row>
    <row r="14" ht="15" customHeight="1" s="39">
      <c r="A14" s="38">
        <f>municipal!A14</f>
        <v/>
      </c>
      <c r="B14" s="38">
        <f>municipal!B14</f>
        <v/>
      </c>
      <c r="C14" s="38">
        <f>municipal!E14</f>
        <v/>
      </c>
      <c r="D14" s="38">
        <f>municipal!F14</f>
        <v/>
      </c>
      <c r="E14" s="38">
        <f>municipal!H14</f>
        <v/>
      </c>
      <c r="F14" s="44">
        <f>municipal!L14</f>
        <v/>
      </c>
      <c r="G14" s="44">
        <f>IF(AND(ISNUMBER(D14),ISNUMBER(C14),C14&gt;0),D14/C14*100,NA())</f>
        <v/>
      </c>
      <c r="H14" s="44">
        <f>IF(AND(ISNUMBER(E14),ISNUMBER(C14),C14&gt;0),E14/C14*100,NA())</f>
        <v/>
      </c>
      <c r="I14" s="44">
        <f>IF(AND(ISNUMBER(E14),ISNUMBER(D14),D14&gt;0),E14/D14*100,NA())</f>
        <v/>
      </c>
      <c r="J14" s="44">
        <f>IF(AND(ISNUMBER(C14),ISNUMBER(F14),F14&gt;0),C14/F14,NA())</f>
        <v/>
      </c>
    </row>
    <row r="15" ht="15" customHeight="1" s="39">
      <c r="A15" s="38">
        <f>municipal!A15</f>
        <v/>
      </c>
      <c r="B15" s="38">
        <f>municipal!B15</f>
        <v/>
      </c>
      <c r="C15" s="38">
        <f>municipal!E15</f>
        <v/>
      </c>
      <c r="D15" s="38">
        <f>municipal!F15</f>
        <v/>
      </c>
      <c r="E15" s="38">
        <f>municipal!H15</f>
        <v/>
      </c>
      <c r="F15" s="44">
        <f>municipal!L15</f>
        <v/>
      </c>
      <c r="G15" s="44">
        <f>IF(AND(ISNUMBER(D15),ISNUMBER(C15),C15&gt;0),D15/C15*100,NA())</f>
        <v/>
      </c>
      <c r="H15" s="44">
        <f>IF(AND(ISNUMBER(E15),ISNUMBER(C15),C15&gt;0),E15/C15*100,NA())</f>
        <v/>
      </c>
      <c r="I15" s="44">
        <f>IF(AND(ISNUMBER(E15),ISNUMBER(D15),D15&gt;0),E15/D15*100,NA())</f>
        <v/>
      </c>
      <c r="J15" s="44">
        <f>IF(AND(ISNUMBER(C15),ISNUMBER(F15),F15&gt;0),C15/F15,NA())</f>
        <v/>
      </c>
    </row>
    <row r="16" ht="15" customHeight="1" s="39">
      <c r="A16" s="38">
        <f>municipal!A16</f>
        <v/>
      </c>
      <c r="B16" s="38">
        <f>municipal!B16</f>
        <v/>
      </c>
      <c r="C16" s="38">
        <f>municipal!E16</f>
        <v/>
      </c>
      <c r="D16" s="38">
        <f>municipal!F16</f>
        <v/>
      </c>
      <c r="E16" s="38">
        <f>municipal!H16</f>
        <v/>
      </c>
      <c r="F16" s="44">
        <f>municipal!L16</f>
        <v/>
      </c>
      <c r="G16" s="44">
        <f>IF(AND(ISNUMBER(D16),ISNUMBER(C16),C16&gt;0),D16/C16*100,NA())</f>
        <v/>
      </c>
      <c r="H16" s="44">
        <f>IF(AND(ISNUMBER(E16),ISNUMBER(C16),C16&gt;0),E16/C16*100,NA())</f>
        <v/>
      </c>
      <c r="I16" s="44">
        <f>IF(AND(ISNUMBER(E16),ISNUMBER(D16),D16&gt;0),E16/D16*100,NA())</f>
        <v/>
      </c>
      <c r="J16" s="44">
        <f>IF(AND(ISNUMBER(C16),ISNUMBER(F16),F16&gt;0),C16/F16,NA())</f>
        <v/>
      </c>
    </row>
    <row r="17" ht="15" customHeight="1" s="39">
      <c r="A17" s="38">
        <f>municipal!A17</f>
        <v/>
      </c>
      <c r="B17" s="38">
        <f>municipal!B17</f>
        <v/>
      </c>
      <c r="C17" s="38">
        <f>municipal!E17</f>
        <v/>
      </c>
      <c r="D17" s="38">
        <f>municipal!F17</f>
        <v/>
      </c>
      <c r="E17" s="38">
        <f>municipal!H17</f>
        <v/>
      </c>
      <c r="F17" s="44">
        <f>municipal!L17</f>
        <v/>
      </c>
      <c r="G17" s="44">
        <f>IF(AND(ISNUMBER(D17),ISNUMBER(C17),C17&gt;0),D17/C17*100,NA())</f>
        <v/>
      </c>
      <c r="H17" s="44">
        <f>IF(AND(ISNUMBER(E17),ISNUMBER(C17),C17&gt;0),E17/C17*100,NA())</f>
        <v/>
      </c>
      <c r="I17" s="44">
        <f>IF(AND(ISNUMBER(E17),ISNUMBER(D17),D17&gt;0),E17/D17*100,NA())</f>
        <v/>
      </c>
      <c r="J17" s="44">
        <f>IF(AND(ISNUMBER(C17),ISNUMBER(F17),F17&gt;0),C17/F17,NA())</f>
        <v/>
      </c>
    </row>
    <row r="18" ht="15" customHeight="1" s="39">
      <c r="A18" s="38">
        <f>municipal!A18</f>
        <v/>
      </c>
      <c r="B18" s="38">
        <f>municipal!B18</f>
        <v/>
      </c>
      <c r="C18" s="38">
        <f>municipal!E18</f>
        <v/>
      </c>
      <c r="D18" s="38">
        <f>municipal!F18</f>
        <v/>
      </c>
      <c r="E18" s="38">
        <f>municipal!H18</f>
        <v/>
      </c>
      <c r="F18" s="44">
        <f>municipal!L18</f>
        <v/>
      </c>
      <c r="G18" s="44">
        <f>IF(AND(ISNUMBER(D18),ISNUMBER(C18),C18&gt;0),D18/C18*100,NA())</f>
        <v/>
      </c>
      <c r="H18" s="44">
        <f>IF(AND(ISNUMBER(E18),ISNUMBER(C18),C18&gt;0),E18/C18*100,NA())</f>
        <v/>
      </c>
      <c r="I18" s="44">
        <f>IF(AND(ISNUMBER(E18),ISNUMBER(D18),D18&gt;0),E18/D18*100,NA())</f>
        <v/>
      </c>
      <c r="J18" s="44">
        <f>IF(AND(ISNUMBER(C18),ISNUMBER(F18),F18&gt;0),C18/F18,NA())</f>
        <v/>
      </c>
    </row>
    <row r="19" ht="15" customHeight="1" s="39">
      <c r="A19" s="38">
        <f>municipal!A19</f>
        <v/>
      </c>
      <c r="B19" s="38">
        <f>municipal!B19</f>
        <v/>
      </c>
      <c r="C19" s="38">
        <f>municipal!E19</f>
        <v/>
      </c>
      <c r="D19" s="38">
        <f>municipal!F19</f>
        <v/>
      </c>
      <c r="E19" s="38">
        <f>municipal!H19</f>
        <v/>
      </c>
      <c r="F19" s="44">
        <f>municipal!L19</f>
        <v/>
      </c>
      <c r="G19" s="44">
        <f>IF(AND(ISNUMBER(D19),ISNUMBER(C19),C19&gt;0),D19/C19*100,NA())</f>
        <v/>
      </c>
      <c r="H19" s="44">
        <f>IF(AND(ISNUMBER(E19),ISNUMBER(C19),C19&gt;0),E19/C19*100,NA())</f>
        <v/>
      </c>
      <c r="I19" s="44">
        <f>IF(AND(ISNUMBER(E19),ISNUMBER(D19),D19&gt;0),E19/D19*100,NA())</f>
        <v/>
      </c>
      <c r="J19" s="44">
        <f>IF(AND(ISNUMBER(C19),ISNUMBER(F19),F19&gt;0),C19/F19,NA())</f>
        <v/>
      </c>
    </row>
    <row r="20" ht="15" customHeight="1" s="39">
      <c r="A20" s="38">
        <f>municipal!A20</f>
        <v/>
      </c>
      <c r="B20" s="38">
        <f>municipal!B20</f>
        <v/>
      </c>
      <c r="C20" s="38">
        <f>municipal!E20</f>
        <v/>
      </c>
      <c r="D20" s="38">
        <f>municipal!F20</f>
        <v/>
      </c>
      <c r="E20" s="38">
        <f>municipal!H20</f>
        <v/>
      </c>
      <c r="F20" s="44">
        <f>municipal!L20</f>
        <v/>
      </c>
      <c r="G20" s="44">
        <f>IF(AND(ISNUMBER(D20),ISNUMBER(C20),C20&gt;0),D20/C20*100,NA())</f>
        <v/>
      </c>
      <c r="H20" s="44">
        <f>IF(AND(ISNUMBER(E20),ISNUMBER(C20),C20&gt;0),E20/C20*100,NA())</f>
        <v/>
      </c>
      <c r="I20" s="44">
        <f>IF(AND(ISNUMBER(E20),ISNUMBER(D20),D20&gt;0),E20/D20*100,NA())</f>
        <v/>
      </c>
      <c r="J20" s="44">
        <f>IF(AND(ISNUMBER(C20),ISNUMBER(F20),F20&gt;0),C20/F20,NA())</f>
        <v/>
      </c>
    </row>
    <row r="21" ht="15" customHeight="1" s="39">
      <c r="A21" s="38">
        <f>municipal!A21</f>
        <v/>
      </c>
      <c r="B21" s="38">
        <f>municipal!B21</f>
        <v/>
      </c>
      <c r="C21" s="38">
        <f>municipal!E21</f>
        <v/>
      </c>
      <c r="D21" s="38">
        <f>municipal!F21</f>
        <v/>
      </c>
      <c r="E21" s="38">
        <f>municipal!H21</f>
        <v/>
      </c>
      <c r="F21" s="44">
        <f>municipal!L21</f>
        <v/>
      </c>
      <c r="G21" s="44">
        <f>IF(AND(ISNUMBER(D21),ISNUMBER(C21),C21&gt;0),D21/C21*100,NA())</f>
        <v/>
      </c>
      <c r="H21" s="44">
        <f>IF(AND(ISNUMBER(E21),ISNUMBER(C21),C21&gt;0),E21/C21*100,NA())</f>
        <v/>
      </c>
      <c r="I21" s="44">
        <f>IF(AND(ISNUMBER(E21),ISNUMBER(D21),D21&gt;0),E21/D21*100,NA())</f>
        <v/>
      </c>
      <c r="J21" s="44">
        <f>IF(AND(ISNUMBER(C21),ISNUMBER(F21),F21&gt;0),C21/F21,NA())</f>
        <v/>
      </c>
    </row>
    <row r="22" ht="15" customHeight="1" s="39">
      <c r="A22" s="38">
        <f>municipal!A22</f>
        <v/>
      </c>
      <c r="B22" s="38">
        <f>municipal!B22</f>
        <v/>
      </c>
      <c r="C22" s="38">
        <f>municipal!E22</f>
        <v/>
      </c>
      <c r="D22" s="38">
        <f>municipal!F22</f>
        <v/>
      </c>
      <c r="E22" s="38">
        <f>municipal!H22</f>
        <v/>
      </c>
      <c r="F22" s="44">
        <f>municipal!L22</f>
        <v/>
      </c>
      <c r="G22" s="44">
        <f>IF(AND(ISNUMBER(D22),ISNUMBER(C22),C22&gt;0),D22/C22*100,NA())</f>
        <v/>
      </c>
      <c r="H22" s="44">
        <f>IF(AND(ISNUMBER(E22),ISNUMBER(C22),C22&gt;0),E22/C22*100,NA())</f>
        <v/>
      </c>
      <c r="I22" s="44">
        <f>IF(AND(ISNUMBER(E22),ISNUMBER(D22),D22&gt;0),E22/D22*100,NA())</f>
        <v/>
      </c>
      <c r="J22" s="44">
        <f>IF(AND(ISNUMBER(C22),ISNUMBER(F22),F22&gt;0),C22/F22,NA())</f>
        <v/>
      </c>
    </row>
    <row r="23" ht="15" customHeight="1" s="39">
      <c r="A23" s="38">
        <f>municipal!A23</f>
        <v/>
      </c>
      <c r="B23" s="38">
        <f>municipal!B23</f>
        <v/>
      </c>
      <c r="C23" s="38">
        <f>municipal!E23</f>
        <v/>
      </c>
      <c r="D23" s="38">
        <f>municipal!F23</f>
        <v/>
      </c>
      <c r="E23" s="38">
        <f>municipal!H23</f>
        <v/>
      </c>
      <c r="F23" s="44">
        <f>municipal!L23</f>
        <v/>
      </c>
      <c r="G23" s="44">
        <f>IF(AND(ISNUMBER(D23),ISNUMBER(C23),C23&gt;0),D23/C23*100,NA())</f>
        <v/>
      </c>
      <c r="H23" s="44">
        <f>IF(AND(ISNUMBER(E23),ISNUMBER(C23),C23&gt;0),E23/C23*100,NA())</f>
        <v/>
      </c>
      <c r="I23" s="44">
        <f>IF(AND(ISNUMBER(E23),ISNUMBER(D23),D23&gt;0),E23/D23*100,NA())</f>
        <v/>
      </c>
      <c r="J23" s="44">
        <f>IF(AND(ISNUMBER(C23),ISNUMBER(F23),F23&gt;0),C23/F23,NA())</f>
        <v/>
      </c>
    </row>
  </sheetData>
  <autoFilter ref="A1:J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9" customWidth="1" style="38" min="1" max="2"/>
    <col width="18" customWidth="1" style="38" min="3" max="3"/>
    <col width="16" customWidth="1" style="38" min="4" max="5"/>
    <col width="18" customWidth="1" style="38" min="6" max="6"/>
    <col width="38" customWidth="1" style="38" min="7" max="8"/>
  </cols>
  <sheetData>
    <row r="1" ht="30.75" customHeight="1" s="39">
      <c r="A1" s="40" t="inlineStr">
        <is>
          <t>municipality_code</t>
        </is>
      </c>
      <c r="B1" s="40" t="inlineStr">
        <is>
          <t>municipality_name</t>
        </is>
      </c>
      <c r="C1" s="40" t="inlineStr">
        <is>
          <t>population_total</t>
        </is>
      </c>
      <c r="D1" s="40" t="inlineStr">
        <is>
          <t>housing_total</t>
        </is>
      </c>
      <c r="E1" s="40" t="inlineStr">
        <is>
          <t>housing_main</t>
        </is>
      </c>
      <c r="F1" s="40" t="inlineStr">
        <is>
          <t>housing_non_main</t>
        </is>
      </c>
      <c r="G1" s="43" t="inlineStr">
        <is>
          <t>housing_non_main_pct</t>
        </is>
      </c>
      <c r="H1" s="43" t="inlineStr">
        <is>
          <t>residents_per_housing_main</t>
        </is>
      </c>
    </row>
    <row r="2" ht="15" customHeight="1" s="39">
      <c r="A2" s="38">
        <f>municipal!A2</f>
        <v/>
      </c>
      <c r="B2" s="38">
        <f>municipal!B2</f>
        <v/>
      </c>
      <c r="C2" s="38">
        <f>municipal!E2</f>
        <v/>
      </c>
      <c r="D2" s="38">
        <f>municipal!I2</f>
        <v/>
      </c>
      <c r="E2" s="38">
        <f>municipal!J2</f>
        <v/>
      </c>
      <c r="F2" s="38">
        <f>municipal!K2</f>
        <v/>
      </c>
      <c r="G2" s="44">
        <f>IF(AND(ISNUMBER(F2),ISNUMBER(D2),D2&gt;0),F2/D2*100,NA())</f>
        <v/>
      </c>
      <c r="H2" s="44">
        <f>IF(AND(ISNUMBER(C2),ISNUMBER(E2),E2&gt;0),C2/E2,NA())</f>
        <v/>
      </c>
    </row>
    <row r="3" ht="15" customHeight="1" s="39">
      <c r="A3" s="38">
        <f>municipal!A3</f>
        <v/>
      </c>
      <c r="B3" s="38">
        <f>municipal!B3</f>
        <v/>
      </c>
      <c r="C3" s="38">
        <f>municipal!E3</f>
        <v/>
      </c>
      <c r="D3" s="38">
        <f>municipal!I3</f>
        <v/>
      </c>
      <c r="E3" s="38">
        <f>municipal!J3</f>
        <v/>
      </c>
      <c r="F3" s="38">
        <f>municipal!K3</f>
        <v/>
      </c>
      <c r="G3" s="44">
        <f>IF(AND(ISNUMBER(F3),ISNUMBER(D3),D3&gt;0),F3/D3*100,NA())</f>
        <v/>
      </c>
      <c r="H3" s="44">
        <f>IF(AND(ISNUMBER(C3),ISNUMBER(E3),E3&gt;0),C3/E3,NA())</f>
        <v/>
      </c>
    </row>
    <row r="4" ht="15" customHeight="1" s="39">
      <c r="A4" s="38">
        <f>municipal!A4</f>
        <v/>
      </c>
      <c r="B4" s="38">
        <f>municipal!B4</f>
        <v/>
      </c>
      <c r="C4" s="38">
        <f>municipal!E4</f>
        <v/>
      </c>
      <c r="D4" s="38">
        <f>municipal!I4</f>
        <v/>
      </c>
      <c r="E4" s="38">
        <f>municipal!J4</f>
        <v/>
      </c>
      <c r="F4" s="38">
        <f>municipal!K4</f>
        <v/>
      </c>
      <c r="G4" s="44">
        <f>IF(AND(ISNUMBER(F4),ISNUMBER(D4),D4&gt;0),F4/D4*100,NA())</f>
        <v/>
      </c>
      <c r="H4" s="44">
        <f>IF(AND(ISNUMBER(C4),ISNUMBER(E4),E4&gt;0),C4/E4,NA())</f>
        <v/>
      </c>
    </row>
    <row r="5" ht="15" customHeight="1" s="39">
      <c r="A5" s="38">
        <f>municipal!A5</f>
        <v/>
      </c>
      <c r="B5" s="38">
        <f>municipal!B5</f>
        <v/>
      </c>
      <c r="C5" s="38">
        <f>municipal!E5</f>
        <v/>
      </c>
      <c r="D5" s="38">
        <f>municipal!I5</f>
        <v/>
      </c>
      <c r="E5" s="38">
        <f>municipal!J5</f>
        <v/>
      </c>
      <c r="F5" s="38">
        <f>municipal!K5</f>
        <v/>
      </c>
      <c r="G5" s="44">
        <f>IF(AND(ISNUMBER(F5),ISNUMBER(D5),D5&gt;0),F5/D5*100,NA())</f>
        <v/>
      </c>
      <c r="H5" s="44">
        <f>IF(AND(ISNUMBER(C5),ISNUMBER(E5),E5&gt;0),C5/E5,NA())</f>
        <v/>
      </c>
    </row>
    <row r="6" ht="15" customHeight="1" s="39">
      <c r="A6" s="38">
        <f>municipal!A6</f>
        <v/>
      </c>
      <c r="B6" s="38">
        <f>municipal!B6</f>
        <v/>
      </c>
      <c r="C6" s="38">
        <f>municipal!E6</f>
        <v/>
      </c>
      <c r="D6" s="38">
        <f>municipal!I6</f>
        <v/>
      </c>
      <c r="E6" s="38">
        <f>municipal!J6</f>
        <v/>
      </c>
      <c r="F6" s="38">
        <f>municipal!K6</f>
        <v/>
      </c>
      <c r="G6" s="44">
        <f>IF(AND(ISNUMBER(F6),ISNUMBER(D6),D6&gt;0),F6/D6*100,NA())</f>
        <v/>
      </c>
      <c r="H6" s="44">
        <f>IF(AND(ISNUMBER(C6),ISNUMBER(E6),E6&gt;0),C6/E6,NA())</f>
        <v/>
      </c>
    </row>
    <row r="7" ht="15" customHeight="1" s="39">
      <c r="A7" s="38">
        <f>municipal!A7</f>
        <v/>
      </c>
      <c r="B7" s="38">
        <f>municipal!B7</f>
        <v/>
      </c>
      <c r="C7" s="38">
        <f>municipal!E7</f>
        <v/>
      </c>
      <c r="D7" s="38">
        <f>municipal!I7</f>
        <v/>
      </c>
      <c r="E7" s="38">
        <f>municipal!J7</f>
        <v/>
      </c>
      <c r="F7" s="38">
        <f>municipal!K7</f>
        <v/>
      </c>
      <c r="G7" s="44">
        <f>IF(AND(ISNUMBER(F7),ISNUMBER(D7),D7&gt;0),F7/D7*100,NA())</f>
        <v/>
      </c>
      <c r="H7" s="44">
        <f>IF(AND(ISNUMBER(C7),ISNUMBER(E7),E7&gt;0),C7/E7,NA())</f>
        <v/>
      </c>
    </row>
    <row r="8" ht="15" customHeight="1" s="39">
      <c r="A8" s="38">
        <f>municipal!A8</f>
        <v/>
      </c>
      <c r="B8" s="38">
        <f>municipal!B8</f>
        <v/>
      </c>
      <c r="C8" s="38">
        <f>municipal!E8</f>
        <v/>
      </c>
      <c r="D8" s="38">
        <f>municipal!I8</f>
        <v/>
      </c>
      <c r="E8" s="38">
        <f>municipal!J8</f>
        <v/>
      </c>
      <c r="F8" s="38">
        <f>municipal!K8</f>
        <v/>
      </c>
      <c r="G8" s="44">
        <f>IF(AND(ISNUMBER(F8),ISNUMBER(D8),D8&gt;0),F8/D8*100,NA())</f>
        <v/>
      </c>
      <c r="H8" s="44">
        <f>IF(AND(ISNUMBER(C8),ISNUMBER(E8),E8&gt;0),C8/E8,NA())</f>
        <v/>
      </c>
    </row>
    <row r="9" ht="15" customHeight="1" s="39">
      <c r="A9" s="38">
        <f>municipal!A9</f>
        <v/>
      </c>
      <c r="B9" s="38">
        <f>municipal!B9</f>
        <v/>
      </c>
      <c r="C9" s="38">
        <f>municipal!E9</f>
        <v/>
      </c>
      <c r="D9" s="38">
        <f>municipal!I9</f>
        <v/>
      </c>
      <c r="E9" s="38">
        <f>municipal!J9</f>
        <v/>
      </c>
      <c r="F9" s="38">
        <f>municipal!K9</f>
        <v/>
      </c>
      <c r="G9" s="44">
        <f>IF(AND(ISNUMBER(F9),ISNUMBER(D9),D9&gt;0),F9/D9*100,NA())</f>
        <v/>
      </c>
      <c r="H9" s="44">
        <f>IF(AND(ISNUMBER(C9),ISNUMBER(E9),E9&gt;0),C9/E9,NA())</f>
        <v/>
      </c>
    </row>
    <row r="10" ht="15" customHeight="1" s="39">
      <c r="A10" s="38">
        <f>municipal!A10</f>
        <v/>
      </c>
      <c r="B10" s="38">
        <f>municipal!B10</f>
        <v/>
      </c>
      <c r="C10" s="38">
        <f>municipal!E10</f>
        <v/>
      </c>
      <c r="D10" s="38">
        <f>municipal!I10</f>
        <v/>
      </c>
      <c r="E10" s="38">
        <f>municipal!J10</f>
        <v/>
      </c>
      <c r="F10" s="38">
        <f>municipal!K10</f>
        <v/>
      </c>
      <c r="G10" s="44">
        <f>IF(AND(ISNUMBER(F10),ISNUMBER(D10),D10&gt;0),F10/D10*100,NA())</f>
        <v/>
      </c>
      <c r="H10" s="44">
        <f>IF(AND(ISNUMBER(C10),ISNUMBER(E10),E10&gt;0),C10/E10,NA())</f>
        <v/>
      </c>
    </row>
    <row r="11" ht="15" customHeight="1" s="39">
      <c r="A11" s="38">
        <f>municipal!A11</f>
        <v/>
      </c>
      <c r="B11" s="38">
        <f>municipal!B11</f>
        <v/>
      </c>
      <c r="C11" s="38">
        <f>municipal!E11</f>
        <v/>
      </c>
      <c r="D11" s="38">
        <f>municipal!I11</f>
        <v/>
      </c>
      <c r="E11" s="38">
        <f>municipal!J11</f>
        <v/>
      </c>
      <c r="F11" s="38">
        <f>municipal!K11</f>
        <v/>
      </c>
      <c r="G11" s="44">
        <f>IF(AND(ISNUMBER(F11),ISNUMBER(D11),D11&gt;0),F11/D11*100,NA())</f>
        <v/>
      </c>
      <c r="H11" s="44">
        <f>IF(AND(ISNUMBER(C11),ISNUMBER(E11),E11&gt;0),C11/E11,NA())</f>
        <v/>
      </c>
    </row>
    <row r="12" ht="15" customHeight="1" s="39">
      <c r="A12" s="38">
        <f>municipal!A12</f>
        <v/>
      </c>
      <c r="B12" s="38">
        <f>municipal!B12</f>
        <v/>
      </c>
      <c r="C12" s="38">
        <f>municipal!E12</f>
        <v/>
      </c>
      <c r="D12" s="38">
        <f>municipal!I12</f>
        <v/>
      </c>
      <c r="E12" s="38">
        <f>municipal!J12</f>
        <v/>
      </c>
      <c r="F12" s="38">
        <f>municipal!K12</f>
        <v/>
      </c>
      <c r="G12" s="44">
        <f>IF(AND(ISNUMBER(F12),ISNUMBER(D12),D12&gt;0),F12/D12*100,NA())</f>
        <v/>
      </c>
      <c r="H12" s="44">
        <f>IF(AND(ISNUMBER(C12),ISNUMBER(E12),E12&gt;0),C12/E12,NA())</f>
        <v/>
      </c>
    </row>
    <row r="13" ht="15" customHeight="1" s="39">
      <c r="A13" s="38">
        <f>municipal!A13</f>
        <v/>
      </c>
      <c r="B13" s="38">
        <f>municipal!B13</f>
        <v/>
      </c>
      <c r="C13" s="38">
        <f>municipal!E13</f>
        <v/>
      </c>
      <c r="D13" s="38">
        <f>municipal!I13</f>
        <v/>
      </c>
      <c r="E13" s="38">
        <f>municipal!J13</f>
        <v/>
      </c>
      <c r="F13" s="38">
        <f>municipal!K13</f>
        <v/>
      </c>
      <c r="G13" s="44">
        <f>IF(AND(ISNUMBER(F13),ISNUMBER(D13),D13&gt;0),F13/D13*100,NA())</f>
        <v/>
      </c>
      <c r="H13" s="44">
        <f>IF(AND(ISNUMBER(C13),ISNUMBER(E13),E13&gt;0),C13/E13,NA())</f>
        <v/>
      </c>
    </row>
    <row r="14" ht="15" customHeight="1" s="39">
      <c r="A14" s="38">
        <f>municipal!A14</f>
        <v/>
      </c>
      <c r="B14" s="38">
        <f>municipal!B14</f>
        <v/>
      </c>
      <c r="C14" s="38">
        <f>municipal!E14</f>
        <v/>
      </c>
      <c r="D14" s="38">
        <f>municipal!I14</f>
        <v/>
      </c>
      <c r="E14" s="38">
        <f>municipal!J14</f>
        <v/>
      </c>
      <c r="F14" s="38">
        <f>municipal!K14</f>
        <v/>
      </c>
      <c r="G14" s="44">
        <f>IF(AND(ISNUMBER(F14),ISNUMBER(D14),D14&gt;0),F14/D14*100,NA())</f>
        <v/>
      </c>
      <c r="H14" s="44">
        <f>IF(AND(ISNUMBER(C14),ISNUMBER(E14),E14&gt;0),C14/E14,NA())</f>
        <v/>
      </c>
    </row>
    <row r="15" ht="15" customHeight="1" s="39">
      <c r="A15" s="38">
        <f>municipal!A15</f>
        <v/>
      </c>
      <c r="B15" s="38">
        <f>municipal!B15</f>
        <v/>
      </c>
      <c r="C15" s="38">
        <f>municipal!E15</f>
        <v/>
      </c>
      <c r="D15" s="38">
        <f>municipal!I15</f>
        <v/>
      </c>
      <c r="E15" s="38">
        <f>municipal!J15</f>
        <v/>
      </c>
      <c r="F15" s="38">
        <f>municipal!K15</f>
        <v/>
      </c>
      <c r="G15" s="44">
        <f>IF(AND(ISNUMBER(F15),ISNUMBER(D15),D15&gt;0),F15/D15*100,NA())</f>
        <v/>
      </c>
      <c r="H15" s="44">
        <f>IF(AND(ISNUMBER(C15),ISNUMBER(E15),E15&gt;0),C15/E15,NA())</f>
        <v/>
      </c>
    </row>
    <row r="16" ht="15" customHeight="1" s="39">
      <c r="A16" s="38">
        <f>municipal!A16</f>
        <v/>
      </c>
      <c r="B16" s="38">
        <f>municipal!B16</f>
        <v/>
      </c>
      <c r="C16" s="38">
        <f>municipal!E16</f>
        <v/>
      </c>
      <c r="D16" s="38">
        <f>municipal!I16</f>
        <v/>
      </c>
      <c r="E16" s="38">
        <f>municipal!J16</f>
        <v/>
      </c>
      <c r="F16" s="38">
        <f>municipal!K16</f>
        <v/>
      </c>
      <c r="G16" s="44">
        <f>IF(AND(ISNUMBER(F16),ISNUMBER(D16),D16&gt;0),F16/D16*100,NA())</f>
        <v/>
      </c>
      <c r="H16" s="44">
        <f>IF(AND(ISNUMBER(C16),ISNUMBER(E16),E16&gt;0),C16/E16,NA())</f>
        <v/>
      </c>
    </row>
    <row r="17" ht="15" customHeight="1" s="39">
      <c r="A17" s="38">
        <f>municipal!A17</f>
        <v/>
      </c>
      <c r="B17" s="38">
        <f>municipal!B17</f>
        <v/>
      </c>
      <c r="C17" s="38">
        <f>municipal!E17</f>
        <v/>
      </c>
      <c r="D17" s="38">
        <f>municipal!I17</f>
        <v/>
      </c>
      <c r="E17" s="38">
        <f>municipal!J17</f>
        <v/>
      </c>
      <c r="F17" s="38">
        <f>municipal!K17</f>
        <v/>
      </c>
      <c r="G17" s="44">
        <f>IF(AND(ISNUMBER(F17),ISNUMBER(D17),D17&gt;0),F17/D17*100,NA())</f>
        <v/>
      </c>
      <c r="H17" s="44">
        <f>IF(AND(ISNUMBER(C17),ISNUMBER(E17),E17&gt;0),C17/E17,NA())</f>
        <v/>
      </c>
    </row>
    <row r="18" ht="15" customHeight="1" s="39">
      <c r="A18" s="38">
        <f>municipal!A18</f>
        <v/>
      </c>
      <c r="B18" s="38">
        <f>municipal!B18</f>
        <v/>
      </c>
      <c r="C18" s="38">
        <f>municipal!E18</f>
        <v/>
      </c>
      <c r="D18" s="38">
        <f>municipal!I18</f>
        <v/>
      </c>
      <c r="E18" s="38">
        <f>municipal!J18</f>
        <v/>
      </c>
      <c r="F18" s="38">
        <f>municipal!K18</f>
        <v/>
      </c>
      <c r="G18" s="44">
        <f>IF(AND(ISNUMBER(F18),ISNUMBER(D18),D18&gt;0),F18/D18*100,NA())</f>
        <v/>
      </c>
      <c r="H18" s="44">
        <f>IF(AND(ISNUMBER(C18),ISNUMBER(E18),E18&gt;0),C18/E18,NA())</f>
        <v/>
      </c>
    </row>
    <row r="19" ht="15" customHeight="1" s="39">
      <c r="A19" s="38">
        <f>municipal!A19</f>
        <v/>
      </c>
      <c r="B19" s="38">
        <f>municipal!B19</f>
        <v/>
      </c>
      <c r="C19" s="38">
        <f>municipal!E19</f>
        <v/>
      </c>
      <c r="D19" s="38">
        <f>municipal!I19</f>
        <v/>
      </c>
      <c r="E19" s="38">
        <f>municipal!J19</f>
        <v/>
      </c>
      <c r="F19" s="38">
        <f>municipal!K19</f>
        <v/>
      </c>
      <c r="G19" s="44">
        <f>IF(AND(ISNUMBER(F19),ISNUMBER(D19),D19&gt;0),F19/D19*100,NA())</f>
        <v/>
      </c>
      <c r="H19" s="44">
        <f>IF(AND(ISNUMBER(C19),ISNUMBER(E19),E19&gt;0),C19/E19,NA())</f>
        <v/>
      </c>
    </row>
    <row r="20" ht="15" customHeight="1" s="39">
      <c r="A20" s="38">
        <f>municipal!A20</f>
        <v/>
      </c>
      <c r="B20" s="38">
        <f>municipal!B20</f>
        <v/>
      </c>
      <c r="C20" s="38">
        <f>municipal!E20</f>
        <v/>
      </c>
      <c r="D20" s="38">
        <f>municipal!I20</f>
        <v/>
      </c>
      <c r="E20" s="38">
        <f>municipal!J20</f>
        <v/>
      </c>
      <c r="F20" s="38">
        <f>municipal!K20</f>
        <v/>
      </c>
      <c r="G20" s="44">
        <f>IF(AND(ISNUMBER(F20),ISNUMBER(D20),D20&gt;0),F20/D20*100,NA())</f>
        <v/>
      </c>
      <c r="H20" s="44">
        <f>IF(AND(ISNUMBER(C20),ISNUMBER(E20),E20&gt;0),C20/E20,NA())</f>
        <v/>
      </c>
    </row>
    <row r="21" ht="15" customHeight="1" s="39">
      <c r="A21" s="38">
        <f>municipal!A21</f>
        <v/>
      </c>
      <c r="B21" s="38">
        <f>municipal!B21</f>
        <v/>
      </c>
      <c r="C21" s="38">
        <f>municipal!E21</f>
        <v/>
      </c>
      <c r="D21" s="38">
        <f>municipal!I21</f>
        <v/>
      </c>
      <c r="E21" s="38">
        <f>municipal!J21</f>
        <v/>
      </c>
      <c r="F21" s="38">
        <f>municipal!K21</f>
        <v/>
      </c>
      <c r="G21" s="44">
        <f>IF(AND(ISNUMBER(F21),ISNUMBER(D21),D21&gt;0),F21/D21*100,NA())</f>
        <v/>
      </c>
      <c r="H21" s="44">
        <f>IF(AND(ISNUMBER(C21),ISNUMBER(E21),E21&gt;0),C21/E21,NA())</f>
        <v/>
      </c>
    </row>
    <row r="22" ht="15" customHeight="1" s="39">
      <c r="A22" s="38">
        <f>municipal!A22</f>
        <v/>
      </c>
      <c r="B22" s="38">
        <f>municipal!B22</f>
        <v/>
      </c>
      <c r="C22" s="38">
        <f>municipal!E22</f>
        <v/>
      </c>
      <c r="D22" s="38">
        <f>municipal!I22</f>
        <v/>
      </c>
      <c r="E22" s="38">
        <f>municipal!J22</f>
        <v/>
      </c>
      <c r="F22" s="38">
        <f>municipal!K22</f>
        <v/>
      </c>
      <c r="G22" s="44">
        <f>IF(AND(ISNUMBER(F22),ISNUMBER(D22),D22&gt;0),F22/D22*100,NA())</f>
        <v/>
      </c>
      <c r="H22" s="44">
        <f>IF(AND(ISNUMBER(C22),ISNUMBER(E22),E22&gt;0),C22/E22,NA())</f>
        <v/>
      </c>
    </row>
    <row r="23" ht="15" customHeight="1" s="39">
      <c r="A23" s="38">
        <f>municipal!A23</f>
        <v/>
      </c>
      <c r="B23" s="38">
        <f>municipal!B23</f>
        <v/>
      </c>
      <c r="C23" s="38">
        <f>municipal!E23</f>
        <v/>
      </c>
      <c r="D23" s="38">
        <f>municipal!I23</f>
        <v/>
      </c>
      <c r="E23" s="38">
        <f>municipal!J23</f>
        <v/>
      </c>
      <c r="F23" s="38">
        <f>municipal!K23</f>
        <v/>
      </c>
      <c r="G23" s="44">
        <f>IF(AND(ISNUMBER(F23),ISNUMBER(D23),D23&gt;0),F23/D23*100,NA())</f>
        <v/>
      </c>
      <c r="H23" s="44">
        <f>IF(AND(ISNUMBER(C23),ISNUMBER(E23),E23&gt;0),C23/E23,NA())</f>
        <v/>
      </c>
    </row>
  </sheetData>
  <autoFilter ref="A1:H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35" customWidth="1" style="38" min="1" max="1"/>
    <col width="36" customWidth="1" style="38" min="2" max="3"/>
    <col width="14" customWidth="1" style="38" min="4" max="4"/>
    <col width="25" customWidth="1" style="38" min="5" max="5"/>
    <col width="33" customWidth="1" style="38" min="6" max="6"/>
  </cols>
  <sheetData>
    <row r="1" ht="15.75" customHeight="1" s="39">
      <c r="A1" s="40" t="inlineStr">
        <is>
          <t>indicator</t>
        </is>
      </c>
      <c r="B1" s="40" t="inlineStr">
        <is>
          <t>numerator_total</t>
        </is>
      </c>
      <c r="C1" s="40" t="inlineStr">
        <is>
          <t>denominator_total</t>
        </is>
      </c>
      <c r="D1" s="40" t="inlineStr">
        <is>
          <t>scale_factor</t>
        </is>
      </c>
      <c r="E1" s="40" t="inlineStr">
        <is>
          <t>aggregate_value</t>
        </is>
      </c>
      <c r="F1" s="40" t="inlineStr">
        <is>
          <t>unit</t>
        </is>
      </c>
    </row>
    <row r="2" ht="15" customHeight="1" s="39">
      <c r="A2" s="38" t="inlineStr">
        <is>
          <t>county_population_total</t>
        </is>
      </c>
      <c r="B2" s="38">
        <f>SUM(indicators_demography!C2:C23)</f>
        <v/>
      </c>
      <c r="D2" s="38" t="n">
        <v>1</v>
      </c>
      <c r="E2" s="44">
        <f>B2</f>
        <v/>
      </c>
      <c r="F2" s="38" t="inlineStr">
        <is>
          <t>persones</t>
        </is>
      </c>
    </row>
    <row r="3" ht="15" customHeight="1" s="39">
      <c r="A3" s="38" t="inlineStr">
        <is>
          <t>county_housing_total</t>
        </is>
      </c>
      <c r="B3" s="38">
        <f>SUM(indicators_housing!D2:D23)</f>
        <v/>
      </c>
      <c r="D3" s="38" t="n">
        <v>1</v>
      </c>
      <c r="E3" s="44">
        <f>B3</f>
        <v/>
      </c>
      <c r="F3" s="38" t="inlineStr">
        <is>
          <t>habitatges</t>
        </is>
      </c>
    </row>
    <row r="4" ht="15" customHeight="1" s="39">
      <c r="A4" s="38" t="inlineStr">
        <is>
          <t>county_population_0_14_pct</t>
        </is>
      </c>
      <c r="B4" s="38">
        <f>SUM(indicators_demography!D2:D23)</f>
        <v/>
      </c>
      <c r="C4" s="38">
        <f>SUM(indicators_demography!C2:C23)</f>
        <v/>
      </c>
      <c r="D4" s="38" t="n">
        <v>100</v>
      </c>
      <c r="E4" s="44">
        <f>IF(C4&gt;0,B4/C4*D4,NA())</f>
        <v/>
      </c>
      <c r="F4" s="38" t="inlineStr">
        <is>
          <t>%</t>
        </is>
      </c>
    </row>
    <row r="5" ht="15" customHeight="1" s="39">
      <c r="A5" s="38" t="inlineStr">
        <is>
          <t>county_population_65_plus_pct</t>
        </is>
      </c>
      <c r="B5" s="38">
        <f>SUM(indicators_demography!E2:E23)</f>
        <v/>
      </c>
      <c r="C5" s="38">
        <f>SUM(indicators_demography!C2:C23)</f>
        <v/>
      </c>
      <c r="D5" s="38" t="n">
        <v>100</v>
      </c>
      <c r="E5" s="44">
        <f>IF(C5&gt;0,B5/C5*D5,NA())</f>
        <v/>
      </c>
      <c r="F5" s="38" t="inlineStr">
        <is>
          <t>%</t>
        </is>
      </c>
    </row>
    <row r="6" ht="15" customHeight="1" s="39">
      <c r="A6" s="38" t="inlineStr">
        <is>
          <t>county_ageing_index</t>
        </is>
      </c>
      <c r="B6" s="38">
        <f>SUM(indicators_demography!E2:E23)</f>
        <v/>
      </c>
      <c r="C6" s="38">
        <f>SUM(indicators_demography!D2:D23)</f>
        <v/>
      </c>
      <c r="D6" s="38" t="n">
        <v>100</v>
      </c>
      <c r="E6" s="44">
        <f>IF(C6&gt;0,B6/C6*D6,NA())</f>
        <v/>
      </c>
      <c r="F6" s="38" t="inlineStr">
        <is>
          <t>persones de 65+ per 100 de 0–14</t>
        </is>
      </c>
    </row>
    <row r="7" ht="15" customHeight="1" s="39">
      <c r="A7" s="38" t="inlineStr">
        <is>
          <t>county_population_density</t>
        </is>
      </c>
      <c r="B7" s="38">
        <f>SUM(indicators_demography!C2:C23)</f>
        <v/>
      </c>
      <c r="C7" s="38">
        <f>SUM(indicators_demography!F2:F23)</f>
        <v/>
      </c>
      <c r="D7" s="38" t="n">
        <v>1</v>
      </c>
      <c r="E7" s="44">
        <f>IF(C7&gt;0,B7/C7,NA())</f>
        <v/>
      </c>
      <c r="F7" s="38" t="inlineStr">
        <is>
          <t>habitants/km²</t>
        </is>
      </c>
    </row>
    <row r="8" ht="15" customHeight="1" s="39">
      <c r="A8" s="38" t="inlineStr">
        <is>
          <t>county_housing_non_main_pct</t>
        </is>
      </c>
      <c r="B8" s="38">
        <f>SUM(indicators_housing!F2:F23)</f>
        <v/>
      </c>
      <c r="C8" s="38">
        <f>SUM(indicators_housing!D2:D23)</f>
        <v/>
      </c>
      <c r="D8" s="38" t="n">
        <v>100</v>
      </c>
      <c r="E8" s="44">
        <f>IF(C8&gt;0,B8/C8*D8,NA())</f>
        <v/>
      </c>
      <c r="F8" s="38" t="inlineStr">
        <is>
          <t>%</t>
        </is>
      </c>
    </row>
    <row r="9" ht="15" customHeight="1" s="39">
      <c r="A9" s="38" t="inlineStr">
        <is>
          <t>county_residents_per_housing_main</t>
        </is>
      </c>
      <c r="B9" s="38">
        <f>SUM(indicators_housing!C2:C23)</f>
        <v/>
      </c>
      <c r="C9" s="38">
        <f>SUM(indicators_housing!E2:E23)</f>
        <v/>
      </c>
      <c r="D9" s="38" t="n">
        <v>1</v>
      </c>
      <c r="E9" s="44">
        <f>IF(C9&gt;0,B9/C9,NA())</f>
        <v/>
      </c>
      <c r="F9" s="38" t="inlineStr">
        <is>
          <t>residents/habitatge principal</t>
        </is>
      </c>
    </row>
  </sheetData>
  <autoFilter ref="A1:F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year</t>
        </is>
      </c>
      <c r="B1" s="38" t="inlineStr">
        <is>
          <t>municipality_code</t>
        </is>
      </c>
      <c r="C1" s="38" t="inlineStr">
        <is>
          <t>municipality</t>
        </is>
      </c>
      <c r="D1" s="38" t="inlineStr">
        <is>
          <t>population</t>
        </is>
      </c>
      <c r="E1" s="38" t="inlineStr">
        <is>
          <t>table_id</t>
        </is>
      </c>
      <c r="F1" s="38" t="inlineStr">
        <is>
          <t>source</t>
        </is>
      </c>
      <c r="G1" s="38" t="inlineStr">
        <is>
          <t>source_url</t>
        </is>
      </c>
    </row>
    <row r="2" ht="15" customHeight="1" s="39">
      <c r="A2" s="38" t="inlineStr">
        <is>
          <t>2000</t>
        </is>
      </c>
      <c r="B2" s="38" t="inlineStr">
        <is>
          <t>431711</t>
        </is>
      </c>
      <c r="C2" s="38" t="inlineStr">
        <is>
          <t>Vila-seca</t>
        </is>
      </c>
      <c r="D2" s="38" t="inlineStr">
        <is>
          <t>13133</t>
        </is>
      </c>
      <c r="E2" s="38" t="inlineStr">
        <is>
          <t>1063</t>
        </is>
      </c>
      <c r="F2" s="38" t="inlineStr">
        <is>
          <t>Idescat, a partir del Padró continu de l'INE.</t>
        </is>
      </c>
      <c r="G2" s="38" t="inlineStr">
        <is>
          <t>https://api.idescat.cat/taules/v2/pmh/1180/1063/mun/data?lang=ca&amp;MUN=431711&amp;SEX=TOTAL&amp;AGE=TOTAL</t>
        </is>
      </c>
    </row>
    <row r="3" ht="15" customHeight="1" s="39">
      <c r="A3" s="38" t="inlineStr">
        <is>
          <t>2001</t>
        </is>
      </c>
      <c r="B3" s="38" t="inlineStr">
        <is>
          <t>431711</t>
        </is>
      </c>
      <c r="C3" s="38" t="inlineStr">
        <is>
          <t>Vila-seca</t>
        </is>
      </c>
      <c r="D3" s="38" t="inlineStr">
        <is>
          <t>13420.0</t>
        </is>
      </c>
      <c r="E3" s="38" t="inlineStr">
        <is>
          <t>1063</t>
        </is>
      </c>
      <c r="F3" s="38" t="inlineStr">
        <is>
          <t>Idescat, a partir del Padró continu de l'INE.</t>
        </is>
      </c>
      <c r="G3" s="38" t="inlineStr">
        <is>
          <t>https://api.idescat.cat/taules/v2/pmh/1180/1063/mun/data?lang=ca&amp;MUN=431711&amp;SEX=TOTAL&amp;AGE=TOTAL</t>
        </is>
      </c>
    </row>
    <row r="4" ht="15" customHeight="1" s="39">
      <c r="A4" s="38" t="inlineStr">
        <is>
          <t>2002</t>
        </is>
      </c>
      <c r="B4" s="38" t="inlineStr">
        <is>
          <t>431711</t>
        </is>
      </c>
      <c r="C4" s="38" t="inlineStr">
        <is>
          <t>Vila-seca</t>
        </is>
      </c>
      <c r="D4" s="38" t="inlineStr">
        <is>
          <t>13927</t>
        </is>
      </c>
      <c r="E4" s="38" t="inlineStr">
        <is>
          <t>1063</t>
        </is>
      </c>
      <c r="F4" s="38" t="inlineStr">
        <is>
          <t>Idescat, a partir del Padró continu de l'INE.</t>
        </is>
      </c>
      <c r="G4" s="38" t="inlineStr">
        <is>
          <t>https://api.idescat.cat/taules/v2/pmh/1180/1063/mun/data?lang=ca&amp;MUN=431711&amp;SEX=TOTAL&amp;AGE=TOTAL</t>
        </is>
      </c>
    </row>
    <row r="5" ht="15" customHeight="1" s="39">
      <c r="A5" s="38" t="inlineStr">
        <is>
          <t>2003</t>
        </is>
      </c>
      <c r="B5" s="38" t="inlineStr">
        <is>
          <t>431711</t>
        </is>
      </c>
      <c r="C5" s="38" t="inlineStr">
        <is>
          <t>Vila-seca</t>
        </is>
      </c>
      <c r="D5" s="38" t="inlineStr">
        <is>
          <t>14377</t>
        </is>
      </c>
      <c r="E5" s="38" t="inlineStr">
        <is>
          <t>1063</t>
        </is>
      </c>
      <c r="F5" s="38" t="inlineStr">
        <is>
          <t>Idescat, a partir del Padró continu de l'INE.</t>
        </is>
      </c>
      <c r="G5" s="38" t="inlineStr">
        <is>
          <t>https://api.idescat.cat/taules/v2/pmh/1180/1063/mun/data?lang=ca&amp;MUN=431711&amp;SEX=TOTAL&amp;AGE=TOTAL</t>
        </is>
      </c>
    </row>
    <row r="6" ht="15" customHeight="1" s="39">
      <c r="A6" s="38" t="inlineStr">
        <is>
          <t>2004</t>
        </is>
      </c>
      <c r="B6" s="38" t="inlineStr">
        <is>
          <t>431711</t>
        </is>
      </c>
      <c r="C6" s="38" t="inlineStr">
        <is>
          <t>Vila-seca</t>
        </is>
      </c>
      <c r="D6" s="38" t="inlineStr">
        <is>
          <t>14998</t>
        </is>
      </c>
      <c r="E6" s="38" t="inlineStr">
        <is>
          <t>1063</t>
        </is>
      </c>
      <c r="F6" s="38" t="inlineStr">
        <is>
          <t>Idescat, a partir del Padró continu de l'INE.</t>
        </is>
      </c>
      <c r="G6" s="38" t="inlineStr">
        <is>
          <t>https://api.idescat.cat/taules/v2/pmh/1180/1063/mun/data?lang=ca&amp;MUN=431711&amp;SEX=TOTAL&amp;AGE=TOTAL</t>
        </is>
      </c>
    </row>
    <row r="7" ht="15" customHeight="1" s="39">
      <c r="A7" s="38" t="inlineStr">
        <is>
          <t>2005</t>
        </is>
      </c>
      <c r="B7" s="38" t="inlineStr">
        <is>
          <t>431711</t>
        </is>
      </c>
      <c r="C7" s="38" t="inlineStr">
        <is>
          <t>Vila-seca</t>
        </is>
      </c>
      <c r="D7" s="38" t="inlineStr">
        <is>
          <t>15875</t>
        </is>
      </c>
      <c r="E7" s="38" t="inlineStr">
        <is>
          <t>1063</t>
        </is>
      </c>
      <c r="F7" s="38" t="inlineStr">
        <is>
          <t>Idescat, a partir del Padró continu de l'INE.</t>
        </is>
      </c>
      <c r="G7" s="38" t="inlineStr">
        <is>
          <t>https://api.idescat.cat/taules/v2/pmh/1180/1063/mun/data?lang=ca&amp;MUN=431711&amp;SEX=TOTAL&amp;AGE=TOTAL</t>
        </is>
      </c>
    </row>
    <row r="8" ht="15" customHeight="1" s="39">
      <c r="A8" s="38" t="inlineStr">
        <is>
          <t>2006</t>
        </is>
      </c>
      <c r="B8" s="38" t="inlineStr">
        <is>
          <t>431711</t>
        </is>
      </c>
      <c r="C8" s="38" t="inlineStr">
        <is>
          <t>Vila-seca</t>
        </is>
      </c>
      <c r="D8" s="38" t="inlineStr">
        <is>
          <t>17305</t>
        </is>
      </c>
      <c r="E8" s="38" t="inlineStr">
        <is>
          <t>1063</t>
        </is>
      </c>
      <c r="F8" s="38" t="inlineStr">
        <is>
          <t>Idescat, a partir del Padró continu de l'INE.</t>
        </is>
      </c>
      <c r="G8" s="38" t="inlineStr">
        <is>
          <t>https://api.idescat.cat/taules/v2/pmh/1180/1063/mun/data?lang=ca&amp;MUN=431711&amp;SEX=TOTAL&amp;AGE=TOTAL</t>
        </is>
      </c>
    </row>
    <row r="9" ht="15" customHeight="1" s="39">
      <c r="A9" s="38" t="inlineStr">
        <is>
          <t>2007</t>
        </is>
      </c>
      <c r="B9" s="38" t="inlineStr">
        <is>
          <t>431711</t>
        </is>
      </c>
      <c r="C9" s="38" t="inlineStr">
        <is>
          <t>Vila-seca</t>
        </is>
      </c>
      <c r="D9" s="38" t="inlineStr">
        <is>
          <t>18678</t>
        </is>
      </c>
      <c r="E9" s="38" t="inlineStr">
        <is>
          <t>1063</t>
        </is>
      </c>
      <c r="F9" s="38" t="inlineStr">
        <is>
          <t>Idescat, a partir del Padró continu de l'INE.</t>
        </is>
      </c>
      <c r="G9" s="38" t="inlineStr">
        <is>
          <t>https://api.idescat.cat/taules/v2/pmh/1180/1063/mun/data?lang=ca&amp;MUN=431711&amp;SEX=TOTAL&amp;AGE=TOTAL</t>
        </is>
      </c>
    </row>
    <row r="10" ht="15" customHeight="1" s="39">
      <c r="A10" s="38" t="inlineStr">
        <is>
          <t>2008</t>
        </is>
      </c>
      <c r="B10" s="38" t="inlineStr">
        <is>
          <t>431711</t>
        </is>
      </c>
      <c r="C10" s="38" t="inlineStr">
        <is>
          <t>Vila-seca</t>
        </is>
      </c>
      <c r="D10" s="38" t="inlineStr">
        <is>
          <t>20039</t>
        </is>
      </c>
      <c r="E10" s="38" t="inlineStr">
        <is>
          <t>1063</t>
        </is>
      </c>
      <c r="F10" s="38" t="inlineStr">
        <is>
          <t>Idescat, a partir del Padró continu de l'INE.</t>
        </is>
      </c>
      <c r="G10" s="38" t="inlineStr">
        <is>
          <t>https://api.idescat.cat/taules/v2/pmh/1180/1063/mun/data?lang=ca&amp;MUN=431711&amp;SEX=TOTAL&amp;AGE=TOTAL</t>
        </is>
      </c>
    </row>
    <row r="11" ht="15" customHeight="1" s="39">
      <c r="A11" s="38" t="inlineStr">
        <is>
          <t>2009</t>
        </is>
      </c>
      <c r="B11" s="38" t="inlineStr">
        <is>
          <t>431711</t>
        </is>
      </c>
      <c r="C11" s="38" t="inlineStr">
        <is>
          <t>Vila-seca</t>
        </is>
      </c>
      <c r="D11" s="38" t="inlineStr">
        <is>
          <t>20866</t>
        </is>
      </c>
      <c r="E11" s="38" t="inlineStr">
        <is>
          <t>1063</t>
        </is>
      </c>
      <c r="F11" s="38" t="inlineStr">
        <is>
          <t>Idescat, a partir del Padró continu de l'INE.</t>
        </is>
      </c>
      <c r="G11" s="38" t="inlineStr">
        <is>
          <t>https://api.idescat.cat/taules/v2/pmh/1180/1063/mun/data?lang=ca&amp;MUN=431711&amp;SEX=TOTAL&amp;AGE=TOTAL</t>
        </is>
      </c>
    </row>
    <row r="12" ht="15" customHeight="1" s="39">
      <c r="A12" s="38" t="inlineStr">
        <is>
          <t>2010</t>
        </is>
      </c>
      <c r="B12" s="38" t="inlineStr">
        <is>
          <t>431711</t>
        </is>
      </c>
      <c r="C12" s="38" t="inlineStr">
        <is>
          <t>Vila-seca</t>
        </is>
      </c>
      <c r="D12" s="38" t="inlineStr">
        <is>
          <t>21373</t>
        </is>
      </c>
      <c r="E12" s="38" t="inlineStr">
        <is>
          <t>1063</t>
        </is>
      </c>
      <c r="F12" s="38" t="inlineStr">
        <is>
          <t>Idescat, a partir del Padró continu de l'INE.</t>
        </is>
      </c>
      <c r="G12" s="38" t="inlineStr">
        <is>
          <t>https://api.idescat.cat/taules/v2/pmh/1180/1063/mun/data?lang=ca&amp;MUN=431711&amp;SEX=TOTAL&amp;AGE=TOTAL</t>
        </is>
      </c>
    </row>
    <row r="13" ht="15" customHeight="1" s="39">
      <c r="A13" s="38" t="inlineStr">
        <is>
          <t>2011</t>
        </is>
      </c>
      <c r="B13" s="38" t="inlineStr">
        <is>
          <t>431711</t>
        </is>
      </c>
      <c r="C13" s="38" t="inlineStr">
        <is>
          <t>Vila-seca</t>
        </is>
      </c>
      <c r="D13" s="38" t="inlineStr">
        <is>
          <t>21839</t>
        </is>
      </c>
      <c r="E13" s="38" t="inlineStr">
        <is>
          <t>1063</t>
        </is>
      </c>
      <c r="F13" s="38" t="inlineStr">
        <is>
          <t>Idescat, a partir del Padró continu de l'INE.</t>
        </is>
      </c>
      <c r="G13" s="38" t="inlineStr">
        <is>
          <t>https://api.idescat.cat/taules/v2/pmh/1180/1063/mun/data?lang=ca&amp;MUN=431711&amp;SEX=TOTAL&amp;AGE=TOTAL</t>
        </is>
      </c>
    </row>
    <row r="14" ht="15" customHeight="1" s="39">
      <c r="A14" s="38" t="inlineStr">
        <is>
          <t>2012</t>
        </is>
      </c>
      <c r="B14" s="38" t="inlineStr">
        <is>
          <t>431711</t>
        </is>
      </c>
      <c r="C14" s="38" t="inlineStr">
        <is>
          <t>Vila-seca</t>
        </is>
      </c>
      <c r="D14" s="38" t="inlineStr">
        <is>
          <t>22052</t>
        </is>
      </c>
      <c r="E14" s="38" t="inlineStr">
        <is>
          <t>1063</t>
        </is>
      </c>
      <c r="F14" s="38" t="inlineStr">
        <is>
          <t>Idescat, a partir del Padró continu de l'INE.</t>
        </is>
      </c>
      <c r="G14" s="38" t="inlineStr">
        <is>
          <t>https://api.idescat.cat/taules/v2/pmh/1180/1063/mun/data?lang=ca&amp;MUN=431711&amp;SEX=TOTAL&amp;AGE=TOTAL</t>
        </is>
      </c>
    </row>
    <row r="15" ht="15" customHeight="1" s="39">
      <c r="A15" s="38" t="inlineStr">
        <is>
          <t>2013</t>
        </is>
      </c>
      <c r="B15" s="38" t="inlineStr">
        <is>
          <t>431711</t>
        </is>
      </c>
      <c r="C15" s="38" t="inlineStr">
        <is>
          <t>Vila-seca</t>
        </is>
      </c>
      <c r="D15" s="38" t="inlineStr">
        <is>
          <t>21689</t>
        </is>
      </c>
      <c r="E15" s="38" t="inlineStr">
        <is>
          <t>1063</t>
        </is>
      </c>
      <c r="F15" s="38" t="inlineStr">
        <is>
          <t>Idescat, a partir del Padró continu de l'INE.</t>
        </is>
      </c>
      <c r="G15" s="38" t="inlineStr">
        <is>
          <t>https://api.idescat.cat/taules/v2/pmh/1180/1063/mun/data?lang=ca&amp;MUN=431711&amp;SEX=TOTAL&amp;AGE=TOTAL</t>
        </is>
      </c>
    </row>
    <row r="16" ht="15" customHeight="1" s="39">
      <c r="A16" s="38" t="inlineStr">
        <is>
          <t>2014</t>
        </is>
      </c>
      <c r="B16" s="38" t="inlineStr">
        <is>
          <t>431711</t>
        </is>
      </c>
      <c r="C16" s="38" t="inlineStr">
        <is>
          <t>Vila-seca</t>
        </is>
      </c>
      <c r="D16" s="38" t="inlineStr">
        <is>
          <t>21923</t>
        </is>
      </c>
      <c r="E16" s="38" t="inlineStr">
        <is>
          <t>8078</t>
        </is>
      </c>
      <c r="F16" s="38" t="inlineStr">
        <is>
          <t>Idescat, a partir del Padró continu de l'INE.</t>
        </is>
      </c>
      <c r="G16" s="38" t="inlineStr">
        <is>
          <t>https://api.idescat.cat/taules/v2/pmh/1180/8078/mun/data?lang=ca&amp;MUN=431711&amp;SEX=TOTAL&amp;AGE=TOTAL</t>
        </is>
      </c>
    </row>
    <row r="17" ht="15" customHeight="1" s="39">
      <c r="A17" s="38" t="inlineStr">
        <is>
          <t>2015</t>
        </is>
      </c>
      <c r="B17" s="38" t="inlineStr">
        <is>
          <t>431711</t>
        </is>
      </c>
      <c r="C17" s="38" t="inlineStr">
        <is>
          <t>Vila-seca</t>
        </is>
      </c>
      <c r="D17" s="38" t="inlineStr">
        <is>
          <t>22332</t>
        </is>
      </c>
      <c r="E17" s="38" t="inlineStr">
        <is>
          <t>8078</t>
        </is>
      </c>
      <c r="F17" s="38" t="inlineStr">
        <is>
          <t>Idescat, a partir del Padró continu de l'INE.</t>
        </is>
      </c>
      <c r="G17" s="38" t="inlineStr">
        <is>
          <t>https://api.idescat.cat/taules/v2/pmh/1180/8078/mun/data?lang=ca&amp;MUN=431711&amp;SEX=TOTAL&amp;AGE=TOTAL</t>
        </is>
      </c>
    </row>
    <row r="18" ht="15" customHeight="1" s="39">
      <c r="A18" s="38" t="inlineStr">
        <is>
          <t>2016</t>
        </is>
      </c>
      <c r="B18" s="38" t="inlineStr">
        <is>
          <t>431711</t>
        </is>
      </c>
      <c r="C18" s="38" t="inlineStr">
        <is>
          <t>Vila-seca</t>
        </is>
      </c>
      <c r="D18" s="38" t="inlineStr">
        <is>
          <t>21935</t>
        </is>
      </c>
      <c r="E18" s="38" t="inlineStr">
        <is>
          <t>8078</t>
        </is>
      </c>
      <c r="F18" s="38" t="inlineStr">
        <is>
          <t>Idescat, a partir del Padró continu de l'INE.</t>
        </is>
      </c>
      <c r="G18" s="38" t="inlineStr">
        <is>
          <t>https://api.idescat.cat/taules/v2/pmh/1180/8078/mun/data?lang=ca&amp;MUN=431711&amp;SEX=TOTAL&amp;AGE=TOTAL</t>
        </is>
      </c>
    </row>
    <row r="19" ht="15" customHeight="1" s="39">
      <c r="A19" s="38" t="inlineStr">
        <is>
          <t>2017</t>
        </is>
      </c>
      <c r="B19" s="38" t="inlineStr">
        <is>
          <t>431711</t>
        </is>
      </c>
      <c r="C19" s="38" t="inlineStr">
        <is>
          <t>Vila-seca</t>
        </is>
      </c>
      <c r="D19" s="38" t="inlineStr">
        <is>
          <t>21993</t>
        </is>
      </c>
      <c r="E19" s="38" t="inlineStr">
        <is>
          <t>8078</t>
        </is>
      </c>
      <c r="F19" s="38" t="inlineStr">
        <is>
          <t>Idescat, a partir del Padró continu de l'INE.</t>
        </is>
      </c>
      <c r="G19" s="38" t="inlineStr">
        <is>
          <t>https://api.idescat.cat/taules/v2/pmh/1180/8078/mun/data?lang=ca&amp;MUN=431711&amp;SEX=TOTAL&amp;AGE=TOTAL</t>
        </is>
      </c>
    </row>
    <row r="20" ht="15" customHeight="1" s="39">
      <c r="A20" s="38" t="inlineStr">
        <is>
          <t>2018</t>
        </is>
      </c>
      <c r="B20" s="38" t="inlineStr">
        <is>
          <t>431711</t>
        </is>
      </c>
      <c r="C20" s="38" t="inlineStr">
        <is>
          <t>Vila-seca</t>
        </is>
      </c>
      <c r="D20" s="38" t="inlineStr">
        <is>
          <t>22107</t>
        </is>
      </c>
      <c r="E20" s="38" t="inlineStr">
        <is>
          <t>8078</t>
        </is>
      </c>
      <c r="F20" s="38" t="inlineStr">
        <is>
          <t>Idescat, a partir del Padró continu de l'INE.</t>
        </is>
      </c>
      <c r="G20" s="38" t="inlineStr">
        <is>
          <t>https://api.idescat.cat/taules/v2/pmh/1180/8078/mun/data?lang=ca&amp;MUN=431711&amp;SEX=TOTAL&amp;AGE=TOTAL</t>
        </is>
      </c>
    </row>
    <row r="21" ht="15" customHeight="1" s="39">
      <c r="A21" s="38" t="inlineStr">
        <is>
          <t>2019</t>
        </is>
      </c>
      <c r="B21" s="38" t="inlineStr">
        <is>
          <t>431711</t>
        </is>
      </c>
      <c r="C21" s="38" t="inlineStr">
        <is>
          <t>Vila-seca</t>
        </is>
      </c>
      <c r="D21" s="38" t="inlineStr">
        <is>
          <t>22187</t>
        </is>
      </c>
      <c r="E21" s="38" t="inlineStr">
        <is>
          <t>8078</t>
        </is>
      </c>
      <c r="F21" s="38" t="inlineStr">
        <is>
          <t>Idescat, a partir del Padró continu de l'INE.</t>
        </is>
      </c>
      <c r="G21" s="38" t="inlineStr">
        <is>
          <t>https://api.idescat.cat/taules/v2/pmh/1180/8078/mun/data?lang=ca&amp;MUN=431711&amp;SEX=TOTAL&amp;AGE=TOTAL</t>
        </is>
      </c>
    </row>
    <row r="22" ht="15" customHeight="1" s="39">
      <c r="A22" s="38" t="inlineStr">
        <is>
          <t>2020</t>
        </is>
      </c>
      <c r="B22" s="38" t="inlineStr">
        <is>
          <t>431711</t>
        </is>
      </c>
      <c r="C22" s="38" t="inlineStr">
        <is>
          <t>Vila-seca</t>
        </is>
      </c>
      <c r="D22" s="38" t="inlineStr">
        <is>
          <t>22555</t>
        </is>
      </c>
      <c r="E22" s="38" t="inlineStr">
        <is>
          <t>8078</t>
        </is>
      </c>
      <c r="F22" s="38" t="inlineStr">
        <is>
          <t>Idescat, a partir del Padró continu de l'INE.</t>
        </is>
      </c>
      <c r="G22" s="38" t="inlineStr">
        <is>
          <t>https://api.idescat.cat/taules/v2/pmh/1180/8078/mun/data?lang=ca&amp;MUN=431711&amp;SEX=TOTAL&amp;AGE=TOTAL</t>
        </is>
      </c>
    </row>
    <row r="23" ht="15" customHeight="1" s="39">
      <c r="A23" s="38" t="inlineStr">
        <is>
          <t>2021</t>
        </is>
      </c>
      <c r="B23" s="38" t="inlineStr">
        <is>
          <t>431711</t>
        </is>
      </c>
      <c r="C23" s="38" t="inlineStr">
        <is>
          <t>Vila-seca</t>
        </is>
      </c>
      <c r="D23" s="38" t="inlineStr">
        <is>
          <t>22522</t>
        </is>
      </c>
      <c r="E23" s="38" t="inlineStr">
        <is>
          <t>8078</t>
        </is>
      </c>
      <c r="F23" s="38" t="inlineStr">
        <is>
          <t>Idescat, a partir del Padró continu de l'INE.</t>
        </is>
      </c>
      <c r="G23" s="38" t="inlineStr">
        <is>
          <t>https://api.idescat.cat/taules/v2/pmh/1180/8078/mun/data?lang=ca&amp;MUN=431711&amp;SEX=TOTAL&amp;AGE=TOTAL</t>
        </is>
      </c>
    </row>
    <row r="24" ht="15" customHeight="1" s="39">
      <c r="A24" s="38" t="inlineStr">
        <is>
          <t>2022</t>
        </is>
      </c>
      <c r="B24" s="38" t="inlineStr">
        <is>
          <t>431711</t>
        </is>
      </c>
      <c r="C24" s="38" t="inlineStr">
        <is>
          <t>Vila-seca</t>
        </is>
      </c>
      <c r="D24" s="38" t="inlineStr">
        <is>
          <t>22681</t>
        </is>
      </c>
      <c r="E24" s="38" t="inlineStr">
        <is>
          <t>8078</t>
        </is>
      </c>
      <c r="F24" s="38" t="inlineStr">
        <is>
          <t>Idescat, a partir del Padró continu de l'INE.</t>
        </is>
      </c>
      <c r="G24" s="38" t="inlineStr">
        <is>
          <t>https://api.idescat.cat/taules/v2/pmh/1180/8078/mun/data?lang=ca&amp;MUN=431711&amp;SEX=TOTAL&amp;AGE=TOTAL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Any</t>
        </is>
      </c>
      <c r="B1" s="38" t="inlineStr">
        <is>
          <t>Població</t>
        </is>
      </c>
      <c r="C1" s="38" t="inlineStr">
        <is>
          <t>Canvi anual</t>
        </is>
      </c>
      <c r="D1" s="38" t="inlineStr">
        <is>
          <t>Canvi anual (%)</t>
        </is>
      </c>
      <c r="E1" s="38" t="inlineStr">
        <is>
          <t>Etiqueta biennal</t>
        </is>
      </c>
    </row>
    <row r="2" ht="15" customHeight="1" s="39">
      <c r="A2" s="38" t="n">
        <v>2000</v>
      </c>
      <c r="B2" s="38" t="n">
        <v>13133</v>
      </c>
      <c r="E2" s="38">
        <f>IF(OR(MOD(A2,2)=0,A2=2022),A2,"")</f>
        <v/>
      </c>
    </row>
    <row r="3" ht="15" customHeight="1" s="39">
      <c r="A3" s="38" t="n">
        <v>2001</v>
      </c>
      <c r="B3" s="38" t="n">
        <v>13420</v>
      </c>
      <c r="C3" s="38">
        <f>B3-B2</f>
        <v/>
      </c>
      <c r="D3" s="38">
        <f>IF(B2&gt;0,(B3/B2-1)*100,NA())</f>
        <v/>
      </c>
      <c r="E3" s="38">
        <f>IF(OR(MOD(A3,2)=0,A3=2022),A3,"")</f>
        <v/>
      </c>
    </row>
    <row r="4" ht="15" customHeight="1" s="39">
      <c r="A4" s="38" t="n">
        <v>2002</v>
      </c>
      <c r="B4" s="38" t="n">
        <v>13927</v>
      </c>
      <c r="C4" s="38">
        <f>B4-B3</f>
        <v/>
      </c>
      <c r="D4" s="38">
        <f>IF(B3&gt;0,(B4/B3-1)*100,NA())</f>
        <v/>
      </c>
      <c r="E4" s="38">
        <f>IF(OR(MOD(A4,2)=0,A4=2022),A4,"")</f>
        <v/>
      </c>
    </row>
    <row r="5" ht="15" customHeight="1" s="39">
      <c r="A5" s="38" t="n">
        <v>2003</v>
      </c>
      <c r="B5" s="38" t="n">
        <v>14377</v>
      </c>
      <c r="C5" s="38">
        <f>B5-B4</f>
        <v/>
      </c>
      <c r="D5" s="38">
        <f>IF(B4&gt;0,(B5/B4-1)*100,NA())</f>
        <v/>
      </c>
      <c r="E5" s="38">
        <f>IF(OR(MOD(A5,2)=0,A5=2022),A5,"")</f>
        <v/>
      </c>
    </row>
    <row r="6" ht="15" customHeight="1" s="39">
      <c r="A6" s="38" t="n">
        <v>2004</v>
      </c>
      <c r="B6" s="38" t="n">
        <v>14998</v>
      </c>
      <c r="C6" s="38">
        <f>B6-B5</f>
        <v/>
      </c>
      <c r="D6" s="38">
        <f>IF(B5&gt;0,(B6/B5-1)*100,NA())</f>
        <v/>
      </c>
      <c r="E6" s="38">
        <f>IF(OR(MOD(A6,2)=0,A6=2022),A6,"")</f>
        <v/>
      </c>
    </row>
    <row r="7" ht="15" customHeight="1" s="39">
      <c r="A7" s="38" t="n">
        <v>2005</v>
      </c>
      <c r="B7" s="38" t="n">
        <v>15875</v>
      </c>
      <c r="C7" s="38">
        <f>B7-B6</f>
        <v/>
      </c>
      <c r="D7" s="38">
        <f>IF(B6&gt;0,(B7/B6-1)*100,NA())</f>
        <v/>
      </c>
      <c r="E7" s="38">
        <f>IF(OR(MOD(A7,2)=0,A7=2022),A7,"")</f>
        <v/>
      </c>
    </row>
    <row r="8" ht="15" customHeight="1" s="39">
      <c r="A8" s="38" t="n">
        <v>2006</v>
      </c>
      <c r="B8" s="38" t="n">
        <v>17305</v>
      </c>
      <c r="C8" s="38">
        <f>B8-B7</f>
        <v/>
      </c>
      <c r="D8" s="38">
        <f>IF(B7&gt;0,(B8/B7-1)*100,NA())</f>
        <v/>
      </c>
      <c r="E8" s="38">
        <f>IF(OR(MOD(A8,2)=0,A8=2022),A8,"")</f>
        <v/>
      </c>
    </row>
    <row r="9" ht="15" customHeight="1" s="39">
      <c r="A9" s="38" t="n">
        <v>2007</v>
      </c>
      <c r="B9" s="38" t="n">
        <v>18678</v>
      </c>
      <c r="C9" s="38">
        <f>B9-B8</f>
        <v/>
      </c>
      <c r="D9" s="38">
        <f>IF(B8&gt;0,(B9/B8-1)*100,NA())</f>
        <v/>
      </c>
      <c r="E9" s="38">
        <f>IF(OR(MOD(A9,2)=0,A9=2022),A9,"")</f>
        <v/>
      </c>
    </row>
    <row r="10" ht="15" customHeight="1" s="39">
      <c r="A10" s="38" t="n">
        <v>2008</v>
      </c>
      <c r="B10" s="38" t="n">
        <v>20039</v>
      </c>
      <c r="C10" s="38">
        <f>B10-B9</f>
        <v/>
      </c>
      <c r="D10" s="38">
        <f>IF(B9&gt;0,(B10/B9-1)*100,NA())</f>
        <v/>
      </c>
      <c r="E10" s="38">
        <f>IF(OR(MOD(A10,2)=0,A10=2022),A10,"")</f>
        <v/>
      </c>
    </row>
    <row r="11" ht="15" customHeight="1" s="39">
      <c r="A11" s="38" t="n">
        <v>2009</v>
      </c>
      <c r="B11" s="38" t="n">
        <v>20866</v>
      </c>
      <c r="C11" s="38">
        <f>B11-B10</f>
        <v/>
      </c>
      <c r="D11" s="38">
        <f>IF(B10&gt;0,(B11/B10-1)*100,NA())</f>
        <v/>
      </c>
      <c r="E11" s="38">
        <f>IF(OR(MOD(A11,2)=0,A11=2022),A11,"")</f>
        <v/>
      </c>
    </row>
    <row r="12" ht="15" customHeight="1" s="39">
      <c r="A12" s="38" t="n">
        <v>2010</v>
      </c>
      <c r="B12" s="38" t="n">
        <v>21373</v>
      </c>
      <c r="C12" s="38">
        <f>B12-B11</f>
        <v/>
      </c>
      <c r="D12" s="38">
        <f>IF(B11&gt;0,(B12/B11-1)*100,NA())</f>
        <v/>
      </c>
      <c r="E12" s="38">
        <f>IF(OR(MOD(A12,2)=0,A12=2022),A12,"")</f>
        <v/>
      </c>
    </row>
    <row r="13" ht="15" customHeight="1" s="39">
      <c r="A13" s="38" t="n">
        <v>2011</v>
      </c>
      <c r="B13" s="38" t="n">
        <v>21839</v>
      </c>
      <c r="C13" s="38">
        <f>B13-B12</f>
        <v/>
      </c>
      <c r="D13" s="38">
        <f>IF(B12&gt;0,(B13/B12-1)*100,NA())</f>
        <v/>
      </c>
      <c r="E13" s="38">
        <f>IF(OR(MOD(A13,2)=0,A13=2022),A13,"")</f>
        <v/>
      </c>
    </row>
    <row r="14" ht="15" customHeight="1" s="39">
      <c r="A14" s="38" t="n">
        <v>2012</v>
      </c>
      <c r="B14" s="38" t="n">
        <v>22052</v>
      </c>
      <c r="C14" s="38">
        <f>B14-B13</f>
        <v/>
      </c>
      <c r="D14" s="38">
        <f>IF(B13&gt;0,(B14/B13-1)*100,NA())</f>
        <v/>
      </c>
      <c r="E14" s="38">
        <f>IF(OR(MOD(A14,2)=0,A14=2022),A14,"")</f>
        <v/>
      </c>
    </row>
    <row r="15" ht="15" customHeight="1" s="39">
      <c r="A15" s="38" t="n">
        <v>2013</v>
      </c>
      <c r="B15" s="38" t="n">
        <v>21689</v>
      </c>
      <c r="C15" s="38">
        <f>B15-B14</f>
        <v/>
      </c>
      <c r="D15" s="38">
        <f>IF(B14&gt;0,(B15/B14-1)*100,NA())</f>
        <v/>
      </c>
      <c r="E15" s="38">
        <f>IF(OR(MOD(A15,2)=0,A15=2022),A15,"")</f>
        <v/>
      </c>
    </row>
    <row r="16" ht="15" customHeight="1" s="39">
      <c r="A16" s="38" t="n">
        <v>2014</v>
      </c>
      <c r="B16" s="38" t="n">
        <v>21923</v>
      </c>
      <c r="C16" s="38">
        <f>B16-B15</f>
        <v/>
      </c>
      <c r="D16" s="38">
        <f>IF(B15&gt;0,(B16/B15-1)*100,NA())</f>
        <v/>
      </c>
      <c r="E16" s="38">
        <f>IF(OR(MOD(A16,2)=0,A16=2022),A16,"")</f>
        <v/>
      </c>
    </row>
    <row r="17" ht="15" customHeight="1" s="39">
      <c r="A17" s="38" t="n">
        <v>2015</v>
      </c>
      <c r="B17" s="38" t="n">
        <v>22332</v>
      </c>
      <c r="C17" s="38">
        <f>B17-B16</f>
        <v/>
      </c>
      <c r="D17" s="38">
        <f>IF(B16&gt;0,(B17/B16-1)*100,NA())</f>
        <v/>
      </c>
      <c r="E17" s="38">
        <f>IF(OR(MOD(A17,2)=0,A17=2022),A17,"")</f>
        <v/>
      </c>
    </row>
    <row r="18" ht="15" customHeight="1" s="39">
      <c r="A18" s="38" t="n">
        <v>2016</v>
      </c>
      <c r="B18" s="38" t="n">
        <v>21935</v>
      </c>
      <c r="C18" s="38">
        <f>B18-B17</f>
        <v/>
      </c>
      <c r="D18" s="38">
        <f>IF(B17&gt;0,(B18/B17-1)*100,NA())</f>
        <v/>
      </c>
      <c r="E18" s="38">
        <f>IF(OR(MOD(A18,2)=0,A18=2022),A18,"")</f>
        <v/>
      </c>
    </row>
    <row r="19" ht="15" customHeight="1" s="39">
      <c r="A19" s="38" t="n">
        <v>2017</v>
      </c>
      <c r="B19" s="38" t="n">
        <v>21993</v>
      </c>
      <c r="C19" s="38">
        <f>B19-B18</f>
        <v/>
      </c>
      <c r="D19" s="38">
        <f>IF(B18&gt;0,(B19/B18-1)*100,NA())</f>
        <v/>
      </c>
      <c r="E19" s="38">
        <f>IF(OR(MOD(A19,2)=0,A19=2022),A19,"")</f>
        <v/>
      </c>
    </row>
    <row r="20" ht="15" customHeight="1" s="39">
      <c r="A20" s="38" t="n">
        <v>2018</v>
      </c>
      <c r="B20" s="38" t="n">
        <v>22107</v>
      </c>
      <c r="C20" s="38">
        <f>B20-B19</f>
        <v/>
      </c>
      <c r="D20" s="38">
        <f>IF(B19&gt;0,(B20/B19-1)*100,NA())</f>
        <v/>
      </c>
      <c r="E20" s="38">
        <f>IF(OR(MOD(A20,2)=0,A20=2022),A20,"")</f>
        <v/>
      </c>
    </row>
    <row r="21" ht="15" customHeight="1" s="39">
      <c r="A21" s="38" t="n">
        <v>2019</v>
      </c>
      <c r="B21" s="38" t="n">
        <v>22187</v>
      </c>
      <c r="C21" s="38">
        <f>B21-B20</f>
        <v/>
      </c>
      <c r="D21" s="38">
        <f>IF(B20&gt;0,(B21/B20-1)*100,NA())</f>
        <v/>
      </c>
      <c r="E21" s="38">
        <f>IF(OR(MOD(A21,2)=0,A21=2022),A21,"")</f>
        <v/>
      </c>
    </row>
    <row r="22" ht="15" customHeight="1" s="39">
      <c r="A22" s="38" t="n">
        <v>2020</v>
      </c>
      <c r="B22" s="38" t="n">
        <v>22555</v>
      </c>
      <c r="C22" s="38">
        <f>B22-B21</f>
        <v/>
      </c>
      <c r="D22" s="38">
        <f>IF(B21&gt;0,(B22/B21-1)*100,NA())</f>
        <v/>
      </c>
      <c r="E22" s="38">
        <f>IF(OR(MOD(A22,2)=0,A22=2022),A22,"")</f>
        <v/>
      </c>
    </row>
    <row r="23" ht="15" customHeight="1" s="39">
      <c r="A23" s="38" t="n">
        <v>2021</v>
      </c>
      <c r="B23" s="38" t="n">
        <v>22522</v>
      </c>
      <c r="C23" s="38">
        <f>B23-B22</f>
        <v/>
      </c>
      <c r="D23" s="38">
        <f>IF(B22&gt;0,(B23/B22-1)*100,NA())</f>
        <v/>
      </c>
      <c r="E23" s="38">
        <f>IF(OR(MOD(A23,2)=0,A23=2022),A23,"")</f>
        <v/>
      </c>
    </row>
    <row r="24" ht="15" customHeight="1" s="39">
      <c r="A24" s="38" t="n">
        <v>2022</v>
      </c>
      <c r="B24" s="38" t="n">
        <v>22681</v>
      </c>
      <c r="C24" s="38">
        <f>B24-B23</f>
        <v/>
      </c>
      <c r="D24" s="38">
        <f>IF(B23&gt;0,(B24/B23-1)*100,NA())</f>
        <v/>
      </c>
      <c r="E24" s="38">
        <f>IF(OR(MOD(A24,2)=0,A24=2022),A24,"")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2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year</t>
        </is>
      </c>
      <c r="B1" s="38" t="inlineStr">
        <is>
          <t>municipality_code</t>
        </is>
      </c>
      <c r="C1" s="38" t="inlineStr">
        <is>
          <t>municipality</t>
        </is>
      </c>
      <c r="D1" s="38" t="inlineStr">
        <is>
          <t>age_code</t>
        </is>
      </c>
      <c r="E1" s="38" t="inlineStr">
        <is>
          <t>age_label</t>
        </is>
      </c>
      <c r="F1" s="38" t="inlineStr">
        <is>
          <t>age_years</t>
        </is>
      </c>
      <c r="G1" s="38" t="inlineStr">
        <is>
          <t>sex</t>
        </is>
      </c>
      <c r="H1" s="38" t="inlineStr">
        <is>
          <t>population</t>
        </is>
      </c>
      <c r="I1" s="38" t="inlineStr">
        <is>
          <t>source_url</t>
        </is>
      </c>
    </row>
    <row r="2" ht="15" customHeight="1" s="39">
      <c r="A2" s="38" t="inlineStr">
        <is>
          <t>2021</t>
        </is>
      </c>
      <c r="B2" s="38" t="inlineStr">
        <is>
          <t>431711</t>
        </is>
      </c>
      <c r="C2" s="38" t="inlineStr">
        <is>
          <t>Vila-seca</t>
        </is>
      </c>
      <c r="D2" s="38" t="inlineStr">
        <is>
          <t>Y000</t>
        </is>
      </c>
      <c r="E2" s="38" t="inlineStr">
        <is>
          <t>0 anys</t>
        </is>
      </c>
      <c r="F2" s="38" t="inlineStr">
        <is>
          <t>0</t>
        </is>
      </c>
      <c r="G2" s="38" t="inlineStr">
        <is>
          <t>M</t>
        </is>
      </c>
      <c r="H2" s="38" t="inlineStr">
        <is>
          <t>103</t>
        </is>
      </c>
      <c r="I2" s="38" t="inlineStr">
        <is>
          <t>https://api.idescat.cat/taules/v2/censph/10/5975/mun/data?lang=ca&amp;YEAR=2021&amp;MUN=431711&amp;SEX=M,F</t>
        </is>
      </c>
    </row>
    <row r="3" ht="15" customHeight="1" s="39">
      <c r="A3" s="38" t="inlineStr">
        <is>
          <t>2021</t>
        </is>
      </c>
      <c r="B3" s="38" t="inlineStr">
        <is>
          <t>431711</t>
        </is>
      </c>
      <c r="C3" s="38" t="inlineStr">
        <is>
          <t>Vila-seca</t>
        </is>
      </c>
      <c r="D3" s="38" t="inlineStr">
        <is>
          <t>Y000</t>
        </is>
      </c>
      <c r="E3" s="38" t="inlineStr">
        <is>
          <t>0 anys</t>
        </is>
      </c>
      <c r="F3" s="38" t="inlineStr">
        <is>
          <t>0</t>
        </is>
      </c>
      <c r="G3" s="38" t="inlineStr">
        <is>
          <t>F</t>
        </is>
      </c>
      <c r="H3" s="38" t="inlineStr">
        <is>
          <t>98</t>
        </is>
      </c>
      <c r="I3" s="38" t="inlineStr">
        <is>
          <t>https://api.idescat.cat/taules/v2/censph/10/5975/mun/data?lang=ca&amp;YEAR=2021&amp;MUN=431711&amp;SEX=M,F</t>
        </is>
      </c>
    </row>
    <row r="4" ht="15" customHeight="1" s="39">
      <c r="A4" s="38" t="inlineStr">
        <is>
          <t>2021</t>
        </is>
      </c>
      <c r="B4" s="38" t="inlineStr">
        <is>
          <t>431711</t>
        </is>
      </c>
      <c r="C4" s="38" t="inlineStr">
        <is>
          <t>Vila-seca</t>
        </is>
      </c>
      <c r="D4" s="38" t="inlineStr">
        <is>
          <t>Y001</t>
        </is>
      </c>
      <c r="E4" s="38" t="inlineStr">
        <is>
          <t>1 any</t>
        </is>
      </c>
      <c r="F4" s="38" t="inlineStr">
        <is>
          <t>1</t>
        </is>
      </c>
      <c r="G4" s="38" t="inlineStr">
        <is>
          <t>M</t>
        </is>
      </c>
      <c r="H4" s="38" t="inlineStr">
        <is>
          <t>113</t>
        </is>
      </c>
      <c r="I4" s="38" t="inlineStr">
        <is>
          <t>https://api.idescat.cat/taules/v2/censph/10/5975/mun/data?lang=ca&amp;YEAR=2021&amp;MUN=431711&amp;SEX=M,F</t>
        </is>
      </c>
    </row>
    <row r="5" ht="15" customHeight="1" s="39">
      <c r="A5" s="38" t="inlineStr">
        <is>
          <t>2021</t>
        </is>
      </c>
      <c r="B5" s="38" t="inlineStr">
        <is>
          <t>431711</t>
        </is>
      </c>
      <c r="C5" s="38" t="inlineStr">
        <is>
          <t>Vila-seca</t>
        </is>
      </c>
      <c r="D5" s="38" t="inlineStr">
        <is>
          <t>Y001</t>
        </is>
      </c>
      <c r="E5" s="38" t="inlineStr">
        <is>
          <t>1 any</t>
        </is>
      </c>
      <c r="F5" s="38" t="inlineStr">
        <is>
          <t>1</t>
        </is>
      </c>
      <c r="G5" s="38" t="inlineStr">
        <is>
          <t>F</t>
        </is>
      </c>
      <c r="H5" s="38" t="inlineStr">
        <is>
          <t>87</t>
        </is>
      </c>
      <c r="I5" s="38" t="inlineStr">
        <is>
          <t>https://api.idescat.cat/taules/v2/censph/10/5975/mun/data?lang=ca&amp;YEAR=2021&amp;MUN=431711&amp;SEX=M,F</t>
        </is>
      </c>
    </row>
    <row r="6" ht="15" customHeight="1" s="39">
      <c r="A6" s="38" t="inlineStr">
        <is>
          <t>2021</t>
        </is>
      </c>
      <c r="B6" s="38" t="inlineStr">
        <is>
          <t>431711</t>
        </is>
      </c>
      <c r="C6" s="38" t="inlineStr">
        <is>
          <t>Vila-seca</t>
        </is>
      </c>
      <c r="D6" s="38" t="inlineStr">
        <is>
          <t>Y002</t>
        </is>
      </c>
      <c r="E6" s="38" t="inlineStr">
        <is>
          <t>2 anys</t>
        </is>
      </c>
      <c r="F6" s="38" t="inlineStr">
        <is>
          <t>2</t>
        </is>
      </c>
      <c r="G6" s="38" t="inlineStr">
        <is>
          <t>M</t>
        </is>
      </c>
      <c r="H6" s="38" t="inlineStr">
        <is>
          <t>125</t>
        </is>
      </c>
      <c r="I6" s="38" t="inlineStr">
        <is>
          <t>https://api.idescat.cat/taules/v2/censph/10/5975/mun/data?lang=ca&amp;YEAR=2021&amp;MUN=431711&amp;SEX=M,F</t>
        </is>
      </c>
    </row>
    <row r="7" ht="15" customHeight="1" s="39">
      <c r="A7" s="38" t="inlineStr">
        <is>
          <t>2021</t>
        </is>
      </c>
      <c r="B7" s="38" t="inlineStr">
        <is>
          <t>431711</t>
        </is>
      </c>
      <c r="C7" s="38" t="inlineStr">
        <is>
          <t>Vila-seca</t>
        </is>
      </c>
      <c r="D7" s="38" t="inlineStr">
        <is>
          <t>Y002</t>
        </is>
      </c>
      <c r="E7" s="38" t="inlineStr">
        <is>
          <t>2 anys</t>
        </is>
      </c>
      <c r="F7" s="38" t="inlineStr">
        <is>
          <t>2</t>
        </is>
      </c>
      <c r="G7" s="38" t="inlineStr">
        <is>
          <t>F</t>
        </is>
      </c>
      <c r="H7" s="38" t="inlineStr">
        <is>
          <t>116</t>
        </is>
      </c>
      <c r="I7" s="38" t="inlineStr">
        <is>
          <t>https://api.idescat.cat/taules/v2/censph/10/5975/mun/data?lang=ca&amp;YEAR=2021&amp;MUN=431711&amp;SEX=M,F</t>
        </is>
      </c>
    </row>
    <row r="8" ht="15" customHeight="1" s="39">
      <c r="A8" s="38" t="inlineStr">
        <is>
          <t>2021</t>
        </is>
      </c>
      <c r="B8" s="38" t="inlineStr">
        <is>
          <t>431711</t>
        </is>
      </c>
      <c r="C8" s="38" t="inlineStr">
        <is>
          <t>Vila-seca</t>
        </is>
      </c>
      <c r="D8" s="38" t="inlineStr">
        <is>
          <t>Y003</t>
        </is>
      </c>
      <c r="E8" s="38" t="inlineStr">
        <is>
          <t>3 anys</t>
        </is>
      </c>
      <c r="F8" s="38" t="inlineStr">
        <is>
          <t>3</t>
        </is>
      </c>
      <c r="G8" s="38" t="inlineStr">
        <is>
          <t>M</t>
        </is>
      </c>
      <c r="H8" s="38" t="inlineStr">
        <is>
          <t>127</t>
        </is>
      </c>
      <c r="I8" s="38" t="inlineStr">
        <is>
          <t>https://api.idescat.cat/taules/v2/censph/10/5975/mun/data?lang=ca&amp;YEAR=2021&amp;MUN=431711&amp;SEX=M,F</t>
        </is>
      </c>
    </row>
    <row r="9" ht="15" customHeight="1" s="39">
      <c r="A9" s="38" t="inlineStr">
        <is>
          <t>2021</t>
        </is>
      </c>
      <c r="B9" s="38" t="inlineStr">
        <is>
          <t>431711</t>
        </is>
      </c>
      <c r="C9" s="38" t="inlineStr">
        <is>
          <t>Vila-seca</t>
        </is>
      </c>
      <c r="D9" s="38" t="inlineStr">
        <is>
          <t>Y003</t>
        </is>
      </c>
      <c r="E9" s="38" t="inlineStr">
        <is>
          <t>3 anys</t>
        </is>
      </c>
      <c r="F9" s="38" t="inlineStr">
        <is>
          <t>3</t>
        </is>
      </c>
      <c r="G9" s="38" t="inlineStr">
        <is>
          <t>F</t>
        </is>
      </c>
      <c r="H9" s="38" t="inlineStr">
        <is>
          <t>124</t>
        </is>
      </c>
      <c r="I9" s="38" t="inlineStr">
        <is>
          <t>https://api.idescat.cat/taules/v2/censph/10/5975/mun/data?lang=ca&amp;YEAR=2021&amp;MUN=431711&amp;SEX=M,F</t>
        </is>
      </c>
    </row>
    <row r="10" ht="15" customHeight="1" s="39">
      <c r="A10" s="38" t="inlineStr">
        <is>
          <t>2021</t>
        </is>
      </c>
      <c r="B10" s="38" t="inlineStr">
        <is>
          <t>431711</t>
        </is>
      </c>
      <c r="C10" s="38" t="inlineStr">
        <is>
          <t>Vila-seca</t>
        </is>
      </c>
      <c r="D10" s="38" t="inlineStr">
        <is>
          <t>Y004</t>
        </is>
      </c>
      <c r="E10" s="38" t="inlineStr">
        <is>
          <t>4 anys</t>
        </is>
      </c>
      <c r="F10" s="38" t="inlineStr">
        <is>
          <t>4</t>
        </is>
      </c>
      <c r="G10" s="38" t="inlineStr">
        <is>
          <t>M</t>
        </is>
      </c>
      <c r="H10" s="38" t="inlineStr">
        <is>
          <t>133</t>
        </is>
      </c>
      <c r="I10" s="38" t="inlineStr">
        <is>
          <t>https://api.idescat.cat/taules/v2/censph/10/5975/mun/data?lang=ca&amp;YEAR=2021&amp;MUN=431711&amp;SEX=M,F</t>
        </is>
      </c>
    </row>
    <row r="11" ht="15" customHeight="1" s="39">
      <c r="A11" s="38" t="inlineStr">
        <is>
          <t>2021</t>
        </is>
      </c>
      <c r="B11" s="38" t="inlineStr">
        <is>
          <t>431711</t>
        </is>
      </c>
      <c r="C11" s="38" t="inlineStr">
        <is>
          <t>Vila-seca</t>
        </is>
      </c>
      <c r="D11" s="38" t="inlineStr">
        <is>
          <t>Y004</t>
        </is>
      </c>
      <c r="E11" s="38" t="inlineStr">
        <is>
          <t>4 anys</t>
        </is>
      </c>
      <c r="F11" s="38" t="inlineStr">
        <is>
          <t>4</t>
        </is>
      </c>
      <c r="G11" s="38" t="inlineStr">
        <is>
          <t>F</t>
        </is>
      </c>
      <c r="H11" s="38" t="inlineStr">
        <is>
          <t>134</t>
        </is>
      </c>
      <c r="I11" s="38" t="inlineStr">
        <is>
          <t>https://api.idescat.cat/taules/v2/censph/10/5975/mun/data?lang=ca&amp;YEAR=2021&amp;MUN=431711&amp;SEX=M,F</t>
        </is>
      </c>
    </row>
    <row r="12" ht="15" customHeight="1" s="39">
      <c r="A12" s="38" t="inlineStr">
        <is>
          <t>2021</t>
        </is>
      </c>
      <c r="B12" s="38" t="inlineStr">
        <is>
          <t>431711</t>
        </is>
      </c>
      <c r="C12" s="38" t="inlineStr">
        <is>
          <t>Vila-seca</t>
        </is>
      </c>
      <c r="D12" s="38" t="inlineStr">
        <is>
          <t>Y005</t>
        </is>
      </c>
      <c r="E12" s="38" t="inlineStr">
        <is>
          <t>5 anys</t>
        </is>
      </c>
      <c r="F12" s="38" t="inlineStr">
        <is>
          <t>5</t>
        </is>
      </c>
      <c r="G12" s="38" t="inlineStr">
        <is>
          <t>M</t>
        </is>
      </c>
      <c r="H12" s="38" t="inlineStr">
        <is>
          <t>138</t>
        </is>
      </c>
      <c r="I12" s="38" t="inlineStr">
        <is>
          <t>https://api.idescat.cat/taules/v2/censph/10/5975/mun/data?lang=ca&amp;YEAR=2021&amp;MUN=431711&amp;SEX=M,F</t>
        </is>
      </c>
    </row>
    <row r="13" ht="15" customHeight="1" s="39">
      <c r="A13" s="38" t="inlineStr">
        <is>
          <t>2021</t>
        </is>
      </c>
      <c r="B13" s="38" t="inlineStr">
        <is>
          <t>431711</t>
        </is>
      </c>
      <c r="C13" s="38" t="inlineStr">
        <is>
          <t>Vila-seca</t>
        </is>
      </c>
      <c r="D13" s="38" t="inlineStr">
        <is>
          <t>Y005</t>
        </is>
      </c>
      <c r="E13" s="38" t="inlineStr">
        <is>
          <t>5 anys</t>
        </is>
      </c>
      <c r="F13" s="38" t="inlineStr">
        <is>
          <t>5</t>
        </is>
      </c>
      <c r="G13" s="38" t="inlineStr">
        <is>
          <t>F</t>
        </is>
      </c>
      <c r="H13" s="38" t="inlineStr">
        <is>
          <t>159</t>
        </is>
      </c>
      <c r="I13" s="38" t="inlineStr">
        <is>
          <t>https://api.idescat.cat/taules/v2/censph/10/5975/mun/data?lang=ca&amp;YEAR=2021&amp;MUN=431711&amp;SEX=M,F</t>
        </is>
      </c>
    </row>
    <row r="14" ht="15" customHeight="1" s="39">
      <c r="A14" s="38" t="inlineStr">
        <is>
          <t>2021</t>
        </is>
      </c>
      <c r="B14" s="38" t="inlineStr">
        <is>
          <t>431711</t>
        </is>
      </c>
      <c r="C14" s="38" t="inlineStr">
        <is>
          <t>Vila-seca</t>
        </is>
      </c>
      <c r="D14" s="38" t="inlineStr">
        <is>
          <t>Y006</t>
        </is>
      </c>
      <c r="E14" s="38" t="inlineStr">
        <is>
          <t>6 anys</t>
        </is>
      </c>
      <c r="F14" s="38" t="inlineStr">
        <is>
          <t>6</t>
        </is>
      </c>
      <c r="G14" s="38" t="inlineStr">
        <is>
          <t>M</t>
        </is>
      </c>
      <c r="H14" s="38" t="inlineStr">
        <is>
          <t>183</t>
        </is>
      </c>
      <c r="I14" s="38" t="inlineStr">
        <is>
          <t>https://api.idescat.cat/taules/v2/censph/10/5975/mun/data?lang=ca&amp;YEAR=2021&amp;MUN=431711&amp;SEX=M,F</t>
        </is>
      </c>
    </row>
    <row r="15" ht="15" customHeight="1" s="39">
      <c r="A15" s="38" t="inlineStr">
        <is>
          <t>2021</t>
        </is>
      </c>
      <c r="B15" s="38" t="inlineStr">
        <is>
          <t>431711</t>
        </is>
      </c>
      <c r="C15" s="38" t="inlineStr">
        <is>
          <t>Vila-seca</t>
        </is>
      </c>
      <c r="D15" s="38" t="inlineStr">
        <is>
          <t>Y006</t>
        </is>
      </c>
      <c r="E15" s="38" t="inlineStr">
        <is>
          <t>6 anys</t>
        </is>
      </c>
      <c r="F15" s="38" t="inlineStr">
        <is>
          <t>6</t>
        </is>
      </c>
      <c r="G15" s="38" t="inlineStr">
        <is>
          <t>F</t>
        </is>
      </c>
      <c r="H15" s="38" t="inlineStr">
        <is>
          <t>150.0</t>
        </is>
      </c>
      <c r="I15" s="38" t="inlineStr">
        <is>
          <t>https://api.idescat.cat/taules/v2/censph/10/5975/mun/data?lang=ca&amp;YEAR=2021&amp;MUN=431711&amp;SEX=M,F</t>
        </is>
      </c>
    </row>
    <row r="16" ht="15" customHeight="1" s="39">
      <c r="A16" s="38" t="inlineStr">
        <is>
          <t>2021</t>
        </is>
      </c>
      <c r="B16" s="38" t="inlineStr">
        <is>
          <t>431711</t>
        </is>
      </c>
      <c r="C16" s="38" t="inlineStr">
        <is>
          <t>Vila-seca</t>
        </is>
      </c>
      <c r="D16" s="38" t="inlineStr">
        <is>
          <t>Y007</t>
        </is>
      </c>
      <c r="E16" s="38" t="inlineStr">
        <is>
          <t>7 anys</t>
        </is>
      </c>
      <c r="F16" s="38" t="inlineStr">
        <is>
          <t>7</t>
        </is>
      </c>
      <c r="G16" s="38" t="inlineStr">
        <is>
          <t>M</t>
        </is>
      </c>
      <c r="H16" s="38" t="inlineStr">
        <is>
          <t>155</t>
        </is>
      </c>
      <c r="I16" s="38" t="inlineStr">
        <is>
          <t>https://api.idescat.cat/taules/v2/censph/10/5975/mun/data?lang=ca&amp;YEAR=2021&amp;MUN=431711&amp;SEX=M,F</t>
        </is>
      </c>
    </row>
    <row r="17" ht="15" customHeight="1" s="39">
      <c r="A17" s="38" t="inlineStr">
        <is>
          <t>2021</t>
        </is>
      </c>
      <c r="B17" s="38" t="inlineStr">
        <is>
          <t>431711</t>
        </is>
      </c>
      <c r="C17" s="38" t="inlineStr">
        <is>
          <t>Vila-seca</t>
        </is>
      </c>
      <c r="D17" s="38" t="inlineStr">
        <is>
          <t>Y007</t>
        </is>
      </c>
      <c r="E17" s="38" t="inlineStr">
        <is>
          <t>7 anys</t>
        </is>
      </c>
      <c r="F17" s="38" t="inlineStr">
        <is>
          <t>7</t>
        </is>
      </c>
      <c r="G17" s="38" t="inlineStr">
        <is>
          <t>F</t>
        </is>
      </c>
      <c r="H17" s="38" t="inlineStr">
        <is>
          <t>142</t>
        </is>
      </c>
      <c r="I17" s="38" t="inlineStr">
        <is>
          <t>https://api.idescat.cat/taules/v2/censph/10/5975/mun/data?lang=ca&amp;YEAR=2021&amp;MUN=431711&amp;SEX=M,F</t>
        </is>
      </c>
    </row>
    <row r="18" ht="15" customHeight="1" s="39">
      <c r="A18" s="38" t="inlineStr">
        <is>
          <t>2021</t>
        </is>
      </c>
      <c r="B18" s="38" t="inlineStr">
        <is>
          <t>431711</t>
        </is>
      </c>
      <c r="C18" s="38" t="inlineStr">
        <is>
          <t>Vila-seca</t>
        </is>
      </c>
      <c r="D18" s="38" t="inlineStr">
        <is>
          <t>Y008</t>
        </is>
      </c>
      <c r="E18" s="38" t="inlineStr">
        <is>
          <t>8 anys</t>
        </is>
      </c>
      <c r="F18" s="38" t="inlineStr">
        <is>
          <t>8</t>
        </is>
      </c>
      <c r="G18" s="38" t="inlineStr">
        <is>
          <t>M</t>
        </is>
      </c>
      <c r="H18" s="38" t="inlineStr">
        <is>
          <t>134</t>
        </is>
      </c>
      <c r="I18" s="38" t="inlineStr">
        <is>
          <t>https://api.idescat.cat/taules/v2/censph/10/5975/mun/data?lang=ca&amp;YEAR=2021&amp;MUN=431711&amp;SEX=M,F</t>
        </is>
      </c>
    </row>
    <row r="19" ht="15" customHeight="1" s="39">
      <c r="A19" s="38" t="inlineStr">
        <is>
          <t>2021</t>
        </is>
      </c>
      <c r="B19" s="38" t="inlineStr">
        <is>
          <t>431711</t>
        </is>
      </c>
      <c r="C19" s="38" t="inlineStr">
        <is>
          <t>Vila-seca</t>
        </is>
      </c>
      <c r="D19" s="38" t="inlineStr">
        <is>
          <t>Y008</t>
        </is>
      </c>
      <c r="E19" s="38" t="inlineStr">
        <is>
          <t>8 anys</t>
        </is>
      </c>
      <c r="F19" s="38" t="inlineStr">
        <is>
          <t>8</t>
        </is>
      </c>
      <c r="G19" s="38" t="inlineStr">
        <is>
          <t>F</t>
        </is>
      </c>
      <c r="H19" s="38" t="inlineStr">
        <is>
          <t>138</t>
        </is>
      </c>
      <c r="I19" s="38" t="inlineStr">
        <is>
          <t>https://api.idescat.cat/taules/v2/censph/10/5975/mun/data?lang=ca&amp;YEAR=2021&amp;MUN=431711&amp;SEX=M,F</t>
        </is>
      </c>
    </row>
    <row r="20" ht="15" customHeight="1" s="39">
      <c r="A20" s="38" t="inlineStr">
        <is>
          <t>2021</t>
        </is>
      </c>
      <c r="B20" s="38" t="inlineStr">
        <is>
          <t>431711</t>
        </is>
      </c>
      <c r="C20" s="38" t="inlineStr">
        <is>
          <t>Vila-seca</t>
        </is>
      </c>
      <c r="D20" s="38" t="inlineStr">
        <is>
          <t>Y009</t>
        </is>
      </c>
      <c r="E20" s="38" t="inlineStr">
        <is>
          <t>9 anys</t>
        </is>
      </c>
      <c r="F20" s="38" t="inlineStr">
        <is>
          <t>9</t>
        </is>
      </c>
      <c r="G20" s="38" t="inlineStr">
        <is>
          <t>M</t>
        </is>
      </c>
      <c r="H20" s="38" t="inlineStr">
        <is>
          <t>170.0</t>
        </is>
      </c>
      <c r="I20" s="38" t="inlineStr">
        <is>
          <t>https://api.idescat.cat/taules/v2/censph/10/5975/mun/data?lang=ca&amp;YEAR=2021&amp;MUN=431711&amp;SEX=M,F</t>
        </is>
      </c>
    </row>
    <row r="21" ht="15" customHeight="1" s="39">
      <c r="A21" s="38" t="inlineStr">
        <is>
          <t>2021</t>
        </is>
      </c>
      <c r="B21" s="38" t="inlineStr">
        <is>
          <t>431711</t>
        </is>
      </c>
      <c r="C21" s="38" t="inlineStr">
        <is>
          <t>Vila-seca</t>
        </is>
      </c>
      <c r="D21" s="38" t="inlineStr">
        <is>
          <t>Y009</t>
        </is>
      </c>
      <c r="E21" s="38" t="inlineStr">
        <is>
          <t>9 anys</t>
        </is>
      </c>
      <c r="F21" s="38" t="inlineStr">
        <is>
          <t>9</t>
        </is>
      </c>
      <c r="G21" s="38" t="inlineStr">
        <is>
          <t>F</t>
        </is>
      </c>
      <c r="H21" s="38" t="inlineStr">
        <is>
          <t>146</t>
        </is>
      </c>
      <c r="I21" s="38" t="inlineStr">
        <is>
          <t>https://api.idescat.cat/taules/v2/censph/10/5975/mun/data?lang=ca&amp;YEAR=2021&amp;MUN=431711&amp;SEX=M,F</t>
        </is>
      </c>
    </row>
    <row r="22" ht="15" customHeight="1" s="39">
      <c r="A22" s="38" t="inlineStr">
        <is>
          <t>2021</t>
        </is>
      </c>
      <c r="B22" s="38" t="inlineStr">
        <is>
          <t>431711</t>
        </is>
      </c>
      <c r="C22" s="38" t="inlineStr">
        <is>
          <t>Vila-seca</t>
        </is>
      </c>
      <c r="D22" s="38" t="inlineStr">
        <is>
          <t>Y010</t>
        </is>
      </c>
      <c r="E22" s="38" t="inlineStr">
        <is>
          <t>10 anys</t>
        </is>
      </c>
      <c r="F22" s="38" t="inlineStr">
        <is>
          <t>10</t>
        </is>
      </c>
      <c r="G22" s="38" t="inlineStr">
        <is>
          <t>M</t>
        </is>
      </c>
      <c r="H22" s="38" t="inlineStr">
        <is>
          <t>159</t>
        </is>
      </c>
      <c r="I22" s="38" t="inlineStr">
        <is>
          <t>https://api.idescat.cat/taules/v2/censph/10/5975/mun/data?lang=ca&amp;YEAR=2021&amp;MUN=431711&amp;SEX=M,F</t>
        </is>
      </c>
    </row>
    <row r="23" ht="15" customHeight="1" s="39">
      <c r="A23" s="38" t="inlineStr">
        <is>
          <t>2021</t>
        </is>
      </c>
      <c r="B23" s="38" t="inlineStr">
        <is>
          <t>431711</t>
        </is>
      </c>
      <c r="C23" s="38" t="inlineStr">
        <is>
          <t>Vila-seca</t>
        </is>
      </c>
      <c r="D23" s="38" t="inlineStr">
        <is>
          <t>Y010</t>
        </is>
      </c>
      <c r="E23" s="38" t="inlineStr">
        <is>
          <t>10 anys</t>
        </is>
      </c>
      <c r="F23" s="38" t="inlineStr">
        <is>
          <t>10</t>
        </is>
      </c>
      <c r="G23" s="38" t="inlineStr">
        <is>
          <t>F</t>
        </is>
      </c>
      <c r="H23" s="38" t="inlineStr">
        <is>
          <t>153</t>
        </is>
      </c>
      <c r="I23" s="38" t="inlineStr">
        <is>
          <t>https://api.idescat.cat/taules/v2/censph/10/5975/mun/data?lang=ca&amp;YEAR=2021&amp;MUN=431711&amp;SEX=M,F</t>
        </is>
      </c>
    </row>
    <row r="24" ht="15" customHeight="1" s="39">
      <c r="A24" s="38" t="inlineStr">
        <is>
          <t>2021</t>
        </is>
      </c>
      <c r="B24" s="38" t="inlineStr">
        <is>
          <t>431711</t>
        </is>
      </c>
      <c r="C24" s="38" t="inlineStr">
        <is>
          <t>Vila-seca</t>
        </is>
      </c>
      <c r="D24" s="38" t="inlineStr">
        <is>
          <t>Y011</t>
        </is>
      </c>
      <c r="E24" s="38" t="inlineStr">
        <is>
          <t>11 anys</t>
        </is>
      </c>
      <c r="F24" s="38" t="inlineStr">
        <is>
          <t>11</t>
        </is>
      </c>
      <c r="G24" s="38" t="inlineStr">
        <is>
          <t>M</t>
        </is>
      </c>
      <c r="H24" s="38" t="inlineStr">
        <is>
          <t>170.0</t>
        </is>
      </c>
      <c r="I24" s="38" t="inlineStr">
        <is>
          <t>https://api.idescat.cat/taules/v2/censph/10/5975/mun/data?lang=ca&amp;YEAR=2021&amp;MUN=431711&amp;SEX=M,F</t>
        </is>
      </c>
    </row>
    <row r="25" ht="15" customHeight="1" s="39">
      <c r="A25" s="38" t="inlineStr">
        <is>
          <t>2021</t>
        </is>
      </c>
      <c r="B25" s="38" t="inlineStr">
        <is>
          <t>431711</t>
        </is>
      </c>
      <c r="C25" s="38" t="inlineStr">
        <is>
          <t>Vila-seca</t>
        </is>
      </c>
      <c r="D25" s="38" t="inlineStr">
        <is>
          <t>Y011</t>
        </is>
      </c>
      <c r="E25" s="38" t="inlineStr">
        <is>
          <t>11 anys</t>
        </is>
      </c>
      <c r="F25" s="38" t="inlineStr">
        <is>
          <t>11</t>
        </is>
      </c>
      <c r="G25" s="38" t="inlineStr">
        <is>
          <t>F</t>
        </is>
      </c>
      <c r="H25" s="38" t="inlineStr">
        <is>
          <t>147</t>
        </is>
      </c>
      <c r="I25" s="38" t="inlineStr">
        <is>
          <t>https://api.idescat.cat/taules/v2/censph/10/5975/mun/data?lang=ca&amp;YEAR=2021&amp;MUN=431711&amp;SEX=M,F</t>
        </is>
      </c>
    </row>
    <row r="26" ht="15" customHeight="1" s="39">
      <c r="A26" s="38" t="inlineStr">
        <is>
          <t>2021</t>
        </is>
      </c>
      <c r="B26" s="38" t="inlineStr">
        <is>
          <t>431711</t>
        </is>
      </c>
      <c r="C26" s="38" t="inlineStr">
        <is>
          <t>Vila-seca</t>
        </is>
      </c>
      <c r="D26" s="38" t="inlineStr">
        <is>
          <t>Y012</t>
        </is>
      </c>
      <c r="E26" s="38" t="inlineStr">
        <is>
          <t>12 anys</t>
        </is>
      </c>
      <c r="F26" s="38" t="inlineStr">
        <is>
          <t>12</t>
        </is>
      </c>
      <c r="G26" s="38" t="inlineStr">
        <is>
          <t>M</t>
        </is>
      </c>
      <c r="H26" s="38" t="inlineStr">
        <is>
          <t>171</t>
        </is>
      </c>
      <c r="I26" s="38" t="inlineStr">
        <is>
          <t>https://api.idescat.cat/taules/v2/censph/10/5975/mun/data?lang=ca&amp;YEAR=2021&amp;MUN=431711&amp;SEX=M,F</t>
        </is>
      </c>
    </row>
    <row r="27" ht="15" customHeight="1" s="39">
      <c r="A27" s="38" t="inlineStr">
        <is>
          <t>2021</t>
        </is>
      </c>
      <c r="B27" s="38" t="inlineStr">
        <is>
          <t>431711</t>
        </is>
      </c>
      <c r="C27" s="38" t="inlineStr">
        <is>
          <t>Vila-seca</t>
        </is>
      </c>
      <c r="D27" s="38" t="inlineStr">
        <is>
          <t>Y012</t>
        </is>
      </c>
      <c r="E27" s="38" t="inlineStr">
        <is>
          <t>12 anys</t>
        </is>
      </c>
      <c r="F27" s="38" t="inlineStr">
        <is>
          <t>12</t>
        </is>
      </c>
      <c r="G27" s="38" t="inlineStr">
        <is>
          <t>F</t>
        </is>
      </c>
      <c r="H27" s="38" t="inlineStr">
        <is>
          <t>152</t>
        </is>
      </c>
      <c r="I27" s="38" t="inlineStr">
        <is>
          <t>https://api.idescat.cat/taules/v2/censph/10/5975/mun/data?lang=ca&amp;YEAR=2021&amp;MUN=431711&amp;SEX=M,F</t>
        </is>
      </c>
    </row>
    <row r="28" ht="15" customHeight="1" s="39">
      <c r="A28" s="38" t="inlineStr">
        <is>
          <t>2021</t>
        </is>
      </c>
      <c r="B28" s="38" t="inlineStr">
        <is>
          <t>431711</t>
        </is>
      </c>
      <c r="C28" s="38" t="inlineStr">
        <is>
          <t>Vila-seca</t>
        </is>
      </c>
      <c r="D28" s="38" t="inlineStr">
        <is>
          <t>Y013</t>
        </is>
      </c>
      <c r="E28" s="38" t="inlineStr">
        <is>
          <t>13 anys</t>
        </is>
      </c>
      <c r="F28" s="38" t="inlineStr">
        <is>
          <t>13</t>
        </is>
      </c>
      <c r="G28" s="38" t="inlineStr">
        <is>
          <t>M</t>
        </is>
      </c>
      <c r="H28" s="38" t="inlineStr">
        <is>
          <t>127</t>
        </is>
      </c>
      <c r="I28" s="38" t="inlineStr">
        <is>
          <t>https://api.idescat.cat/taules/v2/censph/10/5975/mun/data?lang=ca&amp;YEAR=2021&amp;MUN=431711&amp;SEX=M,F</t>
        </is>
      </c>
    </row>
    <row r="29" ht="15" customHeight="1" s="39">
      <c r="A29" s="38" t="inlineStr">
        <is>
          <t>2021</t>
        </is>
      </c>
      <c r="B29" s="38" t="inlineStr">
        <is>
          <t>431711</t>
        </is>
      </c>
      <c r="C29" s="38" t="inlineStr">
        <is>
          <t>Vila-seca</t>
        </is>
      </c>
      <c r="D29" s="38" t="inlineStr">
        <is>
          <t>Y013</t>
        </is>
      </c>
      <c r="E29" s="38" t="inlineStr">
        <is>
          <t>13 anys</t>
        </is>
      </c>
      <c r="F29" s="38" t="inlineStr">
        <is>
          <t>13</t>
        </is>
      </c>
      <c r="G29" s="38" t="inlineStr">
        <is>
          <t>F</t>
        </is>
      </c>
      <c r="H29" s="38" t="inlineStr">
        <is>
          <t>124</t>
        </is>
      </c>
      <c r="I29" s="38" t="inlineStr">
        <is>
          <t>https://api.idescat.cat/taules/v2/censph/10/5975/mun/data?lang=ca&amp;YEAR=2021&amp;MUN=431711&amp;SEX=M,F</t>
        </is>
      </c>
    </row>
    <row r="30" ht="15" customHeight="1" s="39">
      <c r="A30" s="38" t="inlineStr">
        <is>
          <t>2021</t>
        </is>
      </c>
      <c r="B30" s="38" t="inlineStr">
        <is>
          <t>431711</t>
        </is>
      </c>
      <c r="C30" s="38" t="inlineStr">
        <is>
          <t>Vila-seca</t>
        </is>
      </c>
      <c r="D30" s="38" t="inlineStr">
        <is>
          <t>Y014</t>
        </is>
      </c>
      <c r="E30" s="38" t="inlineStr">
        <is>
          <t>14 anys</t>
        </is>
      </c>
      <c r="F30" s="38" t="inlineStr">
        <is>
          <t>14</t>
        </is>
      </c>
      <c r="G30" s="38" t="inlineStr">
        <is>
          <t>M</t>
        </is>
      </c>
      <c r="H30" s="38" t="inlineStr">
        <is>
          <t>142</t>
        </is>
      </c>
      <c r="I30" s="38" t="inlineStr">
        <is>
          <t>https://api.idescat.cat/taules/v2/censph/10/5975/mun/data?lang=ca&amp;YEAR=2021&amp;MUN=431711&amp;SEX=M,F</t>
        </is>
      </c>
    </row>
    <row r="31" ht="15" customHeight="1" s="39">
      <c r="A31" s="38" t="inlineStr">
        <is>
          <t>2021</t>
        </is>
      </c>
      <c r="B31" s="38" t="inlineStr">
        <is>
          <t>431711</t>
        </is>
      </c>
      <c r="C31" s="38" t="inlineStr">
        <is>
          <t>Vila-seca</t>
        </is>
      </c>
      <c r="D31" s="38" t="inlineStr">
        <is>
          <t>Y014</t>
        </is>
      </c>
      <c r="E31" s="38" t="inlineStr">
        <is>
          <t>14 anys</t>
        </is>
      </c>
      <c r="F31" s="38" t="inlineStr">
        <is>
          <t>14</t>
        </is>
      </c>
      <c r="G31" s="38" t="inlineStr">
        <is>
          <t>F</t>
        </is>
      </c>
      <c r="H31" s="38" t="inlineStr">
        <is>
          <t>135</t>
        </is>
      </c>
      <c r="I31" s="38" t="inlineStr">
        <is>
          <t>https://api.idescat.cat/taules/v2/censph/10/5975/mun/data?lang=ca&amp;YEAR=2021&amp;MUN=431711&amp;SEX=M,F</t>
        </is>
      </c>
    </row>
    <row r="32" ht="15" customHeight="1" s="39">
      <c r="A32" s="38" t="inlineStr">
        <is>
          <t>2021</t>
        </is>
      </c>
      <c r="B32" s="38" t="inlineStr">
        <is>
          <t>431711</t>
        </is>
      </c>
      <c r="C32" s="38" t="inlineStr">
        <is>
          <t>Vila-seca</t>
        </is>
      </c>
      <c r="D32" s="38" t="inlineStr">
        <is>
          <t>Y015</t>
        </is>
      </c>
      <c r="E32" s="38" t="inlineStr">
        <is>
          <t>15 anys</t>
        </is>
      </c>
      <c r="F32" s="38" t="inlineStr">
        <is>
          <t>15</t>
        </is>
      </c>
      <c r="G32" s="38" t="inlineStr">
        <is>
          <t>M</t>
        </is>
      </c>
      <c r="H32" s="38" t="inlineStr">
        <is>
          <t>138</t>
        </is>
      </c>
      <c r="I32" s="38" t="inlineStr">
        <is>
          <t>https://api.idescat.cat/taules/v2/censph/10/5975/mun/data?lang=ca&amp;YEAR=2021&amp;MUN=431711&amp;SEX=M,F</t>
        </is>
      </c>
    </row>
    <row r="33" ht="15" customHeight="1" s="39">
      <c r="A33" s="38" t="inlineStr">
        <is>
          <t>2021</t>
        </is>
      </c>
      <c r="B33" s="38" t="inlineStr">
        <is>
          <t>431711</t>
        </is>
      </c>
      <c r="C33" s="38" t="inlineStr">
        <is>
          <t>Vila-seca</t>
        </is>
      </c>
      <c r="D33" s="38" t="inlineStr">
        <is>
          <t>Y015</t>
        </is>
      </c>
      <c r="E33" s="38" t="inlineStr">
        <is>
          <t>15 anys</t>
        </is>
      </c>
      <c r="F33" s="38" t="inlineStr">
        <is>
          <t>15</t>
        </is>
      </c>
      <c r="G33" s="38" t="inlineStr">
        <is>
          <t>F</t>
        </is>
      </c>
      <c r="H33" s="38" t="inlineStr">
        <is>
          <t>130.0</t>
        </is>
      </c>
      <c r="I33" s="38" t="inlineStr">
        <is>
          <t>https://api.idescat.cat/taules/v2/censph/10/5975/mun/data?lang=ca&amp;YEAR=2021&amp;MUN=431711&amp;SEX=M,F</t>
        </is>
      </c>
    </row>
    <row r="34" ht="15" customHeight="1" s="39">
      <c r="A34" s="38" t="inlineStr">
        <is>
          <t>2021</t>
        </is>
      </c>
      <c r="B34" s="38" t="inlineStr">
        <is>
          <t>431711</t>
        </is>
      </c>
      <c r="C34" s="38" t="inlineStr">
        <is>
          <t>Vila-seca</t>
        </is>
      </c>
      <c r="D34" s="38" t="inlineStr">
        <is>
          <t>Y016</t>
        </is>
      </c>
      <c r="E34" s="38" t="inlineStr">
        <is>
          <t>16 anys</t>
        </is>
      </c>
      <c r="F34" s="38" t="inlineStr">
        <is>
          <t>16</t>
        </is>
      </c>
      <c r="G34" s="38" t="inlineStr">
        <is>
          <t>M</t>
        </is>
      </c>
      <c r="H34" s="38" t="inlineStr">
        <is>
          <t>109</t>
        </is>
      </c>
      <c r="I34" s="38" t="inlineStr">
        <is>
          <t>https://api.idescat.cat/taules/v2/censph/10/5975/mun/data?lang=ca&amp;YEAR=2021&amp;MUN=431711&amp;SEX=M,F</t>
        </is>
      </c>
    </row>
    <row r="35" ht="15" customHeight="1" s="39">
      <c r="A35" s="38" t="inlineStr">
        <is>
          <t>2021</t>
        </is>
      </c>
      <c r="B35" s="38" t="inlineStr">
        <is>
          <t>431711</t>
        </is>
      </c>
      <c r="C35" s="38" t="inlineStr">
        <is>
          <t>Vila-seca</t>
        </is>
      </c>
      <c r="D35" s="38" t="inlineStr">
        <is>
          <t>Y016</t>
        </is>
      </c>
      <c r="E35" s="38" t="inlineStr">
        <is>
          <t>16 anys</t>
        </is>
      </c>
      <c r="F35" s="38" t="inlineStr">
        <is>
          <t>16</t>
        </is>
      </c>
      <c r="G35" s="38" t="inlineStr">
        <is>
          <t>F</t>
        </is>
      </c>
      <c r="H35" s="38" t="inlineStr">
        <is>
          <t>107</t>
        </is>
      </c>
      <c r="I35" s="38" t="inlineStr">
        <is>
          <t>https://api.idescat.cat/taules/v2/censph/10/5975/mun/data?lang=ca&amp;YEAR=2021&amp;MUN=431711&amp;SEX=M,F</t>
        </is>
      </c>
    </row>
    <row r="36" ht="15" customHeight="1" s="39">
      <c r="A36" s="38" t="inlineStr">
        <is>
          <t>2021</t>
        </is>
      </c>
      <c r="B36" s="38" t="inlineStr">
        <is>
          <t>431711</t>
        </is>
      </c>
      <c r="C36" s="38" t="inlineStr">
        <is>
          <t>Vila-seca</t>
        </is>
      </c>
      <c r="D36" s="38" t="inlineStr">
        <is>
          <t>Y017</t>
        </is>
      </c>
      <c r="E36" s="38" t="inlineStr">
        <is>
          <t>17 anys</t>
        </is>
      </c>
      <c r="F36" s="38" t="inlineStr">
        <is>
          <t>17</t>
        </is>
      </c>
      <c r="G36" s="38" t="inlineStr">
        <is>
          <t>M</t>
        </is>
      </c>
      <c r="H36" s="38" t="inlineStr">
        <is>
          <t>128</t>
        </is>
      </c>
      <c r="I36" s="38" t="inlineStr">
        <is>
          <t>https://api.idescat.cat/taules/v2/censph/10/5975/mun/data?lang=ca&amp;YEAR=2021&amp;MUN=431711&amp;SEX=M,F</t>
        </is>
      </c>
    </row>
    <row r="37" ht="15" customHeight="1" s="39">
      <c r="A37" s="38" t="inlineStr">
        <is>
          <t>2021</t>
        </is>
      </c>
      <c r="B37" s="38" t="inlineStr">
        <is>
          <t>431711</t>
        </is>
      </c>
      <c r="C37" s="38" t="inlineStr">
        <is>
          <t>Vila-seca</t>
        </is>
      </c>
      <c r="D37" s="38" t="inlineStr">
        <is>
          <t>Y017</t>
        </is>
      </c>
      <c r="E37" s="38" t="inlineStr">
        <is>
          <t>17 anys</t>
        </is>
      </c>
      <c r="F37" s="38" t="inlineStr">
        <is>
          <t>17</t>
        </is>
      </c>
      <c r="G37" s="38" t="inlineStr">
        <is>
          <t>F</t>
        </is>
      </c>
      <c r="H37" s="38" t="inlineStr">
        <is>
          <t>99</t>
        </is>
      </c>
      <c r="I37" s="38" t="inlineStr">
        <is>
          <t>https://api.idescat.cat/taules/v2/censph/10/5975/mun/data?lang=ca&amp;YEAR=2021&amp;MUN=431711&amp;SEX=M,F</t>
        </is>
      </c>
    </row>
    <row r="38" ht="15" customHeight="1" s="39">
      <c r="A38" s="38" t="inlineStr">
        <is>
          <t>2021</t>
        </is>
      </c>
      <c r="B38" s="38" t="inlineStr">
        <is>
          <t>431711</t>
        </is>
      </c>
      <c r="C38" s="38" t="inlineStr">
        <is>
          <t>Vila-seca</t>
        </is>
      </c>
      <c r="D38" s="38" t="inlineStr">
        <is>
          <t>Y018</t>
        </is>
      </c>
      <c r="E38" s="38" t="inlineStr">
        <is>
          <t>18 anys</t>
        </is>
      </c>
      <c r="F38" s="38" t="inlineStr">
        <is>
          <t>18</t>
        </is>
      </c>
      <c r="G38" s="38" t="inlineStr">
        <is>
          <t>M</t>
        </is>
      </c>
      <c r="H38" s="38" t="inlineStr">
        <is>
          <t>108</t>
        </is>
      </c>
      <c r="I38" s="38" t="inlineStr">
        <is>
          <t>https://api.idescat.cat/taules/v2/censph/10/5975/mun/data?lang=ca&amp;YEAR=2021&amp;MUN=431711&amp;SEX=M,F</t>
        </is>
      </c>
    </row>
    <row r="39" ht="15" customHeight="1" s="39">
      <c r="A39" s="38" t="inlineStr">
        <is>
          <t>2021</t>
        </is>
      </c>
      <c r="B39" s="38" t="inlineStr">
        <is>
          <t>431711</t>
        </is>
      </c>
      <c r="C39" s="38" t="inlineStr">
        <is>
          <t>Vila-seca</t>
        </is>
      </c>
      <c r="D39" s="38" t="inlineStr">
        <is>
          <t>Y018</t>
        </is>
      </c>
      <c r="E39" s="38" t="inlineStr">
        <is>
          <t>18 anys</t>
        </is>
      </c>
      <c r="F39" s="38" t="inlineStr">
        <is>
          <t>18</t>
        </is>
      </c>
      <c r="G39" s="38" t="inlineStr">
        <is>
          <t>F</t>
        </is>
      </c>
      <c r="H39" s="38" t="inlineStr">
        <is>
          <t>113</t>
        </is>
      </c>
      <c r="I39" s="38" t="inlineStr">
        <is>
          <t>https://api.idescat.cat/taules/v2/censph/10/5975/mun/data?lang=ca&amp;YEAR=2021&amp;MUN=431711&amp;SEX=M,F</t>
        </is>
      </c>
    </row>
    <row r="40" ht="15" customHeight="1" s="39">
      <c r="A40" s="38" t="inlineStr">
        <is>
          <t>2021</t>
        </is>
      </c>
      <c r="B40" s="38" t="inlineStr">
        <is>
          <t>431711</t>
        </is>
      </c>
      <c r="C40" s="38" t="inlineStr">
        <is>
          <t>Vila-seca</t>
        </is>
      </c>
      <c r="D40" s="38" t="inlineStr">
        <is>
          <t>Y019</t>
        </is>
      </c>
      <c r="E40" s="38" t="inlineStr">
        <is>
          <t>19 anys</t>
        </is>
      </c>
      <c r="F40" s="38" t="inlineStr">
        <is>
          <t>19</t>
        </is>
      </c>
      <c r="G40" s="38" t="inlineStr">
        <is>
          <t>M</t>
        </is>
      </c>
      <c r="H40" s="38" t="inlineStr">
        <is>
          <t>103</t>
        </is>
      </c>
      <c r="I40" s="38" t="inlineStr">
        <is>
          <t>https://api.idescat.cat/taules/v2/censph/10/5975/mun/data?lang=ca&amp;YEAR=2021&amp;MUN=431711&amp;SEX=M,F</t>
        </is>
      </c>
    </row>
    <row r="41" ht="15" customHeight="1" s="39">
      <c r="A41" s="38" t="inlineStr">
        <is>
          <t>2021</t>
        </is>
      </c>
      <c r="B41" s="38" t="inlineStr">
        <is>
          <t>431711</t>
        </is>
      </c>
      <c r="C41" s="38" t="inlineStr">
        <is>
          <t>Vila-seca</t>
        </is>
      </c>
      <c r="D41" s="38" t="inlineStr">
        <is>
          <t>Y019</t>
        </is>
      </c>
      <c r="E41" s="38" t="inlineStr">
        <is>
          <t>19 anys</t>
        </is>
      </c>
      <c r="F41" s="38" t="inlineStr">
        <is>
          <t>19</t>
        </is>
      </c>
      <c r="G41" s="38" t="inlineStr">
        <is>
          <t>F</t>
        </is>
      </c>
      <c r="H41" s="38" t="inlineStr">
        <is>
          <t>104</t>
        </is>
      </c>
      <c r="I41" s="38" t="inlineStr">
        <is>
          <t>https://api.idescat.cat/taules/v2/censph/10/5975/mun/data?lang=ca&amp;YEAR=2021&amp;MUN=431711&amp;SEX=M,F</t>
        </is>
      </c>
    </row>
    <row r="42" ht="15" customHeight="1" s="39">
      <c r="A42" s="38" t="inlineStr">
        <is>
          <t>2021</t>
        </is>
      </c>
      <c r="B42" s="38" t="inlineStr">
        <is>
          <t>431711</t>
        </is>
      </c>
      <c r="C42" s="38" t="inlineStr">
        <is>
          <t>Vila-seca</t>
        </is>
      </c>
      <c r="D42" s="38" t="inlineStr">
        <is>
          <t>Y020</t>
        </is>
      </c>
      <c r="E42" s="38" t="inlineStr">
        <is>
          <t>20 anys</t>
        </is>
      </c>
      <c r="F42" s="38" t="inlineStr">
        <is>
          <t>20</t>
        </is>
      </c>
      <c r="G42" s="38" t="inlineStr">
        <is>
          <t>M</t>
        </is>
      </c>
      <c r="H42" s="38" t="inlineStr">
        <is>
          <t>115</t>
        </is>
      </c>
      <c r="I42" s="38" t="inlineStr">
        <is>
          <t>https://api.idescat.cat/taules/v2/censph/10/5975/mun/data?lang=ca&amp;YEAR=2021&amp;MUN=431711&amp;SEX=M,F</t>
        </is>
      </c>
    </row>
    <row r="43" ht="15" customHeight="1" s="39">
      <c r="A43" s="38" t="inlineStr">
        <is>
          <t>2021</t>
        </is>
      </c>
      <c r="B43" s="38" t="inlineStr">
        <is>
          <t>431711</t>
        </is>
      </c>
      <c r="C43" s="38" t="inlineStr">
        <is>
          <t>Vila-seca</t>
        </is>
      </c>
      <c r="D43" s="38" t="inlineStr">
        <is>
          <t>Y020</t>
        </is>
      </c>
      <c r="E43" s="38" t="inlineStr">
        <is>
          <t>20 anys</t>
        </is>
      </c>
      <c r="F43" s="38" t="inlineStr">
        <is>
          <t>20</t>
        </is>
      </c>
      <c r="G43" s="38" t="inlineStr">
        <is>
          <t>F</t>
        </is>
      </c>
      <c r="H43" s="38" t="inlineStr">
        <is>
          <t>116</t>
        </is>
      </c>
      <c r="I43" s="38" t="inlineStr">
        <is>
          <t>https://api.idescat.cat/taules/v2/censph/10/5975/mun/data?lang=ca&amp;YEAR=2021&amp;MUN=431711&amp;SEX=M,F</t>
        </is>
      </c>
    </row>
    <row r="44" ht="15" customHeight="1" s="39">
      <c r="A44" s="38" t="inlineStr">
        <is>
          <t>2021</t>
        </is>
      </c>
      <c r="B44" s="38" t="inlineStr">
        <is>
          <t>431711</t>
        </is>
      </c>
      <c r="C44" s="38" t="inlineStr">
        <is>
          <t>Vila-seca</t>
        </is>
      </c>
      <c r="D44" s="38" t="inlineStr">
        <is>
          <t>Y021</t>
        </is>
      </c>
      <c r="E44" s="38" t="inlineStr">
        <is>
          <t>21 anys</t>
        </is>
      </c>
      <c r="F44" s="38" t="inlineStr">
        <is>
          <t>21</t>
        </is>
      </c>
      <c r="G44" s="38" t="inlineStr">
        <is>
          <t>M</t>
        </is>
      </c>
      <c r="H44" s="38" t="inlineStr">
        <is>
          <t>93</t>
        </is>
      </c>
      <c r="I44" s="38" t="inlineStr">
        <is>
          <t>https://api.idescat.cat/taules/v2/censph/10/5975/mun/data?lang=ca&amp;YEAR=2021&amp;MUN=431711&amp;SEX=M,F</t>
        </is>
      </c>
    </row>
    <row r="45" ht="15" customHeight="1" s="39">
      <c r="A45" s="38" t="inlineStr">
        <is>
          <t>2021</t>
        </is>
      </c>
      <c r="B45" s="38" t="inlineStr">
        <is>
          <t>431711</t>
        </is>
      </c>
      <c r="C45" s="38" t="inlineStr">
        <is>
          <t>Vila-seca</t>
        </is>
      </c>
      <c r="D45" s="38" t="inlineStr">
        <is>
          <t>Y021</t>
        </is>
      </c>
      <c r="E45" s="38" t="inlineStr">
        <is>
          <t>21 anys</t>
        </is>
      </c>
      <c r="F45" s="38" t="inlineStr">
        <is>
          <t>21</t>
        </is>
      </c>
      <c r="G45" s="38" t="inlineStr">
        <is>
          <t>F</t>
        </is>
      </c>
      <c r="H45" s="38" t="inlineStr">
        <is>
          <t>100.0</t>
        </is>
      </c>
      <c r="I45" s="38" t="inlineStr">
        <is>
          <t>https://api.idescat.cat/taules/v2/censph/10/5975/mun/data?lang=ca&amp;YEAR=2021&amp;MUN=431711&amp;SEX=M,F</t>
        </is>
      </c>
    </row>
    <row r="46" ht="15" customHeight="1" s="39">
      <c r="A46" s="38" t="inlineStr">
        <is>
          <t>2021</t>
        </is>
      </c>
      <c r="B46" s="38" t="inlineStr">
        <is>
          <t>431711</t>
        </is>
      </c>
      <c r="C46" s="38" t="inlineStr">
        <is>
          <t>Vila-seca</t>
        </is>
      </c>
      <c r="D46" s="38" t="inlineStr">
        <is>
          <t>Y022</t>
        </is>
      </c>
      <c r="E46" s="38" t="inlineStr">
        <is>
          <t>22 anys</t>
        </is>
      </c>
      <c r="F46" s="38" t="inlineStr">
        <is>
          <t>22</t>
        </is>
      </c>
      <c r="G46" s="38" t="inlineStr">
        <is>
          <t>M</t>
        </is>
      </c>
      <c r="H46" s="38" t="inlineStr">
        <is>
          <t>115</t>
        </is>
      </c>
      <c r="I46" s="38" t="inlineStr">
        <is>
          <t>https://api.idescat.cat/taules/v2/censph/10/5975/mun/data?lang=ca&amp;YEAR=2021&amp;MUN=431711&amp;SEX=M,F</t>
        </is>
      </c>
    </row>
    <row r="47" ht="15" customHeight="1" s="39">
      <c r="A47" s="38" t="inlineStr">
        <is>
          <t>2021</t>
        </is>
      </c>
      <c r="B47" s="38" t="inlineStr">
        <is>
          <t>431711</t>
        </is>
      </c>
      <c r="C47" s="38" t="inlineStr">
        <is>
          <t>Vila-seca</t>
        </is>
      </c>
      <c r="D47" s="38" t="inlineStr">
        <is>
          <t>Y022</t>
        </is>
      </c>
      <c r="E47" s="38" t="inlineStr">
        <is>
          <t>22 anys</t>
        </is>
      </c>
      <c r="F47" s="38" t="inlineStr">
        <is>
          <t>22</t>
        </is>
      </c>
      <c r="G47" s="38" t="inlineStr">
        <is>
          <t>F</t>
        </is>
      </c>
      <c r="H47" s="38" t="inlineStr">
        <is>
          <t>111</t>
        </is>
      </c>
      <c r="I47" s="38" t="inlineStr">
        <is>
          <t>https://api.idescat.cat/taules/v2/censph/10/5975/mun/data?lang=ca&amp;YEAR=2021&amp;MUN=431711&amp;SEX=M,F</t>
        </is>
      </c>
    </row>
    <row r="48" ht="15" customHeight="1" s="39">
      <c r="A48" s="38" t="inlineStr">
        <is>
          <t>2021</t>
        </is>
      </c>
      <c r="B48" s="38" t="inlineStr">
        <is>
          <t>431711</t>
        </is>
      </c>
      <c r="C48" s="38" t="inlineStr">
        <is>
          <t>Vila-seca</t>
        </is>
      </c>
      <c r="D48" s="38" t="inlineStr">
        <is>
          <t>Y023</t>
        </is>
      </c>
      <c r="E48" s="38" t="inlineStr">
        <is>
          <t>23 anys</t>
        </is>
      </c>
      <c r="F48" s="38" t="inlineStr">
        <is>
          <t>23</t>
        </is>
      </c>
      <c r="G48" s="38" t="inlineStr">
        <is>
          <t>M</t>
        </is>
      </c>
      <c r="H48" s="38" t="inlineStr">
        <is>
          <t>109</t>
        </is>
      </c>
      <c r="I48" s="38" t="inlineStr">
        <is>
          <t>https://api.idescat.cat/taules/v2/censph/10/5975/mun/data?lang=ca&amp;YEAR=2021&amp;MUN=431711&amp;SEX=M,F</t>
        </is>
      </c>
    </row>
    <row r="49" ht="15" customHeight="1" s="39">
      <c r="A49" s="38" t="inlineStr">
        <is>
          <t>2021</t>
        </is>
      </c>
      <c r="B49" s="38" t="inlineStr">
        <is>
          <t>431711</t>
        </is>
      </c>
      <c r="C49" s="38" t="inlineStr">
        <is>
          <t>Vila-seca</t>
        </is>
      </c>
      <c r="D49" s="38" t="inlineStr">
        <is>
          <t>Y023</t>
        </is>
      </c>
      <c r="E49" s="38" t="inlineStr">
        <is>
          <t>23 anys</t>
        </is>
      </c>
      <c r="F49" s="38" t="inlineStr">
        <is>
          <t>23</t>
        </is>
      </c>
      <c r="G49" s="38" t="inlineStr">
        <is>
          <t>F</t>
        </is>
      </c>
      <c r="H49" s="38" t="inlineStr">
        <is>
          <t>92</t>
        </is>
      </c>
      <c r="I49" s="38" t="inlineStr">
        <is>
          <t>https://api.idescat.cat/taules/v2/censph/10/5975/mun/data?lang=ca&amp;YEAR=2021&amp;MUN=431711&amp;SEX=M,F</t>
        </is>
      </c>
    </row>
    <row r="50" ht="15" customHeight="1" s="39">
      <c r="A50" s="38" t="inlineStr">
        <is>
          <t>2021</t>
        </is>
      </c>
      <c r="B50" s="38" t="inlineStr">
        <is>
          <t>431711</t>
        </is>
      </c>
      <c r="C50" s="38" t="inlineStr">
        <is>
          <t>Vila-seca</t>
        </is>
      </c>
      <c r="D50" s="38" t="inlineStr">
        <is>
          <t>Y024</t>
        </is>
      </c>
      <c r="E50" s="38" t="inlineStr">
        <is>
          <t>24 anys</t>
        </is>
      </c>
      <c r="F50" s="38" t="inlineStr">
        <is>
          <t>24</t>
        </is>
      </c>
      <c r="G50" s="38" t="inlineStr">
        <is>
          <t>M</t>
        </is>
      </c>
      <c r="H50" s="38" t="inlineStr">
        <is>
          <t>105</t>
        </is>
      </c>
      <c r="I50" s="38" t="inlineStr">
        <is>
          <t>https://api.idescat.cat/taules/v2/censph/10/5975/mun/data?lang=ca&amp;YEAR=2021&amp;MUN=431711&amp;SEX=M,F</t>
        </is>
      </c>
    </row>
    <row r="51" ht="15" customHeight="1" s="39">
      <c r="A51" s="38" t="inlineStr">
        <is>
          <t>2021</t>
        </is>
      </c>
      <c r="B51" s="38" t="inlineStr">
        <is>
          <t>431711</t>
        </is>
      </c>
      <c r="C51" s="38" t="inlineStr">
        <is>
          <t>Vila-seca</t>
        </is>
      </c>
      <c r="D51" s="38" t="inlineStr">
        <is>
          <t>Y024</t>
        </is>
      </c>
      <c r="E51" s="38" t="inlineStr">
        <is>
          <t>24 anys</t>
        </is>
      </c>
      <c r="F51" s="38" t="inlineStr">
        <is>
          <t>24</t>
        </is>
      </c>
      <c r="G51" s="38" t="inlineStr">
        <is>
          <t>F</t>
        </is>
      </c>
      <c r="H51" s="38" t="inlineStr">
        <is>
          <t>109</t>
        </is>
      </c>
      <c r="I51" s="38" t="inlineStr">
        <is>
          <t>https://api.idescat.cat/taules/v2/censph/10/5975/mun/data?lang=ca&amp;YEAR=2021&amp;MUN=431711&amp;SEX=M,F</t>
        </is>
      </c>
    </row>
    <row r="52" ht="15" customHeight="1" s="39">
      <c r="A52" s="38" t="inlineStr">
        <is>
          <t>2021</t>
        </is>
      </c>
      <c r="B52" s="38" t="inlineStr">
        <is>
          <t>431711</t>
        </is>
      </c>
      <c r="C52" s="38" t="inlineStr">
        <is>
          <t>Vila-seca</t>
        </is>
      </c>
      <c r="D52" s="38" t="inlineStr">
        <is>
          <t>Y025</t>
        </is>
      </c>
      <c r="E52" s="38" t="inlineStr">
        <is>
          <t>25 anys</t>
        </is>
      </c>
      <c r="F52" s="38" t="inlineStr">
        <is>
          <t>25</t>
        </is>
      </c>
      <c r="G52" s="38" t="inlineStr">
        <is>
          <t>M</t>
        </is>
      </c>
      <c r="H52" s="38" t="inlineStr">
        <is>
          <t>90.0</t>
        </is>
      </c>
      <c r="I52" s="38" t="inlineStr">
        <is>
          <t>https://api.idescat.cat/taules/v2/censph/10/5975/mun/data?lang=ca&amp;YEAR=2021&amp;MUN=431711&amp;SEX=M,F</t>
        </is>
      </c>
    </row>
    <row r="53" ht="15" customHeight="1" s="39">
      <c r="A53" s="38" t="inlineStr">
        <is>
          <t>2021</t>
        </is>
      </c>
      <c r="B53" s="38" t="inlineStr">
        <is>
          <t>431711</t>
        </is>
      </c>
      <c r="C53" s="38" t="inlineStr">
        <is>
          <t>Vila-seca</t>
        </is>
      </c>
      <c r="D53" s="38" t="inlineStr">
        <is>
          <t>Y025</t>
        </is>
      </c>
      <c r="E53" s="38" t="inlineStr">
        <is>
          <t>25 anys</t>
        </is>
      </c>
      <c r="F53" s="38" t="inlineStr">
        <is>
          <t>25</t>
        </is>
      </c>
      <c r="G53" s="38" t="inlineStr">
        <is>
          <t>F</t>
        </is>
      </c>
      <c r="H53" s="38" t="inlineStr">
        <is>
          <t>91</t>
        </is>
      </c>
      <c r="I53" s="38" t="inlineStr">
        <is>
          <t>https://api.idescat.cat/taules/v2/censph/10/5975/mun/data?lang=ca&amp;YEAR=2021&amp;MUN=431711&amp;SEX=M,F</t>
        </is>
      </c>
    </row>
    <row r="54" ht="15" customHeight="1" s="39">
      <c r="A54" s="38" t="inlineStr">
        <is>
          <t>2021</t>
        </is>
      </c>
      <c r="B54" s="38" t="inlineStr">
        <is>
          <t>431711</t>
        </is>
      </c>
      <c r="C54" s="38" t="inlineStr">
        <is>
          <t>Vila-seca</t>
        </is>
      </c>
      <c r="D54" s="38" t="inlineStr">
        <is>
          <t>Y026</t>
        </is>
      </c>
      <c r="E54" s="38" t="inlineStr">
        <is>
          <t>26 anys</t>
        </is>
      </c>
      <c r="F54" s="38" t="inlineStr">
        <is>
          <t>26</t>
        </is>
      </c>
      <c r="G54" s="38" t="inlineStr">
        <is>
          <t>M</t>
        </is>
      </c>
      <c r="H54" s="38" t="inlineStr">
        <is>
          <t>100.0</t>
        </is>
      </c>
      <c r="I54" s="38" t="inlineStr">
        <is>
          <t>https://api.idescat.cat/taules/v2/censph/10/5975/mun/data?lang=ca&amp;YEAR=2021&amp;MUN=431711&amp;SEX=M,F</t>
        </is>
      </c>
    </row>
    <row r="55" ht="15" customHeight="1" s="39">
      <c r="A55" s="38" t="inlineStr">
        <is>
          <t>2021</t>
        </is>
      </c>
      <c r="B55" s="38" t="inlineStr">
        <is>
          <t>431711</t>
        </is>
      </c>
      <c r="C55" s="38" t="inlineStr">
        <is>
          <t>Vila-seca</t>
        </is>
      </c>
      <c r="D55" s="38" t="inlineStr">
        <is>
          <t>Y026</t>
        </is>
      </c>
      <c r="E55" s="38" t="inlineStr">
        <is>
          <t>26 anys</t>
        </is>
      </c>
      <c r="F55" s="38" t="inlineStr">
        <is>
          <t>26</t>
        </is>
      </c>
      <c r="G55" s="38" t="inlineStr">
        <is>
          <t>F</t>
        </is>
      </c>
      <c r="H55" s="38" t="inlineStr">
        <is>
          <t>122</t>
        </is>
      </c>
      <c r="I55" s="38" t="inlineStr">
        <is>
          <t>https://api.idescat.cat/taules/v2/censph/10/5975/mun/data?lang=ca&amp;YEAR=2021&amp;MUN=431711&amp;SEX=M,F</t>
        </is>
      </c>
    </row>
    <row r="56" ht="15" customHeight="1" s="39">
      <c r="A56" s="38" t="inlineStr">
        <is>
          <t>2021</t>
        </is>
      </c>
      <c r="B56" s="38" t="inlineStr">
        <is>
          <t>431711</t>
        </is>
      </c>
      <c r="C56" s="38" t="inlineStr">
        <is>
          <t>Vila-seca</t>
        </is>
      </c>
      <c r="D56" s="38" t="inlineStr">
        <is>
          <t>Y027</t>
        </is>
      </c>
      <c r="E56" s="38" t="inlineStr">
        <is>
          <t>27 anys</t>
        </is>
      </c>
      <c r="F56" s="38" t="inlineStr">
        <is>
          <t>27</t>
        </is>
      </c>
      <c r="G56" s="38" t="inlineStr">
        <is>
          <t>M</t>
        </is>
      </c>
      <c r="H56" s="38" t="inlineStr">
        <is>
          <t>113</t>
        </is>
      </c>
      <c r="I56" s="38" t="inlineStr">
        <is>
          <t>https://api.idescat.cat/taules/v2/censph/10/5975/mun/data?lang=ca&amp;YEAR=2021&amp;MUN=431711&amp;SEX=M,F</t>
        </is>
      </c>
    </row>
    <row r="57" ht="15" customHeight="1" s="39">
      <c r="A57" s="38" t="inlineStr">
        <is>
          <t>2021</t>
        </is>
      </c>
      <c r="B57" s="38" t="inlineStr">
        <is>
          <t>431711</t>
        </is>
      </c>
      <c r="C57" s="38" t="inlineStr">
        <is>
          <t>Vila-seca</t>
        </is>
      </c>
      <c r="D57" s="38" t="inlineStr">
        <is>
          <t>Y027</t>
        </is>
      </c>
      <c r="E57" s="38" t="inlineStr">
        <is>
          <t>27 anys</t>
        </is>
      </c>
      <c r="F57" s="38" t="inlineStr">
        <is>
          <t>27</t>
        </is>
      </c>
      <c r="G57" s="38" t="inlineStr">
        <is>
          <t>F</t>
        </is>
      </c>
      <c r="H57" s="38" t="inlineStr">
        <is>
          <t>105</t>
        </is>
      </c>
      <c r="I57" s="38" t="inlineStr">
        <is>
          <t>https://api.idescat.cat/taules/v2/censph/10/5975/mun/data?lang=ca&amp;YEAR=2021&amp;MUN=431711&amp;SEX=M,F</t>
        </is>
      </c>
    </row>
    <row r="58" ht="15" customHeight="1" s="39">
      <c r="A58" s="38" t="inlineStr">
        <is>
          <t>2021</t>
        </is>
      </c>
      <c r="B58" s="38" t="inlineStr">
        <is>
          <t>431711</t>
        </is>
      </c>
      <c r="C58" s="38" t="inlineStr">
        <is>
          <t>Vila-seca</t>
        </is>
      </c>
      <c r="D58" s="38" t="inlineStr">
        <is>
          <t>Y028</t>
        </is>
      </c>
      <c r="E58" s="38" t="inlineStr">
        <is>
          <t>28 anys</t>
        </is>
      </c>
      <c r="F58" s="38" t="inlineStr">
        <is>
          <t>28</t>
        </is>
      </c>
      <c r="G58" s="38" t="inlineStr">
        <is>
          <t>M</t>
        </is>
      </c>
      <c r="H58" s="38" t="inlineStr">
        <is>
          <t>108</t>
        </is>
      </c>
      <c r="I58" s="38" t="inlineStr">
        <is>
          <t>https://api.idescat.cat/taules/v2/censph/10/5975/mun/data?lang=ca&amp;YEAR=2021&amp;MUN=431711&amp;SEX=M,F</t>
        </is>
      </c>
    </row>
    <row r="59" ht="15" customHeight="1" s="39">
      <c r="A59" s="38" t="inlineStr">
        <is>
          <t>2021</t>
        </is>
      </c>
      <c r="B59" s="38" t="inlineStr">
        <is>
          <t>431711</t>
        </is>
      </c>
      <c r="C59" s="38" t="inlineStr">
        <is>
          <t>Vila-seca</t>
        </is>
      </c>
      <c r="D59" s="38" t="inlineStr">
        <is>
          <t>Y028</t>
        </is>
      </c>
      <c r="E59" s="38" t="inlineStr">
        <is>
          <t>28 anys</t>
        </is>
      </c>
      <c r="F59" s="38" t="inlineStr">
        <is>
          <t>28</t>
        </is>
      </c>
      <c r="G59" s="38" t="inlineStr">
        <is>
          <t>F</t>
        </is>
      </c>
      <c r="H59" s="38" t="inlineStr">
        <is>
          <t>110.0</t>
        </is>
      </c>
      <c r="I59" s="38" t="inlineStr">
        <is>
          <t>https://api.idescat.cat/taules/v2/censph/10/5975/mun/data?lang=ca&amp;YEAR=2021&amp;MUN=431711&amp;SEX=M,F</t>
        </is>
      </c>
    </row>
    <row r="60" ht="15" customHeight="1" s="39">
      <c r="A60" s="38" t="inlineStr">
        <is>
          <t>2021</t>
        </is>
      </c>
      <c r="B60" s="38" t="inlineStr">
        <is>
          <t>431711</t>
        </is>
      </c>
      <c r="C60" s="38" t="inlineStr">
        <is>
          <t>Vila-seca</t>
        </is>
      </c>
      <c r="D60" s="38" t="inlineStr">
        <is>
          <t>Y029</t>
        </is>
      </c>
      <c r="E60" s="38" t="inlineStr">
        <is>
          <t>29 anys</t>
        </is>
      </c>
      <c r="F60" s="38" t="inlineStr">
        <is>
          <t>29</t>
        </is>
      </c>
      <c r="G60" s="38" t="inlineStr">
        <is>
          <t>M</t>
        </is>
      </c>
      <c r="H60" s="38" t="inlineStr">
        <is>
          <t>128</t>
        </is>
      </c>
      <c r="I60" s="38" t="inlineStr">
        <is>
          <t>https://api.idescat.cat/taules/v2/censph/10/5975/mun/data?lang=ca&amp;YEAR=2021&amp;MUN=431711&amp;SEX=M,F</t>
        </is>
      </c>
    </row>
    <row r="61" ht="15" customHeight="1" s="39">
      <c r="A61" s="38" t="inlineStr">
        <is>
          <t>2021</t>
        </is>
      </c>
      <c r="B61" s="38" t="inlineStr">
        <is>
          <t>431711</t>
        </is>
      </c>
      <c r="C61" s="38" t="inlineStr">
        <is>
          <t>Vila-seca</t>
        </is>
      </c>
      <c r="D61" s="38" t="inlineStr">
        <is>
          <t>Y029</t>
        </is>
      </c>
      <c r="E61" s="38" t="inlineStr">
        <is>
          <t>29 anys</t>
        </is>
      </c>
      <c r="F61" s="38" t="inlineStr">
        <is>
          <t>29</t>
        </is>
      </c>
      <c r="G61" s="38" t="inlineStr">
        <is>
          <t>F</t>
        </is>
      </c>
      <c r="H61" s="38" t="inlineStr">
        <is>
          <t>124</t>
        </is>
      </c>
      <c r="I61" s="38" t="inlineStr">
        <is>
          <t>https://api.idescat.cat/taules/v2/censph/10/5975/mun/data?lang=ca&amp;YEAR=2021&amp;MUN=431711&amp;SEX=M,F</t>
        </is>
      </c>
    </row>
    <row r="62" ht="15" customHeight="1" s="39">
      <c r="A62" s="38" t="inlineStr">
        <is>
          <t>2021</t>
        </is>
      </c>
      <c r="B62" s="38" t="inlineStr">
        <is>
          <t>431711</t>
        </is>
      </c>
      <c r="C62" s="38" t="inlineStr">
        <is>
          <t>Vila-seca</t>
        </is>
      </c>
      <c r="D62" s="38" t="inlineStr">
        <is>
          <t>Y030</t>
        </is>
      </c>
      <c r="E62" s="38" t="inlineStr">
        <is>
          <t>30 anys</t>
        </is>
      </c>
      <c r="F62" s="38" t="inlineStr">
        <is>
          <t>30</t>
        </is>
      </c>
      <c r="G62" s="38" t="inlineStr">
        <is>
          <t>M</t>
        </is>
      </c>
      <c r="H62" s="38" t="inlineStr">
        <is>
          <t>146</t>
        </is>
      </c>
      <c r="I62" s="38" t="inlineStr">
        <is>
          <t>https://api.idescat.cat/taules/v2/censph/10/5975/mun/data?lang=ca&amp;YEAR=2021&amp;MUN=431711&amp;SEX=M,F</t>
        </is>
      </c>
    </row>
    <row r="63" ht="15" customHeight="1" s="39">
      <c r="A63" s="38" t="inlineStr">
        <is>
          <t>2021</t>
        </is>
      </c>
      <c r="B63" s="38" t="inlineStr">
        <is>
          <t>431711</t>
        </is>
      </c>
      <c r="C63" s="38" t="inlineStr">
        <is>
          <t>Vila-seca</t>
        </is>
      </c>
      <c r="D63" s="38" t="inlineStr">
        <is>
          <t>Y030</t>
        </is>
      </c>
      <c r="E63" s="38" t="inlineStr">
        <is>
          <t>30 anys</t>
        </is>
      </c>
      <c r="F63" s="38" t="inlineStr">
        <is>
          <t>30</t>
        </is>
      </c>
      <c r="G63" s="38" t="inlineStr">
        <is>
          <t>F</t>
        </is>
      </c>
      <c r="H63" s="38" t="inlineStr">
        <is>
          <t>146</t>
        </is>
      </c>
      <c r="I63" s="38" t="inlineStr">
        <is>
          <t>https://api.idescat.cat/taules/v2/censph/10/5975/mun/data?lang=ca&amp;YEAR=2021&amp;MUN=431711&amp;SEX=M,F</t>
        </is>
      </c>
    </row>
    <row r="64" ht="15" customHeight="1" s="39">
      <c r="A64" s="38" t="inlineStr">
        <is>
          <t>2021</t>
        </is>
      </c>
      <c r="B64" s="38" t="inlineStr">
        <is>
          <t>431711</t>
        </is>
      </c>
      <c r="C64" s="38" t="inlineStr">
        <is>
          <t>Vila-seca</t>
        </is>
      </c>
      <c r="D64" s="38" t="inlineStr">
        <is>
          <t>Y031</t>
        </is>
      </c>
      <c r="E64" s="38" t="inlineStr">
        <is>
          <t>31 anys</t>
        </is>
      </c>
      <c r="F64" s="38" t="inlineStr">
        <is>
          <t>31</t>
        </is>
      </c>
      <c r="G64" s="38" t="inlineStr">
        <is>
          <t>M</t>
        </is>
      </c>
      <c r="H64" s="38" t="inlineStr">
        <is>
          <t>111</t>
        </is>
      </c>
      <c r="I64" s="38" t="inlineStr">
        <is>
          <t>https://api.idescat.cat/taules/v2/censph/10/5975/mun/data?lang=ca&amp;YEAR=2021&amp;MUN=431711&amp;SEX=M,F</t>
        </is>
      </c>
    </row>
    <row r="65" ht="15" customHeight="1" s="39">
      <c r="A65" s="38" t="inlineStr">
        <is>
          <t>2021</t>
        </is>
      </c>
      <c r="B65" s="38" t="inlineStr">
        <is>
          <t>431711</t>
        </is>
      </c>
      <c r="C65" s="38" t="inlineStr">
        <is>
          <t>Vila-seca</t>
        </is>
      </c>
      <c r="D65" s="38" t="inlineStr">
        <is>
          <t>Y031</t>
        </is>
      </c>
      <c r="E65" s="38" t="inlineStr">
        <is>
          <t>31 anys</t>
        </is>
      </c>
      <c r="F65" s="38" t="inlineStr">
        <is>
          <t>31</t>
        </is>
      </c>
      <c r="G65" s="38" t="inlineStr">
        <is>
          <t>F</t>
        </is>
      </c>
      <c r="H65" s="38" t="inlineStr">
        <is>
          <t>129</t>
        </is>
      </c>
      <c r="I65" s="38" t="inlineStr">
        <is>
          <t>https://api.idescat.cat/taules/v2/censph/10/5975/mun/data?lang=ca&amp;YEAR=2021&amp;MUN=431711&amp;SEX=M,F</t>
        </is>
      </c>
    </row>
    <row r="66" ht="15" customHeight="1" s="39">
      <c r="A66" s="38" t="inlineStr">
        <is>
          <t>2021</t>
        </is>
      </c>
      <c r="B66" s="38" t="inlineStr">
        <is>
          <t>431711</t>
        </is>
      </c>
      <c r="C66" s="38" t="inlineStr">
        <is>
          <t>Vila-seca</t>
        </is>
      </c>
      <c r="D66" s="38" t="inlineStr">
        <is>
          <t>Y032</t>
        </is>
      </c>
      <c r="E66" s="38" t="inlineStr">
        <is>
          <t>32 anys</t>
        </is>
      </c>
      <c r="F66" s="38" t="inlineStr">
        <is>
          <t>32</t>
        </is>
      </c>
      <c r="G66" s="38" t="inlineStr">
        <is>
          <t>M</t>
        </is>
      </c>
      <c r="H66" s="38" t="inlineStr">
        <is>
          <t>125</t>
        </is>
      </c>
      <c r="I66" s="38" t="inlineStr">
        <is>
          <t>https://api.idescat.cat/taules/v2/censph/10/5975/mun/data?lang=ca&amp;YEAR=2021&amp;MUN=431711&amp;SEX=M,F</t>
        </is>
      </c>
    </row>
    <row r="67" ht="15" customHeight="1" s="39">
      <c r="A67" s="38" t="inlineStr">
        <is>
          <t>2021</t>
        </is>
      </c>
      <c r="B67" s="38" t="inlineStr">
        <is>
          <t>431711</t>
        </is>
      </c>
      <c r="C67" s="38" t="inlineStr">
        <is>
          <t>Vila-seca</t>
        </is>
      </c>
      <c r="D67" s="38" t="inlineStr">
        <is>
          <t>Y032</t>
        </is>
      </c>
      <c r="E67" s="38" t="inlineStr">
        <is>
          <t>32 anys</t>
        </is>
      </c>
      <c r="F67" s="38" t="inlineStr">
        <is>
          <t>32</t>
        </is>
      </c>
      <c r="G67" s="38" t="inlineStr">
        <is>
          <t>F</t>
        </is>
      </c>
      <c r="H67" s="38" t="inlineStr">
        <is>
          <t>172</t>
        </is>
      </c>
      <c r="I67" s="38" t="inlineStr">
        <is>
          <t>https://api.idescat.cat/taules/v2/censph/10/5975/mun/data?lang=ca&amp;YEAR=2021&amp;MUN=431711&amp;SEX=M,F</t>
        </is>
      </c>
    </row>
    <row r="68" ht="15" customHeight="1" s="39">
      <c r="A68" s="38" t="inlineStr">
        <is>
          <t>2021</t>
        </is>
      </c>
      <c r="B68" s="38" t="inlineStr">
        <is>
          <t>431711</t>
        </is>
      </c>
      <c r="C68" s="38" t="inlineStr">
        <is>
          <t>Vila-seca</t>
        </is>
      </c>
      <c r="D68" s="38" t="inlineStr">
        <is>
          <t>Y033</t>
        </is>
      </c>
      <c r="E68" s="38" t="inlineStr">
        <is>
          <t>33 anys</t>
        </is>
      </c>
      <c r="F68" s="38" t="inlineStr">
        <is>
          <t>33</t>
        </is>
      </c>
      <c r="G68" s="38" t="inlineStr">
        <is>
          <t>M</t>
        </is>
      </c>
      <c r="H68" s="38" t="inlineStr">
        <is>
          <t>178</t>
        </is>
      </c>
      <c r="I68" s="38" t="inlineStr">
        <is>
          <t>https://api.idescat.cat/taules/v2/censph/10/5975/mun/data?lang=ca&amp;YEAR=2021&amp;MUN=431711&amp;SEX=M,F</t>
        </is>
      </c>
    </row>
    <row r="69" ht="15" customHeight="1" s="39">
      <c r="A69" s="38" t="inlineStr">
        <is>
          <t>2021</t>
        </is>
      </c>
      <c r="B69" s="38" t="inlineStr">
        <is>
          <t>431711</t>
        </is>
      </c>
      <c r="C69" s="38" t="inlineStr">
        <is>
          <t>Vila-seca</t>
        </is>
      </c>
      <c r="D69" s="38" t="inlineStr">
        <is>
          <t>Y033</t>
        </is>
      </c>
      <c r="E69" s="38" t="inlineStr">
        <is>
          <t>33 anys</t>
        </is>
      </c>
      <c r="F69" s="38" t="inlineStr">
        <is>
          <t>33</t>
        </is>
      </c>
      <c r="G69" s="38" t="inlineStr">
        <is>
          <t>F</t>
        </is>
      </c>
      <c r="H69" s="38" t="inlineStr">
        <is>
          <t>164</t>
        </is>
      </c>
      <c r="I69" s="38" t="inlineStr">
        <is>
          <t>https://api.idescat.cat/taules/v2/censph/10/5975/mun/data?lang=ca&amp;YEAR=2021&amp;MUN=431711&amp;SEX=M,F</t>
        </is>
      </c>
    </row>
    <row r="70" ht="15" customHeight="1" s="39">
      <c r="A70" s="38" t="inlineStr">
        <is>
          <t>2021</t>
        </is>
      </c>
      <c r="B70" s="38" t="inlineStr">
        <is>
          <t>431711</t>
        </is>
      </c>
      <c r="C70" s="38" t="inlineStr">
        <is>
          <t>Vila-seca</t>
        </is>
      </c>
      <c r="D70" s="38" t="inlineStr">
        <is>
          <t>Y034</t>
        </is>
      </c>
      <c r="E70" s="38" t="inlineStr">
        <is>
          <t>34 anys</t>
        </is>
      </c>
      <c r="F70" s="38" t="inlineStr">
        <is>
          <t>34</t>
        </is>
      </c>
      <c r="G70" s="38" t="inlineStr">
        <is>
          <t>M</t>
        </is>
      </c>
      <c r="H70" s="38" t="inlineStr">
        <is>
          <t>174</t>
        </is>
      </c>
      <c r="I70" s="38" t="inlineStr">
        <is>
          <t>https://api.idescat.cat/taules/v2/censph/10/5975/mun/data?lang=ca&amp;YEAR=2021&amp;MUN=431711&amp;SEX=M,F</t>
        </is>
      </c>
    </row>
    <row r="71" ht="15" customHeight="1" s="39">
      <c r="A71" s="38" t="inlineStr">
        <is>
          <t>2021</t>
        </is>
      </c>
      <c r="B71" s="38" t="inlineStr">
        <is>
          <t>431711</t>
        </is>
      </c>
      <c r="C71" s="38" t="inlineStr">
        <is>
          <t>Vila-seca</t>
        </is>
      </c>
      <c r="D71" s="38" t="inlineStr">
        <is>
          <t>Y034</t>
        </is>
      </c>
      <c r="E71" s="38" t="inlineStr">
        <is>
          <t>34 anys</t>
        </is>
      </c>
      <c r="F71" s="38" t="inlineStr">
        <is>
          <t>34</t>
        </is>
      </c>
      <c r="G71" s="38" t="inlineStr">
        <is>
          <t>F</t>
        </is>
      </c>
      <c r="H71" s="38" t="inlineStr">
        <is>
          <t>179</t>
        </is>
      </c>
      <c r="I71" s="38" t="inlineStr">
        <is>
          <t>https://api.idescat.cat/taules/v2/censph/10/5975/mun/data?lang=ca&amp;YEAR=2021&amp;MUN=431711&amp;SEX=M,F</t>
        </is>
      </c>
    </row>
    <row r="72" ht="15" customHeight="1" s="39">
      <c r="A72" s="38" t="inlineStr">
        <is>
          <t>2021</t>
        </is>
      </c>
      <c r="B72" s="38" t="inlineStr">
        <is>
          <t>431711</t>
        </is>
      </c>
      <c r="C72" s="38" t="inlineStr">
        <is>
          <t>Vila-seca</t>
        </is>
      </c>
      <c r="D72" s="38" t="inlineStr">
        <is>
          <t>Y035</t>
        </is>
      </c>
      <c r="E72" s="38" t="inlineStr">
        <is>
          <t>35 anys</t>
        </is>
      </c>
      <c r="F72" s="38" t="inlineStr">
        <is>
          <t>35</t>
        </is>
      </c>
      <c r="G72" s="38" t="inlineStr">
        <is>
          <t>M</t>
        </is>
      </c>
      <c r="H72" s="38" t="inlineStr">
        <is>
          <t>148</t>
        </is>
      </c>
      <c r="I72" s="38" t="inlineStr">
        <is>
          <t>https://api.idescat.cat/taules/v2/censph/10/5975/mun/data?lang=ca&amp;YEAR=2021&amp;MUN=431711&amp;SEX=M,F</t>
        </is>
      </c>
    </row>
    <row r="73" ht="15" customHeight="1" s="39">
      <c r="A73" s="38" t="inlineStr">
        <is>
          <t>2021</t>
        </is>
      </c>
      <c r="B73" s="38" t="inlineStr">
        <is>
          <t>431711</t>
        </is>
      </c>
      <c r="C73" s="38" t="inlineStr">
        <is>
          <t>Vila-seca</t>
        </is>
      </c>
      <c r="D73" s="38" t="inlineStr">
        <is>
          <t>Y035</t>
        </is>
      </c>
      <c r="E73" s="38" t="inlineStr">
        <is>
          <t>35 anys</t>
        </is>
      </c>
      <c r="F73" s="38" t="inlineStr">
        <is>
          <t>35</t>
        </is>
      </c>
      <c r="G73" s="38" t="inlineStr">
        <is>
          <t>F</t>
        </is>
      </c>
      <c r="H73" s="38" t="inlineStr">
        <is>
          <t>182</t>
        </is>
      </c>
      <c r="I73" s="38" t="inlineStr">
        <is>
          <t>https://api.idescat.cat/taules/v2/censph/10/5975/mun/data?lang=ca&amp;YEAR=2021&amp;MUN=431711&amp;SEX=M,F</t>
        </is>
      </c>
    </row>
    <row r="74" ht="15" customHeight="1" s="39">
      <c r="A74" s="38" t="inlineStr">
        <is>
          <t>2021</t>
        </is>
      </c>
      <c r="B74" s="38" t="inlineStr">
        <is>
          <t>431711</t>
        </is>
      </c>
      <c r="C74" s="38" t="inlineStr">
        <is>
          <t>Vila-seca</t>
        </is>
      </c>
      <c r="D74" s="38" t="inlineStr">
        <is>
          <t>Y036</t>
        </is>
      </c>
      <c r="E74" s="38" t="inlineStr">
        <is>
          <t>36 anys</t>
        </is>
      </c>
      <c r="F74" s="38" t="inlineStr">
        <is>
          <t>36</t>
        </is>
      </c>
      <c r="G74" s="38" t="inlineStr">
        <is>
          <t>M</t>
        </is>
      </c>
      <c r="H74" s="38" t="inlineStr">
        <is>
          <t>184</t>
        </is>
      </c>
      <c r="I74" s="38" t="inlineStr">
        <is>
          <t>https://api.idescat.cat/taules/v2/censph/10/5975/mun/data?lang=ca&amp;YEAR=2021&amp;MUN=431711&amp;SEX=M,F</t>
        </is>
      </c>
    </row>
    <row r="75" ht="15" customHeight="1" s="39">
      <c r="A75" s="38" t="inlineStr">
        <is>
          <t>2021</t>
        </is>
      </c>
      <c r="B75" s="38" t="inlineStr">
        <is>
          <t>431711</t>
        </is>
      </c>
      <c r="C75" s="38" t="inlineStr">
        <is>
          <t>Vila-seca</t>
        </is>
      </c>
      <c r="D75" s="38" t="inlineStr">
        <is>
          <t>Y036</t>
        </is>
      </c>
      <c r="E75" s="38" t="inlineStr">
        <is>
          <t>36 anys</t>
        </is>
      </c>
      <c r="F75" s="38" t="inlineStr">
        <is>
          <t>36</t>
        </is>
      </c>
      <c r="G75" s="38" t="inlineStr">
        <is>
          <t>F</t>
        </is>
      </c>
      <c r="H75" s="38" t="inlineStr">
        <is>
          <t>192</t>
        </is>
      </c>
      <c r="I75" s="38" t="inlineStr">
        <is>
          <t>https://api.idescat.cat/taules/v2/censph/10/5975/mun/data?lang=ca&amp;YEAR=2021&amp;MUN=431711&amp;SEX=M,F</t>
        </is>
      </c>
    </row>
    <row r="76" ht="15" customHeight="1" s="39">
      <c r="A76" s="38" t="inlineStr">
        <is>
          <t>2021</t>
        </is>
      </c>
      <c r="B76" s="38" t="inlineStr">
        <is>
          <t>431711</t>
        </is>
      </c>
      <c r="C76" s="38" t="inlineStr">
        <is>
          <t>Vila-seca</t>
        </is>
      </c>
      <c r="D76" s="38" t="inlineStr">
        <is>
          <t>Y037</t>
        </is>
      </c>
      <c r="E76" s="38" t="inlineStr">
        <is>
          <t>37 anys</t>
        </is>
      </c>
      <c r="F76" s="38" t="inlineStr">
        <is>
          <t>37</t>
        </is>
      </c>
      <c r="G76" s="38" t="inlineStr">
        <is>
          <t>M</t>
        </is>
      </c>
      <c r="H76" s="38" t="inlineStr">
        <is>
          <t>193</t>
        </is>
      </c>
      <c r="I76" s="38" t="inlineStr">
        <is>
          <t>https://api.idescat.cat/taules/v2/censph/10/5975/mun/data?lang=ca&amp;YEAR=2021&amp;MUN=431711&amp;SEX=M,F</t>
        </is>
      </c>
    </row>
    <row r="77" ht="15" customHeight="1" s="39">
      <c r="A77" s="38" t="inlineStr">
        <is>
          <t>2021</t>
        </is>
      </c>
      <c r="B77" s="38" t="inlineStr">
        <is>
          <t>431711</t>
        </is>
      </c>
      <c r="C77" s="38" t="inlineStr">
        <is>
          <t>Vila-seca</t>
        </is>
      </c>
      <c r="D77" s="38" t="inlineStr">
        <is>
          <t>Y037</t>
        </is>
      </c>
      <c r="E77" s="38" t="inlineStr">
        <is>
          <t>37 anys</t>
        </is>
      </c>
      <c r="F77" s="38" t="inlineStr">
        <is>
          <t>37</t>
        </is>
      </c>
      <c r="G77" s="38" t="inlineStr">
        <is>
          <t>F</t>
        </is>
      </c>
      <c r="H77" s="38" t="inlineStr">
        <is>
          <t>197</t>
        </is>
      </c>
      <c r="I77" s="38" t="inlineStr">
        <is>
          <t>https://api.idescat.cat/taules/v2/censph/10/5975/mun/data?lang=ca&amp;YEAR=2021&amp;MUN=431711&amp;SEX=M,F</t>
        </is>
      </c>
    </row>
    <row r="78" ht="15" customHeight="1" s="39">
      <c r="A78" s="38" t="inlineStr">
        <is>
          <t>2021</t>
        </is>
      </c>
      <c r="B78" s="38" t="inlineStr">
        <is>
          <t>431711</t>
        </is>
      </c>
      <c r="C78" s="38" t="inlineStr">
        <is>
          <t>Vila-seca</t>
        </is>
      </c>
      <c r="D78" s="38" t="inlineStr">
        <is>
          <t>Y038</t>
        </is>
      </c>
      <c r="E78" s="38" t="inlineStr">
        <is>
          <t>38 anys</t>
        </is>
      </c>
      <c r="F78" s="38" t="inlineStr">
        <is>
          <t>38</t>
        </is>
      </c>
      <c r="G78" s="38" t="inlineStr">
        <is>
          <t>M</t>
        </is>
      </c>
      <c r="H78" s="38" t="inlineStr">
        <is>
          <t>203</t>
        </is>
      </c>
      <c r="I78" s="38" t="inlineStr">
        <is>
          <t>https://api.idescat.cat/taules/v2/censph/10/5975/mun/data?lang=ca&amp;YEAR=2021&amp;MUN=431711&amp;SEX=M,F</t>
        </is>
      </c>
    </row>
    <row r="79" ht="15" customHeight="1" s="39">
      <c r="A79" s="38" t="inlineStr">
        <is>
          <t>2021</t>
        </is>
      </c>
      <c r="B79" s="38" t="inlineStr">
        <is>
          <t>431711</t>
        </is>
      </c>
      <c r="C79" s="38" t="inlineStr">
        <is>
          <t>Vila-seca</t>
        </is>
      </c>
      <c r="D79" s="38" t="inlineStr">
        <is>
          <t>Y038</t>
        </is>
      </c>
      <c r="E79" s="38" t="inlineStr">
        <is>
          <t>38 anys</t>
        </is>
      </c>
      <c r="F79" s="38" t="inlineStr">
        <is>
          <t>38</t>
        </is>
      </c>
      <c r="G79" s="38" t="inlineStr">
        <is>
          <t>F</t>
        </is>
      </c>
      <c r="H79" s="38" t="inlineStr">
        <is>
          <t>226</t>
        </is>
      </c>
      <c r="I79" s="38" t="inlineStr">
        <is>
          <t>https://api.idescat.cat/taules/v2/censph/10/5975/mun/data?lang=ca&amp;YEAR=2021&amp;MUN=431711&amp;SEX=M,F</t>
        </is>
      </c>
    </row>
    <row r="80" ht="15" customHeight="1" s="39">
      <c r="A80" s="38" t="inlineStr">
        <is>
          <t>2021</t>
        </is>
      </c>
      <c r="B80" s="38" t="inlineStr">
        <is>
          <t>431711</t>
        </is>
      </c>
      <c r="C80" s="38" t="inlineStr">
        <is>
          <t>Vila-seca</t>
        </is>
      </c>
      <c r="D80" s="38" t="inlineStr">
        <is>
          <t>Y039</t>
        </is>
      </c>
      <c r="E80" s="38" t="inlineStr">
        <is>
          <t>39 anys</t>
        </is>
      </c>
      <c r="F80" s="38" t="inlineStr">
        <is>
          <t>39</t>
        </is>
      </c>
      <c r="G80" s="38" t="inlineStr">
        <is>
          <t>M</t>
        </is>
      </c>
      <c r="H80" s="38" t="inlineStr">
        <is>
          <t>226</t>
        </is>
      </c>
      <c r="I80" s="38" t="inlineStr">
        <is>
          <t>https://api.idescat.cat/taules/v2/censph/10/5975/mun/data?lang=ca&amp;YEAR=2021&amp;MUN=431711&amp;SEX=M,F</t>
        </is>
      </c>
    </row>
    <row r="81" ht="15" customHeight="1" s="39">
      <c r="A81" s="38" t="inlineStr">
        <is>
          <t>2021</t>
        </is>
      </c>
      <c r="B81" s="38" t="inlineStr">
        <is>
          <t>431711</t>
        </is>
      </c>
      <c r="C81" s="38" t="inlineStr">
        <is>
          <t>Vila-seca</t>
        </is>
      </c>
      <c r="D81" s="38" t="inlineStr">
        <is>
          <t>Y039</t>
        </is>
      </c>
      <c r="E81" s="38" t="inlineStr">
        <is>
          <t>39 anys</t>
        </is>
      </c>
      <c r="F81" s="38" t="inlineStr">
        <is>
          <t>39</t>
        </is>
      </c>
      <c r="G81" s="38" t="inlineStr">
        <is>
          <t>F</t>
        </is>
      </c>
      <c r="H81" s="38" t="inlineStr">
        <is>
          <t>219</t>
        </is>
      </c>
      <c r="I81" s="38" t="inlineStr">
        <is>
          <t>https://api.idescat.cat/taules/v2/censph/10/5975/mun/data?lang=ca&amp;YEAR=2021&amp;MUN=431711&amp;SEX=M,F</t>
        </is>
      </c>
    </row>
    <row r="82" ht="15" customHeight="1" s="39">
      <c r="A82" s="38" t="inlineStr">
        <is>
          <t>2021</t>
        </is>
      </c>
      <c r="B82" s="38" t="inlineStr">
        <is>
          <t>431711</t>
        </is>
      </c>
      <c r="C82" s="38" t="inlineStr">
        <is>
          <t>Vila-seca</t>
        </is>
      </c>
      <c r="D82" s="38" t="inlineStr">
        <is>
          <t>Y040</t>
        </is>
      </c>
      <c r="E82" s="38" t="inlineStr">
        <is>
          <t>40 anys</t>
        </is>
      </c>
      <c r="F82" s="38" t="inlineStr">
        <is>
          <t>40</t>
        </is>
      </c>
      <c r="G82" s="38" t="inlineStr">
        <is>
          <t>M</t>
        </is>
      </c>
      <c r="H82" s="38" t="inlineStr">
        <is>
          <t>229</t>
        </is>
      </c>
      <c r="I82" s="38" t="inlineStr">
        <is>
          <t>https://api.idescat.cat/taules/v2/censph/10/5975/mun/data?lang=ca&amp;YEAR=2021&amp;MUN=431711&amp;SEX=M,F</t>
        </is>
      </c>
    </row>
    <row r="83" ht="15" customHeight="1" s="39">
      <c r="A83" s="38" t="inlineStr">
        <is>
          <t>2021</t>
        </is>
      </c>
      <c r="B83" s="38" t="inlineStr">
        <is>
          <t>431711</t>
        </is>
      </c>
      <c r="C83" s="38" t="inlineStr">
        <is>
          <t>Vila-seca</t>
        </is>
      </c>
      <c r="D83" s="38" t="inlineStr">
        <is>
          <t>Y040</t>
        </is>
      </c>
      <c r="E83" s="38" t="inlineStr">
        <is>
          <t>40 anys</t>
        </is>
      </c>
      <c r="F83" s="38" t="inlineStr">
        <is>
          <t>40</t>
        </is>
      </c>
      <c r="G83" s="38" t="inlineStr">
        <is>
          <t>F</t>
        </is>
      </c>
      <c r="H83" s="38" t="inlineStr">
        <is>
          <t>249</t>
        </is>
      </c>
      <c r="I83" s="38" t="inlineStr">
        <is>
          <t>https://api.idescat.cat/taules/v2/censph/10/5975/mun/data?lang=ca&amp;YEAR=2021&amp;MUN=431711&amp;SEX=M,F</t>
        </is>
      </c>
    </row>
    <row r="84" ht="15" customHeight="1" s="39">
      <c r="A84" s="38" t="inlineStr">
        <is>
          <t>2021</t>
        </is>
      </c>
      <c r="B84" s="38" t="inlineStr">
        <is>
          <t>431711</t>
        </is>
      </c>
      <c r="C84" s="38" t="inlineStr">
        <is>
          <t>Vila-seca</t>
        </is>
      </c>
      <c r="D84" s="38" t="inlineStr">
        <is>
          <t>Y041</t>
        </is>
      </c>
      <c r="E84" s="38" t="inlineStr">
        <is>
          <t>41 anys</t>
        </is>
      </c>
      <c r="F84" s="38" t="inlineStr">
        <is>
          <t>41</t>
        </is>
      </c>
      <c r="G84" s="38" t="inlineStr">
        <is>
          <t>M</t>
        </is>
      </c>
      <c r="H84" s="38" t="inlineStr">
        <is>
          <t>247</t>
        </is>
      </c>
      <c r="I84" s="38" t="inlineStr">
        <is>
          <t>https://api.idescat.cat/taules/v2/censph/10/5975/mun/data?lang=ca&amp;YEAR=2021&amp;MUN=431711&amp;SEX=M,F</t>
        </is>
      </c>
    </row>
    <row r="85" ht="15" customHeight="1" s="39">
      <c r="A85" s="38" t="inlineStr">
        <is>
          <t>2021</t>
        </is>
      </c>
      <c r="B85" s="38" t="inlineStr">
        <is>
          <t>431711</t>
        </is>
      </c>
      <c r="C85" s="38" t="inlineStr">
        <is>
          <t>Vila-seca</t>
        </is>
      </c>
      <c r="D85" s="38" t="inlineStr">
        <is>
          <t>Y041</t>
        </is>
      </c>
      <c r="E85" s="38" t="inlineStr">
        <is>
          <t>41 anys</t>
        </is>
      </c>
      <c r="F85" s="38" t="inlineStr">
        <is>
          <t>41</t>
        </is>
      </c>
      <c r="G85" s="38" t="inlineStr">
        <is>
          <t>F</t>
        </is>
      </c>
      <c r="H85" s="38" t="inlineStr">
        <is>
          <t>230.0</t>
        </is>
      </c>
      <c r="I85" s="38" t="inlineStr">
        <is>
          <t>https://api.idescat.cat/taules/v2/censph/10/5975/mun/data?lang=ca&amp;YEAR=2021&amp;MUN=431711&amp;SEX=M,F</t>
        </is>
      </c>
    </row>
    <row r="86" ht="15" customHeight="1" s="39">
      <c r="A86" s="38" t="inlineStr">
        <is>
          <t>2021</t>
        </is>
      </c>
      <c r="B86" s="38" t="inlineStr">
        <is>
          <t>431711</t>
        </is>
      </c>
      <c r="C86" s="38" t="inlineStr">
        <is>
          <t>Vila-seca</t>
        </is>
      </c>
      <c r="D86" s="38" t="inlineStr">
        <is>
          <t>Y042</t>
        </is>
      </c>
      <c r="E86" s="38" t="inlineStr">
        <is>
          <t>42 anys</t>
        </is>
      </c>
      <c r="F86" s="38" t="inlineStr">
        <is>
          <t>42</t>
        </is>
      </c>
      <c r="G86" s="38" t="inlineStr">
        <is>
          <t>M</t>
        </is>
      </c>
      <c r="H86" s="38" t="inlineStr">
        <is>
          <t>259</t>
        </is>
      </c>
      <c r="I86" s="38" t="inlineStr">
        <is>
          <t>https://api.idescat.cat/taules/v2/censph/10/5975/mun/data?lang=ca&amp;YEAR=2021&amp;MUN=431711&amp;SEX=M,F</t>
        </is>
      </c>
    </row>
    <row r="87" ht="15" customHeight="1" s="39">
      <c r="A87" s="38" t="inlineStr">
        <is>
          <t>2021</t>
        </is>
      </c>
      <c r="B87" s="38" t="inlineStr">
        <is>
          <t>431711</t>
        </is>
      </c>
      <c r="C87" s="38" t="inlineStr">
        <is>
          <t>Vila-seca</t>
        </is>
      </c>
      <c r="D87" s="38" t="inlineStr">
        <is>
          <t>Y042</t>
        </is>
      </c>
      <c r="E87" s="38" t="inlineStr">
        <is>
          <t>42 anys</t>
        </is>
      </c>
      <c r="F87" s="38" t="inlineStr">
        <is>
          <t>42</t>
        </is>
      </c>
      <c r="G87" s="38" t="inlineStr">
        <is>
          <t>F</t>
        </is>
      </c>
      <c r="H87" s="38" t="inlineStr">
        <is>
          <t>242</t>
        </is>
      </c>
      <c r="I87" s="38" t="inlineStr">
        <is>
          <t>https://api.idescat.cat/taules/v2/censph/10/5975/mun/data?lang=ca&amp;YEAR=2021&amp;MUN=431711&amp;SEX=M,F</t>
        </is>
      </c>
    </row>
    <row r="88" ht="15" customHeight="1" s="39">
      <c r="A88" s="38" t="inlineStr">
        <is>
          <t>2021</t>
        </is>
      </c>
      <c r="B88" s="38" t="inlineStr">
        <is>
          <t>431711</t>
        </is>
      </c>
      <c r="C88" s="38" t="inlineStr">
        <is>
          <t>Vila-seca</t>
        </is>
      </c>
      <c r="D88" s="38" t="inlineStr">
        <is>
          <t>Y043</t>
        </is>
      </c>
      <c r="E88" s="38" t="inlineStr">
        <is>
          <t>43 anys</t>
        </is>
      </c>
      <c r="F88" s="38" t="inlineStr">
        <is>
          <t>43</t>
        </is>
      </c>
      <c r="G88" s="38" t="inlineStr">
        <is>
          <t>M</t>
        </is>
      </c>
      <c r="H88" s="38" t="inlineStr">
        <is>
          <t>274</t>
        </is>
      </c>
      <c r="I88" s="38" t="inlineStr">
        <is>
          <t>https://api.idescat.cat/taules/v2/censph/10/5975/mun/data?lang=ca&amp;YEAR=2021&amp;MUN=431711&amp;SEX=M,F</t>
        </is>
      </c>
    </row>
    <row r="89" ht="15" customHeight="1" s="39">
      <c r="A89" s="38" t="inlineStr">
        <is>
          <t>2021</t>
        </is>
      </c>
      <c r="B89" s="38" t="inlineStr">
        <is>
          <t>431711</t>
        </is>
      </c>
      <c r="C89" s="38" t="inlineStr">
        <is>
          <t>Vila-seca</t>
        </is>
      </c>
      <c r="D89" s="38" t="inlineStr">
        <is>
          <t>Y043</t>
        </is>
      </c>
      <c r="E89" s="38" t="inlineStr">
        <is>
          <t>43 anys</t>
        </is>
      </c>
      <c r="F89" s="38" t="inlineStr">
        <is>
          <t>43</t>
        </is>
      </c>
      <c r="G89" s="38" t="inlineStr">
        <is>
          <t>F</t>
        </is>
      </c>
      <c r="H89" s="38" t="inlineStr">
        <is>
          <t>227</t>
        </is>
      </c>
      <c r="I89" s="38" t="inlineStr">
        <is>
          <t>https://api.idescat.cat/taules/v2/censph/10/5975/mun/data?lang=ca&amp;YEAR=2021&amp;MUN=431711&amp;SEX=M,F</t>
        </is>
      </c>
    </row>
    <row r="90" ht="15" customHeight="1" s="39">
      <c r="A90" s="38" t="inlineStr">
        <is>
          <t>2021</t>
        </is>
      </c>
      <c r="B90" s="38" t="inlineStr">
        <is>
          <t>431711</t>
        </is>
      </c>
      <c r="C90" s="38" t="inlineStr">
        <is>
          <t>Vila-seca</t>
        </is>
      </c>
      <c r="D90" s="38" t="inlineStr">
        <is>
          <t>Y044</t>
        </is>
      </c>
      <c r="E90" s="38" t="inlineStr">
        <is>
          <t>44 anys</t>
        </is>
      </c>
      <c r="F90" s="38" t="inlineStr">
        <is>
          <t>44</t>
        </is>
      </c>
      <c r="G90" s="38" t="inlineStr">
        <is>
          <t>M</t>
        </is>
      </c>
      <c r="H90" s="38" t="inlineStr">
        <is>
          <t>242</t>
        </is>
      </c>
      <c r="I90" s="38" t="inlineStr">
        <is>
          <t>https://api.idescat.cat/taules/v2/censph/10/5975/mun/data?lang=ca&amp;YEAR=2021&amp;MUN=431711&amp;SEX=M,F</t>
        </is>
      </c>
    </row>
    <row r="91" ht="15" customHeight="1" s="39">
      <c r="A91" s="38" t="inlineStr">
        <is>
          <t>2021</t>
        </is>
      </c>
      <c r="B91" s="38" t="inlineStr">
        <is>
          <t>431711</t>
        </is>
      </c>
      <c r="C91" s="38" t="inlineStr">
        <is>
          <t>Vila-seca</t>
        </is>
      </c>
      <c r="D91" s="38" t="inlineStr">
        <is>
          <t>Y044</t>
        </is>
      </c>
      <c r="E91" s="38" t="inlineStr">
        <is>
          <t>44 anys</t>
        </is>
      </c>
      <c r="F91" s="38" t="inlineStr">
        <is>
          <t>44</t>
        </is>
      </c>
      <c r="G91" s="38" t="inlineStr">
        <is>
          <t>F</t>
        </is>
      </c>
      <c r="H91" s="38" t="inlineStr">
        <is>
          <t>255</t>
        </is>
      </c>
      <c r="I91" s="38" t="inlineStr">
        <is>
          <t>https://api.idescat.cat/taules/v2/censph/10/5975/mun/data?lang=ca&amp;YEAR=2021&amp;MUN=431711&amp;SEX=M,F</t>
        </is>
      </c>
    </row>
    <row r="92" ht="15" customHeight="1" s="39">
      <c r="A92" s="38" t="inlineStr">
        <is>
          <t>2021</t>
        </is>
      </c>
      <c r="B92" s="38" t="inlineStr">
        <is>
          <t>431711</t>
        </is>
      </c>
      <c r="C92" s="38" t="inlineStr">
        <is>
          <t>Vila-seca</t>
        </is>
      </c>
      <c r="D92" s="38" t="inlineStr">
        <is>
          <t>Y045</t>
        </is>
      </c>
      <c r="E92" s="38" t="inlineStr">
        <is>
          <t>45 anys</t>
        </is>
      </c>
      <c r="F92" s="38" t="inlineStr">
        <is>
          <t>45</t>
        </is>
      </c>
      <c r="G92" s="38" t="inlineStr">
        <is>
          <t>M</t>
        </is>
      </c>
      <c r="H92" s="38" t="inlineStr">
        <is>
          <t>242</t>
        </is>
      </c>
      <c r="I92" s="38" t="inlineStr">
        <is>
          <t>https://api.idescat.cat/taules/v2/censph/10/5975/mun/data?lang=ca&amp;YEAR=2021&amp;MUN=431711&amp;SEX=M,F</t>
        </is>
      </c>
    </row>
    <row r="93" ht="15" customHeight="1" s="39">
      <c r="A93" s="38" t="inlineStr">
        <is>
          <t>2021</t>
        </is>
      </c>
      <c r="B93" s="38" t="inlineStr">
        <is>
          <t>431711</t>
        </is>
      </c>
      <c r="C93" s="38" t="inlineStr">
        <is>
          <t>Vila-seca</t>
        </is>
      </c>
      <c r="D93" s="38" t="inlineStr">
        <is>
          <t>Y045</t>
        </is>
      </c>
      <c r="E93" s="38" t="inlineStr">
        <is>
          <t>45 anys</t>
        </is>
      </c>
      <c r="F93" s="38" t="inlineStr">
        <is>
          <t>45</t>
        </is>
      </c>
      <c r="G93" s="38" t="inlineStr">
        <is>
          <t>F</t>
        </is>
      </c>
      <c r="H93" s="38" t="inlineStr">
        <is>
          <t>197</t>
        </is>
      </c>
      <c r="I93" s="38" t="inlineStr">
        <is>
          <t>https://api.idescat.cat/taules/v2/censph/10/5975/mun/data?lang=ca&amp;YEAR=2021&amp;MUN=431711&amp;SEX=M,F</t>
        </is>
      </c>
    </row>
    <row r="94" ht="15" customHeight="1" s="39">
      <c r="A94" s="38" t="inlineStr">
        <is>
          <t>2021</t>
        </is>
      </c>
      <c r="B94" s="38" t="inlineStr">
        <is>
          <t>431711</t>
        </is>
      </c>
      <c r="C94" s="38" t="inlineStr">
        <is>
          <t>Vila-seca</t>
        </is>
      </c>
      <c r="D94" s="38" t="inlineStr">
        <is>
          <t>Y046</t>
        </is>
      </c>
      <c r="E94" s="38" t="inlineStr">
        <is>
          <t>46 anys</t>
        </is>
      </c>
      <c r="F94" s="38" t="inlineStr">
        <is>
          <t>46</t>
        </is>
      </c>
      <c r="G94" s="38" t="inlineStr">
        <is>
          <t>M</t>
        </is>
      </c>
      <c r="H94" s="38" t="inlineStr">
        <is>
          <t>216</t>
        </is>
      </c>
      <c r="I94" s="38" t="inlineStr">
        <is>
          <t>https://api.idescat.cat/taules/v2/censph/10/5975/mun/data?lang=ca&amp;YEAR=2021&amp;MUN=431711&amp;SEX=M,F</t>
        </is>
      </c>
    </row>
    <row r="95" ht="15" customHeight="1" s="39">
      <c r="A95" s="38" t="inlineStr">
        <is>
          <t>2021</t>
        </is>
      </c>
      <c r="B95" s="38" t="inlineStr">
        <is>
          <t>431711</t>
        </is>
      </c>
      <c r="C95" s="38" t="inlineStr">
        <is>
          <t>Vila-seca</t>
        </is>
      </c>
      <c r="D95" s="38" t="inlineStr">
        <is>
          <t>Y046</t>
        </is>
      </c>
      <c r="E95" s="38" t="inlineStr">
        <is>
          <t>46 anys</t>
        </is>
      </c>
      <c r="F95" s="38" t="inlineStr">
        <is>
          <t>46</t>
        </is>
      </c>
      <c r="G95" s="38" t="inlineStr">
        <is>
          <t>F</t>
        </is>
      </c>
      <c r="H95" s="38" t="inlineStr">
        <is>
          <t>195</t>
        </is>
      </c>
      <c r="I95" s="38" t="inlineStr">
        <is>
          <t>https://api.idescat.cat/taules/v2/censph/10/5975/mun/data?lang=ca&amp;YEAR=2021&amp;MUN=431711&amp;SEX=M,F</t>
        </is>
      </c>
    </row>
    <row r="96" ht="15" customHeight="1" s="39">
      <c r="A96" s="38" t="inlineStr">
        <is>
          <t>2021</t>
        </is>
      </c>
      <c r="B96" s="38" t="inlineStr">
        <is>
          <t>431711</t>
        </is>
      </c>
      <c r="C96" s="38" t="inlineStr">
        <is>
          <t>Vila-seca</t>
        </is>
      </c>
      <c r="D96" s="38" t="inlineStr">
        <is>
          <t>Y047</t>
        </is>
      </c>
      <c r="E96" s="38" t="inlineStr">
        <is>
          <t>47 anys</t>
        </is>
      </c>
      <c r="F96" s="38" t="inlineStr">
        <is>
          <t>47</t>
        </is>
      </c>
      <c r="G96" s="38" t="inlineStr">
        <is>
          <t>M</t>
        </is>
      </c>
      <c r="H96" s="38" t="inlineStr">
        <is>
          <t>231</t>
        </is>
      </c>
      <c r="I96" s="38" t="inlineStr">
        <is>
          <t>https://api.idescat.cat/taules/v2/censph/10/5975/mun/data?lang=ca&amp;YEAR=2021&amp;MUN=431711&amp;SEX=M,F</t>
        </is>
      </c>
    </row>
    <row r="97" ht="15" customHeight="1" s="39">
      <c r="A97" s="38" t="inlineStr">
        <is>
          <t>2021</t>
        </is>
      </c>
      <c r="B97" s="38" t="inlineStr">
        <is>
          <t>431711</t>
        </is>
      </c>
      <c r="C97" s="38" t="inlineStr">
        <is>
          <t>Vila-seca</t>
        </is>
      </c>
      <c r="D97" s="38" t="inlineStr">
        <is>
          <t>Y047</t>
        </is>
      </c>
      <c r="E97" s="38" t="inlineStr">
        <is>
          <t>47 anys</t>
        </is>
      </c>
      <c r="F97" s="38" t="inlineStr">
        <is>
          <t>47</t>
        </is>
      </c>
      <c r="G97" s="38" t="inlineStr">
        <is>
          <t>F</t>
        </is>
      </c>
      <c r="H97" s="38" t="inlineStr">
        <is>
          <t>171</t>
        </is>
      </c>
      <c r="I97" s="38" t="inlineStr">
        <is>
          <t>https://api.idescat.cat/taules/v2/censph/10/5975/mun/data?lang=ca&amp;YEAR=2021&amp;MUN=431711&amp;SEX=M,F</t>
        </is>
      </c>
    </row>
    <row r="98" ht="15" customHeight="1" s="39">
      <c r="A98" s="38" t="inlineStr">
        <is>
          <t>2021</t>
        </is>
      </c>
      <c r="B98" s="38" t="inlineStr">
        <is>
          <t>431711</t>
        </is>
      </c>
      <c r="C98" s="38" t="inlineStr">
        <is>
          <t>Vila-seca</t>
        </is>
      </c>
      <c r="D98" s="38" t="inlineStr">
        <is>
          <t>Y048</t>
        </is>
      </c>
      <c r="E98" s="38" t="inlineStr">
        <is>
          <t>48 anys</t>
        </is>
      </c>
      <c r="F98" s="38" t="inlineStr">
        <is>
          <t>48</t>
        </is>
      </c>
      <c r="G98" s="38" t="inlineStr">
        <is>
          <t>M</t>
        </is>
      </c>
      <c r="H98" s="38" t="inlineStr">
        <is>
          <t>196</t>
        </is>
      </c>
      <c r="I98" s="38" t="inlineStr">
        <is>
          <t>https://api.idescat.cat/taules/v2/censph/10/5975/mun/data?lang=ca&amp;YEAR=2021&amp;MUN=431711&amp;SEX=M,F</t>
        </is>
      </c>
    </row>
    <row r="99" ht="15" customHeight="1" s="39">
      <c r="A99" s="38" t="inlineStr">
        <is>
          <t>2021</t>
        </is>
      </c>
      <c r="B99" s="38" t="inlineStr">
        <is>
          <t>431711</t>
        </is>
      </c>
      <c r="C99" s="38" t="inlineStr">
        <is>
          <t>Vila-seca</t>
        </is>
      </c>
      <c r="D99" s="38" t="inlineStr">
        <is>
          <t>Y048</t>
        </is>
      </c>
      <c r="E99" s="38" t="inlineStr">
        <is>
          <t>48 anys</t>
        </is>
      </c>
      <c r="F99" s="38" t="inlineStr">
        <is>
          <t>48</t>
        </is>
      </c>
      <c r="G99" s="38" t="inlineStr">
        <is>
          <t>F</t>
        </is>
      </c>
      <c r="H99" s="38" t="inlineStr">
        <is>
          <t>163</t>
        </is>
      </c>
      <c r="I99" s="38" t="inlineStr">
        <is>
          <t>https://api.idescat.cat/taules/v2/censph/10/5975/mun/data?lang=ca&amp;YEAR=2021&amp;MUN=431711&amp;SEX=M,F</t>
        </is>
      </c>
    </row>
    <row r="100" ht="15" customHeight="1" s="39">
      <c r="A100" s="38" t="inlineStr">
        <is>
          <t>2021</t>
        </is>
      </c>
      <c r="B100" s="38" t="inlineStr">
        <is>
          <t>431711</t>
        </is>
      </c>
      <c r="C100" s="38" t="inlineStr">
        <is>
          <t>Vila-seca</t>
        </is>
      </c>
      <c r="D100" s="38" t="inlineStr">
        <is>
          <t>Y049</t>
        </is>
      </c>
      <c r="E100" s="38" t="inlineStr">
        <is>
          <t>49 anys</t>
        </is>
      </c>
      <c r="F100" s="38" t="inlineStr">
        <is>
          <t>49</t>
        </is>
      </c>
      <c r="G100" s="38" t="inlineStr">
        <is>
          <t>M</t>
        </is>
      </c>
      <c r="H100" s="38" t="inlineStr">
        <is>
          <t>187</t>
        </is>
      </c>
      <c r="I100" s="38" t="inlineStr">
        <is>
          <t>https://api.idescat.cat/taules/v2/censph/10/5975/mun/data?lang=ca&amp;YEAR=2021&amp;MUN=431711&amp;SEX=M,F</t>
        </is>
      </c>
    </row>
    <row r="101" ht="15" customHeight="1" s="39">
      <c r="A101" s="38" t="inlineStr">
        <is>
          <t>2021</t>
        </is>
      </c>
      <c r="B101" s="38" t="inlineStr">
        <is>
          <t>431711</t>
        </is>
      </c>
      <c r="C101" s="38" t="inlineStr">
        <is>
          <t>Vila-seca</t>
        </is>
      </c>
      <c r="D101" s="38" t="inlineStr">
        <is>
          <t>Y049</t>
        </is>
      </c>
      <c r="E101" s="38" t="inlineStr">
        <is>
          <t>49 anys</t>
        </is>
      </c>
      <c r="F101" s="38" t="inlineStr">
        <is>
          <t>49</t>
        </is>
      </c>
      <c r="G101" s="38" t="inlineStr">
        <is>
          <t>F</t>
        </is>
      </c>
      <c r="H101" s="38" t="inlineStr">
        <is>
          <t>154</t>
        </is>
      </c>
      <c r="I101" s="38" t="inlineStr">
        <is>
          <t>https://api.idescat.cat/taules/v2/censph/10/5975/mun/data?lang=ca&amp;YEAR=2021&amp;MUN=431711&amp;SEX=M,F</t>
        </is>
      </c>
    </row>
    <row r="102" ht="15" customHeight="1" s="39">
      <c r="A102" s="38" t="inlineStr">
        <is>
          <t>2021</t>
        </is>
      </c>
      <c r="B102" s="38" t="inlineStr">
        <is>
          <t>431711</t>
        </is>
      </c>
      <c r="C102" s="38" t="inlineStr">
        <is>
          <t>Vila-seca</t>
        </is>
      </c>
      <c r="D102" s="38" t="inlineStr">
        <is>
          <t>Y050</t>
        </is>
      </c>
      <c r="E102" s="38" t="inlineStr">
        <is>
          <t>50 anys</t>
        </is>
      </c>
      <c r="F102" s="38" t="inlineStr">
        <is>
          <t>50</t>
        </is>
      </c>
      <c r="G102" s="38" t="inlineStr">
        <is>
          <t>M</t>
        </is>
      </c>
      <c r="H102" s="38" t="inlineStr">
        <is>
          <t>176</t>
        </is>
      </c>
      <c r="I102" s="38" t="inlineStr">
        <is>
          <t>https://api.idescat.cat/taules/v2/censph/10/5975/mun/data?lang=ca&amp;YEAR=2021&amp;MUN=431711&amp;SEX=M,F</t>
        </is>
      </c>
    </row>
    <row r="103" ht="15" customHeight="1" s="39">
      <c r="A103" s="38" t="inlineStr">
        <is>
          <t>2021</t>
        </is>
      </c>
      <c r="B103" s="38" t="inlineStr">
        <is>
          <t>431711</t>
        </is>
      </c>
      <c r="C103" s="38" t="inlineStr">
        <is>
          <t>Vila-seca</t>
        </is>
      </c>
      <c r="D103" s="38" t="inlineStr">
        <is>
          <t>Y050</t>
        </is>
      </c>
      <c r="E103" s="38" t="inlineStr">
        <is>
          <t>50 anys</t>
        </is>
      </c>
      <c r="F103" s="38" t="inlineStr">
        <is>
          <t>50</t>
        </is>
      </c>
      <c r="G103" s="38" t="inlineStr">
        <is>
          <t>F</t>
        </is>
      </c>
      <c r="H103" s="38" t="inlineStr">
        <is>
          <t>149</t>
        </is>
      </c>
      <c r="I103" s="38" t="inlineStr">
        <is>
          <t>https://api.idescat.cat/taules/v2/censph/10/5975/mun/data?lang=ca&amp;YEAR=2021&amp;MUN=431711&amp;SEX=M,F</t>
        </is>
      </c>
    </row>
    <row r="104" ht="15" customHeight="1" s="39">
      <c r="A104" s="38" t="inlineStr">
        <is>
          <t>2021</t>
        </is>
      </c>
      <c r="B104" s="38" t="inlineStr">
        <is>
          <t>431711</t>
        </is>
      </c>
      <c r="C104" s="38" t="inlineStr">
        <is>
          <t>Vila-seca</t>
        </is>
      </c>
      <c r="D104" s="38" t="inlineStr">
        <is>
          <t>Y051</t>
        </is>
      </c>
      <c r="E104" s="38" t="inlineStr">
        <is>
          <t>51 anys</t>
        </is>
      </c>
      <c r="F104" s="38" t="inlineStr">
        <is>
          <t>51</t>
        </is>
      </c>
      <c r="G104" s="38" t="inlineStr">
        <is>
          <t>M</t>
        </is>
      </c>
      <c r="H104" s="38" t="inlineStr">
        <is>
          <t>176</t>
        </is>
      </c>
      <c r="I104" s="38" t="inlineStr">
        <is>
          <t>https://api.idescat.cat/taules/v2/censph/10/5975/mun/data?lang=ca&amp;YEAR=2021&amp;MUN=431711&amp;SEX=M,F</t>
        </is>
      </c>
    </row>
    <row r="105" ht="15" customHeight="1" s="39">
      <c r="A105" s="38" t="inlineStr">
        <is>
          <t>2021</t>
        </is>
      </c>
      <c r="B105" s="38" t="inlineStr">
        <is>
          <t>431711</t>
        </is>
      </c>
      <c r="C105" s="38" t="inlineStr">
        <is>
          <t>Vila-seca</t>
        </is>
      </c>
      <c r="D105" s="38" t="inlineStr">
        <is>
          <t>Y051</t>
        </is>
      </c>
      <c r="E105" s="38" t="inlineStr">
        <is>
          <t>51 anys</t>
        </is>
      </c>
      <c r="F105" s="38" t="inlineStr">
        <is>
          <t>51</t>
        </is>
      </c>
      <c r="G105" s="38" t="inlineStr">
        <is>
          <t>F</t>
        </is>
      </c>
      <c r="H105" s="38" t="inlineStr">
        <is>
          <t>150.0</t>
        </is>
      </c>
      <c r="I105" s="38" t="inlineStr">
        <is>
          <t>https://api.idescat.cat/taules/v2/censph/10/5975/mun/data?lang=ca&amp;YEAR=2021&amp;MUN=431711&amp;SEX=M,F</t>
        </is>
      </c>
    </row>
    <row r="106" ht="15" customHeight="1" s="39">
      <c r="A106" s="38" t="inlineStr">
        <is>
          <t>2021</t>
        </is>
      </c>
      <c r="B106" s="38" t="inlineStr">
        <is>
          <t>431711</t>
        </is>
      </c>
      <c r="C106" s="38" t="inlineStr">
        <is>
          <t>Vila-seca</t>
        </is>
      </c>
      <c r="D106" s="38" t="inlineStr">
        <is>
          <t>Y052</t>
        </is>
      </c>
      <c r="E106" s="38" t="inlineStr">
        <is>
          <t>52 anys</t>
        </is>
      </c>
      <c r="F106" s="38" t="inlineStr">
        <is>
          <t>52</t>
        </is>
      </c>
      <c r="G106" s="38" t="inlineStr">
        <is>
          <t>M</t>
        </is>
      </c>
      <c r="H106" s="38" t="inlineStr">
        <is>
          <t>143</t>
        </is>
      </c>
      <c r="I106" s="38" t="inlineStr">
        <is>
          <t>https://api.idescat.cat/taules/v2/censph/10/5975/mun/data?lang=ca&amp;YEAR=2021&amp;MUN=431711&amp;SEX=M,F</t>
        </is>
      </c>
    </row>
    <row r="107" ht="15" customHeight="1" s="39">
      <c r="A107" s="38" t="inlineStr">
        <is>
          <t>2021</t>
        </is>
      </c>
      <c r="B107" s="38" t="inlineStr">
        <is>
          <t>431711</t>
        </is>
      </c>
      <c r="C107" s="38" t="inlineStr">
        <is>
          <t>Vila-seca</t>
        </is>
      </c>
      <c r="D107" s="38" t="inlineStr">
        <is>
          <t>Y052</t>
        </is>
      </c>
      <c r="E107" s="38" t="inlineStr">
        <is>
          <t>52 anys</t>
        </is>
      </c>
      <c r="F107" s="38" t="inlineStr">
        <is>
          <t>52</t>
        </is>
      </c>
      <c r="G107" s="38" t="inlineStr">
        <is>
          <t>F</t>
        </is>
      </c>
      <c r="H107" s="38" t="inlineStr">
        <is>
          <t>139</t>
        </is>
      </c>
      <c r="I107" s="38" t="inlineStr">
        <is>
          <t>https://api.idescat.cat/taules/v2/censph/10/5975/mun/data?lang=ca&amp;YEAR=2021&amp;MUN=431711&amp;SEX=M,F</t>
        </is>
      </c>
    </row>
    <row r="108" ht="15" customHeight="1" s="39">
      <c r="A108" s="38" t="inlineStr">
        <is>
          <t>2021</t>
        </is>
      </c>
      <c r="B108" s="38" t="inlineStr">
        <is>
          <t>431711</t>
        </is>
      </c>
      <c r="C108" s="38" t="inlineStr">
        <is>
          <t>Vila-seca</t>
        </is>
      </c>
      <c r="D108" s="38" t="inlineStr">
        <is>
          <t>Y053</t>
        </is>
      </c>
      <c r="E108" s="38" t="inlineStr">
        <is>
          <t>53 anys</t>
        </is>
      </c>
      <c r="F108" s="38" t="inlineStr">
        <is>
          <t>53</t>
        </is>
      </c>
      <c r="G108" s="38" t="inlineStr">
        <is>
          <t>M</t>
        </is>
      </c>
      <c r="H108" s="38" t="inlineStr">
        <is>
          <t>163</t>
        </is>
      </c>
      <c r="I108" s="38" t="inlineStr">
        <is>
          <t>https://api.idescat.cat/taules/v2/censph/10/5975/mun/data?lang=ca&amp;YEAR=2021&amp;MUN=431711&amp;SEX=M,F</t>
        </is>
      </c>
    </row>
    <row r="109" ht="15" customHeight="1" s="39">
      <c r="A109" s="38" t="inlineStr">
        <is>
          <t>2021</t>
        </is>
      </c>
      <c r="B109" s="38" t="inlineStr">
        <is>
          <t>431711</t>
        </is>
      </c>
      <c r="C109" s="38" t="inlineStr">
        <is>
          <t>Vila-seca</t>
        </is>
      </c>
      <c r="D109" s="38" t="inlineStr">
        <is>
          <t>Y053</t>
        </is>
      </c>
      <c r="E109" s="38" t="inlineStr">
        <is>
          <t>53 anys</t>
        </is>
      </c>
      <c r="F109" s="38" t="inlineStr">
        <is>
          <t>53</t>
        </is>
      </c>
      <c r="G109" s="38" t="inlineStr">
        <is>
          <t>F</t>
        </is>
      </c>
      <c r="H109" s="38" t="inlineStr">
        <is>
          <t>137</t>
        </is>
      </c>
      <c r="I109" s="38" t="inlineStr">
        <is>
          <t>https://api.idescat.cat/taules/v2/censph/10/5975/mun/data?lang=ca&amp;YEAR=2021&amp;MUN=431711&amp;SEX=M,F</t>
        </is>
      </c>
    </row>
    <row r="110" ht="15" customHeight="1" s="39">
      <c r="A110" s="38" t="inlineStr">
        <is>
          <t>2021</t>
        </is>
      </c>
      <c r="B110" s="38" t="inlineStr">
        <is>
          <t>431711</t>
        </is>
      </c>
      <c r="C110" s="38" t="inlineStr">
        <is>
          <t>Vila-seca</t>
        </is>
      </c>
      <c r="D110" s="38" t="inlineStr">
        <is>
          <t>Y054</t>
        </is>
      </c>
      <c r="E110" s="38" t="inlineStr">
        <is>
          <t>54 anys</t>
        </is>
      </c>
      <c r="F110" s="38" t="inlineStr">
        <is>
          <t>54</t>
        </is>
      </c>
      <c r="G110" s="38" t="inlineStr">
        <is>
          <t>M</t>
        </is>
      </c>
      <c r="H110" s="38" t="inlineStr">
        <is>
          <t>172</t>
        </is>
      </c>
      <c r="I110" s="38" t="inlineStr">
        <is>
          <t>https://api.idescat.cat/taules/v2/censph/10/5975/mun/data?lang=ca&amp;YEAR=2021&amp;MUN=431711&amp;SEX=M,F</t>
        </is>
      </c>
    </row>
    <row r="111" ht="15" customHeight="1" s="39">
      <c r="A111" s="38" t="inlineStr">
        <is>
          <t>2021</t>
        </is>
      </c>
      <c r="B111" s="38" t="inlineStr">
        <is>
          <t>431711</t>
        </is>
      </c>
      <c r="C111" s="38" t="inlineStr">
        <is>
          <t>Vila-seca</t>
        </is>
      </c>
      <c r="D111" s="38" t="inlineStr">
        <is>
          <t>Y054</t>
        </is>
      </c>
      <c r="E111" s="38" t="inlineStr">
        <is>
          <t>54 anys</t>
        </is>
      </c>
      <c r="F111" s="38" t="inlineStr">
        <is>
          <t>54</t>
        </is>
      </c>
      <c r="G111" s="38" t="inlineStr">
        <is>
          <t>F</t>
        </is>
      </c>
      <c r="H111" s="38" t="inlineStr">
        <is>
          <t>151</t>
        </is>
      </c>
      <c r="I111" s="38" t="inlineStr">
        <is>
          <t>https://api.idescat.cat/taules/v2/censph/10/5975/mun/data?lang=ca&amp;YEAR=2021&amp;MUN=431711&amp;SEX=M,F</t>
        </is>
      </c>
    </row>
    <row r="112" ht="15" customHeight="1" s="39">
      <c r="A112" s="38" t="inlineStr">
        <is>
          <t>2021</t>
        </is>
      </c>
      <c r="B112" s="38" t="inlineStr">
        <is>
          <t>431711</t>
        </is>
      </c>
      <c r="C112" s="38" t="inlineStr">
        <is>
          <t>Vila-seca</t>
        </is>
      </c>
      <c r="D112" s="38" t="inlineStr">
        <is>
          <t>Y055</t>
        </is>
      </c>
      <c r="E112" s="38" t="inlineStr">
        <is>
          <t>55 anys</t>
        </is>
      </c>
      <c r="F112" s="38" t="inlineStr">
        <is>
          <t>55</t>
        </is>
      </c>
      <c r="G112" s="38" t="inlineStr">
        <is>
          <t>M</t>
        </is>
      </c>
      <c r="H112" s="38" t="inlineStr">
        <is>
          <t>157</t>
        </is>
      </c>
      <c r="I112" s="38" t="inlineStr">
        <is>
          <t>https://api.idescat.cat/taules/v2/censph/10/5975/mun/data?lang=ca&amp;YEAR=2021&amp;MUN=431711&amp;SEX=M,F</t>
        </is>
      </c>
    </row>
    <row r="113" ht="15" customHeight="1" s="39">
      <c r="A113" s="38" t="inlineStr">
        <is>
          <t>2021</t>
        </is>
      </c>
      <c r="B113" s="38" t="inlineStr">
        <is>
          <t>431711</t>
        </is>
      </c>
      <c r="C113" s="38" t="inlineStr">
        <is>
          <t>Vila-seca</t>
        </is>
      </c>
      <c r="D113" s="38" t="inlineStr">
        <is>
          <t>Y055</t>
        </is>
      </c>
      <c r="E113" s="38" t="inlineStr">
        <is>
          <t>55 anys</t>
        </is>
      </c>
      <c r="F113" s="38" t="inlineStr">
        <is>
          <t>55</t>
        </is>
      </c>
      <c r="G113" s="38" t="inlineStr">
        <is>
          <t>F</t>
        </is>
      </c>
      <c r="H113" s="38" t="inlineStr">
        <is>
          <t>132</t>
        </is>
      </c>
      <c r="I113" s="38" t="inlineStr">
        <is>
          <t>https://api.idescat.cat/taules/v2/censph/10/5975/mun/data?lang=ca&amp;YEAR=2021&amp;MUN=431711&amp;SEX=M,F</t>
        </is>
      </c>
    </row>
    <row r="114" ht="15" customHeight="1" s="39">
      <c r="A114" s="38" t="inlineStr">
        <is>
          <t>2021</t>
        </is>
      </c>
      <c r="B114" s="38" t="inlineStr">
        <is>
          <t>431711</t>
        </is>
      </c>
      <c r="C114" s="38" t="inlineStr">
        <is>
          <t>Vila-seca</t>
        </is>
      </c>
      <c r="D114" s="38" t="inlineStr">
        <is>
          <t>Y056</t>
        </is>
      </c>
      <c r="E114" s="38" t="inlineStr">
        <is>
          <t>56 anys</t>
        </is>
      </c>
      <c r="F114" s="38" t="inlineStr">
        <is>
          <t>56</t>
        </is>
      </c>
      <c r="G114" s="38" t="inlineStr">
        <is>
          <t>M</t>
        </is>
      </c>
      <c r="H114" s="38" t="inlineStr">
        <is>
          <t>154</t>
        </is>
      </c>
      <c r="I114" s="38" t="inlineStr">
        <is>
          <t>https://api.idescat.cat/taules/v2/censph/10/5975/mun/data?lang=ca&amp;YEAR=2021&amp;MUN=431711&amp;SEX=M,F</t>
        </is>
      </c>
    </row>
    <row r="115" ht="15" customHeight="1" s="39">
      <c r="A115" s="38" t="inlineStr">
        <is>
          <t>2021</t>
        </is>
      </c>
      <c r="B115" s="38" t="inlineStr">
        <is>
          <t>431711</t>
        </is>
      </c>
      <c r="C115" s="38" t="inlineStr">
        <is>
          <t>Vila-seca</t>
        </is>
      </c>
      <c r="D115" s="38" t="inlineStr">
        <is>
          <t>Y056</t>
        </is>
      </c>
      <c r="E115" s="38" t="inlineStr">
        <is>
          <t>56 anys</t>
        </is>
      </c>
      <c r="F115" s="38" t="inlineStr">
        <is>
          <t>56</t>
        </is>
      </c>
      <c r="G115" s="38" t="inlineStr">
        <is>
          <t>F</t>
        </is>
      </c>
      <c r="H115" s="38" t="inlineStr">
        <is>
          <t>153</t>
        </is>
      </c>
      <c r="I115" s="38" t="inlineStr">
        <is>
          <t>https://api.idescat.cat/taules/v2/censph/10/5975/mun/data?lang=ca&amp;YEAR=2021&amp;MUN=431711&amp;SEX=M,F</t>
        </is>
      </c>
    </row>
    <row r="116" ht="15" customHeight="1" s="39">
      <c r="A116" s="38" t="inlineStr">
        <is>
          <t>2021</t>
        </is>
      </c>
      <c r="B116" s="38" t="inlineStr">
        <is>
          <t>431711</t>
        </is>
      </c>
      <c r="C116" s="38" t="inlineStr">
        <is>
          <t>Vila-seca</t>
        </is>
      </c>
      <c r="D116" s="38" t="inlineStr">
        <is>
          <t>Y057</t>
        </is>
      </c>
      <c r="E116" s="38" t="inlineStr">
        <is>
          <t>57 anys</t>
        </is>
      </c>
      <c r="F116" s="38" t="inlineStr">
        <is>
          <t>57</t>
        </is>
      </c>
      <c r="G116" s="38" t="inlineStr">
        <is>
          <t>M</t>
        </is>
      </c>
      <c r="H116" s="38" t="inlineStr">
        <is>
          <t>127</t>
        </is>
      </c>
      <c r="I116" s="38" t="inlineStr">
        <is>
          <t>https://api.idescat.cat/taules/v2/censph/10/5975/mun/data?lang=ca&amp;YEAR=2021&amp;MUN=431711&amp;SEX=M,F</t>
        </is>
      </c>
    </row>
    <row r="117" ht="15" customHeight="1" s="39">
      <c r="A117" s="38" t="inlineStr">
        <is>
          <t>2021</t>
        </is>
      </c>
      <c r="B117" s="38" t="inlineStr">
        <is>
          <t>431711</t>
        </is>
      </c>
      <c r="C117" s="38" t="inlineStr">
        <is>
          <t>Vila-seca</t>
        </is>
      </c>
      <c r="D117" s="38" t="inlineStr">
        <is>
          <t>Y057</t>
        </is>
      </c>
      <c r="E117" s="38" t="inlineStr">
        <is>
          <t>57 anys</t>
        </is>
      </c>
      <c r="F117" s="38" t="inlineStr">
        <is>
          <t>57</t>
        </is>
      </c>
      <c r="G117" s="38" t="inlineStr">
        <is>
          <t>F</t>
        </is>
      </c>
      <c r="H117" s="38" t="inlineStr">
        <is>
          <t>160.0</t>
        </is>
      </c>
      <c r="I117" s="38" t="inlineStr">
        <is>
          <t>https://api.idescat.cat/taules/v2/censph/10/5975/mun/data?lang=ca&amp;YEAR=2021&amp;MUN=431711&amp;SEX=M,F</t>
        </is>
      </c>
    </row>
    <row r="118" ht="15" customHeight="1" s="39">
      <c r="A118" s="38" t="inlineStr">
        <is>
          <t>2021</t>
        </is>
      </c>
      <c r="B118" s="38" t="inlineStr">
        <is>
          <t>431711</t>
        </is>
      </c>
      <c r="C118" s="38" t="inlineStr">
        <is>
          <t>Vila-seca</t>
        </is>
      </c>
      <c r="D118" s="38" t="inlineStr">
        <is>
          <t>Y058</t>
        </is>
      </c>
      <c r="E118" s="38" t="inlineStr">
        <is>
          <t>58 anys</t>
        </is>
      </c>
      <c r="F118" s="38" t="inlineStr">
        <is>
          <t>58</t>
        </is>
      </c>
      <c r="G118" s="38" t="inlineStr">
        <is>
          <t>M</t>
        </is>
      </c>
      <c r="H118" s="38" t="inlineStr">
        <is>
          <t>137</t>
        </is>
      </c>
      <c r="I118" s="38" t="inlineStr">
        <is>
          <t>https://api.idescat.cat/taules/v2/censph/10/5975/mun/data?lang=ca&amp;YEAR=2021&amp;MUN=431711&amp;SEX=M,F</t>
        </is>
      </c>
    </row>
    <row r="119" ht="15" customHeight="1" s="39">
      <c r="A119" s="38" t="inlineStr">
        <is>
          <t>2021</t>
        </is>
      </c>
      <c r="B119" s="38" t="inlineStr">
        <is>
          <t>431711</t>
        </is>
      </c>
      <c r="C119" s="38" t="inlineStr">
        <is>
          <t>Vila-seca</t>
        </is>
      </c>
      <c r="D119" s="38" t="inlineStr">
        <is>
          <t>Y058</t>
        </is>
      </c>
      <c r="E119" s="38" t="inlineStr">
        <is>
          <t>58 anys</t>
        </is>
      </c>
      <c r="F119" s="38" t="inlineStr">
        <is>
          <t>58</t>
        </is>
      </c>
      <c r="G119" s="38" t="inlineStr">
        <is>
          <t>F</t>
        </is>
      </c>
      <c r="H119" s="38" t="inlineStr">
        <is>
          <t>117</t>
        </is>
      </c>
      <c r="I119" s="38" t="inlineStr">
        <is>
          <t>https://api.idescat.cat/taules/v2/censph/10/5975/mun/data?lang=ca&amp;YEAR=2021&amp;MUN=431711&amp;SEX=M,F</t>
        </is>
      </c>
    </row>
    <row r="120" ht="15" customHeight="1" s="39">
      <c r="A120" s="38" t="inlineStr">
        <is>
          <t>2021</t>
        </is>
      </c>
      <c r="B120" s="38" t="inlineStr">
        <is>
          <t>431711</t>
        </is>
      </c>
      <c r="C120" s="38" t="inlineStr">
        <is>
          <t>Vila-seca</t>
        </is>
      </c>
      <c r="D120" s="38" t="inlineStr">
        <is>
          <t>Y059</t>
        </is>
      </c>
      <c r="E120" s="38" t="inlineStr">
        <is>
          <t>59 anys</t>
        </is>
      </c>
      <c r="F120" s="38" t="inlineStr">
        <is>
          <t>59</t>
        </is>
      </c>
      <c r="G120" s="38" t="inlineStr">
        <is>
          <t>M</t>
        </is>
      </c>
      <c r="H120" s="38" t="inlineStr">
        <is>
          <t>114</t>
        </is>
      </c>
      <c r="I120" s="38" t="inlineStr">
        <is>
          <t>https://api.idescat.cat/taules/v2/censph/10/5975/mun/data?lang=ca&amp;YEAR=2021&amp;MUN=431711&amp;SEX=M,F</t>
        </is>
      </c>
    </row>
    <row r="121" ht="15" customHeight="1" s="39">
      <c r="A121" s="38" t="inlineStr">
        <is>
          <t>2021</t>
        </is>
      </c>
      <c r="B121" s="38" t="inlineStr">
        <is>
          <t>431711</t>
        </is>
      </c>
      <c r="C121" s="38" t="inlineStr">
        <is>
          <t>Vila-seca</t>
        </is>
      </c>
      <c r="D121" s="38" t="inlineStr">
        <is>
          <t>Y059</t>
        </is>
      </c>
      <c r="E121" s="38" t="inlineStr">
        <is>
          <t>59 anys</t>
        </is>
      </c>
      <c r="F121" s="38" t="inlineStr">
        <is>
          <t>59</t>
        </is>
      </c>
      <c r="G121" s="38" t="inlineStr">
        <is>
          <t>F</t>
        </is>
      </c>
      <c r="H121" s="38" t="inlineStr">
        <is>
          <t>132</t>
        </is>
      </c>
      <c r="I121" s="38" t="inlineStr">
        <is>
          <t>https://api.idescat.cat/taules/v2/censph/10/5975/mun/data?lang=ca&amp;YEAR=2021&amp;MUN=431711&amp;SEX=M,F</t>
        </is>
      </c>
    </row>
    <row r="122" ht="15" customHeight="1" s="39">
      <c r="A122" s="38" t="inlineStr">
        <is>
          <t>2021</t>
        </is>
      </c>
      <c r="B122" s="38" t="inlineStr">
        <is>
          <t>431711</t>
        </is>
      </c>
      <c r="C122" s="38" t="inlineStr">
        <is>
          <t>Vila-seca</t>
        </is>
      </c>
      <c r="D122" s="38" t="inlineStr">
        <is>
          <t>Y060</t>
        </is>
      </c>
      <c r="E122" s="38" t="inlineStr">
        <is>
          <t>60 anys</t>
        </is>
      </c>
      <c r="F122" s="38" t="inlineStr">
        <is>
          <t>60</t>
        </is>
      </c>
      <c r="G122" s="38" t="inlineStr">
        <is>
          <t>M</t>
        </is>
      </c>
      <c r="H122" s="38" t="inlineStr">
        <is>
          <t>120.0</t>
        </is>
      </c>
      <c r="I122" s="38" t="inlineStr">
        <is>
          <t>https://api.idescat.cat/taules/v2/censph/10/5975/mun/data?lang=ca&amp;YEAR=2021&amp;MUN=431711&amp;SEX=M,F</t>
        </is>
      </c>
    </row>
    <row r="123" ht="15" customHeight="1" s="39">
      <c r="A123" s="38" t="inlineStr">
        <is>
          <t>2021</t>
        </is>
      </c>
      <c r="B123" s="38" t="inlineStr">
        <is>
          <t>431711</t>
        </is>
      </c>
      <c r="C123" s="38" t="inlineStr">
        <is>
          <t>Vila-seca</t>
        </is>
      </c>
      <c r="D123" s="38" t="inlineStr">
        <is>
          <t>Y060</t>
        </is>
      </c>
      <c r="E123" s="38" t="inlineStr">
        <is>
          <t>60 anys</t>
        </is>
      </c>
      <c r="F123" s="38" t="inlineStr">
        <is>
          <t>60</t>
        </is>
      </c>
      <c r="G123" s="38" t="inlineStr">
        <is>
          <t>F</t>
        </is>
      </c>
      <c r="H123" s="38" t="inlineStr">
        <is>
          <t>126</t>
        </is>
      </c>
      <c r="I123" s="38" t="inlineStr">
        <is>
          <t>https://api.idescat.cat/taules/v2/censph/10/5975/mun/data?lang=ca&amp;YEAR=2021&amp;MUN=431711&amp;SEX=M,F</t>
        </is>
      </c>
    </row>
    <row r="124" ht="15" customHeight="1" s="39">
      <c r="A124" s="38" t="inlineStr">
        <is>
          <t>2021</t>
        </is>
      </c>
      <c r="B124" s="38" t="inlineStr">
        <is>
          <t>431711</t>
        </is>
      </c>
      <c r="C124" s="38" t="inlineStr">
        <is>
          <t>Vila-seca</t>
        </is>
      </c>
      <c r="D124" s="38" t="inlineStr">
        <is>
          <t>Y061</t>
        </is>
      </c>
      <c r="E124" s="38" t="inlineStr">
        <is>
          <t>61 anys</t>
        </is>
      </c>
      <c r="F124" s="38" t="inlineStr">
        <is>
          <t>61</t>
        </is>
      </c>
      <c r="G124" s="38" t="inlineStr">
        <is>
          <t>M</t>
        </is>
      </c>
      <c r="H124" s="38" t="inlineStr">
        <is>
          <t>126</t>
        </is>
      </c>
      <c r="I124" s="38" t="inlineStr">
        <is>
          <t>https://api.idescat.cat/taules/v2/censph/10/5975/mun/data?lang=ca&amp;YEAR=2021&amp;MUN=431711&amp;SEX=M,F</t>
        </is>
      </c>
    </row>
    <row r="125" ht="15" customHeight="1" s="39">
      <c r="A125" s="38" t="inlineStr">
        <is>
          <t>2021</t>
        </is>
      </c>
      <c r="B125" s="38" t="inlineStr">
        <is>
          <t>431711</t>
        </is>
      </c>
      <c r="C125" s="38" t="inlineStr">
        <is>
          <t>Vila-seca</t>
        </is>
      </c>
      <c r="D125" s="38" t="inlineStr">
        <is>
          <t>Y061</t>
        </is>
      </c>
      <c r="E125" s="38" t="inlineStr">
        <is>
          <t>61 anys</t>
        </is>
      </c>
      <c r="F125" s="38" t="inlineStr">
        <is>
          <t>61</t>
        </is>
      </c>
      <c r="G125" s="38" t="inlineStr">
        <is>
          <t>F</t>
        </is>
      </c>
      <c r="H125" s="38" t="inlineStr">
        <is>
          <t>119</t>
        </is>
      </c>
      <c r="I125" s="38" t="inlineStr">
        <is>
          <t>https://api.idescat.cat/taules/v2/censph/10/5975/mun/data?lang=ca&amp;YEAR=2021&amp;MUN=431711&amp;SEX=M,F</t>
        </is>
      </c>
    </row>
    <row r="126" ht="15" customHeight="1" s="39">
      <c r="A126" s="38" t="inlineStr">
        <is>
          <t>2021</t>
        </is>
      </c>
      <c r="B126" s="38" t="inlineStr">
        <is>
          <t>431711</t>
        </is>
      </c>
      <c r="C126" s="38" t="inlineStr">
        <is>
          <t>Vila-seca</t>
        </is>
      </c>
      <c r="D126" s="38" t="inlineStr">
        <is>
          <t>Y062</t>
        </is>
      </c>
      <c r="E126" s="38" t="inlineStr">
        <is>
          <t>62 anys</t>
        </is>
      </c>
      <c r="F126" s="38" t="inlineStr">
        <is>
          <t>62</t>
        </is>
      </c>
      <c r="G126" s="38" t="inlineStr">
        <is>
          <t>M</t>
        </is>
      </c>
      <c r="H126" s="38" t="inlineStr">
        <is>
          <t>118</t>
        </is>
      </c>
      <c r="I126" s="38" t="inlineStr">
        <is>
          <t>https://api.idescat.cat/taules/v2/censph/10/5975/mun/data?lang=ca&amp;YEAR=2021&amp;MUN=431711&amp;SEX=M,F</t>
        </is>
      </c>
    </row>
    <row r="127" ht="15" customHeight="1" s="39">
      <c r="A127" s="38" t="inlineStr">
        <is>
          <t>2021</t>
        </is>
      </c>
      <c r="B127" s="38" t="inlineStr">
        <is>
          <t>431711</t>
        </is>
      </c>
      <c r="C127" s="38" t="inlineStr">
        <is>
          <t>Vila-seca</t>
        </is>
      </c>
      <c r="D127" s="38" t="inlineStr">
        <is>
          <t>Y062</t>
        </is>
      </c>
      <c r="E127" s="38" t="inlineStr">
        <is>
          <t>62 anys</t>
        </is>
      </c>
      <c r="F127" s="38" t="inlineStr">
        <is>
          <t>62</t>
        </is>
      </c>
      <c r="G127" s="38" t="inlineStr">
        <is>
          <t>F</t>
        </is>
      </c>
      <c r="H127" s="38" t="inlineStr">
        <is>
          <t>116</t>
        </is>
      </c>
      <c r="I127" s="38" t="inlineStr">
        <is>
          <t>https://api.idescat.cat/taules/v2/censph/10/5975/mun/data?lang=ca&amp;YEAR=2021&amp;MUN=431711&amp;SEX=M,F</t>
        </is>
      </c>
    </row>
    <row r="128" ht="15" customHeight="1" s="39">
      <c r="A128" s="38" t="inlineStr">
        <is>
          <t>2021</t>
        </is>
      </c>
      <c r="B128" s="38" t="inlineStr">
        <is>
          <t>431711</t>
        </is>
      </c>
      <c r="C128" s="38" t="inlineStr">
        <is>
          <t>Vila-seca</t>
        </is>
      </c>
      <c r="D128" s="38" t="inlineStr">
        <is>
          <t>Y063</t>
        </is>
      </c>
      <c r="E128" s="38" t="inlineStr">
        <is>
          <t>63 anys</t>
        </is>
      </c>
      <c r="F128" s="38" t="inlineStr">
        <is>
          <t>63</t>
        </is>
      </c>
      <c r="G128" s="38" t="inlineStr">
        <is>
          <t>M</t>
        </is>
      </c>
      <c r="H128" s="38" t="inlineStr">
        <is>
          <t>97</t>
        </is>
      </c>
      <c r="I128" s="38" t="inlineStr">
        <is>
          <t>https://api.idescat.cat/taules/v2/censph/10/5975/mun/data?lang=ca&amp;YEAR=2021&amp;MUN=431711&amp;SEX=M,F</t>
        </is>
      </c>
    </row>
    <row r="129" ht="15" customHeight="1" s="39">
      <c r="A129" s="38" t="inlineStr">
        <is>
          <t>2021</t>
        </is>
      </c>
      <c r="B129" s="38" t="inlineStr">
        <is>
          <t>431711</t>
        </is>
      </c>
      <c r="C129" s="38" t="inlineStr">
        <is>
          <t>Vila-seca</t>
        </is>
      </c>
      <c r="D129" s="38" t="inlineStr">
        <is>
          <t>Y063</t>
        </is>
      </c>
      <c r="E129" s="38" t="inlineStr">
        <is>
          <t>63 anys</t>
        </is>
      </c>
      <c r="F129" s="38" t="inlineStr">
        <is>
          <t>63</t>
        </is>
      </c>
      <c r="G129" s="38" t="inlineStr">
        <is>
          <t>F</t>
        </is>
      </c>
      <c r="H129" s="38" t="inlineStr">
        <is>
          <t>140.0</t>
        </is>
      </c>
      <c r="I129" s="38" t="inlineStr">
        <is>
          <t>https://api.idescat.cat/taules/v2/censph/10/5975/mun/data?lang=ca&amp;YEAR=2021&amp;MUN=431711&amp;SEX=M,F</t>
        </is>
      </c>
    </row>
    <row r="130" ht="15" customHeight="1" s="39">
      <c r="A130" s="38" t="inlineStr">
        <is>
          <t>2021</t>
        </is>
      </c>
      <c r="B130" s="38" t="inlineStr">
        <is>
          <t>431711</t>
        </is>
      </c>
      <c r="C130" s="38" t="inlineStr">
        <is>
          <t>Vila-seca</t>
        </is>
      </c>
      <c r="D130" s="38" t="inlineStr">
        <is>
          <t>Y064</t>
        </is>
      </c>
      <c r="E130" s="38" t="inlineStr">
        <is>
          <t>64 anys</t>
        </is>
      </c>
      <c r="F130" s="38" t="inlineStr">
        <is>
          <t>64</t>
        </is>
      </c>
      <c r="G130" s="38" t="inlineStr">
        <is>
          <t>M</t>
        </is>
      </c>
      <c r="H130" s="38" t="inlineStr">
        <is>
          <t>108</t>
        </is>
      </c>
      <c r="I130" s="38" t="inlineStr">
        <is>
          <t>https://api.idescat.cat/taules/v2/censph/10/5975/mun/data?lang=ca&amp;YEAR=2021&amp;MUN=431711&amp;SEX=M,F</t>
        </is>
      </c>
    </row>
    <row r="131" ht="15" customHeight="1" s="39">
      <c r="A131" s="38" t="inlineStr">
        <is>
          <t>2021</t>
        </is>
      </c>
      <c r="B131" s="38" t="inlineStr">
        <is>
          <t>431711</t>
        </is>
      </c>
      <c r="C131" s="38" t="inlineStr">
        <is>
          <t>Vila-seca</t>
        </is>
      </c>
      <c r="D131" s="38" t="inlineStr">
        <is>
          <t>Y064</t>
        </is>
      </c>
      <c r="E131" s="38" t="inlineStr">
        <is>
          <t>64 anys</t>
        </is>
      </c>
      <c r="F131" s="38" t="inlineStr">
        <is>
          <t>64</t>
        </is>
      </c>
      <c r="G131" s="38" t="inlineStr">
        <is>
          <t>F</t>
        </is>
      </c>
      <c r="H131" s="38" t="inlineStr">
        <is>
          <t>122</t>
        </is>
      </c>
      <c r="I131" s="38" t="inlineStr">
        <is>
          <t>https://api.idescat.cat/taules/v2/censph/10/5975/mun/data?lang=ca&amp;YEAR=2021&amp;MUN=431711&amp;SEX=M,F</t>
        </is>
      </c>
    </row>
    <row r="132" ht="15" customHeight="1" s="39">
      <c r="A132" s="38" t="inlineStr">
        <is>
          <t>2021</t>
        </is>
      </c>
      <c r="B132" s="38" t="inlineStr">
        <is>
          <t>431711</t>
        </is>
      </c>
      <c r="C132" s="38" t="inlineStr">
        <is>
          <t>Vila-seca</t>
        </is>
      </c>
      <c r="D132" s="38" t="inlineStr">
        <is>
          <t>Y065</t>
        </is>
      </c>
      <c r="E132" s="38" t="inlineStr">
        <is>
          <t>65 anys</t>
        </is>
      </c>
      <c r="F132" s="38" t="inlineStr">
        <is>
          <t>65</t>
        </is>
      </c>
      <c r="G132" s="38" t="inlineStr">
        <is>
          <t>M</t>
        </is>
      </c>
      <c r="H132" s="38" t="inlineStr">
        <is>
          <t>125</t>
        </is>
      </c>
      <c r="I132" s="38" t="inlineStr">
        <is>
          <t>https://api.idescat.cat/taules/v2/censph/10/5975/mun/data?lang=ca&amp;YEAR=2021&amp;MUN=431711&amp;SEX=M,F</t>
        </is>
      </c>
    </row>
    <row r="133" ht="15" customHeight="1" s="39">
      <c r="A133" s="38" t="inlineStr">
        <is>
          <t>2021</t>
        </is>
      </c>
      <c r="B133" s="38" t="inlineStr">
        <is>
          <t>431711</t>
        </is>
      </c>
      <c r="C133" s="38" t="inlineStr">
        <is>
          <t>Vila-seca</t>
        </is>
      </c>
      <c r="D133" s="38" t="inlineStr">
        <is>
          <t>Y065</t>
        </is>
      </c>
      <c r="E133" s="38" t="inlineStr">
        <is>
          <t>65 anys</t>
        </is>
      </c>
      <c r="F133" s="38" t="inlineStr">
        <is>
          <t>65</t>
        </is>
      </c>
      <c r="G133" s="38" t="inlineStr">
        <is>
          <t>F</t>
        </is>
      </c>
      <c r="H133" s="38" t="inlineStr">
        <is>
          <t>130.0</t>
        </is>
      </c>
      <c r="I133" s="38" t="inlineStr">
        <is>
          <t>https://api.idescat.cat/taules/v2/censph/10/5975/mun/data?lang=ca&amp;YEAR=2021&amp;MUN=431711&amp;SEX=M,F</t>
        </is>
      </c>
    </row>
    <row r="134" ht="15" customHeight="1" s="39">
      <c r="A134" s="38" t="inlineStr">
        <is>
          <t>2021</t>
        </is>
      </c>
      <c r="B134" s="38" t="inlineStr">
        <is>
          <t>431711</t>
        </is>
      </c>
      <c r="C134" s="38" t="inlineStr">
        <is>
          <t>Vila-seca</t>
        </is>
      </c>
      <c r="D134" s="38" t="inlineStr">
        <is>
          <t>Y066</t>
        </is>
      </c>
      <c r="E134" s="38" t="inlineStr">
        <is>
          <t>66 anys</t>
        </is>
      </c>
      <c r="F134" s="38" t="inlineStr">
        <is>
          <t>66</t>
        </is>
      </c>
      <c r="G134" s="38" t="inlineStr">
        <is>
          <t>M</t>
        </is>
      </c>
      <c r="H134" s="38" t="inlineStr">
        <is>
          <t>105</t>
        </is>
      </c>
      <c r="I134" s="38" t="inlineStr">
        <is>
          <t>https://api.idescat.cat/taules/v2/censph/10/5975/mun/data?lang=ca&amp;YEAR=2021&amp;MUN=431711&amp;SEX=M,F</t>
        </is>
      </c>
    </row>
    <row r="135" ht="15" customHeight="1" s="39">
      <c r="A135" s="38" t="inlineStr">
        <is>
          <t>2021</t>
        </is>
      </c>
      <c r="B135" s="38" t="inlineStr">
        <is>
          <t>431711</t>
        </is>
      </c>
      <c r="C135" s="38" t="inlineStr">
        <is>
          <t>Vila-seca</t>
        </is>
      </c>
      <c r="D135" s="38" t="inlineStr">
        <is>
          <t>Y066</t>
        </is>
      </c>
      <c r="E135" s="38" t="inlineStr">
        <is>
          <t>66 anys</t>
        </is>
      </c>
      <c r="F135" s="38" t="inlineStr">
        <is>
          <t>66</t>
        </is>
      </c>
      <c r="G135" s="38" t="inlineStr">
        <is>
          <t>F</t>
        </is>
      </c>
      <c r="H135" s="38" t="inlineStr">
        <is>
          <t>100.0</t>
        </is>
      </c>
      <c r="I135" s="38" t="inlineStr">
        <is>
          <t>https://api.idescat.cat/taules/v2/censph/10/5975/mun/data?lang=ca&amp;YEAR=2021&amp;MUN=431711&amp;SEX=M,F</t>
        </is>
      </c>
    </row>
    <row r="136" ht="15" customHeight="1" s="39">
      <c r="A136" s="38" t="inlineStr">
        <is>
          <t>2021</t>
        </is>
      </c>
      <c r="B136" s="38" t="inlineStr">
        <is>
          <t>431711</t>
        </is>
      </c>
      <c r="C136" s="38" t="inlineStr">
        <is>
          <t>Vila-seca</t>
        </is>
      </c>
      <c r="D136" s="38" t="inlineStr">
        <is>
          <t>Y067</t>
        </is>
      </c>
      <c r="E136" s="38" t="inlineStr">
        <is>
          <t>67 anys</t>
        </is>
      </c>
      <c r="F136" s="38" t="inlineStr">
        <is>
          <t>67</t>
        </is>
      </c>
      <c r="G136" s="38" t="inlineStr">
        <is>
          <t>M</t>
        </is>
      </c>
      <c r="H136" s="38" t="inlineStr">
        <is>
          <t>115</t>
        </is>
      </c>
      <c r="I136" s="38" t="inlineStr">
        <is>
          <t>https://api.idescat.cat/taules/v2/censph/10/5975/mun/data?lang=ca&amp;YEAR=2021&amp;MUN=431711&amp;SEX=M,F</t>
        </is>
      </c>
    </row>
    <row r="137" ht="15" customHeight="1" s="39">
      <c r="A137" s="38" t="inlineStr">
        <is>
          <t>2021</t>
        </is>
      </c>
      <c r="B137" s="38" t="inlineStr">
        <is>
          <t>431711</t>
        </is>
      </c>
      <c r="C137" s="38" t="inlineStr">
        <is>
          <t>Vila-seca</t>
        </is>
      </c>
      <c r="D137" s="38" t="inlineStr">
        <is>
          <t>Y067</t>
        </is>
      </c>
      <c r="E137" s="38" t="inlineStr">
        <is>
          <t>67 anys</t>
        </is>
      </c>
      <c r="F137" s="38" t="inlineStr">
        <is>
          <t>67</t>
        </is>
      </c>
      <c r="G137" s="38" t="inlineStr">
        <is>
          <t>F</t>
        </is>
      </c>
      <c r="H137" s="38" t="inlineStr">
        <is>
          <t>118</t>
        </is>
      </c>
      <c r="I137" s="38" t="inlineStr">
        <is>
          <t>https://api.idescat.cat/taules/v2/censph/10/5975/mun/data?lang=ca&amp;YEAR=2021&amp;MUN=431711&amp;SEX=M,F</t>
        </is>
      </c>
    </row>
    <row r="138" ht="15" customHeight="1" s="39">
      <c r="A138" s="38" t="inlineStr">
        <is>
          <t>2021</t>
        </is>
      </c>
      <c r="B138" s="38" t="inlineStr">
        <is>
          <t>431711</t>
        </is>
      </c>
      <c r="C138" s="38" t="inlineStr">
        <is>
          <t>Vila-seca</t>
        </is>
      </c>
      <c r="D138" s="38" t="inlineStr">
        <is>
          <t>Y068</t>
        </is>
      </c>
      <c r="E138" s="38" t="inlineStr">
        <is>
          <t>68 anys</t>
        </is>
      </c>
      <c r="F138" s="38" t="inlineStr">
        <is>
          <t>68</t>
        </is>
      </c>
      <c r="G138" s="38" t="inlineStr">
        <is>
          <t>M</t>
        </is>
      </c>
      <c r="H138" s="38" t="inlineStr">
        <is>
          <t>121</t>
        </is>
      </c>
      <c r="I138" s="38" t="inlineStr">
        <is>
          <t>https://api.idescat.cat/taules/v2/censph/10/5975/mun/data?lang=ca&amp;YEAR=2021&amp;MUN=431711&amp;SEX=M,F</t>
        </is>
      </c>
    </row>
    <row r="139" ht="15" customHeight="1" s="39">
      <c r="A139" s="38" t="inlineStr">
        <is>
          <t>2021</t>
        </is>
      </c>
      <c r="B139" s="38" t="inlineStr">
        <is>
          <t>431711</t>
        </is>
      </c>
      <c r="C139" s="38" t="inlineStr">
        <is>
          <t>Vila-seca</t>
        </is>
      </c>
      <c r="D139" s="38" t="inlineStr">
        <is>
          <t>Y068</t>
        </is>
      </c>
      <c r="E139" s="38" t="inlineStr">
        <is>
          <t>68 anys</t>
        </is>
      </c>
      <c r="F139" s="38" t="inlineStr">
        <is>
          <t>68</t>
        </is>
      </c>
      <c r="G139" s="38" t="inlineStr">
        <is>
          <t>F</t>
        </is>
      </c>
      <c r="H139" s="38" t="inlineStr">
        <is>
          <t>98</t>
        </is>
      </c>
      <c r="I139" s="38" t="inlineStr">
        <is>
          <t>https://api.idescat.cat/taules/v2/censph/10/5975/mun/data?lang=ca&amp;YEAR=2021&amp;MUN=431711&amp;SEX=M,F</t>
        </is>
      </c>
    </row>
    <row r="140" ht="15" customHeight="1" s="39">
      <c r="A140" s="38" t="inlineStr">
        <is>
          <t>2021</t>
        </is>
      </c>
      <c r="B140" s="38" t="inlineStr">
        <is>
          <t>431711</t>
        </is>
      </c>
      <c r="C140" s="38" t="inlineStr">
        <is>
          <t>Vila-seca</t>
        </is>
      </c>
      <c r="D140" s="38" t="inlineStr">
        <is>
          <t>Y069</t>
        </is>
      </c>
      <c r="E140" s="38" t="inlineStr">
        <is>
          <t>69 anys</t>
        </is>
      </c>
      <c r="F140" s="38" t="inlineStr">
        <is>
          <t>69</t>
        </is>
      </c>
      <c r="G140" s="38" t="inlineStr">
        <is>
          <t>M</t>
        </is>
      </c>
      <c r="H140" s="38" t="inlineStr">
        <is>
          <t>90.0</t>
        </is>
      </c>
      <c r="I140" s="38" t="inlineStr">
        <is>
          <t>https://api.idescat.cat/taules/v2/censph/10/5975/mun/data?lang=ca&amp;YEAR=2021&amp;MUN=431711&amp;SEX=M,F</t>
        </is>
      </c>
    </row>
    <row r="141" ht="15" customHeight="1" s="39">
      <c r="A141" s="38" t="inlineStr">
        <is>
          <t>2021</t>
        </is>
      </c>
      <c r="B141" s="38" t="inlineStr">
        <is>
          <t>431711</t>
        </is>
      </c>
      <c r="C141" s="38" t="inlineStr">
        <is>
          <t>Vila-seca</t>
        </is>
      </c>
      <c r="D141" s="38" t="inlineStr">
        <is>
          <t>Y069</t>
        </is>
      </c>
      <c r="E141" s="38" t="inlineStr">
        <is>
          <t>69 anys</t>
        </is>
      </c>
      <c r="F141" s="38" t="inlineStr">
        <is>
          <t>69</t>
        </is>
      </c>
      <c r="G141" s="38" t="inlineStr">
        <is>
          <t>F</t>
        </is>
      </c>
      <c r="H141" s="38" t="inlineStr">
        <is>
          <t>103</t>
        </is>
      </c>
      <c r="I141" s="38" t="inlineStr">
        <is>
          <t>https://api.idescat.cat/taules/v2/censph/10/5975/mun/data?lang=ca&amp;YEAR=2021&amp;MUN=431711&amp;SEX=M,F</t>
        </is>
      </c>
    </row>
    <row r="142" ht="15" customHeight="1" s="39">
      <c r="A142" s="38" t="inlineStr">
        <is>
          <t>2021</t>
        </is>
      </c>
      <c r="B142" s="38" t="inlineStr">
        <is>
          <t>431711</t>
        </is>
      </c>
      <c r="C142" s="38" t="inlineStr">
        <is>
          <t>Vila-seca</t>
        </is>
      </c>
      <c r="D142" s="38" t="inlineStr">
        <is>
          <t>Y070</t>
        </is>
      </c>
      <c r="E142" s="38" t="inlineStr">
        <is>
          <t>70 anys</t>
        </is>
      </c>
      <c r="F142" s="38" t="inlineStr">
        <is>
          <t>70</t>
        </is>
      </c>
      <c r="G142" s="38" t="inlineStr">
        <is>
          <t>M</t>
        </is>
      </c>
      <c r="H142" s="38" t="inlineStr">
        <is>
          <t>83</t>
        </is>
      </c>
      <c r="I142" s="38" t="inlineStr">
        <is>
          <t>https://api.idescat.cat/taules/v2/censph/10/5975/mun/data?lang=ca&amp;YEAR=2021&amp;MUN=431711&amp;SEX=M,F</t>
        </is>
      </c>
    </row>
    <row r="143" ht="15" customHeight="1" s="39">
      <c r="A143" s="38" t="inlineStr">
        <is>
          <t>2021</t>
        </is>
      </c>
      <c r="B143" s="38" t="inlineStr">
        <is>
          <t>431711</t>
        </is>
      </c>
      <c r="C143" s="38" t="inlineStr">
        <is>
          <t>Vila-seca</t>
        </is>
      </c>
      <c r="D143" s="38" t="inlineStr">
        <is>
          <t>Y070</t>
        </is>
      </c>
      <c r="E143" s="38" t="inlineStr">
        <is>
          <t>70 anys</t>
        </is>
      </c>
      <c r="F143" s="38" t="inlineStr">
        <is>
          <t>70</t>
        </is>
      </c>
      <c r="G143" s="38" t="inlineStr">
        <is>
          <t>F</t>
        </is>
      </c>
      <c r="H143" s="38" t="inlineStr">
        <is>
          <t>92</t>
        </is>
      </c>
      <c r="I143" s="38" t="inlineStr">
        <is>
          <t>https://api.idescat.cat/taules/v2/censph/10/5975/mun/data?lang=ca&amp;YEAR=2021&amp;MUN=431711&amp;SEX=M,F</t>
        </is>
      </c>
    </row>
    <row r="144" ht="15" customHeight="1" s="39">
      <c r="A144" s="38" t="inlineStr">
        <is>
          <t>2021</t>
        </is>
      </c>
      <c r="B144" s="38" t="inlineStr">
        <is>
          <t>431711</t>
        </is>
      </c>
      <c r="C144" s="38" t="inlineStr">
        <is>
          <t>Vila-seca</t>
        </is>
      </c>
      <c r="D144" s="38" t="inlineStr">
        <is>
          <t>Y071</t>
        </is>
      </c>
      <c r="E144" s="38" t="inlineStr">
        <is>
          <t>71 anys</t>
        </is>
      </c>
      <c r="F144" s="38" t="inlineStr">
        <is>
          <t>71</t>
        </is>
      </c>
      <c r="G144" s="38" t="inlineStr">
        <is>
          <t>M</t>
        </is>
      </c>
      <c r="H144" s="38" t="inlineStr">
        <is>
          <t>89</t>
        </is>
      </c>
      <c r="I144" s="38" t="inlineStr">
        <is>
          <t>https://api.idescat.cat/taules/v2/censph/10/5975/mun/data?lang=ca&amp;YEAR=2021&amp;MUN=431711&amp;SEX=M,F</t>
        </is>
      </c>
    </row>
    <row r="145" ht="15" customHeight="1" s="39">
      <c r="A145" s="38" t="inlineStr">
        <is>
          <t>2021</t>
        </is>
      </c>
      <c r="B145" s="38" t="inlineStr">
        <is>
          <t>431711</t>
        </is>
      </c>
      <c r="C145" s="38" t="inlineStr">
        <is>
          <t>Vila-seca</t>
        </is>
      </c>
      <c r="D145" s="38" t="inlineStr">
        <is>
          <t>Y071</t>
        </is>
      </c>
      <c r="E145" s="38" t="inlineStr">
        <is>
          <t>71 anys</t>
        </is>
      </c>
      <c r="F145" s="38" t="inlineStr">
        <is>
          <t>71</t>
        </is>
      </c>
      <c r="G145" s="38" t="inlineStr">
        <is>
          <t>F</t>
        </is>
      </c>
      <c r="H145" s="38" t="inlineStr">
        <is>
          <t>93</t>
        </is>
      </c>
      <c r="I145" s="38" t="inlineStr">
        <is>
          <t>https://api.idescat.cat/taules/v2/censph/10/5975/mun/data?lang=ca&amp;YEAR=2021&amp;MUN=431711&amp;SEX=M,F</t>
        </is>
      </c>
    </row>
    <row r="146" ht="15" customHeight="1" s="39">
      <c r="A146" s="38" t="inlineStr">
        <is>
          <t>2021</t>
        </is>
      </c>
      <c r="B146" s="38" t="inlineStr">
        <is>
          <t>431711</t>
        </is>
      </c>
      <c r="C146" s="38" t="inlineStr">
        <is>
          <t>Vila-seca</t>
        </is>
      </c>
      <c r="D146" s="38" t="inlineStr">
        <is>
          <t>Y072</t>
        </is>
      </c>
      <c r="E146" s="38" t="inlineStr">
        <is>
          <t>72 anys</t>
        </is>
      </c>
      <c r="F146" s="38" t="inlineStr">
        <is>
          <t>72</t>
        </is>
      </c>
      <c r="G146" s="38" t="inlineStr">
        <is>
          <t>M</t>
        </is>
      </c>
      <c r="H146" s="38" t="inlineStr">
        <is>
          <t>85</t>
        </is>
      </c>
      <c r="I146" s="38" t="inlineStr">
        <is>
          <t>https://api.idescat.cat/taules/v2/censph/10/5975/mun/data?lang=ca&amp;YEAR=2021&amp;MUN=431711&amp;SEX=M,F</t>
        </is>
      </c>
    </row>
    <row r="147" ht="15" customHeight="1" s="39">
      <c r="A147" s="38" t="inlineStr">
        <is>
          <t>2021</t>
        </is>
      </c>
      <c r="B147" s="38" t="inlineStr">
        <is>
          <t>431711</t>
        </is>
      </c>
      <c r="C147" s="38" t="inlineStr">
        <is>
          <t>Vila-seca</t>
        </is>
      </c>
      <c r="D147" s="38" t="inlineStr">
        <is>
          <t>Y072</t>
        </is>
      </c>
      <c r="E147" s="38" t="inlineStr">
        <is>
          <t>72 anys</t>
        </is>
      </c>
      <c r="F147" s="38" t="inlineStr">
        <is>
          <t>72</t>
        </is>
      </c>
      <c r="G147" s="38" t="inlineStr">
        <is>
          <t>F</t>
        </is>
      </c>
      <c r="H147" s="38" t="inlineStr">
        <is>
          <t>91</t>
        </is>
      </c>
      <c r="I147" s="38" t="inlineStr">
        <is>
          <t>https://api.idescat.cat/taules/v2/censph/10/5975/mun/data?lang=ca&amp;YEAR=2021&amp;MUN=431711&amp;SEX=M,F</t>
        </is>
      </c>
    </row>
    <row r="148" ht="15" customHeight="1" s="39">
      <c r="A148" s="38" t="inlineStr">
        <is>
          <t>2021</t>
        </is>
      </c>
      <c r="B148" s="38" t="inlineStr">
        <is>
          <t>431711</t>
        </is>
      </c>
      <c r="C148" s="38" t="inlineStr">
        <is>
          <t>Vila-seca</t>
        </is>
      </c>
      <c r="D148" s="38" t="inlineStr">
        <is>
          <t>Y073</t>
        </is>
      </c>
      <c r="E148" s="38" t="inlineStr">
        <is>
          <t>73 anys</t>
        </is>
      </c>
      <c r="F148" s="38" t="inlineStr">
        <is>
          <t>73</t>
        </is>
      </c>
      <c r="G148" s="38" t="inlineStr">
        <is>
          <t>M</t>
        </is>
      </c>
      <c r="H148" s="38" t="inlineStr">
        <is>
          <t>95</t>
        </is>
      </c>
      <c r="I148" s="38" t="inlineStr">
        <is>
          <t>https://api.idescat.cat/taules/v2/censph/10/5975/mun/data?lang=ca&amp;YEAR=2021&amp;MUN=431711&amp;SEX=M,F</t>
        </is>
      </c>
    </row>
    <row r="149" ht="15" customHeight="1" s="39">
      <c r="A149" s="38" t="inlineStr">
        <is>
          <t>2021</t>
        </is>
      </c>
      <c r="B149" s="38" t="inlineStr">
        <is>
          <t>431711</t>
        </is>
      </c>
      <c r="C149" s="38" t="inlineStr">
        <is>
          <t>Vila-seca</t>
        </is>
      </c>
      <c r="D149" s="38" t="inlineStr">
        <is>
          <t>Y073</t>
        </is>
      </c>
      <c r="E149" s="38" t="inlineStr">
        <is>
          <t>73 anys</t>
        </is>
      </c>
      <c r="F149" s="38" t="inlineStr">
        <is>
          <t>73</t>
        </is>
      </c>
      <c r="G149" s="38" t="inlineStr">
        <is>
          <t>F</t>
        </is>
      </c>
      <c r="H149" s="38" t="inlineStr">
        <is>
          <t>79</t>
        </is>
      </c>
      <c r="I149" s="38" t="inlineStr">
        <is>
          <t>https://api.idescat.cat/taules/v2/censph/10/5975/mun/data?lang=ca&amp;YEAR=2021&amp;MUN=431711&amp;SEX=M,F</t>
        </is>
      </c>
    </row>
    <row r="150" ht="15" customHeight="1" s="39">
      <c r="A150" s="38" t="inlineStr">
        <is>
          <t>2021</t>
        </is>
      </c>
      <c r="B150" s="38" t="inlineStr">
        <is>
          <t>431711</t>
        </is>
      </c>
      <c r="C150" s="38" t="inlineStr">
        <is>
          <t>Vila-seca</t>
        </is>
      </c>
      <c r="D150" s="38" t="inlineStr">
        <is>
          <t>Y074</t>
        </is>
      </c>
      <c r="E150" s="38" t="inlineStr">
        <is>
          <t>74 anys</t>
        </is>
      </c>
      <c r="F150" s="38" t="inlineStr">
        <is>
          <t>74</t>
        </is>
      </c>
      <c r="G150" s="38" t="inlineStr">
        <is>
          <t>M</t>
        </is>
      </c>
      <c r="H150" s="38" t="inlineStr">
        <is>
          <t>72</t>
        </is>
      </c>
      <c r="I150" s="38" t="inlineStr">
        <is>
          <t>https://api.idescat.cat/taules/v2/censph/10/5975/mun/data?lang=ca&amp;YEAR=2021&amp;MUN=431711&amp;SEX=M,F</t>
        </is>
      </c>
    </row>
    <row r="151" ht="15" customHeight="1" s="39">
      <c r="A151" s="38" t="inlineStr">
        <is>
          <t>2021</t>
        </is>
      </c>
      <c r="B151" s="38" t="inlineStr">
        <is>
          <t>431711</t>
        </is>
      </c>
      <c r="C151" s="38" t="inlineStr">
        <is>
          <t>Vila-seca</t>
        </is>
      </c>
      <c r="D151" s="38" t="inlineStr">
        <is>
          <t>Y074</t>
        </is>
      </c>
      <c r="E151" s="38" t="inlineStr">
        <is>
          <t>74 anys</t>
        </is>
      </c>
      <c r="F151" s="38" t="inlineStr">
        <is>
          <t>74</t>
        </is>
      </c>
      <c r="G151" s="38" t="inlineStr">
        <is>
          <t>F</t>
        </is>
      </c>
      <c r="H151" s="38" t="inlineStr">
        <is>
          <t>65</t>
        </is>
      </c>
      <c r="I151" s="38" t="inlineStr">
        <is>
          <t>https://api.idescat.cat/taules/v2/censph/10/5975/mun/data?lang=ca&amp;YEAR=2021&amp;MUN=431711&amp;SEX=M,F</t>
        </is>
      </c>
    </row>
    <row r="152" ht="15" customHeight="1" s="39">
      <c r="A152" s="38" t="inlineStr">
        <is>
          <t>2021</t>
        </is>
      </c>
      <c r="B152" s="38" t="inlineStr">
        <is>
          <t>431711</t>
        </is>
      </c>
      <c r="C152" s="38" t="inlineStr">
        <is>
          <t>Vila-seca</t>
        </is>
      </c>
      <c r="D152" s="38" t="inlineStr">
        <is>
          <t>Y075</t>
        </is>
      </c>
      <c r="E152" s="38" t="inlineStr">
        <is>
          <t>75 anys</t>
        </is>
      </c>
      <c r="F152" s="38" t="inlineStr">
        <is>
          <t>75</t>
        </is>
      </c>
      <c r="G152" s="38" t="inlineStr">
        <is>
          <t>M</t>
        </is>
      </c>
      <c r="H152" s="38" t="inlineStr">
        <is>
          <t>64</t>
        </is>
      </c>
      <c r="I152" s="38" t="inlineStr">
        <is>
          <t>https://api.idescat.cat/taules/v2/censph/10/5975/mun/data?lang=ca&amp;YEAR=2021&amp;MUN=431711&amp;SEX=M,F</t>
        </is>
      </c>
    </row>
    <row r="153" ht="15" customHeight="1" s="39">
      <c r="A153" s="38" t="inlineStr">
        <is>
          <t>2021</t>
        </is>
      </c>
      <c r="B153" s="38" t="inlineStr">
        <is>
          <t>431711</t>
        </is>
      </c>
      <c r="C153" s="38" t="inlineStr">
        <is>
          <t>Vila-seca</t>
        </is>
      </c>
      <c r="D153" s="38" t="inlineStr">
        <is>
          <t>Y075</t>
        </is>
      </c>
      <c r="E153" s="38" t="inlineStr">
        <is>
          <t>75 anys</t>
        </is>
      </c>
      <c r="F153" s="38" t="inlineStr">
        <is>
          <t>75</t>
        </is>
      </c>
      <c r="G153" s="38" t="inlineStr">
        <is>
          <t>F</t>
        </is>
      </c>
      <c r="H153" s="38" t="inlineStr">
        <is>
          <t>69</t>
        </is>
      </c>
      <c r="I153" s="38" t="inlineStr">
        <is>
          <t>https://api.idescat.cat/taules/v2/censph/10/5975/mun/data?lang=ca&amp;YEAR=2021&amp;MUN=431711&amp;SEX=M,F</t>
        </is>
      </c>
    </row>
    <row r="154" ht="15" customHeight="1" s="39">
      <c r="A154" s="38" t="inlineStr">
        <is>
          <t>2021</t>
        </is>
      </c>
      <c r="B154" s="38" t="inlineStr">
        <is>
          <t>431711</t>
        </is>
      </c>
      <c r="C154" s="38" t="inlineStr">
        <is>
          <t>Vila-seca</t>
        </is>
      </c>
      <c r="D154" s="38" t="inlineStr">
        <is>
          <t>Y076</t>
        </is>
      </c>
      <c r="E154" s="38" t="inlineStr">
        <is>
          <t>76 anys</t>
        </is>
      </c>
      <c r="F154" s="38" t="inlineStr">
        <is>
          <t>76</t>
        </is>
      </c>
      <c r="G154" s="38" t="inlineStr">
        <is>
          <t>M</t>
        </is>
      </c>
      <c r="H154" s="38" t="inlineStr">
        <is>
          <t>56</t>
        </is>
      </c>
      <c r="I154" s="38" t="inlineStr">
        <is>
          <t>https://api.idescat.cat/taules/v2/censph/10/5975/mun/data?lang=ca&amp;YEAR=2021&amp;MUN=431711&amp;SEX=M,F</t>
        </is>
      </c>
    </row>
    <row r="155" ht="15" customHeight="1" s="39">
      <c r="A155" s="38" t="inlineStr">
        <is>
          <t>2021</t>
        </is>
      </c>
      <c r="B155" s="38" t="inlineStr">
        <is>
          <t>431711</t>
        </is>
      </c>
      <c r="C155" s="38" t="inlineStr">
        <is>
          <t>Vila-seca</t>
        </is>
      </c>
      <c r="D155" s="38" t="inlineStr">
        <is>
          <t>Y076</t>
        </is>
      </c>
      <c r="E155" s="38" t="inlineStr">
        <is>
          <t>76 anys</t>
        </is>
      </c>
      <c r="F155" s="38" t="inlineStr">
        <is>
          <t>76</t>
        </is>
      </c>
      <c r="G155" s="38" t="inlineStr">
        <is>
          <t>F</t>
        </is>
      </c>
      <c r="H155" s="38" t="inlineStr">
        <is>
          <t>64</t>
        </is>
      </c>
      <c r="I155" s="38" t="inlineStr">
        <is>
          <t>https://api.idescat.cat/taules/v2/censph/10/5975/mun/data?lang=ca&amp;YEAR=2021&amp;MUN=431711&amp;SEX=M,F</t>
        </is>
      </c>
    </row>
    <row r="156" ht="15" customHeight="1" s="39">
      <c r="A156" s="38" t="inlineStr">
        <is>
          <t>2021</t>
        </is>
      </c>
      <c r="B156" s="38" t="inlineStr">
        <is>
          <t>431711</t>
        </is>
      </c>
      <c r="C156" s="38" t="inlineStr">
        <is>
          <t>Vila-seca</t>
        </is>
      </c>
      <c r="D156" s="38" t="inlineStr">
        <is>
          <t>Y077</t>
        </is>
      </c>
      <c r="E156" s="38" t="inlineStr">
        <is>
          <t>77 anys</t>
        </is>
      </c>
      <c r="F156" s="38" t="inlineStr">
        <is>
          <t>77</t>
        </is>
      </c>
      <c r="G156" s="38" t="inlineStr">
        <is>
          <t>M</t>
        </is>
      </c>
      <c r="H156" s="38" t="inlineStr">
        <is>
          <t>52</t>
        </is>
      </c>
      <c r="I156" s="38" t="inlineStr">
        <is>
          <t>https://api.idescat.cat/taules/v2/censph/10/5975/mun/data?lang=ca&amp;YEAR=2021&amp;MUN=431711&amp;SEX=M,F</t>
        </is>
      </c>
    </row>
    <row r="157" ht="15" customHeight="1" s="39">
      <c r="A157" s="38" t="inlineStr">
        <is>
          <t>2021</t>
        </is>
      </c>
      <c r="B157" s="38" t="inlineStr">
        <is>
          <t>431711</t>
        </is>
      </c>
      <c r="C157" s="38" t="inlineStr">
        <is>
          <t>Vila-seca</t>
        </is>
      </c>
      <c r="D157" s="38" t="inlineStr">
        <is>
          <t>Y077</t>
        </is>
      </c>
      <c r="E157" s="38" t="inlineStr">
        <is>
          <t>77 anys</t>
        </is>
      </c>
      <c r="F157" s="38" t="inlineStr">
        <is>
          <t>77</t>
        </is>
      </c>
      <c r="G157" s="38" t="inlineStr">
        <is>
          <t>F</t>
        </is>
      </c>
      <c r="H157" s="38" t="inlineStr">
        <is>
          <t>74</t>
        </is>
      </c>
      <c r="I157" s="38" t="inlineStr">
        <is>
          <t>https://api.idescat.cat/taules/v2/censph/10/5975/mun/data?lang=ca&amp;YEAR=2021&amp;MUN=431711&amp;SEX=M,F</t>
        </is>
      </c>
    </row>
    <row r="158" ht="15" customHeight="1" s="39">
      <c r="A158" s="38" t="inlineStr">
        <is>
          <t>2021</t>
        </is>
      </c>
      <c r="B158" s="38" t="inlineStr">
        <is>
          <t>431711</t>
        </is>
      </c>
      <c r="C158" s="38" t="inlineStr">
        <is>
          <t>Vila-seca</t>
        </is>
      </c>
      <c r="D158" s="38" t="inlineStr">
        <is>
          <t>Y078</t>
        </is>
      </c>
      <c r="E158" s="38" t="inlineStr">
        <is>
          <t>78 anys</t>
        </is>
      </c>
      <c r="F158" s="38" t="inlineStr">
        <is>
          <t>78</t>
        </is>
      </c>
      <c r="G158" s="38" t="inlineStr">
        <is>
          <t>M</t>
        </is>
      </c>
      <c r="H158" s="38" t="inlineStr">
        <is>
          <t>48</t>
        </is>
      </c>
      <c r="I158" s="38" t="inlineStr">
        <is>
          <t>https://api.idescat.cat/taules/v2/censph/10/5975/mun/data?lang=ca&amp;YEAR=2021&amp;MUN=431711&amp;SEX=M,F</t>
        </is>
      </c>
    </row>
    <row r="159" ht="15" customHeight="1" s="39">
      <c r="A159" s="38" t="inlineStr">
        <is>
          <t>2021</t>
        </is>
      </c>
      <c r="B159" s="38" t="inlineStr">
        <is>
          <t>431711</t>
        </is>
      </c>
      <c r="C159" s="38" t="inlineStr">
        <is>
          <t>Vila-seca</t>
        </is>
      </c>
      <c r="D159" s="38" t="inlineStr">
        <is>
          <t>Y078</t>
        </is>
      </c>
      <c r="E159" s="38" t="inlineStr">
        <is>
          <t>78 anys</t>
        </is>
      </c>
      <c r="F159" s="38" t="inlineStr">
        <is>
          <t>78</t>
        </is>
      </c>
      <c r="G159" s="38" t="inlineStr">
        <is>
          <t>F</t>
        </is>
      </c>
      <c r="H159" s="38" t="inlineStr">
        <is>
          <t>46</t>
        </is>
      </c>
      <c r="I159" s="38" t="inlineStr">
        <is>
          <t>https://api.idescat.cat/taules/v2/censph/10/5975/mun/data?lang=ca&amp;YEAR=2021&amp;MUN=431711&amp;SEX=M,F</t>
        </is>
      </c>
    </row>
    <row r="160" ht="15" customHeight="1" s="39">
      <c r="A160" s="38" t="inlineStr">
        <is>
          <t>2021</t>
        </is>
      </c>
      <c r="B160" s="38" t="inlineStr">
        <is>
          <t>431711</t>
        </is>
      </c>
      <c r="C160" s="38" t="inlineStr">
        <is>
          <t>Vila-seca</t>
        </is>
      </c>
      <c r="D160" s="38" t="inlineStr">
        <is>
          <t>Y079</t>
        </is>
      </c>
      <c r="E160" s="38" t="inlineStr">
        <is>
          <t>79 anys</t>
        </is>
      </c>
      <c r="F160" s="38" t="inlineStr">
        <is>
          <t>79</t>
        </is>
      </c>
      <c r="G160" s="38" t="inlineStr">
        <is>
          <t>M</t>
        </is>
      </c>
      <c r="H160" s="38" t="inlineStr">
        <is>
          <t>37</t>
        </is>
      </c>
      <c r="I160" s="38" t="inlineStr">
        <is>
          <t>https://api.idescat.cat/taules/v2/censph/10/5975/mun/data?lang=ca&amp;YEAR=2021&amp;MUN=431711&amp;SEX=M,F</t>
        </is>
      </c>
    </row>
    <row r="161" ht="15" customHeight="1" s="39">
      <c r="A161" s="38" t="inlineStr">
        <is>
          <t>2021</t>
        </is>
      </c>
      <c r="B161" s="38" t="inlineStr">
        <is>
          <t>431711</t>
        </is>
      </c>
      <c r="C161" s="38" t="inlineStr">
        <is>
          <t>Vila-seca</t>
        </is>
      </c>
      <c r="D161" s="38" t="inlineStr">
        <is>
          <t>Y079</t>
        </is>
      </c>
      <c r="E161" s="38" t="inlineStr">
        <is>
          <t>79 anys</t>
        </is>
      </c>
      <c r="F161" s="38" t="inlineStr">
        <is>
          <t>79</t>
        </is>
      </c>
      <c r="G161" s="38" t="inlineStr">
        <is>
          <t>F</t>
        </is>
      </c>
      <c r="H161" s="38" t="inlineStr">
        <is>
          <t>42</t>
        </is>
      </c>
      <c r="I161" s="38" t="inlineStr">
        <is>
          <t>https://api.idescat.cat/taules/v2/censph/10/5975/mun/data?lang=ca&amp;YEAR=2021&amp;MUN=431711&amp;SEX=M,F</t>
        </is>
      </c>
    </row>
    <row r="162" ht="15" customHeight="1" s="39">
      <c r="A162" s="38" t="inlineStr">
        <is>
          <t>2021</t>
        </is>
      </c>
      <c r="B162" s="38" t="inlineStr">
        <is>
          <t>431711</t>
        </is>
      </c>
      <c r="C162" s="38" t="inlineStr">
        <is>
          <t>Vila-seca</t>
        </is>
      </c>
      <c r="D162" s="38" t="inlineStr">
        <is>
          <t>Y080</t>
        </is>
      </c>
      <c r="E162" s="38" t="inlineStr">
        <is>
          <t>80 anys</t>
        </is>
      </c>
      <c r="F162" s="38" t="inlineStr">
        <is>
          <t>80</t>
        </is>
      </c>
      <c r="G162" s="38" t="inlineStr">
        <is>
          <t>M</t>
        </is>
      </c>
      <c r="H162" s="38" t="inlineStr">
        <is>
          <t>39</t>
        </is>
      </c>
      <c r="I162" s="38" t="inlineStr">
        <is>
          <t>https://api.idescat.cat/taules/v2/censph/10/5975/mun/data?lang=ca&amp;YEAR=2021&amp;MUN=431711&amp;SEX=M,F</t>
        </is>
      </c>
    </row>
    <row r="163" ht="15" customHeight="1" s="39">
      <c r="A163" s="38" t="inlineStr">
        <is>
          <t>2021</t>
        </is>
      </c>
      <c r="B163" s="38" t="inlineStr">
        <is>
          <t>431711</t>
        </is>
      </c>
      <c r="C163" s="38" t="inlineStr">
        <is>
          <t>Vila-seca</t>
        </is>
      </c>
      <c r="D163" s="38" t="inlineStr">
        <is>
          <t>Y080</t>
        </is>
      </c>
      <c r="E163" s="38" t="inlineStr">
        <is>
          <t>80 anys</t>
        </is>
      </c>
      <c r="F163" s="38" t="inlineStr">
        <is>
          <t>80</t>
        </is>
      </c>
      <c r="G163" s="38" t="inlineStr">
        <is>
          <t>F</t>
        </is>
      </c>
      <c r="H163" s="38" t="inlineStr">
        <is>
          <t>65</t>
        </is>
      </c>
      <c r="I163" s="38" t="inlineStr">
        <is>
          <t>https://api.idescat.cat/taules/v2/censph/10/5975/mun/data?lang=ca&amp;YEAR=2021&amp;MUN=431711&amp;SEX=M,F</t>
        </is>
      </c>
    </row>
    <row r="164" ht="15" customHeight="1" s="39">
      <c r="A164" s="38" t="inlineStr">
        <is>
          <t>2021</t>
        </is>
      </c>
      <c r="B164" s="38" t="inlineStr">
        <is>
          <t>431711</t>
        </is>
      </c>
      <c r="C164" s="38" t="inlineStr">
        <is>
          <t>Vila-seca</t>
        </is>
      </c>
      <c r="D164" s="38" t="inlineStr">
        <is>
          <t>Y081</t>
        </is>
      </c>
      <c r="E164" s="38" t="inlineStr">
        <is>
          <t>81 anys</t>
        </is>
      </c>
      <c r="F164" s="38" t="inlineStr">
        <is>
          <t>81</t>
        </is>
      </c>
      <c r="G164" s="38" t="inlineStr">
        <is>
          <t>M</t>
        </is>
      </c>
      <c r="H164" s="38" t="inlineStr">
        <is>
          <t>25</t>
        </is>
      </c>
      <c r="I164" s="38" t="inlineStr">
        <is>
          <t>https://api.idescat.cat/taules/v2/censph/10/5975/mun/data?lang=ca&amp;YEAR=2021&amp;MUN=431711&amp;SEX=M,F</t>
        </is>
      </c>
    </row>
    <row r="165" ht="15" customHeight="1" s="39">
      <c r="A165" s="38" t="inlineStr">
        <is>
          <t>2021</t>
        </is>
      </c>
      <c r="B165" s="38" t="inlineStr">
        <is>
          <t>431711</t>
        </is>
      </c>
      <c r="C165" s="38" t="inlineStr">
        <is>
          <t>Vila-seca</t>
        </is>
      </c>
      <c r="D165" s="38" t="inlineStr">
        <is>
          <t>Y081</t>
        </is>
      </c>
      <c r="E165" s="38" t="inlineStr">
        <is>
          <t>81 anys</t>
        </is>
      </c>
      <c r="F165" s="38" t="inlineStr">
        <is>
          <t>81</t>
        </is>
      </c>
      <c r="G165" s="38" t="inlineStr">
        <is>
          <t>F</t>
        </is>
      </c>
      <c r="H165" s="38" t="inlineStr">
        <is>
          <t>31</t>
        </is>
      </c>
      <c r="I165" s="38" t="inlineStr">
        <is>
          <t>https://api.idescat.cat/taules/v2/censph/10/5975/mun/data?lang=ca&amp;YEAR=2021&amp;MUN=431711&amp;SEX=M,F</t>
        </is>
      </c>
    </row>
    <row r="166" ht="15" customHeight="1" s="39">
      <c r="A166" s="38" t="inlineStr">
        <is>
          <t>2021</t>
        </is>
      </c>
      <c r="B166" s="38" t="inlineStr">
        <is>
          <t>431711</t>
        </is>
      </c>
      <c r="C166" s="38" t="inlineStr">
        <is>
          <t>Vila-seca</t>
        </is>
      </c>
      <c r="D166" s="38" t="inlineStr">
        <is>
          <t>Y082</t>
        </is>
      </c>
      <c r="E166" s="38" t="inlineStr">
        <is>
          <t>82 anys</t>
        </is>
      </c>
      <c r="F166" s="38" t="inlineStr">
        <is>
          <t>82</t>
        </is>
      </c>
      <c r="G166" s="38" t="inlineStr">
        <is>
          <t>M</t>
        </is>
      </c>
      <c r="H166" s="38" t="inlineStr">
        <is>
          <t>27</t>
        </is>
      </c>
      <c r="I166" s="38" t="inlineStr">
        <is>
          <t>https://api.idescat.cat/taules/v2/censph/10/5975/mun/data?lang=ca&amp;YEAR=2021&amp;MUN=431711&amp;SEX=M,F</t>
        </is>
      </c>
    </row>
    <row r="167" ht="15" customHeight="1" s="39">
      <c r="A167" s="38" t="inlineStr">
        <is>
          <t>2021</t>
        </is>
      </c>
      <c r="B167" s="38" t="inlineStr">
        <is>
          <t>431711</t>
        </is>
      </c>
      <c r="C167" s="38" t="inlineStr">
        <is>
          <t>Vila-seca</t>
        </is>
      </c>
      <c r="D167" s="38" t="inlineStr">
        <is>
          <t>Y082</t>
        </is>
      </c>
      <c r="E167" s="38" t="inlineStr">
        <is>
          <t>82 anys</t>
        </is>
      </c>
      <c r="F167" s="38" t="inlineStr">
        <is>
          <t>82</t>
        </is>
      </c>
      <c r="G167" s="38" t="inlineStr">
        <is>
          <t>F</t>
        </is>
      </c>
      <c r="H167" s="38" t="inlineStr">
        <is>
          <t>44</t>
        </is>
      </c>
      <c r="I167" s="38" t="inlineStr">
        <is>
          <t>https://api.idescat.cat/taules/v2/censph/10/5975/mun/data?lang=ca&amp;YEAR=2021&amp;MUN=431711&amp;SEX=M,F</t>
        </is>
      </c>
    </row>
    <row r="168" ht="15" customHeight="1" s="39">
      <c r="A168" s="38" t="inlineStr">
        <is>
          <t>2021</t>
        </is>
      </c>
      <c r="B168" s="38" t="inlineStr">
        <is>
          <t>431711</t>
        </is>
      </c>
      <c r="C168" s="38" t="inlineStr">
        <is>
          <t>Vila-seca</t>
        </is>
      </c>
      <c r="D168" s="38" t="inlineStr">
        <is>
          <t>Y083</t>
        </is>
      </c>
      <c r="E168" s="38" t="inlineStr">
        <is>
          <t>83 anys</t>
        </is>
      </c>
      <c r="F168" s="38" t="inlineStr">
        <is>
          <t>83</t>
        </is>
      </c>
      <c r="G168" s="38" t="inlineStr">
        <is>
          <t>M</t>
        </is>
      </c>
      <c r="H168" s="38" t="inlineStr">
        <is>
          <t>37</t>
        </is>
      </c>
      <c r="I168" s="38" t="inlineStr">
        <is>
          <t>https://api.idescat.cat/taules/v2/censph/10/5975/mun/data?lang=ca&amp;YEAR=2021&amp;MUN=431711&amp;SEX=M,F</t>
        </is>
      </c>
    </row>
    <row r="169" ht="15" customHeight="1" s="39">
      <c r="A169" s="38" t="inlineStr">
        <is>
          <t>2021</t>
        </is>
      </c>
      <c r="B169" s="38" t="inlineStr">
        <is>
          <t>431711</t>
        </is>
      </c>
      <c r="C169" s="38" t="inlineStr">
        <is>
          <t>Vila-seca</t>
        </is>
      </c>
      <c r="D169" s="38" t="inlineStr">
        <is>
          <t>Y083</t>
        </is>
      </c>
      <c r="E169" s="38" t="inlineStr">
        <is>
          <t>83 anys</t>
        </is>
      </c>
      <c r="F169" s="38" t="inlineStr">
        <is>
          <t>83</t>
        </is>
      </c>
      <c r="G169" s="38" t="inlineStr">
        <is>
          <t>F</t>
        </is>
      </c>
      <c r="H169" s="38" t="inlineStr">
        <is>
          <t>50.0</t>
        </is>
      </c>
      <c r="I169" s="38" t="inlineStr">
        <is>
          <t>https://api.idescat.cat/taules/v2/censph/10/5975/mun/data?lang=ca&amp;YEAR=2021&amp;MUN=431711&amp;SEX=M,F</t>
        </is>
      </c>
    </row>
    <row r="170" ht="15" customHeight="1" s="39">
      <c r="A170" s="38" t="inlineStr">
        <is>
          <t>2021</t>
        </is>
      </c>
      <c r="B170" s="38" t="inlineStr">
        <is>
          <t>431711</t>
        </is>
      </c>
      <c r="C170" s="38" t="inlineStr">
        <is>
          <t>Vila-seca</t>
        </is>
      </c>
      <c r="D170" s="38" t="inlineStr">
        <is>
          <t>Y084</t>
        </is>
      </c>
      <c r="E170" s="38" t="inlineStr">
        <is>
          <t>84 anys</t>
        </is>
      </c>
      <c r="F170" s="38" t="inlineStr">
        <is>
          <t>84</t>
        </is>
      </c>
      <c r="G170" s="38" t="inlineStr">
        <is>
          <t>M</t>
        </is>
      </c>
      <c r="H170" s="38" t="inlineStr">
        <is>
          <t>29</t>
        </is>
      </c>
      <c r="I170" s="38" t="inlineStr">
        <is>
          <t>https://api.idescat.cat/taules/v2/censph/10/5975/mun/data?lang=ca&amp;YEAR=2021&amp;MUN=431711&amp;SEX=M,F</t>
        </is>
      </c>
    </row>
    <row r="171" ht="15" customHeight="1" s="39">
      <c r="A171" s="38" t="inlineStr">
        <is>
          <t>2021</t>
        </is>
      </c>
      <c r="B171" s="38" t="inlineStr">
        <is>
          <t>431711</t>
        </is>
      </c>
      <c r="C171" s="38" t="inlineStr">
        <is>
          <t>Vila-seca</t>
        </is>
      </c>
      <c r="D171" s="38" t="inlineStr">
        <is>
          <t>Y084</t>
        </is>
      </c>
      <c r="E171" s="38" t="inlineStr">
        <is>
          <t>84 anys</t>
        </is>
      </c>
      <c r="F171" s="38" t="inlineStr">
        <is>
          <t>84</t>
        </is>
      </c>
      <c r="G171" s="38" t="inlineStr">
        <is>
          <t>F</t>
        </is>
      </c>
      <c r="H171" s="38" t="inlineStr">
        <is>
          <t>41</t>
        </is>
      </c>
      <c r="I171" s="38" t="inlineStr">
        <is>
          <t>https://api.idescat.cat/taules/v2/censph/10/5975/mun/data?lang=ca&amp;YEAR=2021&amp;MUN=431711&amp;SEX=M,F</t>
        </is>
      </c>
    </row>
    <row r="172" ht="15" customHeight="1" s="39">
      <c r="A172" s="38" t="inlineStr">
        <is>
          <t>2021</t>
        </is>
      </c>
      <c r="B172" s="38" t="inlineStr">
        <is>
          <t>431711</t>
        </is>
      </c>
      <c r="C172" s="38" t="inlineStr">
        <is>
          <t>Vila-seca</t>
        </is>
      </c>
      <c r="D172" s="38" t="inlineStr">
        <is>
          <t>Y085</t>
        </is>
      </c>
      <c r="E172" s="38" t="inlineStr">
        <is>
          <t>85 anys</t>
        </is>
      </c>
      <c r="F172" s="38" t="inlineStr">
        <is>
          <t>85</t>
        </is>
      </c>
      <c r="G172" s="38" t="inlineStr">
        <is>
          <t>M</t>
        </is>
      </c>
      <c r="H172" s="38" t="inlineStr">
        <is>
          <t>27</t>
        </is>
      </c>
      <c r="I172" s="38" t="inlineStr">
        <is>
          <t>https://api.idescat.cat/taules/v2/censph/10/5975/mun/data?lang=ca&amp;YEAR=2021&amp;MUN=431711&amp;SEX=M,F</t>
        </is>
      </c>
    </row>
    <row r="173" ht="15" customHeight="1" s="39">
      <c r="A173" s="38" t="inlineStr">
        <is>
          <t>2021</t>
        </is>
      </c>
      <c r="B173" s="38" t="inlineStr">
        <is>
          <t>431711</t>
        </is>
      </c>
      <c r="C173" s="38" t="inlineStr">
        <is>
          <t>Vila-seca</t>
        </is>
      </c>
      <c r="D173" s="38" t="inlineStr">
        <is>
          <t>Y085</t>
        </is>
      </c>
      <c r="E173" s="38" t="inlineStr">
        <is>
          <t>85 anys</t>
        </is>
      </c>
      <c r="F173" s="38" t="inlineStr">
        <is>
          <t>85</t>
        </is>
      </c>
      <c r="G173" s="38" t="inlineStr">
        <is>
          <t>F</t>
        </is>
      </c>
      <c r="H173" s="38" t="inlineStr">
        <is>
          <t>40.0</t>
        </is>
      </c>
      <c r="I173" s="38" t="inlineStr">
        <is>
          <t>https://api.idescat.cat/taules/v2/censph/10/5975/mun/data?lang=ca&amp;YEAR=2021&amp;MUN=431711&amp;SEX=M,F</t>
        </is>
      </c>
    </row>
    <row r="174" ht="15" customHeight="1" s="39">
      <c r="A174" s="38" t="inlineStr">
        <is>
          <t>2021</t>
        </is>
      </c>
      <c r="B174" s="38" t="inlineStr">
        <is>
          <t>431711</t>
        </is>
      </c>
      <c r="C174" s="38" t="inlineStr">
        <is>
          <t>Vila-seca</t>
        </is>
      </c>
      <c r="D174" s="38" t="inlineStr">
        <is>
          <t>Y086</t>
        </is>
      </c>
      <c r="E174" s="38" t="inlineStr">
        <is>
          <t>86 anys</t>
        </is>
      </c>
      <c r="F174" s="38" t="inlineStr">
        <is>
          <t>86</t>
        </is>
      </c>
      <c r="G174" s="38" t="inlineStr">
        <is>
          <t>M</t>
        </is>
      </c>
      <c r="H174" s="38" t="inlineStr">
        <is>
          <t>21</t>
        </is>
      </c>
      <c r="I174" s="38" t="inlineStr">
        <is>
          <t>https://api.idescat.cat/taules/v2/censph/10/5975/mun/data?lang=ca&amp;YEAR=2021&amp;MUN=431711&amp;SEX=M,F</t>
        </is>
      </c>
    </row>
    <row r="175" ht="15" customHeight="1" s="39">
      <c r="A175" s="38" t="inlineStr">
        <is>
          <t>2021</t>
        </is>
      </c>
      <c r="B175" s="38" t="inlineStr">
        <is>
          <t>431711</t>
        </is>
      </c>
      <c r="C175" s="38" t="inlineStr">
        <is>
          <t>Vila-seca</t>
        </is>
      </c>
      <c r="D175" s="38" t="inlineStr">
        <is>
          <t>Y086</t>
        </is>
      </c>
      <c r="E175" s="38" t="inlineStr">
        <is>
          <t>86 anys</t>
        </is>
      </c>
      <c r="F175" s="38" t="inlineStr">
        <is>
          <t>86</t>
        </is>
      </c>
      <c r="G175" s="38" t="inlineStr">
        <is>
          <t>F</t>
        </is>
      </c>
      <c r="H175" s="38" t="inlineStr">
        <is>
          <t>48</t>
        </is>
      </c>
      <c r="I175" s="38" t="inlineStr">
        <is>
          <t>https://api.idescat.cat/taules/v2/censph/10/5975/mun/data?lang=ca&amp;YEAR=2021&amp;MUN=431711&amp;SEX=M,F</t>
        </is>
      </c>
    </row>
    <row r="176" ht="15" customHeight="1" s="39">
      <c r="A176" s="38" t="inlineStr">
        <is>
          <t>2021</t>
        </is>
      </c>
      <c r="B176" s="38" t="inlineStr">
        <is>
          <t>431711</t>
        </is>
      </c>
      <c r="C176" s="38" t="inlineStr">
        <is>
          <t>Vila-seca</t>
        </is>
      </c>
      <c r="D176" s="38" t="inlineStr">
        <is>
          <t>Y087</t>
        </is>
      </c>
      <c r="E176" s="38" t="inlineStr">
        <is>
          <t>87 anys</t>
        </is>
      </c>
      <c r="F176" s="38" t="inlineStr">
        <is>
          <t>87</t>
        </is>
      </c>
      <c r="G176" s="38" t="inlineStr">
        <is>
          <t>M</t>
        </is>
      </c>
      <c r="H176" s="38" t="inlineStr">
        <is>
          <t>13</t>
        </is>
      </c>
      <c r="I176" s="38" t="inlineStr">
        <is>
          <t>https://api.idescat.cat/taules/v2/censph/10/5975/mun/data?lang=ca&amp;YEAR=2021&amp;MUN=431711&amp;SEX=M,F</t>
        </is>
      </c>
    </row>
    <row r="177" ht="15" customHeight="1" s="39">
      <c r="A177" s="38" t="inlineStr">
        <is>
          <t>2021</t>
        </is>
      </c>
      <c r="B177" s="38" t="inlineStr">
        <is>
          <t>431711</t>
        </is>
      </c>
      <c r="C177" s="38" t="inlineStr">
        <is>
          <t>Vila-seca</t>
        </is>
      </c>
      <c r="D177" s="38" t="inlineStr">
        <is>
          <t>Y087</t>
        </is>
      </c>
      <c r="E177" s="38" t="inlineStr">
        <is>
          <t>87 anys</t>
        </is>
      </c>
      <c r="F177" s="38" t="inlineStr">
        <is>
          <t>87</t>
        </is>
      </c>
      <c r="G177" s="38" t="inlineStr">
        <is>
          <t>F</t>
        </is>
      </c>
      <c r="H177" s="38" t="inlineStr">
        <is>
          <t>35</t>
        </is>
      </c>
      <c r="I177" s="38" t="inlineStr">
        <is>
          <t>https://api.idescat.cat/taules/v2/censph/10/5975/mun/data?lang=ca&amp;YEAR=2021&amp;MUN=431711&amp;SEX=M,F</t>
        </is>
      </c>
    </row>
    <row r="178" ht="15" customHeight="1" s="39">
      <c r="A178" s="38" t="inlineStr">
        <is>
          <t>2021</t>
        </is>
      </c>
      <c r="B178" s="38" t="inlineStr">
        <is>
          <t>431711</t>
        </is>
      </c>
      <c r="C178" s="38" t="inlineStr">
        <is>
          <t>Vila-seca</t>
        </is>
      </c>
      <c r="D178" s="38" t="inlineStr">
        <is>
          <t>Y088</t>
        </is>
      </c>
      <c r="E178" s="38" t="inlineStr">
        <is>
          <t>88 anys</t>
        </is>
      </c>
      <c r="F178" s="38" t="inlineStr">
        <is>
          <t>88</t>
        </is>
      </c>
      <c r="G178" s="38" t="inlineStr">
        <is>
          <t>M</t>
        </is>
      </c>
      <c r="H178" s="38" t="inlineStr">
        <is>
          <t>11</t>
        </is>
      </c>
      <c r="I178" s="38" t="inlineStr">
        <is>
          <t>https://api.idescat.cat/taules/v2/censph/10/5975/mun/data?lang=ca&amp;YEAR=2021&amp;MUN=431711&amp;SEX=M,F</t>
        </is>
      </c>
    </row>
    <row r="179" ht="15" customHeight="1" s="39">
      <c r="A179" s="38" t="inlineStr">
        <is>
          <t>2021</t>
        </is>
      </c>
      <c r="B179" s="38" t="inlineStr">
        <is>
          <t>431711</t>
        </is>
      </c>
      <c r="C179" s="38" t="inlineStr">
        <is>
          <t>Vila-seca</t>
        </is>
      </c>
      <c r="D179" s="38" t="inlineStr">
        <is>
          <t>Y088</t>
        </is>
      </c>
      <c r="E179" s="38" t="inlineStr">
        <is>
          <t>88 anys</t>
        </is>
      </c>
      <c r="F179" s="38" t="inlineStr">
        <is>
          <t>88</t>
        </is>
      </c>
      <c r="G179" s="38" t="inlineStr">
        <is>
          <t>F</t>
        </is>
      </c>
      <c r="H179" s="38" t="inlineStr">
        <is>
          <t>26</t>
        </is>
      </c>
      <c r="I179" s="38" t="inlineStr">
        <is>
          <t>https://api.idescat.cat/taules/v2/censph/10/5975/mun/data?lang=ca&amp;YEAR=2021&amp;MUN=431711&amp;SEX=M,F</t>
        </is>
      </c>
    </row>
    <row r="180" ht="15" customHeight="1" s="39">
      <c r="A180" s="38" t="inlineStr">
        <is>
          <t>2021</t>
        </is>
      </c>
      <c r="B180" s="38" t="inlineStr">
        <is>
          <t>431711</t>
        </is>
      </c>
      <c r="C180" s="38" t="inlineStr">
        <is>
          <t>Vila-seca</t>
        </is>
      </c>
      <c r="D180" s="38" t="inlineStr">
        <is>
          <t>Y089</t>
        </is>
      </c>
      <c r="E180" s="38" t="inlineStr">
        <is>
          <t>89 anys</t>
        </is>
      </c>
      <c r="F180" s="38" t="inlineStr">
        <is>
          <t>89</t>
        </is>
      </c>
      <c r="G180" s="38" t="inlineStr">
        <is>
          <t>M</t>
        </is>
      </c>
      <c r="H180" s="38" t="inlineStr">
        <is>
          <t>17</t>
        </is>
      </c>
      <c r="I180" s="38" t="inlineStr">
        <is>
          <t>https://api.idescat.cat/taules/v2/censph/10/5975/mun/data?lang=ca&amp;YEAR=2021&amp;MUN=431711&amp;SEX=M,F</t>
        </is>
      </c>
    </row>
    <row r="181" ht="15" customHeight="1" s="39">
      <c r="A181" s="38" t="inlineStr">
        <is>
          <t>2021</t>
        </is>
      </c>
      <c r="B181" s="38" t="inlineStr">
        <is>
          <t>431711</t>
        </is>
      </c>
      <c r="C181" s="38" t="inlineStr">
        <is>
          <t>Vila-seca</t>
        </is>
      </c>
      <c r="D181" s="38" t="inlineStr">
        <is>
          <t>Y089</t>
        </is>
      </c>
      <c r="E181" s="38" t="inlineStr">
        <is>
          <t>89 anys</t>
        </is>
      </c>
      <c r="F181" s="38" t="inlineStr">
        <is>
          <t>89</t>
        </is>
      </c>
      <c r="G181" s="38" t="inlineStr">
        <is>
          <t>F</t>
        </is>
      </c>
      <c r="H181" s="38" t="inlineStr">
        <is>
          <t>19</t>
        </is>
      </c>
      <c r="I181" s="38" t="inlineStr">
        <is>
          <t>https://api.idescat.cat/taules/v2/censph/10/5975/mun/data?lang=ca&amp;YEAR=2021&amp;MUN=431711&amp;SEX=M,F</t>
        </is>
      </c>
    </row>
    <row r="182" ht="15" customHeight="1" s="39">
      <c r="A182" s="38" t="inlineStr">
        <is>
          <t>2021</t>
        </is>
      </c>
      <c r="B182" s="38" t="inlineStr">
        <is>
          <t>431711</t>
        </is>
      </c>
      <c r="C182" s="38" t="inlineStr">
        <is>
          <t>Vila-seca</t>
        </is>
      </c>
      <c r="D182" s="38" t="inlineStr">
        <is>
          <t>Y090</t>
        </is>
      </c>
      <c r="E182" s="38" t="inlineStr">
        <is>
          <t>90 anys</t>
        </is>
      </c>
      <c r="F182" s="38" t="inlineStr">
        <is>
          <t>90</t>
        </is>
      </c>
      <c r="G182" s="38" t="inlineStr">
        <is>
          <t>M</t>
        </is>
      </c>
      <c r="H182" s="38" t="inlineStr">
        <is>
          <t>7</t>
        </is>
      </c>
      <c r="I182" s="38" t="inlineStr">
        <is>
          <t>https://api.idescat.cat/taules/v2/censph/10/5975/mun/data?lang=ca&amp;YEAR=2021&amp;MUN=431711&amp;SEX=M,F</t>
        </is>
      </c>
    </row>
    <row r="183" ht="15" customHeight="1" s="39">
      <c r="A183" s="38" t="inlineStr">
        <is>
          <t>2021</t>
        </is>
      </c>
      <c r="B183" s="38" t="inlineStr">
        <is>
          <t>431711</t>
        </is>
      </c>
      <c r="C183" s="38" t="inlineStr">
        <is>
          <t>Vila-seca</t>
        </is>
      </c>
      <c r="D183" s="38" t="inlineStr">
        <is>
          <t>Y090</t>
        </is>
      </c>
      <c r="E183" s="38" t="inlineStr">
        <is>
          <t>90 anys</t>
        </is>
      </c>
      <c r="F183" s="38" t="inlineStr">
        <is>
          <t>90</t>
        </is>
      </c>
      <c r="G183" s="38" t="inlineStr">
        <is>
          <t>F</t>
        </is>
      </c>
      <c r="H183" s="38" t="inlineStr">
        <is>
          <t>23</t>
        </is>
      </c>
      <c r="I183" s="38" t="inlineStr">
        <is>
          <t>https://api.idescat.cat/taules/v2/censph/10/5975/mun/data?lang=ca&amp;YEAR=2021&amp;MUN=431711&amp;SEX=M,F</t>
        </is>
      </c>
    </row>
    <row r="184" ht="15" customHeight="1" s="39">
      <c r="A184" s="38" t="inlineStr">
        <is>
          <t>2021</t>
        </is>
      </c>
      <c r="B184" s="38" t="inlineStr">
        <is>
          <t>431711</t>
        </is>
      </c>
      <c r="C184" s="38" t="inlineStr">
        <is>
          <t>Vila-seca</t>
        </is>
      </c>
      <c r="D184" s="38" t="inlineStr">
        <is>
          <t>Y091</t>
        </is>
      </c>
      <c r="E184" s="38" t="inlineStr">
        <is>
          <t>91 anys</t>
        </is>
      </c>
      <c r="F184" s="38" t="inlineStr">
        <is>
          <t>91</t>
        </is>
      </c>
      <c r="G184" s="38" t="inlineStr">
        <is>
          <t>M</t>
        </is>
      </c>
      <c r="H184" s="38" t="inlineStr">
        <is>
          <t>13</t>
        </is>
      </c>
      <c r="I184" s="38" t="inlineStr">
        <is>
          <t>https://api.idescat.cat/taules/v2/censph/10/5975/mun/data?lang=ca&amp;YEAR=2021&amp;MUN=431711&amp;SEX=M,F</t>
        </is>
      </c>
    </row>
    <row r="185" ht="15" customHeight="1" s="39">
      <c r="A185" s="38" t="inlineStr">
        <is>
          <t>2021</t>
        </is>
      </c>
      <c r="B185" s="38" t="inlineStr">
        <is>
          <t>431711</t>
        </is>
      </c>
      <c r="C185" s="38" t="inlineStr">
        <is>
          <t>Vila-seca</t>
        </is>
      </c>
      <c r="D185" s="38" t="inlineStr">
        <is>
          <t>Y091</t>
        </is>
      </c>
      <c r="E185" s="38" t="inlineStr">
        <is>
          <t>91 anys</t>
        </is>
      </c>
      <c r="F185" s="38" t="inlineStr">
        <is>
          <t>91</t>
        </is>
      </c>
      <c r="G185" s="38" t="inlineStr">
        <is>
          <t>F</t>
        </is>
      </c>
      <c r="H185" s="38" t="inlineStr">
        <is>
          <t>24</t>
        </is>
      </c>
      <c r="I185" s="38" t="inlineStr">
        <is>
          <t>https://api.idescat.cat/taules/v2/censph/10/5975/mun/data?lang=ca&amp;YEAR=2021&amp;MUN=431711&amp;SEX=M,F</t>
        </is>
      </c>
    </row>
    <row r="186" ht="15" customHeight="1" s="39">
      <c r="A186" s="38" t="inlineStr">
        <is>
          <t>2021</t>
        </is>
      </c>
      <c r="B186" s="38" t="inlineStr">
        <is>
          <t>431711</t>
        </is>
      </c>
      <c r="C186" s="38" t="inlineStr">
        <is>
          <t>Vila-seca</t>
        </is>
      </c>
      <c r="D186" s="38" t="inlineStr">
        <is>
          <t>Y092</t>
        </is>
      </c>
      <c r="E186" s="38" t="inlineStr">
        <is>
          <t>92 anys</t>
        </is>
      </c>
      <c r="F186" s="38" t="inlineStr">
        <is>
          <t>92</t>
        </is>
      </c>
      <c r="G186" s="38" t="inlineStr">
        <is>
          <t>M</t>
        </is>
      </c>
      <c r="H186" s="38" t="inlineStr">
        <is>
          <t>4</t>
        </is>
      </c>
      <c r="I186" s="38" t="inlineStr">
        <is>
          <t>https://api.idescat.cat/taules/v2/censph/10/5975/mun/data?lang=ca&amp;YEAR=2021&amp;MUN=431711&amp;SEX=M,F</t>
        </is>
      </c>
    </row>
    <row r="187" ht="15" customHeight="1" s="39">
      <c r="A187" s="38" t="inlineStr">
        <is>
          <t>2021</t>
        </is>
      </c>
      <c r="B187" s="38" t="inlineStr">
        <is>
          <t>431711</t>
        </is>
      </c>
      <c r="C187" s="38" t="inlineStr">
        <is>
          <t>Vila-seca</t>
        </is>
      </c>
      <c r="D187" s="38" t="inlineStr">
        <is>
          <t>Y092</t>
        </is>
      </c>
      <c r="E187" s="38" t="inlineStr">
        <is>
          <t>92 anys</t>
        </is>
      </c>
      <c r="F187" s="38" t="inlineStr">
        <is>
          <t>92</t>
        </is>
      </c>
      <c r="G187" s="38" t="inlineStr">
        <is>
          <t>F</t>
        </is>
      </c>
      <c r="H187" s="38" t="inlineStr">
        <is>
          <t>11</t>
        </is>
      </c>
      <c r="I187" s="38" t="inlineStr">
        <is>
          <t>https://api.idescat.cat/taules/v2/censph/10/5975/mun/data?lang=ca&amp;YEAR=2021&amp;MUN=431711&amp;SEX=M,F</t>
        </is>
      </c>
    </row>
    <row r="188" ht="15" customHeight="1" s="39">
      <c r="A188" s="38" t="inlineStr">
        <is>
          <t>2021</t>
        </is>
      </c>
      <c r="B188" s="38" t="inlineStr">
        <is>
          <t>431711</t>
        </is>
      </c>
      <c r="C188" s="38" t="inlineStr">
        <is>
          <t>Vila-seca</t>
        </is>
      </c>
      <c r="D188" s="38" t="inlineStr">
        <is>
          <t>Y093</t>
        </is>
      </c>
      <c r="E188" s="38" t="inlineStr">
        <is>
          <t>93 anys</t>
        </is>
      </c>
      <c r="F188" s="38" t="inlineStr">
        <is>
          <t>93</t>
        </is>
      </c>
      <c r="G188" s="38" t="inlineStr">
        <is>
          <t>M</t>
        </is>
      </c>
      <c r="H188" s="38" t="inlineStr">
        <is>
          <t>2</t>
        </is>
      </c>
      <c r="I188" s="38" t="inlineStr">
        <is>
          <t>https://api.idescat.cat/taules/v2/censph/10/5975/mun/data?lang=ca&amp;YEAR=2021&amp;MUN=431711&amp;SEX=M,F</t>
        </is>
      </c>
    </row>
    <row r="189" ht="15" customHeight="1" s="39">
      <c r="A189" s="38" t="inlineStr">
        <is>
          <t>2021</t>
        </is>
      </c>
      <c r="B189" s="38" t="inlineStr">
        <is>
          <t>431711</t>
        </is>
      </c>
      <c r="C189" s="38" t="inlineStr">
        <is>
          <t>Vila-seca</t>
        </is>
      </c>
      <c r="D189" s="38" t="inlineStr">
        <is>
          <t>Y093</t>
        </is>
      </c>
      <c r="E189" s="38" t="inlineStr">
        <is>
          <t>93 anys</t>
        </is>
      </c>
      <c r="F189" s="38" t="inlineStr">
        <is>
          <t>93</t>
        </is>
      </c>
      <c r="G189" s="38" t="inlineStr">
        <is>
          <t>F</t>
        </is>
      </c>
      <c r="H189" s="38" t="inlineStr">
        <is>
          <t>9</t>
        </is>
      </c>
      <c r="I189" s="38" t="inlineStr">
        <is>
          <t>https://api.idescat.cat/taules/v2/censph/10/5975/mun/data?lang=ca&amp;YEAR=2021&amp;MUN=431711&amp;SEX=M,F</t>
        </is>
      </c>
    </row>
    <row r="190" ht="15" customHeight="1" s="39">
      <c r="A190" s="38" t="inlineStr">
        <is>
          <t>2021</t>
        </is>
      </c>
      <c r="B190" s="38" t="inlineStr">
        <is>
          <t>431711</t>
        </is>
      </c>
      <c r="C190" s="38" t="inlineStr">
        <is>
          <t>Vila-seca</t>
        </is>
      </c>
      <c r="D190" s="38" t="inlineStr">
        <is>
          <t>Y094</t>
        </is>
      </c>
      <c r="E190" s="38" t="inlineStr">
        <is>
          <t>94 anys</t>
        </is>
      </c>
      <c r="F190" s="38" t="inlineStr">
        <is>
          <t>94</t>
        </is>
      </c>
      <c r="G190" s="38" t="inlineStr">
        <is>
          <t>M</t>
        </is>
      </c>
      <c r="H190" s="38" t="inlineStr">
        <is>
          <t>10.0</t>
        </is>
      </c>
      <c r="I190" s="38" t="inlineStr">
        <is>
          <t>https://api.idescat.cat/taules/v2/censph/10/5975/mun/data?lang=ca&amp;YEAR=2021&amp;MUN=431711&amp;SEX=M,F</t>
        </is>
      </c>
    </row>
    <row r="191" ht="15" customHeight="1" s="39">
      <c r="A191" s="38" t="inlineStr">
        <is>
          <t>2021</t>
        </is>
      </c>
      <c r="B191" s="38" t="inlineStr">
        <is>
          <t>431711</t>
        </is>
      </c>
      <c r="C191" s="38" t="inlineStr">
        <is>
          <t>Vila-seca</t>
        </is>
      </c>
      <c r="D191" s="38" t="inlineStr">
        <is>
          <t>Y094</t>
        </is>
      </c>
      <c r="E191" s="38" t="inlineStr">
        <is>
          <t>94 anys</t>
        </is>
      </c>
      <c r="F191" s="38" t="inlineStr">
        <is>
          <t>94</t>
        </is>
      </c>
      <c r="G191" s="38" t="inlineStr">
        <is>
          <t>F</t>
        </is>
      </c>
      <c r="H191" s="38" t="inlineStr">
        <is>
          <t>13</t>
        </is>
      </c>
      <c r="I191" s="38" t="inlineStr">
        <is>
          <t>https://api.idescat.cat/taules/v2/censph/10/5975/mun/data?lang=ca&amp;YEAR=2021&amp;MUN=431711&amp;SEX=M,F</t>
        </is>
      </c>
    </row>
    <row r="192" ht="15" customHeight="1" s="39">
      <c r="A192" s="38" t="inlineStr">
        <is>
          <t>2021</t>
        </is>
      </c>
      <c r="B192" s="38" t="inlineStr">
        <is>
          <t>431711</t>
        </is>
      </c>
      <c r="C192" s="38" t="inlineStr">
        <is>
          <t>Vila-seca</t>
        </is>
      </c>
      <c r="D192" s="38" t="inlineStr">
        <is>
          <t>Y095</t>
        </is>
      </c>
      <c r="E192" s="38" t="inlineStr">
        <is>
          <t>95 anys</t>
        </is>
      </c>
      <c r="F192" s="38" t="inlineStr">
        <is>
          <t>95</t>
        </is>
      </c>
      <c r="G192" s="38" t="inlineStr">
        <is>
          <t>M</t>
        </is>
      </c>
      <c r="H192" s="38" t="inlineStr">
        <is>
          <t>5</t>
        </is>
      </c>
      <c r="I192" s="38" t="inlineStr">
        <is>
          <t>https://api.idescat.cat/taules/v2/censph/10/5975/mun/data?lang=ca&amp;YEAR=2021&amp;MUN=431711&amp;SEX=M,F</t>
        </is>
      </c>
    </row>
    <row r="193" ht="15" customHeight="1" s="39">
      <c r="A193" s="38" t="inlineStr">
        <is>
          <t>2021</t>
        </is>
      </c>
      <c r="B193" s="38" t="inlineStr">
        <is>
          <t>431711</t>
        </is>
      </c>
      <c r="C193" s="38" t="inlineStr">
        <is>
          <t>Vila-seca</t>
        </is>
      </c>
      <c r="D193" s="38" t="inlineStr">
        <is>
          <t>Y095</t>
        </is>
      </c>
      <c r="E193" s="38" t="inlineStr">
        <is>
          <t>95 anys</t>
        </is>
      </c>
      <c r="F193" s="38" t="inlineStr">
        <is>
          <t>95</t>
        </is>
      </c>
      <c r="G193" s="38" t="inlineStr">
        <is>
          <t>F</t>
        </is>
      </c>
      <c r="H193" s="38" t="inlineStr">
        <is>
          <t>7</t>
        </is>
      </c>
      <c r="I193" s="38" t="inlineStr">
        <is>
          <t>https://api.idescat.cat/taules/v2/censph/10/5975/mun/data?lang=ca&amp;YEAR=2021&amp;MUN=431711&amp;SEX=M,F</t>
        </is>
      </c>
    </row>
    <row r="194" ht="15" customHeight="1" s="39">
      <c r="A194" s="38" t="inlineStr">
        <is>
          <t>2021</t>
        </is>
      </c>
      <c r="B194" s="38" t="inlineStr">
        <is>
          <t>431711</t>
        </is>
      </c>
      <c r="C194" s="38" t="inlineStr">
        <is>
          <t>Vila-seca</t>
        </is>
      </c>
      <c r="D194" s="38" t="inlineStr">
        <is>
          <t>Y096</t>
        </is>
      </c>
      <c r="E194" s="38" t="inlineStr">
        <is>
          <t>96 anys</t>
        </is>
      </c>
      <c r="F194" s="38" t="inlineStr">
        <is>
          <t>96</t>
        </is>
      </c>
      <c r="G194" s="38" t="inlineStr">
        <is>
          <t>M</t>
        </is>
      </c>
      <c r="H194" s="38" t="inlineStr">
        <is>
          <t>3</t>
        </is>
      </c>
      <c r="I194" s="38" t="inlineStr">
        <is>
          <t>https://api.idescat.cat/taules/v2/censph/10/5975/mun/data?lang=ca&amp;YEAR=2021&amp;MUN=431711&amp;SEX=M,F</t>
        </is>
      </c>
    </row>
    <row r="195" ht="15" customHeight="1" s="39">
      <c r="A195" s="38" t="inlineStr">
        <is>
          <t>2021</t>
        </is>
      </c>
      <c r="B195" s="38" t="inlineStr">
        <is>
          <t>431711</t>
        </is>
      </c>
      <c r="C195" s="38" t="inlineStr">
        <is>
          <t>Vila-seca</t>
        </is>
      </c>
      <c r="D195" s="38" t="inlineStr">
        <is>
          <t>Y096</t>
        </is>
      </c>
      <c r="E195" s="38" t="inlineStr">
        <is>
          <t>96 anys</t>
        </is>
      </c>
      <c r="F195" s="38" t="inlineStr">
        <is>
          <t>96</t>
        </is>
      </c>
      <c r="G195" s="38" t="inlineStr">
        <is>
          <t>F</t>
        </is>
      </c>
      <c r="H195" s="38" t="inlineStr">
        <is>
          <t>5</t>
        </is>
      </c>
      <c r="I195" s="38" t="inlineStr">
        <is>
          <t>https://api.idescat.cat/taules/v2/censph/10/5975/mun/data?lang=ca&amp;YEAR=2021&amp;MUN=431711&amp;SEX=M,F</t>
        </is>
      </c>
    </row>
    <row r="196" ht="15" customHeight="1" s="39">
      <c r="A196" s="38" t="inlineStr">
        <is>
          <t>2021</t>
        </is>
      </c>
      <c r="B196" s="38" t="inlineStr">
        <is>
          <t>431711</t>
        </is>
      </c>
      <c r="C196" s="38" t="inlineStr">
        <is>
          <t>Vila-seca</t>
        </is>
      </c>
      <c r="D196" s="38" t="inlineStr">
        <is>
          <t>Y097</t>
        </is>
      </c>
      <c r="E196" s="38" t="inlineStr">
        <is>
          <t>97 anys</t>
        </is>
      </c>
      <c r="F196" s="38" t="inlineStr">
        <is>
          <t>97</t>
        </is>
      </c>
      <c r="G196" s="38" t="inlineStr">
        <is>
          <t>M</t>
        </is>
      </c>
      <c r="H196" s="38" t="inlineStr">
        <is>
          <t>0</t>
        </is>
      </c>
      <c r="I196" s="38" t="inlineStr">
        <is>
          <t>https://api.idescat.cat/taules/v2/censph/10/5975/mun/data?lang=ca&amp;YEAR=2021&amp;MUN=431711&amp;SEX=M,F</t>
        </is>
      </c>
    </row>
    <row r="197" ht="15" customHeight="1" s="39">
      <c r="A197" s="38" t="inlineStr">
        <is>
          <t>2021</t>
        </is>
      </c>
      <c r="B197" s="38" t="inlineStr">
        <is>
          <t>431711</t>
        </is>
      </c>
      <c r="C197" s="38" t="inlineStr">
        <is>
          <t>Vila-seca</t>
        </is>
      </c>
      <c r="D197" s="38" t="inlineStr">
        <is>
          <t>Y097</t>
        </is>
      </c>
      <c r="E197" s="38" t="inlineStr">
        <is>
          <t>97 anys</t>
        </is>
      </c>
      <c r="F197" s="38" t="inlineStr">
        <is>
          <t>97</t>
        </is>
      </c>
      <c r="G197" s="38" t="inlineStr">
        <is>
          <t>F</t>
        </is>
      </c>
      <c r="H197" s="38" t="inlineStr">
        <is>
          <t>6</t>
        </is>
      </c>
      <c r="I197" s="38" t="inlineStr">
        <is>
          <t>https://api.idescat.cat/taules/v2/censph/10/5975/mun/data?lang=ca&amp;YEAR=2021&amp;MUN=431711&amp;SEX=M,F</t>
        </is>
      </c>
    </row>
    <row r="198" ht="15" customHeight="1" s="39">
      <c r="A198" s="38" t="inlineStr">
        <is>
          <t>2021</t>
        </is>
      </c>
      <c r="B198" s="38" t="inlineStr">
        <is>
          <t>431711</t>
        </is>
      </c>
      <c r="C198" s="38" t="inlineStr">
        <is>
          <t>Vila-seca</t>
        </is>
      </c>
      <c r="D198" s="38" t="inlineStr">
        <is>
          <t>Y098</t>
        </is>
      </c>
      <c r="E198" s="38" t="inlineStr">
        <is>
          <t>98 anys</t>
        </is>
      </c>
      <c r="F198" s="38" t="inlineStr">
        <is>
          <t>98</t>
        </is>
      </c>
      <c r="G198" s="38" t="inlineStr">
        <is>
          <t>M</t>
        </is>
      </c>
      <c r="H198" s="38" t="inlineStr">
        <is>
          <t>2</t>
        </is>
      </c>
      <c r="I198" s="38" t="inlineStr">
        <is>
          <t>https://api.idescat.cat/taules/v2/censph/10/5975/mun/data?lang=ca&amp;YEAR=2021&amp;MUN=431711&amp;SEX=M,F</t>
        </is>
      </c>
    </row>
    <row r="199" ht="15" customHeight="1" s="39">
      <c r="A199" s="38" t="inlineStr">
        <is>
          <t>2021</t>
        </is>
      </c>
      <c r="B199" s="38" t="inlineStr">
        <is>
          <t>431711</t>
        </is>
      </c>
      <c r="C199" s="38" t="inlineStr">
        <is>
          <t>Vila-seca</t>
        </is>
      </c>
      <c r="D199" s="38" t="inlineStr">
        <is>
          <t>Y098</t>
        </is>
      </c>
      <c r="E199" s="38" t="inlineStr">
        <is>
          <t>98 anys</t>
        </is>
      </c>
      <c r="F199" s="38" t="inlineStr">
        <is>
          <t>98</t>
        </is>
      </c>
      <c r="G199" s="38" t="inlineStr">
        <is>
          <t>F</t>
        </is>
      </c>
      <c r="H199" s="38" t="inlineStr">
        <is>
          <t>3</t>
        </is>
      </c>
      <c r="I199" s="38" t="inlineStr">
        <is>
          <t>https://api.idescat.cat/taules/v2/censph/10/5975/mun/data?lang=ca&amp;YEAR=2021&amp;MUN=431711&amp;SEX=M,F</t>
        </is>
      </c>
    </row>
    <row r="200" ht="15" customHeight="1" s="39">
      <c r="A200" s="38" t="inlineStr">
        <is>
          <t>2021</t>
        </is>
      </c>
      <c r="B200" s="38" t="inlineStr">
        <is>
          <t>431711</t>
        </is>
      </c>
      <c r="C200" s="38" t="inlineStr">
        <is>
          <t>Vila-seca</t>
        </is>
      </c>
      <c r="D200" s="38" t="inlineStr">
        <is>
          <t>Y099</t>
        </is>
      </c>
      <c r="E200" s="38" t="inlineStr">
        <is>
          <t>99 anys</t>
        </is>
      </c>
      <c r="F200" s="38" t="inlineStr">
        <is>
          <t>99</t>
        </is>
      </c>
      <c r="G200" s="38" t="inlineStr">
        <is>
          <t>M</t>
        </is>
      </c>
      <c r="H200" s="38" t="inlineStr">
        <is>
          <t>2</t>
        </is>
      </c>
      <c r="I200" s="38" t="inlineStr">
        <is>
          <t>https://api.idescat.cat/taules/v2/censph/10/5975/mun/data?lang=ca&amp;YEAR=2021&amp;MUN=431711&amp;SEX=M,F</t>
        </is>
      </c>
    </row>
    <row r="201" ht="15" customHeight="1" s="39">
      <c r="A201" s="38" t="inlineStr">
        <is>
          <t>2021</t>
        </is>
      </c>
      <c r="B201" s="38" t="inlineStr">
        <is>
          <t>431711</t>
        </is>
      </c>
      <c r="C201" s="38" t="inlineStr">
        <is>
          <t>Vila-seca</t>
        </is>
      </c>
      <c r="D201" s="38" t="inlineStr">
        <is>
          <t>Y099</t>
        </is>
      </c>
      <c r="E201" s="38" t="inlineStr">
        <is>
          <t>99 anys</t>
        </is>
      </c>
      <c r="F201" s="38" t="inlineStr">
        <is>
          <t>99</t>
        </is>
      </c>
      <c r="G201" s="38" t="inlineStr">
        <is>
          <t>F</t>
        </is>
      </c>
      <c r="H201" s="38" t="inlineStr">
        <is>
          <t>1</t>
        </is>
      </c>
      <c r="I201" s="38" t="inlineStr">
        <is>
          <t>https://api.idescat.cat/taules/v2/censph/10/5975/mun/data?lang=ca&amp;YEAR=2021&amp;MUN=431711&amp;SEX=M,F</t>
        </is>
      </c>
    </row>
    <row r="202" ht="15" customHeight="1" s="39">
      <c r="A202" s="38" t="inlineStr">
        <is>
          <t>2021</t>
        </is>
      </c>
      <c r="B202" s="38" t="inlineStr">
        <is>
          <t>431711</t>
        </is>
      </c>
      <c r="C202" s="38" t="inlineStr">
        <is>
          <t>Vila-seca</t>
        </is>
      </c>
      <c r="D202" s="38" t="inlineStr">
        <is>
          <t>Y_GE100</t>
        </is>
      </c>
      <c r="E202" s="38" t="inlineStr">
        <is>
          <t>100 anys o més</t>
        </is>
      </c>
      <c r="F202" s="38" t="inlineStr">
        <is>
          <t>100</t>
        </is>
      </c>
      <c r="G202" s="38" t="inlineStr">
        <is>
          <t>M</t>
        </is>
      </c>
      <c r="H202" s="38" t="inlineStr">
        <is>
          <t>1</t>
        </is>
      </c>
      <c r="I202" s="38" t="inlineStr">
        <is>
          <t>https://api.idescat.cat/taules/v2/censph/10/5975/mun/data?lang=ca&amp;YEAR=2021&amp;MUN=431711&amp;SEX=M,F</t>
        </is>
      </c>
    </row>
    <row r="203" ht="15" customHeight="1" s="39">
      <c r="A203" s="38" t="inlineStr">
        <is>
          <t>2021</t>
        </is>
      </c>
      <c r="B203" s="38" t="inlineStr">
        <is>
          <t>431711</t>
        </is>
      </c>
      <c r="C203" s="38" t="inlineStr">
        <is>
          <t>Vila-seca</t>
        </is>
      </c>
      <c r="D203" s="38" t="inlineStr">
        <is>
          <t>Y_GE100</t>
        </is>
      </c>
      <c r="E203" s="38" t="inlineStr">
        <is>
          <t>100 anys o més</t>
        </is>
      </c>
      <c r="F203" s="38" t="inlineStr">
        <is>
          <t>100</t>
        </is>
      </c>
      <c r="G203" s="38" t="inlineStr">
        <is>
          <t>F</t>
        </is>
      </c>
      <c r="H203" s="38" t="inlineStr">
        <is>
          <t>3</t>
        </is>
      </c>
      <c r="I203" s="38" t="inlineStr">
        <is>
          <t>https://api.idescat.cat/taules/v2/censph/10/5975/mun/data?lang=ca&amp;YEAR=2021&amp;MUN=431711&amp;SEX=M,F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D2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year</t>
        </is>
      </c>
      <c r="B1" s="38" t="inlineStr">
        <is>
          <t>age_years</t>
        </is>
      </c>
      <c r="C1" s="38" t="inlineStr">
        <is>
          <t>sex</t>
        </is>
      </c>
      <c r="D1" s="38" t="inlineStr">
        <is>
          <t>population</t>
        </is>
      </c>
    </row>
    <row r="2" ht="15" customHeight="1" s="39">
      <c r="A2" s="38" t="n">
        <v>2021</v>
      </c>
      <c r="B2" s="38" t="n">
        <v>0</v>
      </c>
      <c r="C2" s="38" t="inlineStr">
        <is>
          <t>M</t>
        </is>
      </c>
      <c r="D2" s="38" t="n">
        <v>103</v>
      </c>
    </row>
    <row r="3" ht="15" customHeight="1" s="39">
      <c r="A3" s="38" t="n">
        <v>2021</v>
      </c>
      <c r="B3" s="38" t="n">
        <v>0</v>
      </c>
      <c r="C3" s="38" t="inlineStr">
        <is>
          <t>F</t>
        </is>
      </c>
      <c r="D3" s="38" t="n">
        <v>98</v>
      </c>
    </row>
    <row r="4" ht="15" customHeight="1" s="39">
      <c r="A4" s="38" t="n">
        <v>2021</v>
      </c>
      <c r="B4" s="38" t="n">
        <v>1</v>
      </c>
      <c r="C4" s="38" t="inlineStr">
        <is>
          <t>M</t>
        </is>
      </c>
      <c r="D4" s="38" t="n">
        <v>113</v>
      </c>
    </row>
    <row r="5" ht="15" customHeight="1" s="39">
      <c r="A5" s="38" t="n">
        <v>2021</v>
      </c>
      <c r="B5" s="38" t="n">
        <v>1</v>
      </c>
      <c r="C5" s="38" t="inlineStr">
        <is>
          <t>F</t>
        </is>
      </c>
      <c r="D5" s="38" t="n">
        <v>87</v>
      </c>
    </row>
    <row r="6" ht="15" customHeight="1" s="39">
      <c r="A6" s="38" t="n">
        <v>2021</v>
      </c>
      <c r="B6" s="38" t="n">
        <v>2</v>
      </c>
      <c r="C6" s="38" t="inlineStr">
        <is>
          <t>M</t>
        </is>
      </c>
      <c r="D6" s="38" t="n">
        <v>125</v>
      </c>
    </row>
    <row r="7" ht="15" customHeight="1" s="39">
      <c r="A7" s="38" t="n">
        <v>2021</v>
      </c>
      <c r="B7" s="38" t="n">
        <v>2</v>
      </c>
      <c r="C7" s="38" t="inlineStr">
        <is>
          <t>F</t>
        </is>
      </c>
      <c r="D7" s="38" t="n">
        <v>116</v>
      </c>
    </row>
    <row r="8" ht="15" customHeight="1" s="39">
      <c r="A8" s="38" t="n">
        <v>2021</v>
      </c>
      <c r="B8" s="38" t="n">
        <v>3</v>
      </c>
      <c r="C8" s="38" t="inlineStr">
        <is>
          <t>M</t>
        </is>
      </c>
      <c r="D8" s="38" t="n">
        <v>127</v>
      </c>
    </row>
    <row r="9" ht="15" customHeight="1" s="39">
      <c r="A9" s="38" t="n">
        <v>2021</v>
      </c>
      <c r="B9" s="38" t="n">
        <v>3</v>
      </c>
      <c r="C9" s="38" t="inlineStr">
        <is>
          <t>F</t>
        </is>
      </c>
      <c r="D9" s="38" t="n">
        <v>124</v>
      </c>
    </row>
    <row r="10" ht="15" customHeight="1" s="39">
      <c r="A10" s="38" t="n">
        <v>2021</v>
      </c>
      <c r="B10" s="38" t="n">
        <v>4</v>
      </c>
      <c r="C10" s="38" t="inlineStr">
        <is>
          <t>M</t>
        </is>
      </c>
      <c r="D10" s="38" t="n">
        <v>133</v>
      </c>
    </row>
    <row r="11" ht="15" customHeight="1" s="39">
      <c r="A11" s="38" t="n">
        <v>2021</v>
      </c>
      <c r="B11" s="38" t="n">
        <v>4</v>
      </c>
      <c r="C11" s="38" t="inlineStr">
        <is>
          <t>F</t>
        </is>
      </c>
      <c r="D11" s="38" t="n">
        <v>134</v>
      </c>
    </row>
    <row r="12" ht="15" customHeight="1" s="39">
      <c r="A12" s="38" t="n">
        <v>2021</v>
      </c>
      <c r="B12" s="38" t="n">
        <v>5</v>
      </c>
      <c r="C12" s="38" t="inlineStr">
        <is>
          <t>M</t>
        </is>
      </c>
      <c r="D12" s="38" t="n">
        <v>138</v>
      </c>
    </row>
    <row r="13" ht="15" customHeight="1" s="39">
      <c r="A13" s="38" t="n">
        <v>2021</v>
      </c>
      <c r="B13" s="38" t="n">
        <v>5</v>
      </c>
      <c r="C13" s="38" t="inlineStr">
        <is>
          <t>F</t>
        </is>
      </c>
      <c r="D13" s="38" t="n">
        <v>159</v>
      </c>
    </row>
    <row r="14" ht="15" customHeight="1" s="39">
      <c r="A14" s="38" t="n">
        <v>2021</v>
      </c>
      <c r="B14" s="38" t="n">
        <v>6</v>
      </c>
      <c r="C14" s="38" t="inlineStr">
        <is>
          <t>M</t>
        </is>
      </c>
      <c r="D14" s="38" t="n">
        <v>183</v>
      </c>
    </row>
    <row r="15" ht="15" customHeight="1" s="39">
      <c r="A15" s="38" t="n">
        <v>2021</v>
      </c>
      <c r="B15" s="38" t="n">
        <v>6</v>
      </c>
      <c r="C15" s="38" t="inlineStr">
        <is>
          <t>F</t>
        </is>
      </c>
      <c r="D15" s="38" t="n">
        <v>150</v>
      </c>
    </row>
    <row r="16" ht="15" customHeight="1" s="39">
      <c r="A16" s="38" t="n">
        <v>2021</v>
      </c>
      <c r="B16" s="38" t="n">
        <v>7</v>
      </c>
      <c r="C16" s="38" t="inlineStr">
        <is>
          <t>M</t>
        </is>
      </c>
      <c r="D16" s="38" t="n">
        <v>155</v>
      </c>
    </row>
    <row r="17" ht="15" customHeight="1" s="39">
      <c r="A17" s="38" t="n">
        <v>2021</v>
      </c>
      <c r="B17" s="38" t="n">
        <v>7</v>
      </c>
      <c r="C17" s="38" t="inlineStr">
        <is>
          <t>F</t>
        </is>
      </c>
      <c r="D17" s="38" t="n">
        <v>142</v>
      </c>
    </row>
    <row r="18" ht="15" customHeight="1" s="39">
      <c r="A18" s="38" t="n">
        <v>2021</v>
      </c>
      <c r="B18" s="38" t="n">
        <v>8</v>
      </c>
      <c r="C18" s="38" t="inlineStr">
        <is>
          <t>M</t>
        </is>
      </c>
      <c r="D18" s="38" t="n">
        <v>134</v>
      </c>
    </row>
    <row r="19" ht="15" customHeight="1" s="39">
      <c r="A19" s="38" t="n">
        <v>2021</v>
      </c>
      <c r="B19" s="38" t="n">
        <v>8</v>
      </c>
      <c r="C19" s="38" t="inlineStr">
        <is>
          <t>F</t>
        </is>
      </c>
      <c r="D19" s="38" t="n">
        <v>138</v>
      </c>
    </row>
    <row r="20" ht="15" customHeight="1" s="39">
      <c r="A20" s="38" t="n">
        <v>2021</v>
      </c>
      <c r="B20" s="38" t="n">
        <v>9</v>
      </c>
      <c r="C20" s="38" t="inlineStr">
        <is>
          <t>M</t>
        </is>
      </c>
      <c r="D20" s="38" t="n">
        <v>170</v>
      </c>
    </row>
    <row r="21" ht="15" customHeight="1" s="39">
      <c r="A21" s="38" t="n">
        <v>2021</v>
      </c>
      <c r="B21" s="38" t="n">
        <v>9</v>
      </c>
      <c r="C21" s="38" t="inlineStr">
        <is>
          <t>F</t>
        </is>
      </c>
      <c r="D21" s="38" t="n">
        <v>146</v>
      </c>
    </row>
    <row r="22" ht="15" customHeight="1" s="39">
      <c r="A22" s="38" t="n">
        <v>2021</v>
      </c>
      <c r="B22" s="38" t="n">
        <v>10</v>
      </c>
      <c r="C22" s="38" t="inlineStr">
        <is>
          <t>M</t>
        </is>
      </c>
      <c r="D22" s="38" t="n">
        <v>159</v>
      </c>
    </row>
    <row r="23" ht="15" customHeight="1" s="39">
      <c r="A23" s="38" t="n">
        <v>2021</v>
      </c>
      <c r="B23" s="38" t="n">
        <v>10</v>
      </c>
      <c r="C23" s="38" t="inlineStr">
        <is>
          <t>F</t>
        </is>
      </c>
      <c r="D23" s="38" t="n">
        <v>153</v>
      </c>
    </row>
    <row r="24" ht="15" customHeight="1" s="39">
      <c r="A24" s="38" t="n">
        <v>2021</v>
      </c>
      <c r="B24" s="38" t="n">
        <v>11</v>
      </c>
      <c r="C24" s="38" t="inlineStr">
        <is>
          <t>M</t>
        </is>
      </c>
      <c r="D24" s="38" t="n">
        <v>170</v>
      </c>
    </row>
    <row r="25" ht="15" customHeight="1" s="39">
      <c r="A25" s="38" t="n">
        <v>2021</v>
      </c>
      <c r="B25" s="38" t="n">
        <v>11</v>
      </c>
      <c r="C25" s="38" t="inlineStr">
        <is>
          <t>F</t>
        </is>
      </c>
      <c r="D25" s="38" t="n">
        <v>147</v>
      </c>
    </row>
    <row r="26" ht="15" customHeight="1" s="39">
      <c r="A26" s="38" t="n">
        <v>2021</v>
      </c>
      <c r="B26" s="38" t="n">
        <v>12</v>
      </c>
      <c r="C26" s="38" t="inlineStr">
        <is>
          <t>M</t>
        </is>
      </c>
      <c r="D26" s="38" t="n">
        <v>171</v>
      </c>
    </row>
    <row r="27" ht="15" customHeight="1" s="39">
      <c r="A27" s="38" t="n">
        <v>2021</v>
      </c>
      <c r="B27" s="38" t="n">
        <v>12</v>
      </c>
      <c r="C27" s="38" t="inlineStr">
        <is>
          <t>F</t>
        </is>
      </c>
      <c r="D27" s="38" t="n">
        <v>152</v>
      </c>
    </row>
    <row r="28" ht="15" customHeight="1" s="39">
      <c r="A28" s="38" t="n">
        <v>2021</v>
      </c>
      <c r="B28" s="38" t="n">
        <v>13</v>
      </c>
      <c r="C28" s="38" t="inlineStr">
        <is>
          <t>M</t>
        </is>
      </c>
      <c r="D28" s="38" t="n">
        <v>127</v>
      </c>
    </row>
    <row r="29" ht="15" customHeight="1" s="39">
      <c r="A29" s="38" t="n">
        <v>2021</v>
      </c>
      <c r="B29" s="38" t="n">
        <v>13</v>
      </c>
      <c r="C29" s="38" t="inlineStr">
        <is>
          <t>F</t>
        </is>
      </c>
      <c r="D29" s="38" t="n">
        <v>124</v>
      </c>
    </row>
    <row r="30" ht="15" customHeight="1" s="39">
      <c r="A30" s="38" t="n">
        <v>2021</v>
      </c>
      <c r="B30" s="38" t="n">
        <v>14</v>
      </c>
      <c r="C30" s="38" t="inlineStr">
        <is>
          <t>M</t>
        </is>
      </c>
      <c r="D30" s="38" t="n">
        <v>142</v>
      </c>
    </row>
    <row r="31" ht="15" customHeight="1" s="39">
      <c r="A31" s="38" t="n">
        <v>2021</v>
      </c>
      <c r="B31" s="38" t="n">
        <v>14</v>
      </c>
      <c r="C31" s="38" t="inlineStr">
        <is>
          <t>F</t>
        </is>
      </c>
      <c r="D31" s="38" t="n">
        <v>135</v>
      </c>
    </row>
    <row r="32" ht="15" customHeight="1" s="39">
      <c r="A32" s="38" t="n">
        <v>2021</v>
      </c>
      <c r="B32" s="38" t="n">
        <v>15</v>
      </c>
      <c r="C32" s="38" t="inlineStr">
        <is>
          <t>M</t>
        </is>
      </c>
      <c r="D32" s="38" t="n">
        <v>138</v>
      </c>
    </row>
    <row r="33" ht="15" customHeight="1" s="39">
      <c r="A33" s="38" t="n">
        <v>2021</v>
      </c>
      <c r="B33" s="38" t="n">
        <v>15</v>
      </c>
      <c r="C33" s="38" t="inlineStr">
        <is>
          <t>F</t>
        </is>
      </c>
      <c r="D33" s="38" t="n">
        <v>130</v>
      </c>
    </row>
    <row r="34" ht="15" customHeight="1" s="39">
      <c r="A34" s="38" t="n">
        <v>2021</v>
      </c>
      <c r="B34" s="38" t="n">
        <v>16</v>
      </c>
      <c r="C34" s="38" t="inlineStr">
        <is>
          <t>M</t>
        </is>
      </c>
      <c r="D34" s="38" t="n">
        <v>109</v>
      </c>
    </row>
    <row r="35" ht="15" customHeight="1" s="39">
      <c r="A35" s="38" t="n">
        <v>2021</v>
      </c>
      <c r="B35" s="38" t="n">
        <v>16</v>
      </c>
      <c r="C35" s="38" t="inlineStr">
        <is>
          <t>F</t>
        </is>
      </c>
      <c r="D35" s="38" t="n">
        <v>107</v>
      </c>
    </row>
    <row r="36" ht="15" customHeight="1" s="39">
      <c r="A36" s="38" t="n">
        <v>2021</v>
      </c>
      <c r="B36" s="38" t="n">
        <v>17</v>
      </c>
      <c r="C36" s="38" t="inlineStr">
        <is>
          <t>M</t>
        </is>
      </c>
      <c r="D36" s="38" t="n">
        <v>128</v>
      </c>
    </row>
    <row r="37" ht="15" customHeight="1" s="39">
      <c r="A37" s="38" t="n">
        <v>2021</v>
      </c>
      <c r="B37" s="38" t="n">
        <v>17</v>
      </c>
      <c r="C37" s="38" t="inlineStr">
        <is>
          <t>F</t>
        </is>
      </c>
      <c r="D37" s="38" t="n">
        <v>99</v>
      </c>
    </row>
    <row r="38" ht="15" customHeight="1" s="39">
      <c r="A38" s="38" t="n">
        <v>2021</v>
      </c>
      <c r="B38" s="38" t="n">
        <v>18</v>
      </c>
      <c r="C38" s="38" t="inlineStr">
        <is>
          <t>M</t>
        </is>
      </c>
      <c r="D38" s="38" t="n">
        <v>108</v>
      </c>
    </row>
    <row r="39" ht="15" customHeight="1" s="39">
      <c r="A39" s="38" t="n">
        <v>2021</v>
      </c>
      <c r="B39" s="38" t="n">
        <v>18</v>
      </c>
      <c r="C39" s="38" t="inlineStr">
        <is>
          <t>F</t>
        </is>
      </c>
      <c r="D39" s="38" t="n">
        <v>113</v>
      </c>
    </row>
    <row r="40" ht="15" customHeight="1" s="39">
      <c r="A40" s="38" t="n">
        <v>2021</v>
      </c>
      <c r="B40" s="38" t="n">
        <v>19</v>
      </c>
      <c r="C40" s="38" t="inlineStr">
        <is>
          <t>M</t>
        </is>
      </c>
      <c r="D40" s="38" t="n">
        <v>103</v>
      </c>
    </row>
    <row r="41" ht="15" customHeight="1" s="39">
      <c r="A41" s="38" t="n">
        <v>2021</v>
      </c>
      <c r="B41" s="38" t="n">
        <v>19</v>
      </c>
      <c r="C41" s="38" t="inlineStr">
        <is>
          <t>F</t>
        </is>
      </c>
      <c r="D41" s="38" t="n">
        <v>104</v>
      </c>
    </row>
    <row r="42" ht="15" customHeight="1" s="39">
      <c r="A42" s="38" t="n">
        <v>2021</v>
      </c>
      <c r="B42" s="38" t="n">
        <v>20</v>
      </c>
      <c r="C42" s="38" t="inlineStr">
        <is>
          <t>M</t>
        </is>
      </c>
      <c r="D42" s="38" t="n">
        <v>115</v>
      </c>
    </row>
    <row r="43" ht="15" customHeight="1" s="39">
      <c r="A43" s="38" t="n">
        <v>2021</v>
      </c>
      <c r="B43" s="38" t="n">
        <v>20</v>
      </c>
      <c r="C43" s="38" t="inlineStr">
        <is>
          <t>F</t>
        </is>
      </c>
      <c r="D43" s="38" t="n">
        <v>116</v>
      </c>
    </row>
    <row r="44" ht="15" customHeight="1" s="39">
      <c r="A44" s="38" t="n">
        <v>2021</v>
      </c>
      <c r="B44" s="38" t="n">
        <v>21</v>
      </c>
      <c r="C44" s="38" t="inlineStr">
        <is>
          <t>M</t>
        </is>
      </c>
      <c r="D44" s="38" t="n">
        <v>93</v>
      </c>
    </row>
    <row r="45" ht="15" customHeight="1" s="39">
      <c r="A45" s="38" t="n">
        <v>2021</v>
      </c>
      <c r="B45" s="38" t="n">
        <v>21</v>
      </c>
      <c r="C45" s="38" t="inlineStr">
        <is>
          <t>F</t>
        </is>
      </c>
      <c r="D45" s="38" t="n">
        <v>100</v>
      </c>
    </row>
    <row r="46" ht="15" customHeight="1" s="39">
      <c r="A46" s="38" t="n">
        <v>2021</v>
      </c>
      <c r="B46" s="38" t="n">
        <v>22</v>
      </c>
      <c r="C46" s="38" t="inlineStr">
        <is>
          <t>M</t>
        </is>
      </c>
      <c r="D46" s="38" t="n">
        <v>115</v>
      </c>
    </row>
    <row r="47" ht="15" customHeight="1" s="39">
      <c r="A47" s="38" t="n">
        <v>2021</v>
      </c>
      <c r="B47" s="38" t="n">
        <v>22</v>
      </c>
      <c r="C47" s="38" t="inlineStr">
        <is>
          <t>F</t>
        </is>
      </c>
      <c r="D47" s="38" t="n">
        <v>111</v>
      </c>
    </row>
    <row r="48" ht="15" customHeight="1" s="39">
      <c r="A48" s="38" t="n">
        <v>2021</v>
      </c>
      <c r="B48" s="38" t="n">
        <v>23</v>
      </c>
      <c r="C48" s="38" t="inlineStr">
        <is>
          <t>M</t>
        </is>
      </c>
      <c r="D48" s="38" t="n">
        <v>109</v>
      </c>
    </row>
    <row r="49" ht="15" customHeight="1" s="39">
      <c r="A49" s="38" t="n">
        <v>2021</v>
      </c>
      <c r="B49" s="38" t="n">
        <v>23</v>
      </c>
      <c r="C49" s="38" t="inlineStr">
        <is>
          <t>F</t>
        </is>
      </c>
      <c r="D49" s="38" t="n">
        <v>92</v>
      </c>
    </row>
    <row r="50" ht="15" customHeight="1" s="39">
      <c r="A50" s="38" t="n">
        <v>2021</v>
      </c>
      <c r="B50" s="38" t="n">
        <v>24</v>
      </c>
      <c r="C50" s="38" t="inlineStr">
        <is>
          <t>M</t>
        </is>
      </c>
      <c r="D50" s="38" t="n">
        <v>105</v>
      </c>
    </row>
    <row r="51" ht="15" customHeight="1" s="39">
      <c r="A51" s="38" t="n">
        <v>2021</v>
      </c>
      <c r="B51" s="38" t="n">
        <v>24</v>
      </c>
      <c r="C51" s="38" t="inlineStr">
        <is>
          <t>F</t>
        </is>
      </c>
      <c r="D51" s="38" t="n">
        <v>109</v>
      </c>
    </row>
    <row r="52" ht="15" customHeight="1" s="39">
      <c r="A52" s="38" t="n">
        <v>2021</v>
      </c>
      <c r="B52" s="38" t="n">
        <v>25</v>
      </c>
      <c r="C52" s="38" t="inlineStr">
        <is>
          <t>M</t>
        </is>
      </c>
      <c r="D52" s="38" t="n">
        <v>90</v>
      </c>
    </row>
    <row r="53" ht="15" customHeight="1" s="39">
      <c r="A53" s="38" t="n">
        <v>2021</v>
      </c>
      <c r="B53" s="38" t="n">
        <v>25</v>
      </c>
      <c r="C53" s="38" t="inlineStr">
        <is>
          <t>F</t>
        </is>
      </c>
      <c r="D53" s="38" t="n">
        <v>91</v>
      </c>
    </row>
    <row r="54" ht="15" customHeight="1" s="39">
      <c r="A54" s="38" t="n">
        <v>2021</v>
      </c>
      <c r="B54" s="38" t="n">
        <v>26</v>
      </c>
      <c r="C54" s="38" t="inlineStr">
        <is>
          <t>M</t>
        </is>
      </c>
      <c r="D54" s="38" t="n">
        <v>100</v>
      </c>
    </row>
    <row r="55" ht="15" customHeight="1" s="39">
      <c r="A55" s="38" t="n">
        <v>2021</v>
      </c>
      <c r="B55" s="38" t="n">
        <v>26</v>
      </c>
      <c r="C55" s="38" t="inlineStr">
        <is>
          <t>F</t>
        </is>
      </c>
      <c r="D55" s="38" t="n">
        <v>122</v>
      </c>
    </row>
    <row r="56" ht="15" customHeight="1" s="39">
      <c r="A56" s="38" t="n">
        <v>2021</v>
      </c>
      <c r="B56" s="38" t="n">
        <v>27</v>
      </c>
      <c r="C56" s="38" t="inlineStr">
        <is>
          <t>M</t>
        </is>
      </c>
      <c r="D56" s="38" t="n">
        <v>113</v>
      </c>
    </row>
    <row r="57" ht="15" customHeight="1" s="39">
      <c r="A57" s="38" t="n">
        <v>2021</v>
      </c>
      <c r="B57" s="38" t="n">
        <v>27</v>
      </c>
      <c r="C57" s="38" t="inlineStr">
        <is>
          <t>F</t>
        </is>
      </c>
      <c r="D57" s="38" t="n">
        <v>105</v>
      </c>
    </row>
    <row r="58" ht="15" customHeight="1" s="39">
      <c r="A58" s="38" t="n">
        <v>2021</v>
      </c>
      <c r="B58" s="38" t="n">
        <v>28</v>
      </c>
      <c r="C58" s="38" t="inlineStr">
        <is>
          <t>M</t>
        </is>
      </c>
      <c r="D58" s="38" t="n">
        <v>108</v>
      </c>
    </row>
    <row r="59" ht="15" customHeight="1" s="39">
      <c r="A59" s="38" t="n">
        <v>2021</v>
      </c>
      <c r="B59" s="38" t="n">
        <v>28</v>
      </c>
      <c r="C59" s="38" t="inlineStr">
        <is>
          <t>F</t>
        </is>
      </c>
      <c r="D59" s="38" t="n">
        <v>110</v>
      </c>
    </row>
    <row r="60" ht="15" customHeight="1" s="39">
      <c r="A60" s="38" t="n">
        <v>2021</v>
      </c>
      <c r="B60" s="38" t="n">
        <v>29</v>
      </c>
      <c r="C60" s="38" t="inlineStr">
        <is>
          <t>M</t>
        </is>
      </c>
      <c r="D60" s="38" t="n">
        <v>128</v>
      </c>
    </row>
    <row r="61" ht="15" customHeight="1" s="39">
      <c r="A61" s="38" t="n">
        <v>2021</v>
      </c>
      <c r="B61" s="38" t="n">
        <v>29</v>
      </c>
      <c r="C61" s="38" t="inlineStr">
        <is>
          <t>F</t>
        </is>
      </c>
      <c r="D61" s="38" t="n">
        <v>124</v>
      </c>
    </row>
    <row r="62" ht="15" customHeight="1" s="39">
      <c r="A62" s="38" t="n">
        <v>2021</v>
      </c>
      <c r="B62" s="38" t="n">
        <v>30</v>
      </c>
      <c r="C62" s="38" t="inlineStr">
        <is>
          <t>M</t>
        </is>
      </c>
      <c r="D62" s="38" t="n">
        <v>146</v>
      </c>
    </row>
    <row r="63" ht="15" customHeight="1" s="39">
      <c r="A63" s="38" t="n">
        <v>2021</v>
      </c>
      <c r="B63" s="38" t="n">
        <v>30</v>
      </c>
      <c r="C63" s="38" t="inlineStr">
        <is>
          <t>F</t>
        </is>
      </c>
      <c r="D63" s="38" t="n">
        <v>146</v>
      </c>
    </row>
    <row r="64" ht="15" customHeight="1" s="39">
      <c r="A64" s="38" t="n">
        <v>2021</v>
      </c>
      <c r="B64" s="38" t="n">
        <v>31</v>
      </c>
      <c r="C64" s="38" t="inlineStr">
        <is>
          <t>M</t>
        </is>
      </c>
      <c r="D64" s="38" t="n">
        <v>111</v>
      </c>
    </row>
    <row r="65" ht="15" customHeight="1" s="39">
      <c r="A65" s="38" t="n">
        <v>2021</v>
      </c>
      <c r="B65" s="38" t="n">
        <v>31</v>
      </c>
      <c r="C65" s="38" t="inlineStr">
        <is>
          <t>F</t>
        </is>
      </c>
      <c r="D65" s="38" t="n">
        <v>129</v>
      </c>
    </row>
    <row r="66" ht="15" customHeight="1" s="39">
      <c r="A66" s="38" t="n">
        <v>2021</v>
      </c>
      <c r="B66" s="38" t="n">
        <v>32</v>
      </c>
      <c r="C66" s="38" t="inlineStr">
        <is>
          <t>M</t>
        </is>
      </c>
      <c r="D66" s="38" t="n">
        <v>125</v>
      </c>
    </row>
    <row r="67" ht="15" customHeight="1" s="39">
      <c r="A67" s="38" t="n">
        <v>2021</v>
      </c>
      <c r="B67" s="38" t="n">
        <v>32</v>
      </c>
      <c r="C67" s="38" t="inlineStr">
        <is>
          <t>F</t>
        </is>
      </c>
      <c r="D67" s="38" t="n">
        <v>172</v>
      </c>
    </row>
    <row r="68" ht="15" customHeight="1" s="39">
      <c r="A68" s="38" t="n">
        <v>2021</v>
      </c>
      <c r="B68" s="38" t="n">
        <v>33</v>
      </c>
      <c r="C68" s="38" t="inlineStr">
        <is>
          <t>M</t>
        </is>
      </c>
      <c r="D68" s="38" t="n">
        <v>178</v>
      </c>
    </row>
    <row r="69" ht="15" customHeight="1" s="39">
      <c r="A69" s="38" t="n">
        <v>2021</v>
      </c>
      <c r="B69" s="38" t="n">
        <v>33</v>
      </c>
      <c r="C69" s="38" t="inlineStr">
        <is>
          <t>F</t>
        </is>
      </c>
      <c r="D69" s="38" t="n">
        <v>164</v>
      </c>
    </row>
    <row r="70" ht="15" customHeight="1" s="39">
      <c r="A70" s="38" t="n">
        <v>2021</v>
      </c>
      <c r="B70" s="38" t="n">
        <v>34</v>
      </c>
      <c r="C70" s="38" t="inlineStr">
        <is>
          <t>M</t>
        </is>
      </c>
      <c r="D70" s="38" t="n">
        <v>174</v>
      </c>
    </row>
    <row r="71" ht="15" customHeight="1" s="39">
      <c r="A71" s="38" t="n">
        <v>2021</v>
      </c>
      <c r="B71" s="38" t="n">
        <v>34</v>
      </c>
      <c r="C71" s="38" t="inlineStr">
        <is>
          <t>F</t>
        </is>
      </c>
      <c r="D71" s="38" t="n">
        <v>179</v>
      </c>
    </row>
    <row r="72" ht="15" customHeight="1" s="39">
      <c r="A72" s="38" t="n">
        <v>2021</v>
      </c>
      <c r="B72" s="38" t="n">
        <v>35</v>
      </c>
      <c r="C72" s="38" t="inlineStr">
        <is>
          <t>M</t>
        </is>
      </c>
      <c r="D72" s="38" t="n">
        <v>148</v>
      </c>
    </row>
    <row r="73" ht="15" customHeight="1" s="39">
      <c r="A73" s="38" t="n">
        <v>2021</v>
      </c>
      <c r="B73" s="38" t="n">
        <v>35</v>
      </c>
      <c r="C73" s="38" t="inlineStr">
        <is>
          <t>F</t>
        </is>
      </c>
      <c r="D73" s="38" t="n">
        <v>182</v>
      </c>
    </row>
    <row r="74" ht="15" customHeight="1" s="39">
      <c r="A74" s="38" t="n">
        <v>2021</v>
      </c>
      <c r="B74" s="38" t="n">
        <v>36</v>
      </c>
      <c r="C74" s="38" t="inlineStr">
        <is>
          <t>M</t>
        </is>
      </c>
      <c r="D74" s="38" t="n">
        <v>184</v>
      </c>
    </row>
    <row r="75" ht="15" customHeight="1" s="39">
      <c r="A75" s="38" t="n">
        <v>2021</v>
      </c>
      <c r="B75" s="38" t="n">
        <v>36</v>
      </c>
      <c r="C75" s="38" t="inlineStr">
        <is>
          <t>F</t>
        </is>
      </c>
      <c r="D75" s="38" t="n">
        <v>192</v>
      </c>
    </row>
    <row r="76" ht="15" customHeight="1" s="39">
      <c r="A76" s="38" t="n">
        <v>2021</v>
      </c>
      <c r="B76" s="38" t="n">
        <v>37</v>
      </c>
      <c r="C76" s="38" t="inlineStr">
        <is>
          <t>M</t>
        </is>
      </c>
      <c r="D76" s="38" t="n">
        <v>193</v>
      </c>
    </row>
    <row r="77" ht="15" customHeight="1" s="39">
      <c r="A77" s="38" t="n">
        <v>2021</v>
      </c>
      <c r="B77" s="38" t="n">
        <v>37</v>
      </c>
      <c r="C77" s="38" t="inlineStr">
        <is>
          <t>F</t>
        </is>
      </c>
      <c r="D77" s="38" t="n">
        <v>197</v>
      </c>
    </row>
    <row r="78" ht="15" customHeight="1" s="39">
      <c r="A78" s="38" t="n">
        <v>2021</v>
      </c>
      <c r="B78" s="38" t="n">
        <v>38</v>
      </c>
      <c r="C78" s="38" t="inlineStr">
        <is>
          <t>M</t>
        </is>
      </c>
      <c r="D78" s="38" t="n">
        <v>203</v>
      </c>
    </row>
    <row r="79" ht="15" customHeight="1" s="39">
      <c r="A79" s="38" t="n">
        <v>2021</v>
      </c>
      <c r="B79" s="38" t="n">
        <v>38</v>
      </c>
      <c r="C79" s="38" t="inlineStr">
        <is>
          <t>F</t>
        </is>
      </c>
      <c r="D79" s="38" t="n">
        <v>226</v>
      </c>
    </row>
    <row r="80" ht="15" customHeight="1" s="39">
      <c r="A80" s="38" t="n">
        <v>2021</v>
      </c>
      <c r="B80" s="38" t="n">
        <v>39</v>
      </c>
      <c r="C80" s="38" t="inlineStr">
        <is>
          <t>M</t>
        </is>
      </c>
      <c r="D80" s="38" t="n">
        <v>226</v>
      </c>
    </row>
    <row r="81" ht="15" customHeight="1" s="39">
      <c r="A81" s="38" t="n">
        <v>2021</v>
      </c>
      <c r="B81" s="38" t="n">
        <v>39</v>
      </c>
      <c r="C81" s="38" t="inlineStr">
        <is>
          <t>F</t>
        </is>
      </c>
      <c r="D81" s="38" t="n">
        <v>219</v>
      </c>
    </row>
    <row r="82" ht="15" customHeight="1" s="39">
      <c r="A82" s="38" t="n">
        <v>2021</v>
      </c>
      <c r="B82" s="38" t="n">
        <v>40</v>
      </c>
      <c r="C82" s="38" t="inlineStr">
        <is>
          <t>M</t>
        </is>
      </c>
      <c r="D82" s="38" t="n">
        <v>229</v>
      </c>
    </row>
    <row r="83" ht="15" customHeight="1" s="39">
      <c r="A83" s="38" t="n">
        <v>2021</v>
      </c>
      <c r="B83" s="38" t="n">
        <v>40</v>
      </c>
      <c r="C83" s="38" t="inlineStr">
        <is>
          <t>F</t>
        </is>
      </c>
      <c r="D83" s="38" t="n">
        <v>249</v>
      </c>
    </row>
    <row r="84" ht="15" customHeight="1" s="39">
      <c r="A84" s="38" t="n">
        <v>2021</v>
      </c>
      <c r="B84" s="38" t="n">
        <v>41</v>
      </c>
      <c r="C84" s="38" t="inlineStr">
        <is>
          <t>M</t>
        </is>
      </c>
      <c r="D84" s="38" t="n">
        <v>247</v>
      </c>
    </row>
    <row r="85" ht="15" customHeight="1" s="39">
      <c r="A85" s="38" t="n">
        <v>2021</v>
      </c>
      <c r="B85" s="38" t="n">
        <v>41</v>
      </c>
      <c r="C85" s="38" t="inlineStr">
        <is>
          <t>F</t>
        </is>
      </c>
      <c r="D85" s="38" t="n">
        <v>230</v>
      </c>
    </row>
    <row r="86" ht="15" customHeight="1" s="39">
      <c r="A86" s="38" t="n">
        <v>2021</v>
      </c>
      <c r="B86" s="38" t="n">
        <v>42</v>
      </c>
      <c r="C86" s="38" t="inlineStr">
        <is>
          <t>M</t>
        </is>
      </c>
      <c r="D86" s="38" t="n">
        <v>259</v>
      </c>
    </row>
    <row r="87" ht="15" customHeight="1" s="39">
      <c r="A87" s="38" t="n">
        <v>2021</v>
      </c>
      <c r="B87" s="38" t="n">
        <v>42</v>
      </c>
      <c r="C87" s="38" t="inlineStr">
        <is>
          <t>F</t>
        </is>
      </c>
      <c r="D87" s="38" t="n">
        <v>242</v>
      </c>
    </row>
    <row r="88" ht="15" customHeight="1" s="39">
      <c r="A88" s="38" t="n">
        <v>2021</v>
      </c>
      <c r="B88" s="38" t="n">
        <v>43</v>
      </c>
      <c r="C88" s="38" t="inlineStr">
        <is>
          <t>M</t>
        </is>
      </c>
      <c r="D88" s="38" t="n">
        <v>274</v>
      </c>
    </row>
    <row r="89" ht="15" customHeight="1" s="39">
      <c r="A89" s="38" t="n">
        <v>2021</v>
      </c>
      <c r="B89" s="38" t="n">
        <v>43</v>
      </c>
      <c r="C89" s="38" t="inlineStr">
        <is>
          <t>F</t>
        </is>
      </c>
      <c r="D89" s="38" t="n">
        <v>227</v>
      </c>
    </row>
    <row r="90" ht="15" customHeight="1" s="39">
      <c r="A90" s="38" t="n">
        <v>2021</v>
      </c>
      <c r="B90" s="38" t="n">
        <v>44</v>
      </c>
      <c r="C90" s="38" t="inlineStr">
        <is>
          <t>M</t>
        </is>
      </c>
      <c r="D90" s="38" t="n">
        <v>242</v>
      </c>
    </row>
    <row r="91" ht="15" customHeight="1" s="39">
      <c r="A91" s="38" t="n">
        <v>2021</v>
      </c>
      <c r="B91" s="38" t="n">
        <v>44</v>
      </c>
      <c r="C91" s="38" t="inlineStr">
        <is>
          <t>F</t>
        </is>
      </c>
      <c r="D91" s="38" t="n">
        <v>255</v>
      </c>
    </row>
    <row r="92" ht="15" customHeight="1" s="39">
      <c r="A92" s="38" t="n">
        <v>2021</v>
      </c>
      <c r="B92" s="38" t="n">
        <v>45</v>
      </c>
      <c r="C92" s="38" t="inlineStr">
        <is>
          <t>M</t>
        </is>
      </c>
      <c r="D92" s="38" t="n">
        <v>242</v>
      </c>
    </row>
    <row r="93" ht="15" customHeight="1" s="39">
      <c r="A93" s="38" t="n">
        <v>2021</v>
      </c>
      <c r="B93" s="38" t="n">
        <v>45</v>
      </c>
      <c r="C93" s="38" t="inlineStr">
        <is>
          <t>F</t>
        </is>
      </c>
      <c r="D93" s="38" t="n">
        <v>197</v>
      </c>
    </row>
    <row r="94" ht="15" customHeight="1" s="39">
      <c r="A94" s="38" t="n">
        <v>2021</v>
      </c>
      <c r="B94" s="38" t="n">
        <v>46</v>
      </c>
      <c r="C94" s="38" t="inlineStr">
        <is>
          <t>M</t>
        </is>
      </c>
      <c r="D94" s="38" t="n">
        <v>216</v>
      </c>
    </row>
    <row r="95" ht="15" customHeight="1" s="39">
      <c r="A95" s="38" t="n">
        <v>2021</v>
      </c>
      <c r="B95" s="38" t="n">
        <v>46</v>
      </c>
      <c r="C95" s="38" t="inlineStr">
        <is>
          <t>F</t>
        </is>
      </c>
      <c r="D95" s="38" t="n">
        <v>195</v>
      </c>
    </row>
    <row r="96" ht="15" customHeight="1" s="39">
      <c r="A96" s="38" t="n">
        <v>2021</v>
      </c>
      <c r="B96" s="38" t="n">
        <v>47</v>
      </c>
      <c r="C96" s="38" t="inlineStr">
        <is>
          <t>M</t>
        </is>
      </c>
      <c r="D96" s="38" t="n">
        <v>231</v>
      </c>
    </row>
    <row r="97" ht="15" customHeight="1" s="39">
      <c r="A97" s="38" t="n">
        <v>2021</v>
      </c>
      <c r="B97" s="38" t="n">
        <v>47</v>
      </c>
      <c r="C97" s="38" t="inlineStr">
        <is>
          <t>F</t>
        </is>
      </c>
      <c r="D97" s="38" t="n">
        <v>171</v>
      </c>
    </row>
    <row r="98" ht="15" customHeight="1" s="39">
      <c r="A98" s="38" t="n">
        <v>2021</v>
      </c>
      <c r="B98" s="38" t="n">
        <v>48</v>
      </c>
      <c r="C98" s="38" t="inlineStr">
        <is>
          <t>M</t>
        </is>
      </c>
      <c r="D98" s="38" t="n">
        <v>196</v>
      </c>
    </row>
    <row r="99" ht="15" customHeight="1" s="39">
      <c r="A99" s="38" t="n">
        <v>2021</v>
      </c>
      <c r="B99" s="38" t="n">
        <v>48</v>
      </c>
      <c r="C99" s="38" t="inlineStr">
        <is>
          <t>F</t>
        </is>
      </c>
      <c r="D99" s="38" t="n">
        <v>163</v>
      </c>
    </row>
    <row r="100" ht="15" customHeight="1" s="39">
      <c r="A100" s="38" t="n">
        <v>2021</v>
      </c>
      <c r="B100" s="38" t="n">
        <v>49</v>
      </c>
      <c r="C100" s="38" t="inlineStr">
        <is>
          <t>M</t>
        </is>
      </c>
      <c r="D100" s="38" t="n">
        <v>187</v>
      </c>
    </row>
    <row r="101" ht="15" customHeight="1" s="39">
      <c r="A101" s="38" t="n">
        <v>2021</v>
      </c>
      <c r="B101" s="38" t="n">
        <v>49</v>
      </c>
      <c r="C101" s="38" t="inlineStr">
        <is>
          <t>F</t>
        </is>
      </c>
      <c r="D101" s="38" t="n">
        <v>154</v>
      </c>
    </row>
    <row r="102" ht="15" customHeight="1" s="39">
      <c r="A102" s="38" t="n">
        <v>2021</v>
      </c>
      <c r="B102" s="38" t="n">
        <v>50</v>
      </c>
      <c r="C102" s="38" t="inlineStr">
        <is>
          <t>M</t>
        </is>
      </c>
      <c r="D102" s="38" t="n">
        <v>176</v>
      </c>
    </row>
    <row r="103" ht="15" customHeight="1" s="39">
      <c r="A103" s="38" t="n">
        <v>2021</v>
      </c>
      <c r="B103" s="38" t="n">
        <v>50</v>
      </c>
      <c r="C103" s="38" t="inlineStr">
        <is>
          <t>F</t>
        </is>
      </c>
      <c r="D103" s="38" t="n">
        <v>149</v>
      </c>
    </row>
    <row r="104" ht="15" customHeight="1" s="39">
      <c r="A104" s="38" t="n">
        <v>2021</v>
      </c>
      <c r="B104" s="38" t="n">
        <v>51</v>
      </c>
      <c r="C104" s="38" t="inlineStr">
        <is>
          <t>M</t>
        </is>
      </c>
      <c r="D104" s="38" t="n">
        <v>176</v>
      </c>
    </row>
    <row r="105" ht="15" customHeight="1" s="39">
      <c r="A105" s="38" t="n">
        <v>2021</v>
      </c>
      <c r="B105" s="38" t="n">
        <v>51</v>
      </c>
      <c r="C105" s="38" t="inlineStr">
        <is>
          <t>F</t>
        </is>
      </c>
      <c r="D105" s="38" t="n">
        <v>150</v>
      </c>
    </row>
    <row r="106" ht="15" customHeight="1" s="39">
      <c r="A106" s="38" t="n">
        <v>2021</v>
      </c>
      <c r="B106" s="38" t="n">
        <v>52</v>
      </c>
      <c r="C106" s="38" t="inlineStr">
        <is>
          <t>M</t>
        </is>
      </c>
      <c r="D106" s="38" t="n">
        <v>143</v>
      </c>
    </row>
    <row r="107" ht="15" customHeight="1" s="39">
      <c r="A107" s="38" t="n">
        <v>2021</v>
      </c>
      <c r="B107" s="38" t="n">
        <v>52</v>
      </c>
      <c r="C107" s="38" t="inlineStr">
        <is>
          <t>F</t>
        </is>
      </c>
      <c r="D107" s="38" t="n">
        <v>139</v>
      </c>
    </row>
    <row r="108" ht="15" customHeight="1" s="39">
      <c r="A108" s="38" t="n">
        <v>2021</v>
      </c>
      <c r="B108" s="38" t="n">
        <v>53</v>
      </c>
      <c r="C108" s="38" t="inlineStr">
        <is>
          <t>M</t>
        </is>
      </c>
      <c r="D108" s="38" t="n">
        <v>163</v>
      </c>
    </row>
    <row r="109" ht="15" customHeight="1" s="39">
      <c r="A109" s="38" t="n">
        <v>2021</v>
      </c>
      <c r="B109" s="38" t="n">
        <v>53</v>
      </c>
      <c r="C109" s="38" t="inlineStr">
        <is>
          <t>F</t>
        </is>
      </c>
      <c r="D109" s="38" t="n">
        <v>137</v>
      </c>
    </row>
    <row r="110" ht="15" customHeight="1" s="39">
      <c r="A110" s="38" t="n">
        <v>2021</v>
      </c>
      <c r="B110" s="38" t="n">
        <v>54</v>
      </c>
      <c r="C110" s="38" t="inlineStr">
        <is>
          <t>M</t>
        </is>
      </c>
      <c r="D110" s="38" t="n">
        <v>172</v>
      </c>
    </row>
    <row r="111" ht="15" customHeight="1" s="39">
      <c r="A111" s="38" t="n">
        <v>2021</v>
      </c>
      <c r="B111" s="38" t="n">
        <v>54</v>
      </c>
      <c r="C111" s="38" t="inlineStr">
        <is>
          <t>F</t>
        </is>
      </c>
      <c r="D111" s="38" t="n">
        <v>151</v>
      </c>
    </row>
    <row r="112" ht="15" customHeight="1" s="39">
      <c r="A112" s="38" t="n">
        <v>2021</v>
      </c>
      <c r="B112" s="38" t="n">
        <v>55</v>
      </c>
      <c r="C112" s="38" t="inlineStr">
        <is>
          <t>M</t>
        </is>
      </c>
      <c r="D112" s="38" t="n">
        <v>157</v>
      </c>
    </row>
    <row r="113" ht="15" customHeight="1" s="39">
      <c r="A113" s="38" t="n">
        <v>2021</v>
      </c>
      <c r="B113" s="38" t="n">
        <v>55</v>
      </c>
      <c r="C113" s="38" t="inlineStr">
        <is>
          <t>F</t>
        </is>
      </c>
      <c r="D113" s="38" t="n">
        <v>132</v>
      </c>
    </row>
    <row r="114" ht="15" customHeight="1" s="39">
      <c r="A114" s="38" t="n">
        <v>2021</v>
      </c>
      <c r="B114" s="38" t="n">
        <v>56</v>
      </c>
      <c r="C114" s="38" t="inlineStr">
        <is>
          <t>M</t>
        </is>
      </c>
      <c r="D114" s="38" t="n">
        <v>154</v>
      </c>
    </row>
    <row r="115" ht="15" customHeight="1" s="39">
      <c r="A115" s="38" t="n">
        <v>2021</v>
      </c>
      <c r="B115" s="38" t="n">
        <v>56</v>
      </c>
      <c r="C115" s="38" t="inlineStr">
        <is>
          <t>F</t>
        </is>
      </c>
      <c r="D115" s="38" t="n">
        <v>153</v>
      </c>
    </row>
    <row r="116" ht="15" customHeight="1" s="39">
      <c r="A116" s="38" t="n">
        <v>2021</v>
      </c>
      <c r="B116" s="38" t="n">
        <v>57</v>
      </c>
      <c r="C116" s="38" t="inlineStr">
        <is>
          <t>M</t>
        </is>
      </c>
      <c r="D116" s="38" t="n">
        <v>127</v>
      </c>
    </row>
    <row r="117" ht="15" customHeight="1" s="39">
      <c r="A117" s="38" t="n">
        <v>2021</v>
      </c>
      <c r="B117" s="38" t="n">
        <v>57</v>
      </c>
      <c r="C117" s="38" t="inlineStr">
        <is>
          <t>F</t>
        </is>
      </c>
      <c r="D117" s="38" t="n">
        <v>160</v>
      </c>
    </row>
    <row r="118" ht="15" customHeight="1" s="39">
      <c r="A118" s="38" t="n">
        <v>2021</v>
      </c>
      <c r="B118" s="38" t="n">
        <v>58</v>
      </c>
      <c r="C118" s="38" t="inlineStr">
        <is>
          <t>M</t>
        </is>
      </c>
      <c r="D118" s="38" t="n">
        <v>137</v>
      </c>
    </row>
    <row r="119" ht="15" customHeight="1" s="39">
      <c r="A119" s="38" t="n">
        <v>2021</v>
      </c>
      <c r="B119" s="38" t="n">
        <v>58</v>
      </c>
      <c r="C119" s="38" t="inlineStr">
        <is>
          <t>F</t>
        </is>
      </c>
      <c r="D119" s="38" t="n">
        <v>117</v>
      </c>
    </row>
    <row r="120" ht="15" customHeight="1" s="39">
      <c r="A120" s="38" t="n">
        <v>2021</v>
      </c>
      <c r="B120" s="38" t="n">
        <v>59</v>
      </c>
      <c r="C120" s="38" t="inlineStr">
        <is>
          <t>M</t>
        </is>
      </c>
      <c r="D120" s="38" t="n">
        <v>114</v>
      </c>
    </row>
    <row r="121" ht="15" customHeight="1" s="39">
      <c r="A121" s="38" t="n">
        <v>2021</v>
      </c>
      <c r="B121" s="38" t="n">
        <v>59</v>
      </c>
      <c r="C121" s="38" t="inlineStr">
        <is>
          <t>F</t>
        </is>
      </c>
      <c r="D121" s="38" t="n">
        <v>132</v>
      </c>
    </row>
    <row r="122" ht="15" customHeight="1" s="39">
      <c r="A122" s="38" t="n">
        <v>2021</v>
      </c>
      <c r="B122" s="38" t="n">
        <v>60</v>
      </c>
      <c r="C122" s="38" t="inlineStr">
        <is>
          <t>M</t>
        </is>
      </c>
      <c r="D122" s="38" t="n">
        <v>120</v>
      </c>
    </row>
    <row r="123" ht="15" customHeight="1" s="39">
      <c r="A123" s="38" t="n">
        <v>2021</v>
      </c>
      <c r="B123" s="38" t="n">
        <v>60</v>
      </c>
      <c r="C123" s="38" t="inlineStr">
        <is>
          <t>F</t>
        </is>
      </c>
      <c r="D123" s="38" t="n">
        <v>126</v>
      </c>
    </row>
    <row r="124" ht="15" customHeight="1" s="39">
      <c r="A124" s="38" t="n">
        <v>2021</v>
      </c>
      <c r="B124" s="38" t="n">
        <v>61</v>
      </c>
      <c r="C124" s="38" t="inlineStr">
        <is>
          <t>M</t>
        </is>
      </c>
      <c r="D124" s="38" t="n">
        <v>126</v>
      </c>
    </row>
    <row r="125" ht="15" customHeight="1" s="39">
      <c r="A125" s="38" t="n">
        <v>2021</v>
      </c>
      <c r="B125" s="38" t="n">
        <v>61</v>
      </c>
      <c r="C125" s="38" t="inlineStr">
        <is>
          <t>F</t>
        </is>
      </c>
      <c r="D125" s="38" t="n">
        <v>119</v>
      </c>
    </row>
    <row r="126" ht="15" customHeight="1" s="39">
      <c r="A126" s="38" t="n">
        <v>2021</v>
      </c>
      <c r="B126" s="38" t="n">
        <v>62</v>
      </c>
      <c r="C126" s="38" t="inlineStr">
        <is>
          <t>M</t>
        </is>
      </c>
      <c r="D126" s="38" t="n">
        <v>118</v>
      </c>
    </row>
    <row r="127" ht="15" customHeight="1" s="39">
      <c r="A127" s="38" t="n">
        <v>2021</v>
      </c>
      <c r="B127" s="38" t="n">
        <v>62</v>
      </c>
      <c r="C127" s="38" t="inlineStr">
        <is>
          <t>F</t>
        </is>
      </c>
      <c r="D127" s="38" t="n">
        <v>116</v>
      </c>
    </row>
    <row r="128" ht="15" customHeight="1" s="39">
      <c r="A128" s="38" t="n">
        <v>2021</v>
      </c>
      <c r="B128" s="38" t="n">
        <v>63</v>
      </c>
      <c r="C128" s="38" t="inlineStr">
        <is>
          <t>M</t>
        </is>
      </c>
      <c r="D128" s="38" t="n">
        <v>97</v>
      </c>
    </row>
    <row r="129" ht="15" customHeight="1" s="39">
      <c r="A129" s="38" t="n">
        <v>2021</v>
      </c>
      <c r="B129" s="38" t="n">
        <v>63</v>
      </c>
      <c r="C129" s="38" t="inlineStr">
        <is>
          <t>F</t>
        </is>
      </c>
      <c r="D129" s="38" t="n">
        <v>140</v>
      </c>
    </row>
    <row r="130" ht="15" customHeight="1" s="39">
      <c r="A130" s="38" t="n">
        <v>2021</v>
      </c>
      <c r="B130" s="38" t="n">
        <v>64</v>
      </c>
      <c r="C130" s="38" t="inlineStr">
        <is>
          <t>M</t>
        </is>
      </c>
      <c r="D130" s="38" t="n">
        <v>108</v>
      </c>
    </row>
    <row r="131" ht="15" customHeight="1" s="39">
      <c r="A131" s="38" t="n">
        <v>2021</v>
      </c>
      <c r="B131" s="38" t="n">
        <v>64</v>
      </c>
      <c r="C131" s="38" t="inlineStr">
        <is>
          <t>F</t>
        </is>
      </c>
      <c r="D131" s="38" t="n">
        <v>122</v>
      </c>
    </row>
    <row r="132" ht="15" customHeight="1" s="39">
      <c r="A132" s="38" t="n">
        <v>2021</v>
      </c>
      <c r="B132" s="38" t="n">
        <v>65</v>
      </c>
      <c r="C132" s="38" t="inlineStr">
        <is>
          <t>M</t>
        </is>
      </c>
      <c r="D132" s="38" t="n">
        <v>125</v>
      </c>
    </row>
    <row r="133" ht="15" customHeight="1" s="39">
      <c r="A133" s="38" t="n">
        <v>2021</v>
      </c>
      <c r="B133" s="38" t="n">
        <v>65</v>
      </c>
      <c r="C133" s="38" t="inlineStr">
        <is>
          <t>F</t>
        </is>
      </c>
      <c r="D133" s="38" t="n">
        <v>130</v>
      </c>
    </row>
    <row r="134" ht="15" customHeight="1" s="39">
      <c r="A134" s="38" t="n">
        <v>2021</v>
      </c>
      <c r="B134" s="38" t="n">
        <v>66</v>
      </c>
      <c r="C134" s="38" t="inlineStr">
        <is>
          <t>M</t>
        </is>
      </c>
      <c r="D134" s="38" t="n">
        <v>105</v>
      </c>
    </row>
    <row r="135" ht="15" customHeight="1" s="39">
      <c r="A135" s="38" t="n">
        <v>2021</v>
      </c>
      <c r="B135" s="38" t="n">
        <v>66</v>
      </c>
      <c r="C135" s="38" t="inlineStr">
        <is>
          <t>F</t>
        </is>
      </c>
      <c r="D135" s="38" t="n">
        <v>100</v>
      </c>
    </row>
    <row r="136" ht="15" customHeight="1" s="39">
      <c r="A136" s="38" t="n">
        <v>2021</v>
      </c>
      <c r="B136" s="38" t="n">
        <v>67</v>
      </c>
      <c r="C136" s="38" t="inlineStr">
        <is>
          <t>M</t>
        </is>
      </c>
      <c r="D136" s="38" t="n">
        <v>115</v>
      </c>
    </row>
    <row r="137" ht="15" customHeight="1" s="39">
      <c r="A137" s="38" t="n">
        <v>2021</v>
      </c>
      <c r="B137" s="38" t="n">
        <v>67</v>
      </c>
      <c r="C137" s="38" t="inlineStr">
        <is>
          <t>F</t>
        </is>
      </c>
      <c r="D137" s="38" t="n">
        <v>118</v>
      </c>
    </row>
    <row r="138" ht="15" customHeight="1" s="39">
      <c r="A138" s="38" t="n">
        <v>2021</v>
      </c>
      <c r="B138" s="38" t="n">
        <v>68</v>
      </c>
      <c r="C138" s="38" t="inlineStr">
        <is>
          <t>M</t>
        </is>
      </c>
      <c r="D138" s="38" t="n">
        <v>121</v>
      </c>
    </row>
    <row r="139" ht="15" customHeight="1" s="39">
      <c r="A139" s="38" t="n">
        <v>2021</v>
      </c>
      <c r="B139" s="38" t="n">
        <v>68</v>
      </c>
      <c r="C139" s="38" t="inlineStr">
        <is>
          <t>F</t>
        </is>
      </c>
      <c r="D139" s="38" t="n">
        <v>98</v>
      </c>
    </row>
    <row r="140" ht="15" customHeight="1" s="39">
      <c r="A140" s="38" t="n">
        <v>2021</v>
      </c>
      <c r="B140" s="38" t="n">
        <v>69</v>
      </c>
      <c r="C140" s="38" t="inlineStr">
        <is>
          <t>M</t>
        </is>
      </c>
      <c r="D140" s="38" t="n">
        <v>90</v>
      </c>
    </row>
    <row r="141" ht="15" customHeight="1" s="39">
      <c r="A141" s="38" t="n">
        <v>2021</v>
      </c>
      <c r="B141" s="38" t="n">
        <v>69</v>
      </c>
      <c r="C141" s="38" t="inlineStr">
        <is>
          <t>F</t>
        </is>
      </c>
      <c r="D141" s="38" t="n">
        <v>103</v>
      </c>
    </row>
    <row r="142" ht="15" customHeight="1" s="39">
      <c r="A142" s="38" t="n">
        <v>2021</v>
      </c>
      <c r="B142" s="38" t="n">
        <v>70</v>
      </c>
      <c r="C142" s="38" t="inlineStr">
        <is>
          <t>M</t>
        </is>
      </c>
      <c r="D142" s="38" t="n">
        <v>83</v>
      </c>
    </row>
    <row r="143" ht="15" customHeight="1" s="39">
      <c r="A143" s="38" t="n">
        <v>2021</v>
      </c>
      <c r="B143" s="38" t="n">
        <v>70</v>
      </c>
      <c r="C143" s="38" t="inlineStr">
        <is>
          <t>F</t>
        </is>
      </c>
      <c r="D143" s="38" t="n">
        <v>92</v>
      </c>
    </row>
    <row r="144" ht="15" customHeight="1" s="39">
      <c r="A144" s="38" t="n">
        <v>2021</v>
      </c>
      <c r="B144" s="38" t="n">
        <v>71</v>
      </c>
      <c r="C144" s="38" t="inlineStr">
        <is>
          <t>M</t>
        </is>
      </c>
      <c r="D144" s="38" t="n">
        <v>89</v>
      </c>
    </row>
    <row r="145" ht="15" customHeight="1" s="39">
      <c r="A145" s="38" t="n">
        <v>2021</v>
      </c>
      <c r="B145" s="38" t="n">
        <v>71</v>
      </c>
      <c r="C145" s="38" t="inlineStr">
        <is>
          <t>F</t>
        </is>
      </c>
      <c r="D145" s="38" t="n">
        <v>93</v>
      </c>
    </row>
    <row r="146" ht="15" customHeight="1" s="39">
      <c r="A146" s="38" t="n">
        <v>2021</v>
      </c>
      <c r="B146" s="38" t="n">
        <v>72</v>
      </c>
      <c r="C146" s="38" t="inlineStr">
        <is>
          <t>M</t>
        </is>
      </c>
      <c r="D146" s="38" t="n">
        <v>85</v>
      </c>
    </row>
    <row r="147" ht="15" customHeight="1" s="39">
      <c r="A147" s="38" t="n">
        <v>2021</v>
      </c>
      <c r="B147" s="38" t="n">
        <v>72</v>
      </c>
      <c r="C147" s="38" t="inlineStr">
        <is>
          <t>F</t>
        </is>
      </c>
      <c r="D147" s="38" t="n">
        <v>91</v>
      </c>
    </row>
    <row r="148" ht="15" customHeight="1" s="39">
      <c r="A148" s="38" t="n">
        <v>2021</v>
      </c>
      <c r="B148" s="38" t="n">
        <v>73</v>
      </c>
      <c r="C148" s="38" t="inlineStr">
        <is>
          <t>M</t>
        </is>
      </c>
      <c r="D148" s="38" t="n">
        <v>95</v>
      </c>
    </row>
    <row r="149" ht="15" customHeight="1" s="39">
      <c r="A149" s="38" t="n">
        <v>2021</v>
      </c>
      <c r="B149" s="38" t="n">
        <v>73</v>
      </c>
      <c r="C149" s="38" t="inlineStr">
        <is>
          <t>F</t>
        </is>
      </c>
      <c r="D149" s="38" t="n">
        <v>79</v>
      </c>
    </row>
    <row r="150" ht="15" customHeight="1" s="39">
      <c r="A150" s="38" t="n">
        <v>2021</v>
      </c>
      <c r="B150" s="38" t="n">
        <v>74</v>
      </c>
      <c r="C150" s="38" t="inlineStr">
        <is>
          <t>M</t>
        </is>
      </c>
      <c r="D150" s="38" t="n">
        <v>72</v>
      </c>
    </row>
    <row r="151" ht="15" customHeight="1" s="39">
      <c r="A151" s="38" t="n">
        <v>2021</v>
      </c>
      <c r="B151" s="38" t="n">
        <v>74</v>
      </c>
      <c r="C151" s="38" t="inlineStr">
        <is>
          <t>F</t>
        </is>
      </c>
      <c r="D151" s="38" t="n">
        <v>65</v>
      </c>
    </row>
    <row r="152" ht="15" customHeight="1" s="39">
      <c r="A152" s="38" t="n">
        <v>2021</v>
      </c>
      <c r="B152" s="38" t="n">
        <v>75</v>
      </c>
      <c r="C152" s="38" t="inlineStr">
        <is>
          <t>M</t>
        </is>
      </c>
      <c r="D152" s="38" t="n">
        <v>64</v>
      </c>
    </row>
    <row r="153" ht="15" customHeight="1" s="39">
      <c r="A153" s="38" t="n">
        <v>2021</v>
      </c>
      <c r="B153" s="38" t="n">
        <v>75</v>
      </c>
      <c r="C153" s="38" t="inlineStr">
        <is>
          <t>F</t>
        </is>
      </c>
      <c r="D153" s="38" t="n">
        <v>69</v>
      </c>
    </row>
    <row r="154" ht="15" customHeight="1" s="39">
      <c r="A154" s="38" t="n">
        <v>2021</v>
      </c>
      <c r="B154" s="38" t="n">
        <v>76</v>
      </c>
      <c r="C154" s="38" t="inlineStr">
        <is>
          <t>M</t>
        </is>
      </c>
      <c r="D154" s="38" t="n">
        <v>56</v>
      </c>
    </row>
    <row r="155" ht="15" customHeight="1" s="39">
      <c r="A155" s="38" t="n">
        <v>2021</v>
      </c>
      <c r="B155" s="38" t="n">
        <v>76</v>
      </c>
      <c r="C155" s="38" t="inlineStr">
        <is>
          <t>F</t>
        </is>
      </c>
      <c r="D155" s="38" t="n">
        <v>64</v>
      </c>
    </row>
    <row r="156" ht="15" customHeight="1" s="39">
      <c r="A156" s="38" t="n">
        <v>2021</v>
      </c>
      <c r="B156" s="38" t="n">
        <v>77</v>
      </c>
      <c r="C156" s="38" t="inlineStr">
        <is>
          <t>M</t>
        </is>
      </c>
      <c r="D156" s="38" t="n">
        <v>52</v>
      </c>
    </row>
    <row r="157" ht="15" customHeight="1" s="39">
      <c r="A157" s="38" t="n">
        <v>2021</v>
      </c>
      <c r="B157" s="38" t="n">
        <v>77</v>
      </c>
      <c r="C157" s="38" t="inlineStr">
        <is>
          <t>F</t>
        </is>
      </c>
      <c r="D157" s="38" t="n">
        <v>74</v>
      </c>
    </row>
    <row r="158" ht="15" customHeight="1" s="39">
      <c r="A158" s="38" t="n">
        <v>2021</v>
      </c>
      <c r="B158" s="38" t="n">
        <v>78</v>
      </c>
      <c r="C158" s="38" t="inlineStr">
        <is>
          <t>M</t>
        </is>
      </c>
      <c r="D158" s="38" t="n">
        <v>48</v>
      </c>
    </row>
    <row r="159" ht="15" customHeight="1" s="39">
      <c r="A159" s="38" t="n">
        <v>2021</v>
      </c>
      <c r="B159" s="38" t="n">
        <v>78</v>
      </c>
      <c r="C159" s="38" t="inlineStr">
        <is>
          <t>F</t>
        </is>
      </c>
      <c r="D159" s="38" t="n">
        <v>46</v>
      </c>
    </row>
    <row r="160" ht="15" customHeight="1" s="39">
      <c r="A160" s="38" t="n">
        <v>2021</v>
      </c>
      <c r="B160" s="38" t="n">
        <v>79</v>
      </c>
      <c r="C160" s="38" t="inlineStr">
        <is>
          <t>M</t>
        </is>
      </c>
      <c r="D160" s="38" t="n">
        <v>37</v>
      </c>
    </row>
    <row r="161" ht="15" customHeight="1" s="39">
      <c r="A161" s="38" t="n">
        <v>2021</v>
      </c>
      <c r="B161" s="38" t="n">
        <v>79</v>
      </c>
      <c r="C161" s="38" t="inlineStr">
        <is>
          <t>F</t>
        </is>
      </c>
      <c r="D161" s="38" t="n">
        <v>42</v>
      </c>
    </row>
    <row r="162" ht="15" customHeight="1" s="39">
      <c r="A162" s="38" t="n">
        <v>2021</v>
      </c>
      <c r="B162" s="38" t="n">
        <v>80</v>
      </c>
      <c r="C162" s="38" t="inlineStr">
        <is>
          <t>M</t>
        </is>
      </c>
      <c r="D162" s="38" t="n">
        <v>39</v>
      </c>
    </row>
    <row r="163" ht="15" customHeight="1" s="39">
      <c r="A163" s="38" t="n">
        <v>2021</v>
      </c>
      <c r="B163" s="38" t="n">
        <v>80</v>
      </c>
      <c r="C163" s="38" t="inlineStr">
        <is>
          <t>F</t>
        </is>
      </c>
      <c r="D163" s="38" t="n">
        <v>65</v>
      </c>
    </row>
    <row r="164" ht="15" customHeight="1" s="39">
      <c r="A164" s="38" t="n">
        <v>2021</v>
      </c>
      <c r="B164" s="38" t="n">
        <v>81</v>
      </c>
      <c r="C164" s="38" t="inlineStr">
        <is>
          <t>M</t>
        </is>
      </c>
      <c r="D164" s="38" t="n">
        <v>25</v>
      </c>
    </row>
    <row r="165" ht="15" customHeight="1" s="39">
      <c r="A165" s="38" t="n">
        <v>2021</v>
      </c>
      <c r="B165" s="38" t="n">
        <v>81</v>
      </c>
      <c r="C165" s="38" t="inlineStr">
        <is>
          <t>F</t>
        </is>
      </c>
      <c r="D165" s="38" t="n">
        <v>31</v>
      </c>
    </row>
    <row r="166" ht="15" customHeight="1" s="39">
      <c r="A166" s="38" t="n">
        <v>2021</v>
      </c>
      <c r="B166" s="38" t="n">
        <v>82</v>
      </c>
      <c r="C166" s="38" t="inlineStr">
        <is>
          <t>M</t>
        </is>
      </c>
      <c r="D166" s="38" t="n">
        <v>27</v>
      </c>
    </row>
    <row r="167" ht="15" customHeight="1" s="39">
      <c r="A167" s="38" t="n">
        <v>2021</v>
      </c>
      <c r="B167" s="38" t="n">
        <v>82</v>
      </c>
      <c r="C167" s="38" t="inlineStr">
        <is>
          <t>F</t>
        </is>
      </c>
      <c r="D167" s="38" t="n">
        <v>44</v>
      </c>
    </row>
    <row r="168" ht="15" customHeight="1" s="39">
      <c r="A168" s="38" t="n">
        <v>2021</v>
      </c>
      <c r="B168" s="38" t="n">
        <v>83</v>
      </c>
      <c r="C168" s="38" t="inlineStr">
        <is>
          <t>M</t>
        </is>
      </c>
      <c r="D168" s="38" t="n">
        <v>37</v>
      </c>
    </row>
    <row r="169" ht="15" customHeight="1" s="39">
      <c r="A169" s="38" t="n">
        <v>2021</v>
      </c>
      <c r="B169" s="38" t="n">
        <v>83</v>
      </c>
      <c r="C169" s="38" t="inlineStr">
        <is>
          <t>F</t>
        </is>
      </c>
      <c r="D169" s="38" t="n">
        <v>50</v>
      </c>
    </row>
    <row r="170" ht="15" customHeight="1" s="39">
      <c r="A170" s="38" t="n">
        <v>2021</v>
      </c>
      <c r="B170" s="38" t="n">
        <v>84</v>
      </c>
      <c r="C170" s="38" t="inlineStr">
        <is>
          <t>M</t>
        </is>
      </c>
      <c r="D170" s="38" t="n">
        <v>29</v>
      </c>
    </row>
    <row r="171" ht="15" customHeight="1" s="39">
      <c r="A171" s="38" t="n">
        <v>2021</v>
      </c>
      <c r="B171" s="38" t="n">
        <v>84</v>
      </c>
      <c r="C171" s="38" t="inlineStr">
        <is>
          <t>F</t>
        </is>
      </c>
      <c r="D171" s="38" t="n">
        <v>41</v>
      </c>
    </row>
    <row r="172" ht="15" customHeight="1" s="39">
      <c r="A172" s="38" t="n">
        <v>2021</v>
      </c>
      <c r="B172" s="38" t="n">
        <v>85</v>
      </c>
      <c r="C172" s="38" t="inlineStr">
        <is>
          <t>M</t>
        </is>
      </c>
      <c r="D172" s="38" t="n">
        <v>27</v>
      </c>
    </row>
    <row r="173" ht="15" customHeight="1" s="39">
      <c r="A173" s="38" t="n">
        <v>2021</v>
      </c>
      <c r="B173" s="38" t="n">
        <v>85</v>
      </c>
      <c r="C173" s="38" t="inlineStr">
        <is>
          <t>F</t>
        </is>
      </c>
      <c r="D173" s="38" t="n">
        <v>40</v>
      </c>
    </row>
    <row r="174" ht="15" customHeight="1" s="39">
      <c r="A174" s="38" t="n">
        <v>2021</v>
      </c>
      <c r="B174" s="38" t="n">
        <v>86</v>
      </c>
      <c r="C174" s="38" t="inlineStr">
        <is>
          <t>M</t>
        </is>
      </c>
      <c r="D174" s="38" t="n">
        <v>21</v>
      </c>
    </row>
    <row r="175" ht="15" customHeight="1" s="39">
      <c r="A175" s="38" t="n">
        <v>2021</v>
      </c>
      <c r="B175" s="38" t="n">
        <v>86</v>
      </c>
      <c r="C175" s="38" t="inlineStr">
        <is>
          <t>F</t>
        </is>
      </c>
      <c r="D175" s="38" t="n">
        <v>48</v>
      </c>
    </row>
    <row r="176" ht="15" customHeight="1" s="39">
      <c r="A176" s="38" t="n">
        <v>2021</v>
      </c>
      <c r="B176" s="38" t="n">
        <v>87</v>
      </c>
      <c r="C176" s="38" t="inlineStr">
        <is>
          <t>M</t>
        </is>
      </c>
      <c r="D176" s="38" t="n">
        <v>13</v>
      </c>
    </row>
    <row r="177" ht="15" customHeight="1" s="39">
      <c r="A177" s="38" t="n">
        <v>2021</v>
      </c>
      <c r="B177" s="38" t="n">
        <v>87</v>
      </c>
      <c r="C177" s="38" t="inlineStr">
        <is>
          <t>F</t>
        </is>
      </c>
      <c r="D177" s="38" t="n">
        <v>35</v>
      </c>
    </row>
    <row r="178" ht="15" customHeight="1" s="39">
      <c r="A178" s="38" t="n">
        <v>2021</v>
      </c>
      <c r="B178" s="38" t="n">
        <v>88</v>
      </c>
      <c r="C178" s="38" t="inlineStr">
        <is>
          <t>M</t>
        </is>
      </c>
      <c r="D178" s="38" t="n">
        <v>11</v>
      </c>
    </row>
    <row r="179" ht="15" customHeight="1" s="39">
      <c r="A179" s="38" t="n">
        <v>2021</v>
      </c>
      <c r="B179" s="38" t="n">
        <v>88</v>
      </c>
      <c r="C179" s="38" t="inlineStr">
        <is>
          <t>F</t>
        </is>
      </c>
      <c r="D179" s="38" t="n">
        <v>26</v>
      </c>
    </row>
    <row r="180" ht="15" customHeight="1" s="39">
      <c r="A180" s="38" t="n">
        <v>2021</v>
      </c>
      <c r="B180" s="38" t="n">
        <v>89</v>
      </c>
      <c r="C180" s="38" t="inlineStr">
        <is>
          <t>M</t>
        </is>
      </c>
      <c r="D180" s="38" t="n">
        <v>17</v>
      </c>
    </row>
    <row r="181" ht="15" customHeight="1" s="39">
      <c r="A181" s="38" t="n">
        <v>2021</v>
      </c>
      <c r="B181" s="38" t="n">
        <v>89</v>
      </c>
      <c r="C181" s="38" t="inlineStr">
        <is>
          <t>F</t>
        </is>
      </c>
      <c r="D181" s="38" t="n">
        <v>19</v>
      </c>
    </row>
    <row r="182" ht="15" customHeight="1" s="39">
      <c r="A182" s="38" t="n">
        <v>2021</v>
      </c>
      <c r="B182" s="38" t="n">
        <v>90</v>
      </c>
      <c r="C182" s="38" t="inlineStr">
        <is>
          <t>M</t>
        </is>
      </c>
      <c r="D182" s="38" t="n">
        <v>7</v>
      </c>
    </row>
    <row r="183" ht="15" customHeight="1" s="39">
      <c r="A183" s="38" t="n">
        <v>2021</v>
      </c>
      <c r="B183" s="38" t="n">
        <v>90</v>
      </c>
      <c r="C183" s="38" t="inlineStr">
        <is>
          <t>F</t>
        </is>
      </c>
      <c r="D183" s="38" t="n">
        <v>23</v>
      </c>
    </row>
    <row r="184" ht="15" customHeight="1" s="39">
      <c r="A184" s="38" t="n">
        <v>2021</v>
      </c>
      <c r="B184" s="38" t="n">
        <v>91</v>
      </c>
      <c r="C184" s="38" t="inlineStr">
        <is>
          <t>M</t>
        </is>
      </c>
      <c r="D184" s="38" t="n">
        <v>13</v>
      </c>
    </row>
    <row r="185" ht="15" customHeight="1" s="39">
      <c r="A185" s="38" t="n">
        <v>2021</v>
      </c>
      <c r="B185" s="38" t="n">
        <v>91</v>
      </c>
      <c r="C185" s="38" t="inlineStr">
        <is>
          <t>F</t>
        </is>
      </c>
      <c r="D185" s="38" t="n">
        <v>24</v>
      </c>
    </row>
    <row r="186" ht="15" customHeight="1" s="39">
      <c r="A186" s="38" t="n">
        <v>2021</v>
      </c>
      <c r="B186" s="38" t="n">
        <v>92</v>
      </c>
      <c r="C186" s="38" t="inlineStr">
        <is>
          <t>M</t>
        </is>
      </c>
      <c r="D186" s="38" t="n">
        <v>4</v>
      </c>
    </row>
    <row r="187" ht="15" customHeight="1" s="39">
      <c r="A187" s="38" t="n">
        <v>2021</v>
      </c>
      <c r="B187" s="38" t="n">
        <v>92</v>
      </c>
      <c r="C187" s="38" t="inlineStr">
        <is>
          <t>F</t>
        </is>
      </c>
      <c r="D187" s="38" t="n">
        <v>11</v>
      </c>
    </row>
    <row r="188" ht="15" customHeight="1" s="39">
      <c r="A188" s="38" t="n">
        <v>2021</v>
      </c>
      <c r="B188" s="38" t="n">
        <v>93</v>
      </c>
      <c r="C188" s="38" t="inlineStr">
        <is>
          <t>M</t>
        </is>
      </c>
      <c r="D188" s="38" t="n">
        <v>2</v>
      </c>
    </row>
    <row r="189" ht="15" customHeight="1" s="39">
      <c r="A189" s="38" t="n">
        <v>2021</v>
      </c>
      <c r="B189" s="38" t="n">
        <v>93</v>
      </c>
      <c r="C189" s="38" t="inlineStr">
        <is>
          <t>F</t>
        </is>
      </c>
      <c r="D189" s="38" t="n">
        <v>9</v>
      </c>
    </row>
    <row r="190" ht="15" customHeight="1" s="39">
      <c r="A190" s="38" t="n">
        <v>2021</v>
      </c>
      <c r="B190" s="38" t="n">
        <v>94</v>
      </c>
      <c r="C190" s="38" t="inlineStr">
        <is>
          <t>M</t>
        </is>
      </c>
      <c r="D190" s="38" t="n">
        <v>10</v>
      </c>
    </row>
    <row r="191" ht="15" customHeight="1" s="39">
      <c r="A191" s="38" t="n">
        <v>2021</v>
      </c>
      <c r="B191" s="38" t="n">
        <v>94</v>
      </c>
      <c r="C191" s="38" t="inlineStr">
        <is>
          <t>F</t>
        </is>
      </c>
      <c r="D191" s="38" t="n">
        <v>13</v>
      </c>
    </row>
    <row r="192" ht="15" customHeight="1" s="39">
      <c r="A192" s="38" t="n">
        <v>2021</v>
      </c>
      <c r="B192" s="38" t="n">
        <v>95</v>
      </c>
      <c r="C192" s="38" t="inlineStr">
        <is>
          <t>M</t>
        </is>
      </c>
      <c r="D192" s="38" t="n">
        <v>5</v>
      </c>
    </row>
    <row r="193" ht="15" customHeight="1" s="39">
      <c r="A193" s="38" t="n">
        <v>2021</v>
      </c>
      <c r="B193" s="38" t="n">
        <v>95</v>
      </c>
      <c r="C193" s="38" t="inlineStr">
        <is>
          <t>F</t>
        </is>
      </c>
      <c r="D193" s="38" t="n">
        <v>7</v>
      </c>
    </row>
    <row r="194" ht="15" customHeight="1" s="39">
      <c r="A194" s="38" t="n">
        <v>2021</v>
      </c>
      <c r="B194" s="38" t="n">
        <v>96</v>
      </c>
      <c r="C194" s="38" t="inlineStr">
        <is>
          <t>M</t>
        </is>
      </c>
      <c r="D194" s="38" t="n">
        <v>3</v>
      </c>
    </row>
    <row r="195" ht="15" customHeight="1" s="39">
      <c r="A195" s="38" t="n">
        <v>2021</v>
      </c>
      <c r="B195" s="38" t="n">
        <v>96</v>
      </c>
      <c r="C195" s="38" t="inlineStr">
        <is>
          <t>F</t>
        </is>
      </c>
      <c r="D195" s="38" t="n">
        <v>5</v>
      </c>
    </row>
    <row r="196" ht="15" customHeight="1" s="39">
      <c r="A196" s="38" t="n">
        <v>2021</v>
      </c>
      <c r="B196" s="38" t="n">
        <v>97</v>
      </c>
      <c r="C196" s="38" t="inlineStr">
        <is>
          <t>M</t>
        </is>
      </c>
      <c r="D196" s="38" t="n">
        <v>0</v>
      </c>
    </row>
    <row r="197" ht="15" customHeight="1" s="39">
      <c r="A197" s="38" t="n">
        <v>2021</v>
      </c>
      <c r="B197" s="38" t="n">
        <v>97</v>
      </c>
      <c r="C197" s="38" t="inlineStr">
        <is>
          <t>F</t>
        </is>
      </c>
      <c r="D197" s="38" t="n">
        <v>6</v>
      </c>
    </row>
    <row r="198" ht="15" customHeight="1" s="39">
      <c r="A198" s="38" t="n">
        <v>2021</v>
      </c>
      <c r="B198" s="38" t="n">
        <v>98</v>
      </c>
      <c r="C198" s="38" t="inlineStr">
        <is>
          <t>M</t>
        </is>
      </c>
      <c r="D198" s="38" t="n">
        <v>2</v>
      </c>
    </row>
    <row r="199" ht="15" customHeight="1" s="39">
      <c r="A199" s="38" t="n">
        <v>2021</v>
      </c>
      <c r="B199" s="38" t="n">
        <v>98</v>
      </c>
      <c r="C199" s="38" t="inlineStr">
        <is>
          <t>F</t>
        </is>
      </c>
      <c r="D199" s="38" t="n">
        <v>3</v>
      </c>
    </row>
    <row r="200" ht="15" customHeight="1" s="39">
      <c r="A200" s="38" t="n">
        <v>2021</v>
      </c>
      <c r="B200" s="38" t="n">
        <v>99</v>
      </c>
      <c r="C200" s="38" t="inlineStr">
        <is>
          <t>M</t>
        </is>
      </c>
      <c r="D200" s="38" t="n">
        <v>2</v>
      </c>
    </row>
    <row r="201" ht="15" customHeight="1" s="39">
      <c r="A201" s="38" t="n">
        <v>2021</v>
      </c>
      <c r="B201" s="38" t="n">
        <v>99</v>
      </c>
      <c r="C201" s="38" t="inlineStr">
        <is>
          <t>F</t>
        </is>
      </c>
      <c r="D201" s="38" t="n">
        <v>1</v>
      </c>
    </row>
    <row r="202" ht="15" customHeight="1" s="39">
      <c r="A202" s="38" t="n">
        <v>2021</v>
      </c>
      <c r="B202" s="38" t="n">
        <v>100</v>
      </c>
      <c r="C202" s="38" t="inlineStr">
        <is>
          <t>M</t>
        </is>
      </c>
      <c r="D202" s="38" t="n">
        <v>1</v>
      </c>
    </row>
    <row r="203" ht="15" customHeight="1" s="39">
      <c r="A203" s="38" t="n">
        <v>2021</v>
      </c>
      <c r="B203" s="38" t="n">
        <v>100</v>
      </c>
      <c r="C203" s="38" t="inlineStr">
        <is>
          <t>F</t>
        </is>
      </c>
      <c r="D203" s="38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D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Filtrar</t>
        </is>
      </c>
    </row>
    <row r="3" ht="15" customHeight="1" s="39">
      <c r="A3" s="54" t="inlineStr">
        <is>
          <t>Suma - population</t>
        </is>
      </c>
      <c r="B3" s="55" t="inlineStr">
        <is>
          <t>sex</t>
        </is>
      </c>
      <c r="C3" s="56" t="n"/>
      <c r="D3" s="57" t="n"/>
    </row>
    <row r="4" ht="15" customHeight="1" s="39">
      <c r="A4" s="58" t="inlineStr">
        <is>
          <t>age_years</t>
        </is>
      </c>
      <c r="B4" s="59" t="inlineStr">
        <is>
          <t>F</t>
        </is>
      </c>
      <c r="C4" s="60" t="inlineStr">
        <is>
          <t>M</t>
        </is>
      </c>
      <c r="D4" s="61" t="inlineStr">
        <is>
          <t>Total Resultado</t>
        </is>
      </c>
    </row>
    <row r="5" ht="15" customHeight="1" s="39">
      <c r="A5" s="47" t="n">
        <v>0</v>
      </c>
      <c r="B5" s="62" t="n">
        <v>98</v>
      </c>
      <c r="C5" s="63" t="n">
        <v>103</v>
      </c>
      <c r="D5" s="64" t="n">
        <v>201</v>
      </c>
    </row>
    <row r="6" ht="15" customHeight="1" s="39">
      <c r="A6" s="49" t="n">
        <v>1</v>
      </c>
      <c r="B6" s="65" t="n">
        <v>87</v>
      </c>
      <c r="C6" s="66" t="n">
        <v>113</v>
      </c>
      <c r="D6" s="67" t="n">
        <v>200</v>
      </c>
    </row>
    <row r="7" ht="15" customHeight="1" s="39">
      <c r="A7" s="49" t="n">
        <v>2</v>
      </c>
      <c r="B7" s="65" t="n">
        <v>116</v>
      </c>
      <c r="C7" s="66" t="n">
        <v>125</v>
      </c>
      <c r="D7" s="67" t="n">
        <v>241</v>
      </c>
    </row>
    <row r="8" ht="15" customHeight="1" s="39">
      <c r="A8" s="49" t="n">
        <v>3</v>
      </c>
      <c r="B8" s="65" t="n">
        <v>124</v>
      </c>
      <c r="C8" s="66" t="n">
        <v>127</v>
      </c>
      <c r="D8" s="67" t="n">
        <v>251</v>
      </c>
    </row>
    <row r="9" ht="15" customHeight="1" s="39">
      <c r="A9" s="49" t="n">
        <v>4</v>
      </c>
      <c r="B9" s="65" t="n">
        <v>134</v>
      </c>
      <c r="C9" s="66" t="n">
        <v>133</v>
      </c>
      <c r="D9" s="67" t="n">
        <v>267</v>
      </c>
    </row>
    <row r="10" ht="15" customHeight="1" s="39">
      <c r="A10" s="49" t="n">
        <v>5</v>
      </c>
      <c r="B10" s="65" t="n">
        <v>159</v>
      </c>
      <c r="C10" s="66" t="n">
        <v>138</v>
      </c>
      <c r="D10" s="67" t="n">
        <v>297</v>
      </c>
    </row>
    <row r="11" ht="15" customHeight="1" s="39">
      <c r="A11" s="49" t="n">
        <v>6</v>
      </c>
      <c r="B11" s="65" t="n">
        <v>150</v>
      </c>
      <c r="C11" s="66" t="n">
        <v>183</v>
      </c>
      <c r="D11" s="67" t="n">
        <v>333</v>
      </c>
    </row>
    <row r="12" ht="15" customHeight="1" s="39">
      <c r="A12" s="49" t="n">
        <v>7</v>
      </c>
      <c r="B12" s="65" t="n">
        <v>142</v>
      </c>
      <c r="C12" s="66" t="n">
        <v>155</v>
      </c>
      <c r="D12" s="67" t="n">
        <v>297</v>
      </c>
    </row>
    <row r="13" ht="15" customHeight="1" s="39">
      <c r="A13" s="49" t="n">
        <v>8</v>
      </c>
      <c r="B13" s="65" t="n">
        <v>138</v>
      </c>
      <c r="C13" s="66" t="n">
        <v>134</v>
      </c>
      <c r="D13" s="67" t="n">
        <v>272</v>
      </c>
    </row>
    <row r="14" ht="15" customHeight="1" s="39">
      <c r="A14" s="49" t="n">
        <v>9</v>
      </c>
      <c r="B14" s="65" t="n">
        <v>146</v>
      </c>
      <c r="C14" s="66" t="n">
        <v>170</v>
      </c>
      <c r="D14" s="67" t="n">
        <v>316</v>
      </c>
    </row>
    <row r="15" ht="15" customHeight="1" s="39">
      <c r="A15" s="49" t="n">
        <v>10</v>
      </c>
      <c r="B15" s="65" t="n">
        <v>153</v>
      </c>
      <c r="C15" s="66" t="n">
        <v>159</v>
      </c>
      <c r="D15" s="67" t="n">
        <v>312</v>
      </c>
    </row>
    <row r="16" ht="15" customHeight="1" s="39">
      <c r="A16" s="49" t="n">
        <v>11</v>
      </c>
      <c r="B16" s="65" t="n">
        <v>147</v>
      </c>
      <c r="C16" s="66" t="n">
        <v>170</v>
      </c>
      <c r="D16" s="67" t="n">
        <v>317</v>
      </c>
    </row>
    <row r="17" ht="15" customHeight="1" s="39">
      <c r="A17" s="49" t="n">
        <v>12</v>
      </c>
      <c r="B17" s="65" t="n">
        <v>152</v>
      </c>
      <c r="C17" s="66" t="n">
        <v>171</v>
      </c>
      <c r="D17" s="67" t="n">
        <v>323</v>
      </c>
    </row>
    <row r="18" ht="15" customHeight="1" s="39">
      <c r="A18" s="49" t="n">
        <v>13</v>
      </c>
      <c r="B18" s="65" t="n">
        <v>124</v>
      </c>
      <c r="C18" s="66" t="n">
        <v>127</v>
      </c>
      <c r="D18" s="67" t="n">
        <v>251</v>
      </c>
    </row>
    <row r="19" ht="15" customHeight="1" s="39">
      <c r="A19" s="49" t="n">
        <v>14</v>
      </c>
      <c r="B19" s="65" t="n">
        <v>135</v>
      </c>
      <c r="C19" s="66" t="n">
        <v>142</v>
      </c>
      <c r="D19" s="67" t="n">
        <v>277</v>
      </c>
    </row>
    <row r="20" ht="15" customHeight="1" s="39">
      <c r="A20" s="49" t="n">
        <v>15</v>
      </c>
      <c r="B20" s="65" t="n">
        <v>130</v>
      </c>
      <c r="C20" s="66" t="n">
        <v>138</v>
      </c>
      <c r="D20" s="67" t="n">
        <v>268</v>
      </c>
    </row>
    <row r="21" ht="15" customHeight="1" s="39">
      <c r="A21" s="49" t="n">
        <v>16</v>
      </c>
      <c r="B21" s="65" t="n">
        <v>107</v>
      </c>
      <c r="C21" s="66" t="n">
        <v>109</v>
      </c>
      <c r="D21" s="67" t="n">
        <v>216</v>
      </c>
    </row>
    <row r="22" ht="15" customHeight="1" s="39">
      <c r="A22" s="49" t="n">
        <v>17</v>
      </c>
      <c r="B22" s="65" t="n">
        <v>99</v>
      </c>
      <c r="C22" s="66" t="n">
        <v>128</v>
      </c>
      <c r="D22" s="67" t="n">
        <v>227</v>
      </c>
    </row>
    <row r="23" ht="15" customHeight="1" s="39">
      <c r="A23" s="49" t="n">
        <v>18</v>
      </c>
      <c r="B23" s="65" t="n">
        <v>113</v>
      </c>
      <c r="C23" s="66" t="n">
        <v>108</v>
      </c>
      <c r="D23" s="67" t="n">
        <v>221</v>
      </c>
    </row>
    <row r="24" ht="15" customHeight="1" s="39">
      <c r="A24" s="49" t="n">
        <v>19</v>
      </c>
      <c r="B24" s="65" t="n">
        <v>104</v>
      </c>
      <c r="C24" s="66" t="n">
        <v>103</v>
      </c>
      <c r="D24" s="67" t="n">
        <v>207</v>
      </c>
    </row>
    <row r="25" ht="15" customHeight="1" s="39">
      <c r="A25" s="49" t="n">
        <v>20</v>
      </c>
      <c r="B25" s="65" t="n">
        <v>116</v>
      </c>
      <c r="C25" s="66" t="n">
        <v>115</v>
      </c>
      <c r="D25" s="67" t="n">
        <v>231</v>
      </c>
    </row>
    <row r="26" ht="15" customHeight="1" s="39">
      <c r="A26" s="49" t="n">
        <v>21</v>
      </c>
      <c r="B26" s="65" t="n">
        <v>100</v>
      </c>
      <c r="C26" s="66" t="n">
        <v>93</v>
      </c>
      <c r="D26" s="67" t="n">
        <v>193</v>
      </c>
    </row>
    <row r="27" ht="15" customHeight="1" s="39">
      <c r="A27" s="49" t="n">
        <v>22</v>
      </c>
      <c r="B27" s="65" t="n">
        <v>111</v>
      </c>
      <c r="C27" s="66" t="n">
        <v>115</v>
      </c>
      <c r="D27" s="67" t="n">
        <v>226</v>
      </c>
    </row>
    <row r="28" ht="15" customHeight="1" s="39">
      <c r="A28" s="49" t="n">
        <v>23</v>
      </c>
      <c r="B28" s="65" t="n">
        <v>92</v>
      </c>
      <c r="C28" s="66" t="n">
        <v>109</v>
      </c>
      <c r="D28" s="67" t="n">
        <v>201</v>
      </c>
    </row>
    <row r="29" ht="15" customHeight="1" s="39">
      <c r="A29" s="49" t="n">
        <v>24</v>
      </c>
      <c r="B29" s="65" t="n">
        <v>109</v>
      </c>
      <c r="C29" s="66" t="n">
        <v>105</v>
      </c>
      <c r="D29" s="67" t="n">
        <v>214</v>
      </c>
    </row>
    <row r="30" ht="15" customHeight="1" s="39">
      <c r="A30" s="49" t="n">
        <v>25</v>
      </c>
      <c r="B30" s="65" t="n">
        <v>91</v>
      </c>
      <c r="C30" s="66" t="n">
        <v>90</v>
      </c>
      <c r="D30" s="67" t="n">
        <v>181</v>
      </c>
    </row>
    <row r="31" ht="15" customHeight="1" s="39">
      <c r="A31" s="49" t="n">
        <v>26</v>
      </c>
      <c r="B31" s="65" t="n">
        <v>122</v>
      </c>
      <c r="C31" s="66" t="n">
        <v>100</v>
      </c>
      <c r="D31" s="67" t="n">
        <v>222</v>
      </c>
    </row>
    <row r="32" ht="15" customHeight="1" s="39">
      <c r="A32" s="49" t="n">
        <v>27</v>
      </c>
      <c r="B32" s="65" t="n">
        <v>105</v>
      </c>
      <c r="C32" s="66" t="n">
        <v>113</v>
      </c>
      <c r="D32" s="67" t="n">
        <v>218</v>
      </c>
    </row>
    <row r="33" ht="15" customHeight="1" s="39">
      <c r="A33" s="49" t="n">
        <v>28</v>
      </c>
      <c r="B33" s="65" t="n">
        <v>110</v>
      </c>
      <c r="C33" s="66" t="n">
        <v>108</v>
      </c>
      <c r="D33" s="67" t="n">
        <v>218</v>
      </c>
    </row>
    <row r="34" ht="15" customHeight="1" s="39">
      <c r="A34" s="49" t="n">
        <v>29</v>
      </c>
      <c r="B34" s="65" t="n">
        <v>124</v>
      </c>
      <c r="C34" s="66" t="n">
        <v>128</v>
      </c>
      <c r="D34" s="67" t="n">
        <v>252</v>
      </c>
    </row>
    <row r="35" ht="15" customHeight="1" s="39">
      <c r="A35" s="49" t="n">
        <v>30</v>
      </c>
      <c r="B35" s="65" t="n">
        <v>146</v>
      </c>
      <c r="C35" s="66" t="n">
        <v>146</v>
      </c>
      <c r="D35" s="67" t="n">
        <v>292</v>
      </c>
    </row>
    <row r="36" ht="15" customHeight="1" s="39">
      <c r="A36" s="49" t="n">
        <v>31</v>
      </c>
      <c r="B36" s="65" t="n">
        <v>129</v>
      </c>
      <c r="C36" s="66" t="n">
        <v>111</v>
      </c>
      <c r="D36" s="67" t="n">
        <v>240</v>
      </c>
    </row>
    <row r="37" ht="15" customHeight="1" s="39">
      <c r="A37" s="49" t="n">
        <v>32</v>
      </c>
      <c r="B37" s="65" t="n">
        <v>172</v>
      </c>
      <c r="C37" s="66" t="n">
        <v>125</v>
      </c>
      <c r="D37" s="67" t="n">
        <v>297</v>
      </c>
    </row>
    <row r="38" ht="15" customHeight="1" s="39">
      <c r="A38" s="49" t="n">
        <v>33</v>
      </c>
      <c r="B38" s="65" t="n">
        <v>164</v>
      </c>
      <c r="C38" s="66" t="n">
        <v>178</v>
      </c>
      <c r="D38" s="67" t="n">
        <v>342</v>
      </c>
    </row>
    <row r="39" ht="15" customHeight="1" s="39">
      <c r="A39" s="49" t="n">
        <v>34</v>
      </c>
      <c r="B39" s="65" t="n">
        <v>179</v>
      </c>
      <c r="C39" s="66" t="n">
        <v>174</v>
      </c>
      <c r="D39" s="67" t="n">
        <v>353</v>
      </c>
    </row>
    <row r="40" ht="15" customHeight="1" s="39">
      <c r="A40" s="49" t="n">
        <v>35</v>
      </c>
      <c r="B40" s="65" t="n">
        <v>182</v>
      </c>
      <c r="C40" s="66" t="n">
        <v>148</v>
      </c>
      <c r="D40" s="67" t="n">
        <v>330</v>
      </c>
    </row>
    <row r="41" ht="15" customHeight="1" s="39">
      <c r="A41" s="49" t="n">
        <v>36</v>
      </c>
      <c r="B41" s="65" t="n">
        <v>192</v>
      </c>
      <c r="C41" s="66" t="n">
        <v>184</v>
      </c>
      <c r="D41" s="67" t="n">
        <v>376</v>
      </c>
    </row>
    <row r="42" ht="15" customHeight="1" s="39">
      <c r="A42" s="49" t="n">
        <v>37</v>
      </c>
      <c r="B42" s="65" t="n">
        <v>197</v>
      </c>
      <c r="C42" s="66" t="n">
        <v>193</v>
      </c>
      <c r="D42" s="67" t="n">
        <v>390</v>
      </c>
    </row>
    <row r="43" ht="15" customHeight="1" s="39">
      <c r="A43" s="49" t="n">
        <v>38</v>
      </c>
      <c r="B43" s="65" t="n">
        <v>226</v>
      </c>
      <c r="C43" s="66" t="n">
        <v>203</v>
      </c>
      <c r="D43" s="67" t="n">
        <v>429</v>
      </c>
    </row>
    <row r="44" ht="15" customHeight="1" s="39">
      <c r="A44" s="49" t="n">
        <v>39</v>
      </c>
      <c r="B44" s="65" t="n">
        <v>219</v>
      </c>
      <c r="C44" s="66" t="n">
        <v>226</v>
      </c>
      <c r="D44" s="67" t="n">
        <v>445</v>
      </c>
    </row>
    <row r="45" ht="15" customHeight="1" s="39">
      <c r="A45" s="49" t="n">
        <v>40</v>
      </c>
      <c r="B45" s="65" t="n">
        <v>249</v>
      </c>
      <c r="C45" s="66" t="n">
        <v>229</v>
      </c>
      <c r="D45" s="67" t="n">
        <v>478</v>
      </c>
    </row>
    <row r="46" ht="15" customHeight="1" s="39">
      <c r="A46" s="49" t="n">
        <v>41</v>
      </c>
      <c r="B46" s="65" t="n">
        <v>230</v>
      </c>
      <c r="C46" s="66" t="n">
        <v>247</v>
      </c>
      <c r="D46" s="67" t="n">
        <v>477</v>
      </c>
    </row>
    <row r="47" ht="15" customHeight="1" s="39">
      <c r="A47" s="49" t="n">
        <v>42</v>
      </c>
      <c r="B47" s="65" t="n">
        <v>242</v>
      </c>
      <c r="C47" s="66" t="n">
        <v>259</v>
      </c>
      <c r="D47" s="67" t="n">
        <v>501</v>
      </c>
    </row>
    <row r="48" ht="15" customHeight="1" s="39">
      <c r="A48" s="49" t="n">
        <v>43</v>
      </c>
      <c r="B48" s="65" t="n">
        <v>227</v>
      </c>
      <c r="C48" s="66" t="n">
        <v>274</v>
      </c>
      <c r="D48" s="67" t="n">
        <v>501</v>
      </c>
    </row>
    <row r="49" ht="15" customHeight="1" s="39">
      <c r="A49" s="49" t="n">
        <v>44</v>
      </c>
      <c r="B49" s="65" t="n">
        <v>255</v>
      </c>
      <c r="C49" s="66" t="n">
        <v>242</v>
      </c>
      <c r="D49" s="67" t="n">
        <v>497</v>
      </c>
    </row>
    <row r="50" ht="15" customHeight="1" s="39">
      <c r="A50" s="49" t="n">
        <v>45</v>
      </c>
      <c r="B50" s="65" t="n">
        <v>197</v>
      </c>
      <c r="C50" s="66" t="n">
        <v>242</v>
      </c>
      <c r="D50" s="67" t="n">
        <v>439</v>
      </c>
    </row>
    <row r="51" ht="15" customHeight="1" s="39">
      <c r="A51" s="49" t="n">
        <v>46</v>
      </c>
      <c r="B51" s="65" t="n">
        <v>195</v>
      </c>
      <c r="C51" s="66" t="n">
        <v>216</v>
      </c>
      <c r="D51" s="67" t="n">
        <v>411</v>
      </c>
    </row>
    <row r="52" ht="15" customHeight="1" s="39">
      <c r="A52" s="49" t="n">
        <v>47</v>
      </c>
      <c r="B52" s="65" t="n">
        <v>171</v>
      </c>
      <c r="C52" s="66" t="n">
        <v>231</v>
      </c>
      <c r="D52" s="67" t="n">
        <v>402</v>
      </c>
    </row>
    <row r="53" ht="15" customHeight="1" s="39">
      <c r="A53" s="49" t="n">
        <v>48</v>
      </c>
      <c r="B53" s="65" t="n">
        <v>163</v>
      </c>
      <c r="C53" s="66" t="n">
        <v>196</v>
      </c>
      <c r="D53" s="67" t="n">
        <v>359</v>
      </c>
    </row>
    <row r="54" ht="15" customHeight="1" s="39">
      <c r="A54" s="49" t="n">
        <v>49</v>
      </c>
      <c r="B54" s="65" t="n">
        <v>154</v>
      </c>
      <c r="C54" s="66" t="n">
        <v>187</v>
      </c>
      <c r="D54" s="67" t="n">
        <v>341</v>
      </c>
    </row>
    <row r="55" ht="15" customHeight="1" s="39">
      <c r="A55" s="49" t="n">
        <v>50</v>
      </c>
      <c r="B55" s="65" t="n">
        <v>149</v>
      </c>
      <c r="C55" s="66" t="n">
        <v>176</v>
      </c>
      <c r="D55" s="67" t="n">
        <v>325</v>
      </c>
    </row>
    <row r="56" ht="15" customHeight="1" s="39">
      <c r="A56" s="49" t="n">
        <v>51</v>
      </c>
      <c r="B56" s="65" t="n">
        <v>150</v>
      </c>
      <c r="C56" s="66" t="n">
        <v>176</v>
      </c>
      <c r="D56" s="67" t="n">
        <v>326</v>
      </c>
    </row>
    <row r="57" ht="15" customHeight="1" s="39">
      <c r="A57" s="49" t="n">
        <v>52</v>
      </c>
      <c r="B57" s="65" t="n">
        <v>139</v>
      </c>
      <c r="C57" s="66" t="n">
        <v>143</v>
      </c>
      <c r="D57" s="67" t="n">
        <v>282</v>
      </c>
    </row>
    <row r="58" ht="15" customHeight="1" s="39">
      <c r="A58" s="49" t="n">
        <v>53</v>
      </c>
      <c r="B58" s="65" t="n">
        <v>137</v>
      </c>
      <c r="C58" s="66" t="n">
        <v>163</v>
      </c>
      <c r="D58" s="67" t="n">
        <v>300</v>
      </c>
    </row>
    <row r="59" ht="15" customHeight="1" s="39">
      <c r="A59" s="49" t="n">
        <v>54</v>
      </c>
      <c r="B59" s="65" t="n">
        <v>151</v>
      </c>
      <c r="C59" s="66" t="n">
        <v>172</v>
      </c>
      <c r="D59" s="67" t="n">
        <v>323</v>
      </c>
    </row>
    <row r="60" ht="15" customHeight="1" s="39">
      <c r="A60" s="49" t="n">
        <v>55</v>
      </c>
      <c r="B60" s="65" t="n">
        <v>132</v>
      </c>
      <c r="C60" s="66" t="n">
        <v>157</v>
      </c>
      <c r="D60" s="67" t="n">
        <v>289</v>
      </c>
    </row>
    <row r="61" ht="15" customHeight="1" s="39">
      <c r="A61" s="49" t="n">
        <v>56</v>
      </c>
      <c r="B61" s="65" t="n">
        <v>153</v>
      </c>
      <c r="C61" s="66" t="n">
        <v>154</v>
      </c>
      <c r="D61" s="67" t="n">
        <v>307</v>
      </c>
    </row>
    <row r="62" ht="15" customHeight="1" s="39">
      <c r="A62" s="49" t="n">
        <v>57</v>
      </c>
      <c r="B62" s="65" t="n">
        <v>160</v>
      </c>
      <c r="C62" s="66" t="n">
        <v>127</v>
      </c>
      <c r="D62" s="67" t="n">
        <v>287</v>
      </c>
    </row>
    <row r="63" ht="15" customHeight="1" s="39">
      <c r="A63" s="49" t="n">
        <v>58</v>
      </c>
      <c r="B63" s="65" t="n">
        <v>117</v>
      </c>
      <c r="C63" s="66" t="n">
        <v>137</v>
      </c>
      <c r="D63" s="67" t="n">
        <v>254</v>
      </c>
    </row>
    <row r="64" ht="15" customHeight="1" s="39">
      <c r="A64" s="49" t="n">
        <v>59</v>
      </c>
      <c r="B64" s="65" t="n">
        <v>132</v>
      </c>
      <c r="C64" s="66" t="n">
        <v>114</v>
      </c>
      <c r="D64" s="67" t="n">
        <v>246</v>
      </c>
    </row>
    <row r="65" ht="15" customHeight="1" s="39">
      <c r="A65" s="49" t="n">
        <v>60</v>
      </c>
      <c r="B65" s="65" t="n">
        <v>126</v>
      </c>
      <c r="C65" s="66" t="n">
        <v>120</v>
      </c>
      <c r="D65" s="67" t="n">
        <v>246</v>
      </c>
    </row>
    <row r="66" ht="15" customHeight="1" s="39">
      <c r="A66" s="49" t="n">
        <v>61</v>
      </c>
      <c r="B66" s="65" t="n">
        <v>119</v>
      </c>
      <c r="C66" s="66" t="n">
        <v>126</v>
      </c>
      <c r="D66" s="67" t="n">
        <v>245</v>
      </c>
    </row>
    <row r="67" ht="15" customHeight="1" s="39">
      <c r="A67" s="49" t="n">
        <v>62</v>
      </c>
      <c r="B67" s="65" t="n">
        <v>116</v>
      </c>
      <c r="C67" s="66" t="n">
        <v>118</v>
      </c>
      <c r="D67" s="67" t="n">
        <v>234</v>
      </c>
    </row>
    <row r="68" ht="15" customHeight="1" s="39">
      <c r="A68" s="49" t="n">
        <v>63</v>
      </c>
      <c r="B68" s="65" t="n">
        <v>140</v>
      </c>
      <c r="C68" s="66" t="n">
        <v>97</v>
      </c>
      <c r="D68" s="67" t="n">
        <v>237</v>
      </c>
    </row>
    <row r="69" ht="15" customHeight="1" s="39">
      <c r="A69" s="49" t="n">
        <v>64</v>
      </c>
      <c r="B69" s="65" t="n">
        <v>122</v>
      </c>
      <c r="C69" s="66" t="n">
        <v>108</v>
      </c>
      <c r="D69" s="67" t="n">
        <v>230</v>
      </c>
    </row>
    <row r="70" ht="15" customHeight="1" s="39">
      <c r="A70" s="49" t="n">
        <v>65</v>
      </c>
      <c r="B70" s="65" t="n">
        <v>130</v>
      </c>
      <c r="C70" s="66" t="n">
        <v>125</v>
      </c>
      <c r="D70" s="67" t="n">
        <v>255</v>
      </c>
    </row>
    <row r="71" ht="15" customHeight="1" s="39">
      <c r="A71" s="49" t="n">
        <v>66</v>
      </c>
      <c r="B71" s="65" t="n">
        <v>100</v>
      </c>
      <c r="C71" s="66" t="n">
        <v>105</v>
      </c>
      <c r="D71" s="67" t="n">
        <v>205</v>
      </c>
    </row>
    <row r="72" ht="15" customHeight="1" s="39">
      <c r="A72" s="49" t="n">
        <v>67</v>
      </c>
      <c r="B72" s="65" t="n">
        <v>118</v>
      </c>
      <c r="C72" s="66" t="n">
        <v>115</v>
      </c>
      <c r="D72" s="67" t="n">
        <v>233</v>
      </c>
    </row>
    <row r="73" ht="15" customHeight="1" s="39">
      <c r="A73" s="49" t="n">
        <v>68</v>
      </c>
      <c r="B73" s="65" t="n">
        <v>98</v>
      </c>
      <c r="C73" s="66" t="n">
        <v>121</v>
      </c>
      <c r="D73" s="67" t="n">
        <v>219</v>
      </c>
    </row>
    <row r="74" ht="15" customHeight="1" s="39">
      <c r="A74" s="49" t="n">
        <v>69</v>
      </c>
      <c r="B74" s="65" t="n">
        <v>103</v>
      </c>
      <c r="C74" s="66" t="n">
        <v>90</v>
      </c>
      <c r="D74" s="67" t="n">
        <v>193</v>
      </c>
    </row>
    <row r="75" ht="15" customHeight="1" s="39">
      <c r="A75" s="49" t="n">
        <v>70</v>
      </c>
      <c r="B75" s="65" t="n">
        <v>92</v>
      </c>
      <c r="C75" s="66" t="n">
        <v>83</v>
      </c>
      <c r="D75" s="67" t="n">
        <v>175</v>
      </c>
    </row>
    <row r="76" ht="15" customHeight="1" s="39">
      <c r="A76" s="49" t="n">
        <v>71</v>
      </c>
      <c r="B76" s="65" t="n">
        <v>93</v>
      </c>
      <c r="C76" s="66" t="n">
        <v>89</v>
      </c>
      <c r="D76" s="67" t="n">
        <v>182</v>
      </c>
    </row>
    <row r="77" ht="15" customHeight="1" s="39">
      <c r="A77" s="49" t="n">
        <v>72</v>
      </c>
      <c r="B77" s="65" t="n">
        <v>91</v>
      </c>
      <c r="C77" s="66" t="n">
        <v>85</v>
      </c>
      <c r="D77" s="67" t="n">
        <v>176</v>
      </c>
    </row>
    <row r="78" ht="15" customHeight="1" s="39">
      <c r="A78" s="49" t="n">
        <v>73</v>
      </c>
      <c r="B78" s="65" t="n">
        <v>79</v>
      </c>
      <c r="C78" s="66" t="n">
        <v>95</v>
      </c>
      <c r="D78" s="67" t="n">
        <v>174</v>
      </c>
    </row>
    <row r="79" ht="15" customHeight="1" s="39">
      <c r="A79" s="49" t="n">
        <v>74</v>
      </c>
      <c r="B79" s="65" t="n">
        <v>65</v>
      </c>
      <c r="C79" s="66" t="n">
        <v>72</v>
      </c>
      <c r="D79" s="67" t="n">
        <v>137</v>
      </c>
    </row>
    <row r="80" ht="15" customHeight="1" s="39">
      <c r="A80" s="49" t="n">
        <v>75</v>
      </c>
      <c r="B80" s="65" t="n">
        <v>69</v>
      </c>
      <c r="C80" s="66" t="n">
        <v>64</v>
      </c>
      <c r="D80" s="67" t="n">
        <v>133</v>
      </c>
    </row>
    <row r="81" ht="15" customHeight="1" s="39">
      <c r="A81" s="49" t="n">
        <v>76</v>
      </c>
      <c r="B81" s="65" t="n">
        <v>64</v>
      </c>
      <c r="C81" s="66" t="n">
        <v>56</v>
      </c>
      <c r="D81" s="67" t="n">
        <v>120</v>
      </c>
    </row>
    <row r="82" ht="15" customHeight="1" s="39">
      <c r="A82" s="49" t="n">
        <v>77</v>
      </c>
      <c r="B82" s="65" t="n">
        <v>74</v>
      </c>
      <c r="C82" s="66" t="n">
        <v>52</v>
      </c>
      <c r="D82" s="67" t="n">
        <v>126</v>
      </c>
    </row>
    <row r="83" ht="15" customHeight="1" s="39">
      <c r="A83" s="49" t="n">
        <v>78</v>
      </c>
      <c r="B83" s="65" t="n">
        <v>46</v>
      </c>
      <c r="C83" s="66" t="n">
        <v>48</v>
      </c>
      <c r="D83" s="67" t="n">
        <v>94</v>
      </c>
    </row>
    <row r="84" ht="15" customHeight="1" s="39">
      <c r="A84" s="49" t="n">
        <v>79</v>
      </c>
      <c r="B84" s="65" t="n">
        <v>42</v>
      </c>
      <c r="C84" s="66" t="n">
        <v>37</v>
      </c>
      <c r="D84" s="67" t="n">
        <v>79</v>
      </c>
    </row>
    <row r="85" ht="15" customHeight="1" s="39">
      <c r="A85" s="49" t="n">
        <v>80</v>
      </c>
      <c r="B85" s="65" t="n">
        <v>65</v>
      </c>
      <c r="C85" s="66" t="n">
        <v>39</v>
      </c>
      <c r="D85" s="67" t="n">
        <v>104</v>
      </c>
    </row>
    <row r="86" ht="15" customHeight="1" s="39">
      <c r="A86" s="49" t="n">
        <v>81</v>
      </c>
      <c r="B86" s="65" t="n">
        <v>31</v>
      </c>
      <c r="C86" s="66" t="n">
        <v>25</v>
      </c>
      <c r="D86" s="67" t="n">
        <v>56</v>
      </c>
    </row>
    <row r="87" ht="15" customHeight="1" s="39">
      <c r="A87" s="49" t="n">
        <v>82</v>
      </c>
      <c r="B87" s="65" t="n">
        <v>44</v>
      </c>
      <c r="C87" s="66" t="n">
        <v>27</v>
      </c>
      <c r="D87" s="67" t="n">
        <v>71</v>
      </c>
    </row>
    <row r="88" ht="15" customHeight="1" s="39">
      <c r="A88" s="49" t="n">
        <v>83</v>
      </c>
      <c r="B88" s="65" t="n">
        <v>50</v>
      </c>
      <c r="C88" s="66" t="n">
        <v>37</v>
      </c>
      <c r="D88" s="67" t="n">
        <v>87</v>
      </c>
    </row>
    <row r="89" ht="15" customHeight="1" s="39">
      <c r="A89" s="49" t="n">
        <v>84</v>
      </c>
      <c r="B89" s="65" t="n">
        <v>41</v>
      </c>
      <c r="C89" s="66" t="n">
        <v>29</v>
      </c>
      <c r="D89" s="67" t="n">
        <v>70</v>
      </c>
    </row>
    <row r="90" ht="15" customHeight="1" s="39">
      <c r="A90" s="49" t="n">
        <v>85</v>
      </c>
      <c r="B90" s="65" t="n">
        <v>40</v>
      </c>
      <c r="C90" s="66" t="n">
        <v>27</v>
      </c>
      <c r="D90" s="67" t="n">
        <v>67</v>
      </c>
    </row>
    <row r="91" ht="15" customHeight="1" s="39">
      <c r="A91" s="49" t="n">
        <v>86</v>
      </c>
      <c r="B91" s="65" t="n">
        <v>48</v>
      </c>
      <c r="C91" s="66" t="n">
        <v>21</v>
      </c>
      <c r="D91" s="67" t="n">
        <v>69</v>
      </c>
    </row>
    <row r="92" ht="15" customHeight="1" s="39">
      <c r="A92" s="49" t="n">
        <v>87</v>
      </c>
      <c r="B92" s="65" t="n">
        <v>35</v>
      </c>
      <c r="C92" s="66" t="n">
        <v>13</v>
      </c>
      <c r="D92" s="67" t="n">
        <v>48</v>
      </c>
    </row>
    <row r="93" ht="15" customHeight="1" s="39">
      <c r="A93" s="49" t="n">
        <v>88</v>
      </c>
      <c r="B93" s="65" t="n">
        <v>26</v>
      </c>
      <c r="C93" s="66" t="n">
        <v>11</v>
      </c>
      <c r="D93" s="67" t="n">
        <v>37</v>
      </c>
    </row>
    <row r="94" ht="15" customHeight="1" s="39">
      <c r="A94" s="49" t="n">
        <v>89</v>
      </c>
      <c r="B94" s="65" t="n">
        <v>19</v>
      </c>
      <c r="C94" s="66" t="n">
        <v>17</v>
      </c>
      <c r="D94" s="67" t="n">
        <v>36</v>
      </c>
    </row>
    <row r="95" ht="15" customHeight="1" s="39">
      <c r="A95" s="49" t="n">
        <v>90</v>
      </c>
      <c r="B95" s="65" t="n">
        <v>23</v>
      </c>
      <c r="C95" s="66" t="n">
        <v>7</v>
      </c>
      <c r="D95" s="67" t="n">
        <v>30</v>
      </c>
    </row>
    <row r="96" ht="15" customHeight="1" s="39">
      <c r="A96" s="49" t="n">
        <v>91</v>
      </c>
      <c r="B96" s="65" t="n">
        <v>24</v>
      </c>
      <c r="C96" s="66" t="n">
        <v>13</v>
      </c>
      <c r="D96" s="67" t="n">
        <v>37</v>
      </c>
    </row>
    <row r="97" ht="15" customHeight="1" s="39">
      <c r="A97" s="49" t="n">
        <v>92</v>
      </c>
      <c r="B97" s="65" t="n">
        <v>11</v>
      </c>
      <c r="C97" s="66" t="n">
        <v>4</v>
      </c>
      <c r="D97" s="67" t="n">
        <v>15</v>
      </c>
    </row>
    <row r="98" ht="15" customHeight="1" s="39">
      <c r="A98" s="49" t="n">
        <v>93</v>
      </c>
      <c r="B98" s="65" t="n">
        <v>9</v>
      </c>
      <c r="C98" s="66" t="n">
        <v>2</v>
      </c>
      <c r="D98" s="67" t="n">
        <v>11</v>
      </c>
    </row>
    <row r="99" ht="15" customHeight="1" s="39">
      <c r="A99" s="49" t="n">
        <v>94</v>
      </c>
      <c r="B99" s="65" t="n">
        <v>13</v>
      </c>
      <c r="C99" s="66" t="n">
        <v>10</v>
      </c>
      <c r="D99" s="67" t="n">
        <v>23</v>
      </c>
    </row>
    <row r="100" ht="15" customHeight="1" s="39">
      <c r="A100" s="49" t="n">
        <v>95</v>
      </c>
      <c r="B100" s="65" t="n">
        <v>7</v>
      </c>
      <c r="C100" s="66" t="n">
        <v>5</v>
      </c>
      <c r="D100" s="67" t="n">
        <v>12</v>
      </c>
    </row>
    <row r="101" ht="15" customHeight="1" s="39">
      <c r="A101" s="49" t="n">
        <v>96</v>
      </c>
      <c r="B101" s="65" t="n">
        <v>5</v>
      </c>
      <c r="C101" s="66" t="n">
        <v>3</v>
      </c>
      <c r="D101" s="67" t="n">
        <v>8</v>
      </c>
    </row>
    <row r="102" ht="15" customHeight="1" s="39">
      <c r="A102" s="49" t="n">
        <v>97</v>
      </c>
      <c r="B102" s="65" t="n">
        <v>6</v>
      </c>
      <c r="C102" s="66" t="n">
        <v>0</v>
      </c>
      <c r="D102" s="67" t="n">
        <v>6</v>
      </c>
    </row>
    <row r="103" ht="15" customHeight="1" s="39">
      <c r="A103" s="49" t="n">
        <v>98</v>
      </c>
      <c r="B103" s="65" t="n">
        <v>3</v>
      </c>
      <c r="C103" s="66" t="n">
        <v>2</v>
      </c>
      <c r="D103" s="67" t="n">
        <v>5</v>
      </c>
    </row>
    <row r="104" ht="15" customHeight="1" s="39">
      <c r="A104" s="49" t="n">
        <v>99</v>
      </c>
      <c r="B104" s="65" t="n">
        <v>1</v>
      </c>
      <c r="C104" s="66" t="n">
        <v>2</v>
      </c>
      <c r="D104" s="67" t="n">
        <v>3</v>
      </c>
    </row>
    <row r="105" ht="15" customHeight="1" s="39">
      <c r="A105" s="49" t="n">
        <v>100</v>
      </c>
      <c r="B105" s="68" t="n">
        <v>3</v>
      </c>
      <c r="C105" s="69" t="n">
        <v>1</v>
      </c>
      <c r="D105" s="70" t="n">
        <v>4</v>
      </c>
    </row>
    <row r="106" ht="15" customHeight="1" s="39">
      <c r="A106" s="52" t="inlineStr">
        <is>
          <t>Total Resultado</t>
        </is>
      </c>
      <c r="B106" s="71" t="n">
        <v>11338</v>
      </c>
      <c r="C106" s="72" t="n">
        <v>11443</v>
      </c>
      <c r="D106" s="53" t="n">
        <v>22781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Grup d'edat</t>
        </is>
      </c>
      <c r="B1" s="38" t="inlineStr">
        <is>
          <t>Edat inicial</t>
        </is>
      </c>
      <c r="C1" s="38" t="inlineStr">
        <is>
          <t>Edat final</t>
        </is>
      </c>
      <c r="D1" s="38" t="inlineStr">
        <is>
          <t>Homes</t>
        </is>
      </c>
      <c r="E1" s="38" t="inlineStr">
        <is>
          <t>Dones</t>
        </is>
      </c>
    </row>
    <row r="2" ht="15" customHeight="1" s="39">
      <c r="A2" s="38" t="inlineStr">
        <is>
          <t>0-4</t>
        </is>
      </c>
      <c r="B2" s="38" t="n">
        <v>0</v>
      </c>
      <c r="C2" s="38" t="n">
        <v>4</v>
      </c>
      <c r="D2" s="38">
        <f>-SUMIFS(prepared_population_pyramid!$D:$D,prepared_population_pyramid!$C:$C,"M",prepared_population_pyramid!$B:$B,"&gt;="&amp;B2,prepared_population_pyramid!$B:$B,"&lt;="&amp;C2)</f>
        <v/>
      </c>
      <c r="E2" s="38">
        <f>SUMIFS(prepared_population_pyramid!$D:$D,prepared_population_pyramid!$C:$C,"F",prepared_population_pyramid!$B:$B,"&gt;="&amp;B2,prepared_population_pyramid!$B:$B,"&lt;="&amp;C2)</f>
        <v/>
      </c>
    </row>
    <row r="3" ht="15" customHeight="1" s="39">
      <c r="A3" s="38" t="inlineStr">
        <is>
          <t>5-9</t>
        </is>
      </c>
      <c r="B3" s="38" t="n">
        <v>5</v>
      </c>
      <c r="C3" s="38" t="n">
        <v>9</v>
      </c>
      <c r="D3" s="38">
        <f>-SUMIFS(prepared_population_pyramid!$D:$D,prepared_population_pyramid!$C:$C,"M",prepared_population_pyramid!$B:$B,"&gt;="&amp;B3,prepared_population_pyramid!$B:$B,"&lt;="&amp;C3)</f>
        <v/>
      </c>
      <c r="E3" s="38">
        <f>SUMIFS(prepared_population_pyramid!$D:$D,prepared_population_pyramid!$C:$C,"F",prepared_population_pyramid!$B:$B,"&gt;="&amp;B3,prepared_population_pyramid!$B:$B,"&lt;="&amp;C3)</f>
        <v/>
      </c>
    </row>
    <row r="4" ht="15" customHeight="1" s="39">
      <c r="A4" s="38" t="inlineStr">
        <is>
          <t>10-14</t>
        </is>
      </c>
      <c r="B4" s="38" t="n">
        <v>10</v>
      </c>
      <c r="C4" s="38" t="n">
        <v>14</v>
      </c>
      <c r="D4" s="38">
        <f>-SUMIFS(prepared_population_pyramid!$D:$D,prepared_population_pyramid!$C:$C,"M",prepared_population_pyramid!$B:$B,"&gt;="&amp;B4,prepared_population_pyramid!$B:$B,"&lt;="&amp;C4)</f>
        <v/>
      </c>
      <c r="E4" s="38">
        <f>SUMIFS(prepared_population_pyramid!$D:$D,prepared_population_pyramid!$C:$C,"F",prepared_population_pyramid!$B:$B,"&gt;="&amp;B4,prepared_population_pyramid!$B:$B,"&lt;="&amp;C4)</f>
        <v/>
      </c>
    </row>
    <row r="5" ht="15" customHeight="1" s="39">
      <c r="A5" s="38" t="inlineStr">
        <is>
          <t>15-19</t>
        </is>
      </c>
      <c r="B5" s="38" t="n">
        <v>15</v>
      </c>
      <c r="C5" s="38" t="n">
        <v>19</v>
      </c>
      <c r="D5" s="38">
        <f>-SUMIFS(prepared_population_pyramid!$D:$D,prepared_population_pyramid!$C:$C,"M",prepared_population_pyramid!$B:$B,"&gt;="&amp;B5,prepared_population_pyramid!$B:$B,"&lt;="&amp;C5)</f>
        <v/>
      </c>
      <c r="E5" s="38">
        <f>SUMIFS(prepared_population_pyramid!$D:$D,prepared_population_pyramid!$C:$C,"F",prepared_population_pyramid!$B:$B,"&gt;="&amp;B5,prepared_population_pyramid!$B:$B,"&lt;="&amp;C5)</f>
        <v/>
      </c>
    </row>
    <row r="6" ht="15" customHeight="1" s="39">
      <c r="A6" s="38" t="inlineStr">
        <is>
          <t>20-24</t>
        </is>
      </c>
      <c r="B6" s="38" t="n">
        <v>20</v>
      </c>
      <c r="C6" s="38" t="n">
        <v>24</v>
      </c>
      <c r="D6" s="38">
        <f>-SUMIFS(prepared_population_pyramid!$D:$D,prepared_population_pyramid!$C:$C,"M",prepared_population_pyramid!$B:$B,"&gt;="&amp;B6,prepared_population_pyramid!$B:$B,"&lt;="&amp;C6)</f>
        <v/>
      </c>
      <c r="E6" s="38">
        <f>SUMIFS(prepared_population_pyramid!$D:$D,prepared_population_pyramid!$C:$C,"F",prepared_population_pyramid!$B:$B,"&gt;="&amp;B6,prepared_population_pyramid!$B:$B,"&lt;="&amp;C6)</f>
        <v/>
      </c>
    </row>
    <row r="7" ht="15" customHeight="1" s="39">
      <c r="A7" s="38" t="inlineStr">
        <is>
          <t>25-29</t>
        </is>
      </c>
      <c r="B7" s="38" t="n">
        <v>25</v>
      </c>
      <c r="C7" s="38" t="n">
        <v>29</v>
      </c>
      <c r="D7" s="38">
        <f>-SUMIFS(prepared_population_pyramid!$D:$D,prepared_population_pyramid!$C:$C,"M",prepared_population_pyramid!$B:$B,"&gt;="&amp;B7,prepared_population_pyramid!$B:$B,"&lt;="&amp;C7)</f>
        <v/>
      </c>
      <c r="E7" s="38">
        <f>SUMIFS(prepared_population_pyramid!$D:$D,prepared_population_pyramid!$C:$C,"F",prepared_population_pyramid!$B:$B,"&gt;="&amp;B7,prepared_population_pyramid!$B:$B,"&lt;="&amp;C7)</f>
        <v/>
      </c>
    </row>
    <row r="8" ht="15" customHeight="1" s="39">
      <c r="A8" s="38" t="inlineStr">
        <is>
          <t>30-34</t>
        </is>
      </c>
      <c r="B8" s="38" t="n">
        <v>30</v>
      </c>
      <c r="C8" s="38" t="n">
        <v>34</v>
      </c>
      <c r="D8" s="38">
        <f>-SUMIFS(prepared_population_pyramid!$D:$D,prepared_population_pyramid!$C:$C,"M",prepared_population_pyramid!$B:$B,"&gt;="&amp;B8,prepared_population_pyramid!$B:$B,"&lt;="&amp;C8)</f>
        <v/>
      </c>
      <c r="E8" s="38">
        <f>SUMIFS(prepared_population_pyramid!$D:$D,prepared_population_pyramid!$C:$C,"F",prepared_population_pyramid!$B:$B,"&gt;="&amp;B8,prepared_population_pyramid!$B:$B,"&lt;="&amp;C8)</f>
        <v/>
      </c>
    </row>
    <row r="9" ht="15" customHeight="1" s="39">
      <c r="A9" s="38" t="inlineStr">
        <is>
          <t>35-39</t>
        </is>
      </c>
      <c r="B9" s="38" t="n">
        <v>35</v>
      </c>
      <c r="C9" s="38" t="n">
        <v>39</v>
      </c>
      <c r="D9" s="38">
        <f>-SUMIFS(prepared_population_pyramid!$D:$D,prepared_population_pyramid!$C:$C,"M",prepared_population_pyramid!$B:$B,"&gt;="&amp;B9,prepared_population_pyramid!$B:$B,"&lt;="&amp;C9)</f>
        <v/>
      </c>
      <c r="E9" s="38">
        <f>SUMIFS(prepared_population_pyramid!$D:$D,prepared_population_pyramid!$C:$C,"F",prepared_population_pyramid!$B:$B,"&gt;="&amp;B9,prepared_population_pyramid!$B:$B,"&lt;="&amp;C9)</f>
        <v/>
      </c>
    </row>
    <row r="10" ht="15" customHeight="1" s="39">
      <c r="A10" s="38" t="inlineStr">
        <is>
          <t>40-44</t>
        </is>
      </c>
      <c r="B10" s="38" t="n">
        <v>40</v>
      </c>
      <c r="C10" s="38" t="n">
        <v>44</v>
      </c>
      <c r="D10" s="38">
        <f>-SUMIFS(prepared_population_pyramid!$D:$D,prepared_population_pyramid!$C:$C,"M",prepared_population_pyramid!$B:$B,"&gt;="&amp;B10,prepared_population_pyramid!$B:$B,"&lt;="&amp;C10)</f>
        <v/>
      </c>
      <c r="E10" s="38">
        <f>SUMIFS(prepared_population_pyramid!$D:$D,prepared_population_pyramid!$C:$C,"F",prepared_population_pyramid!$B:$B,"&gt;="&amp;B10,prepared_population_pyramid!$B:$B,"&lt;="&amp;C10)</f>
        <v/>
      </c>
    </row>
    <row r="11" ht="15" customHeight="1" s="39">
      <c r="A11" s="38" t="inlineStr">
        <is>
          <t>45-49</t>
        </is>
      </c>
      <c r="B11" s="38" t="n">
        <v>45</v>
      </c>
      <c r="C11" s="38" t="n">
        <v>49</v>
      </c>
      <c r="D11" s="38">
        <f>-SUMIFS(prepared_population_pyramid!$D:$D,prepared_population_pyramid!$C:$C,"M",prepared_population_pyramid!$B:$B,"&gt;="&amp;B11,prepared_population_pyramid!$B:$B,"&lt;="&amp;C11)</f>
        <v/>
      </c>
      <c r="E11" s="38">
        <f>SUMIFS(prepared_population_pyramid!$D:$D,prepared_population_pyramid!$C:$C,"F",prepared_population_pyramid!$B:$B,"&gt;="&amp;B11,prepared_population_pyramid!$B:$B,"&lt;="&amp;C11)</f>
        <v/>
      </c>
    </row>
    <row r="12" ht="15" customHeight="1" s="39">
      <c r="A12" s="38" t="inlineStr">
        <is>
          <t>50-54</t>
        </is>
      </c>
      <c r="B12" s="38" t="n">
        <v>50</v>
      </c>
      <c r="C12" s="38" t="n">
        <v>54</v>
      </c>
      <c r="D12" s="38">
        <f>-SUMIFS(prepared_population_pyramid!$D:$D,prepared_population_pyramid!$C:$C,"M",prepared_population_pyramid!$B:$B,"&gt;="&amp;B12,prepared_population_pyramid!$B:$B,"&lt;="&amp;C12)</f>
        <v/>
      </c>
      <c r="E12" s="38">
        <f>SUMIFS(prepared_population_pyramid!$D:$D,prepared_population_pyramid!$C:$C,"F",prepared_population_pyramid!$B:$B,"&gt;="&amp;B12,prepared_population_pyramid!$B:$B,"&lt;="&amp;C12)</f>
        <v/>
      </c>
    </row>
    <row r="13" ht="15" customHeight="1" s="39">
      <c r="A13" s="38" t="inlineStr">
        <is>
          <t>55-59</t>
        </is>
      </c>
      <c r="B13" s="38" t="n">
        <v>55</v>
      </c>
      <c r="C13" s="38" t="n">
        <v>59</v>
      </c>
      <c r="D13" s="38">
        <f>-SUMIFS(prepared_population_pyramid!$D:$D,prepared_population_pyramid!$C:$C,"M",prepared_population_pyramid!$B:$B,"&gt;="&amp;B13,prepared_population_pyramid!$B:$B,"&lt;="&amp;C13)</f>
        <v/>
      </c>
      <c r="E13" s="38">
        <f>SUMIFS(prepared_population_pyramid!$D:$D,prepared_population_pyramid!$C:$C,"F",prepared_population_pyramid!$B:$B,"&gt;="&amp;B13,prepared_population_pyramid!$B:$B,"&lt;="&amp;C13)</f>
        <v/>
      </c>
    </row>
    <row r="14" ht="15" customHeight="1" s="39">
      <c r="A14" s="38" t="inlineStr">
        <is>
          <t>60-64</t>
        </is>
      </c>
      <c r="B14" s="38" t="n">
        <v>60</v>
      </c>
      <c r="C14" s="38" t="n">
        <v>64</v>
      </c>
      <c r="D14" s="38">
        <f>-SUMIFS(prepared_population_pyramid!$D:$D,prepared_population_pyramid!$C:$C,"M",prepared_population_pyramid!$B:$B,"&gt;="&amp;B14,prepared_population_pyramid!$B:$B,"&lt;="&amp;C14)</f>
        <v/>
      </c>
      <c r="E14" s="38">
        <f>SUMIFS(prepared_population_pyramid!$D:$D,prepared_population_pyramid!$C:$C,"F",prepared_population_pyramid!$B:$B,"&gt;="&amp;B14,prepared_population_pyramid!$B:$B,"&lt;="&amp;C14)</f>
        <v/>
      </c>
    </row>
    <row r="15" ht="15" customHeight="1" s="39">
      <c r="A15" s="38" t="inlineStr">
        <is>
          <t>65-69</t>
        </is>
      </c>
      <c r="B15" s="38" t="n">
        <v>65</v>
      </c>
      <c r="C15" s="38" t="n">
        <v>69</v>
      </c>
      <c r="D15" s="38">
        <f>-SUMIFS(prepared_population_pyramid!$D:$D,prepared_population_pyramid!$C:$C,"M",prepared_population_pyramid!$B:$B,"&gt;="&amp;B15,prepared_population_pyramid!$B:$B,"&lt;="&amp;C15)</f>
        <v/>
      </c>
      <c r="E15" s="38">
        <f>SUMIFS(prepared_population_pyramid!$D:$D,prepared_population_pyramid!$C:$C,"F",prepared_population_pyramid!$B:$B,"&gt;="&amp;B15,prepared_population_pyramid!$B:$B,"&lt;="&amp;C15)</f>
        <v/>
      </c>
    </row>
    <row r="16" ht="15" customHeight="1" s="39">
      <c r="A16" s="38" t="inlineStr">
        <is>
          <t>70-74</t>
        </is>
      </c>
      <c r="B16" s="38" t="n">
        <v>70</v>
      </c>
      <c r="C16" s="38" t="n">
        <v>74</v>
      </c>
      <c r="D16" s="38">
        <f>-SUMIFS(prepared_population_pyramid!$D:$D,prepared_population_pyramid!$C:$C,"M",prepared_population_pyramid!$B:$B,"&gt;="&amp;B16,prepared_population_pyramid!$B:$B,"&lt;="&amp;C16)</f>
        <v/>
      </c>
      <c r="E16" s="38">
        <f>SUMIFS(prepared_population_pyramid!$D:$D,prepared_population_pyramid!$C:$C,"F",prepared_population_pyramid!$B:$B,"&gt;="&amp;B16,prepared_population_pyramid!$B:$B,"&lt;="&amp;C16)</f>
        <v/>
      </c>
    </row>
    <row r="17" ht="15" customHeight="1" s="39">
      <c r="A17" s="38" t="inlineStr">
        <is>
          <t>75-79</t>
        </is>
      </c>
      <c r="B17" s="38" t="n">
        <v>75</v>
      </c>
      <c r="C17" s="38" t="n">
        <v>79</v>
      </c>
      <c r="D17" s="38">
        <f>-SUMIFS(prepared_population_pyramid!$D:$D,prepared_population_pyramid!$C:$C,"M",prepared_population_pyramid!$B:$B,"&gt;="&amp;B17,prepared_population_pyramid!$B:$B,"&lt;="&amp;C17)</f>
        <v/>
      </c>
      <c r="E17" s="38">
        <f>SUMIFS(prepared_population_pyramid!$D:$D,prepared_population_pyramid!$C:$C,"F",prepared_population_pyramid!$B:$B,"&gt;="&amp;B17,prepared_population_pyramid!$B:$B,"&lt;="&amp;C17)</f>
        <v/>
      </c>
    </row>
    <row r="18" ht="15" customHeight="1" s="39">
      <c r="A18" s="38" t="inlineStr">
        <is>
          <t>80-84</t>
        </is>
      </c>
      <c r="B18" s="38" t="n">
        <v>80</v>
      </c>
      <c r="C18" s="38" t="n">
        <v>84</v>
      </c>
      <c r="D18" s="38">
        <f>-SUMIFS(prepared_population_pyramid!$D:$D,prepared_population_pyramid!$C:$C,"M",prepared_population_pyramid!$B:$B,"&gt;="&amp;B18,prepared_population_pyramid!$B:$B,"&lt;="&amp;C18)</f>
        <v/>
      </c>
      <c r="E18" s="38">
        <f>SUMIFS(prepared_population_pyramid!$D:$D,prepared_population_pyramid!$C:$C,"F",prepared_population_pyramid!$B:$B,"&gt;="&amp;B18,prepared_population_pyramid!$B:$B,"&lt;="&amp;C18)</f>
        <v/>
      </c>
    </row>
    <row r="19" ht="15" customHeight="1" s="39">
      <c r="A19" s="38" t="inlineStr">
        <is>
          <t>85+</t>
        </is>
      </c>
      <c r="B19" s="38" t="n">
        <v>85</v>
      </c>
      <c r="C19" s="38" t="n">
        <v>120</v>
      </c>
      <c r="D19" s="38">
        <f>-SUMIFS(prepared_population_pyramid!$D:$D,prepared_population_pyramid!$C:$C,"M",prepared_population_pyramid!$B:$B,"&gt;="&amp;B19,prepared_population_pyramid!$B:$B,"&lt;="&amp;C19)</f>
        <v/>
      </c>
      <c r="E19" s="38">
        <f>SUMIFS(prepared_population_pyramid!$D:$D,prepared_population_pyramid!$C:$C,"F",prepared_population_pyramid!$B:$B,"&gt;="&amp;B19,prepared_population_pyramid!$B:$B,"&lt;="&amp;C19)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Límit inferior</t>
        </is>
      </c>
      <c r="B1" s="38" t="inlineStr">
        <is>
          <t>Límit superior</t>
        </is>
      </c>
      <c r="C1" s="38" t="inlineStr">
        <is>
          <t>Interval (%)</t>
        </is>
      </c>
      <c r="D1" s="38" t="inlineStr">
        <is>
          <t>Municipis</t>
        </is>
      </c>
    </row>
    <row r="2" ht="15" customHeight="1" s="39">
      <c r="A2" s="38" t="n">
        <v>0</v>
      </c>
      <c r="B2" s="38" t="n">
        <v>10</v>
      </c>
      <c r="C2" s="38" t="inlineStr">
        <is>
          <t>0-10</t>
        </is>
      </c>
      <c r="D2" s="38">
        <f>COUNTIFS(indicators_housing!$G$2:$G$23,"&gt;="&amp;A2,indicators_housing!$G$2:$G$23,"&lt;"&amp;B2)</f>
        <v/>
      </c>
    </row>
    <row r="3" ht="15" customHeight="1" s="39">
      <c r="A3" s="38" t="n">
        <v>10</v>
      </c>
      <c r="B3" s="38" t="n">
        <v>20</v>
      </c>
      <c r="C3" s="38" t="inlineStr">
        <is>
          <t>10-20</t>
        </is>
      </c>
      <c r="D3" s="38">
        <f>COUNTIFS(indicators_housing!$G$2:$G$23,"&gt;="&amp;A3,indicators_housing!$G$2:$G$23,"&lt;"&amp;B3)</f>
        <v/>
      </c>
    </row>
    <row r="4" ht="15" customHeight="1" s="39">
      <c r="A4" s="38" t="n">
        <v>20</v>
      </c>
      <c r="B4" s="38" t="n">
        <v>30</v>
      </c>
      <c r="C4" s="38" t="inlineStr">
        <is>
          <t>20-30</t>
        </is>
      </c>
      <c r="D4" s="38">
        <f>COUNTIFS(indicators_housing!$G$2:$G$23,"&gt;="&amp;A4,indicators_housing!$G$2:$G$23,"&lt;"&amp;B4)</f>
        <v/>
      </c>
    </row>
    <row r="5" ht="15" customHeight="1" s="39">
      <c r="A5" s="38" t="n">
        <v>30</v>
      </c>
      <c r="B5" s="38" t="n">
        <v>40</v>
      </c>
      <c r="C5" s="38" t="inlineStr">
        <is>
          <t>30-40</t>
        </is>
      </c>
      <c r="D5" s="38">
        <f>COUNTIFS(indicators_housing!$G$2:$G$23,"&gt;="&amp;A5,indicators_housing!$G$2:$G$23,"&lt;"&amp;B5)</f>
        <v/>
      </c>
    </row>
    <row r="6" ht="15" customHeight="1" s="39">
      <c r="A6" s="38" t="n">
        <v>40</v>
      </c>
      <c r="B6" s="38" t="n">
        <v>50</v>
      </c>
      <c r="C6" s="38" t="inlineStr">
        <is>
          <t>40-50</t>
        </is>
      </c>
      <c r="D6" s="38">
        <f>COUNTIFS(indicators_housing!$G$2:$G$23,"&gt;="&amp;A6,indicators_housing!$G$2:$G$23,"&lt;"&amp;B6)</f>
        <v/>
      </c>
    </row>
    <row r="7" ht="15" customHeight="1" s="39">
      <c r="A7" s="38" t="n">
        <v>50</v>
      </c>
      <c r="B7" s="38" t="n">
        <v>60</v>
      </c>
      <c r="C7" s="38" t="inlineStr">
        <is>
          <t>50-60</t>
        </is>
      </c>
      <c r="D7" s="38">
        <f>COUNTIFS(indicators_housing!$G$2:$G$23,"&gt;="&amp;A7,indicators_housing!$G$2:$G$23,"&lt;"&amp;B7)</f>
        <v/>
      </c>
    </row>
    <row r="8" ht="15" customHeight="1" s="39">
      <c r="A8" s="38" t="n">
        <v>60</v>
      </c>
      <c r="B8" s="38" t="n">
        <v>70</v>
      </c>
      <c r="C8" s="38" t="inlineStr">
        <is>
          <t>60-70</t>
        </is>
      </c>
      <c r="D8" s="38">
        <f>COUNTIFS(indicators_housing!$G$2:$G$23,"&gt;="&amp;A8,indicators_housing!$G$2:$G$23,"&lt;"&amp;B8)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P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municipality_code</t>
        </is>
      </c>
      <c r="B1" s="38" t="inlineStr">
        <is>
          <t>municipality</t>
        </is>
      </c>
      <c r="C1" s="38" t="inlineStr">
        <is>
          <t>age_0_14_pct</t>
        </is>
      </c>
      <c r="D1" s="38" t="inlineStr">
        <is>
          <t>age_15_64_pct</t>
        </is>
      </c>
      <c r="E1" s="38" t="inlineStr">
        <is>
          <t>age_65_plus_pct</t>
        </is>
      </c>
      <c r="F1" s="38" t="inlineStr">
        <is>
          <t>age_sum_check</t>
        </is>
      </c>
      <c r="G1" s="38" t="inlineStr">
        <is>
          <t>housing_code</t>
        </is>
      </c>
      <c r="H1" s="38" t="inlineStr">
        <is>
          <t>housing_municipality</t>
        </is>
      </c>
      <c r="I1" s="38" t="inlineStr">
        <is>
          <t>housing_non_main_pct</t>
        </is>
      </c>
      <c r="J1" s="38" t="inlineStr">
        <is>
          <t>scatter_code</t>
        </is>
      </c>
      <c r="K1" s="38" t="inlineStr">
        <is>
          <t>scatter_municipality</t>
        </is>
      </c>
      <c r="L1" s="38" t="inlineStr">
        <is>
          <t>age_65_plus_pct_x</t>
        </is>
      </c>
      <c r="M1" s="38" t="inlineStr">
        <is>
          <t>housing_non_main_pct_y</t>
        </is>
      </c>
      <c r="O1" s="38" t="inlineStr">
        <is>
          <t>housing_type</t>
        </is>
      </c>
      <c r="P1" s="38" t="inlineStr">
        <is>
          <t>housing_count</t>
        </is>
      </c>
    </row>
    <row r="2" ht="15" customHeight="1" s="39">
      <c r="A2" s="38">
        <f>indicators_demography!A10</f>
        <v/>
      </c>
      <c r="B2" s="38">
        <f>indicators_demography!B10</f>
        <v/>
      </c>
      <c r="C2" s="44">
        <f>indicators_demography!G10</f>
        <v/>
      </c>
      <c r="D2" s="38">
        <f>municipal!G10/municipal!E10*100</f>
        <v/>
      </c>
      <c r="E2" s="44">
        <f>indicators_demography!H10</f>
        <v/>
      </c>
      <c r="F2" s="38">
        <f>SUM(C2:E2)</f>
        <v/>
      </c>
      <c r="G2" s="38">
        <f>indicators_housing!A14</f>
        <v/>
      </c>
      <c r="H2" s="38">
        <f>indicators_housing!B14</f>
        <v/>
      </c>
      <c r="I2" s="44">
        <f>indicators_housing!G14</f>
        <v/>
      </c>
      <c r="J2" s="38">
        <f>indicators_housing!A2</f>
        <v/>
      </c>
      <c r="K2" s="38">
        <f>indicators_housing!B2</f>
        <v/>
      </c>
      <c r="L2" s="44">
        <f>indicators_demography!H2</f>
        <v/>
      </c>
      <c r="M2" s="44">
        <f>indicators_housing!G2</f>
        <v/>
      </c>
      <c r="O2" s="38" t="inlineStr">
        <is>
          <t>Habitatges principals</t>
        </is>
      </c>
      <c r="P2" s="38">
        <f>SUM(indicators_housing!E2:E23)</f>
        <v/>
      </c>
    </row>
    <row r="3" ht="15" customHeight="1" s="39">
      <c r="A3" s="38">
        <f>indicators_demography!A12</f>
        <v/>
      </c>
      <c r="B3" s="38">
        <f>indicators_demography!B12</f>
        <v/>
      </c>
      <c r="C3" s="44">
        <f>indicators_demography!G12</f>
        <v/>
      </c>
      <c r="D3" s="38">
        <f>municipal!G12/municipal!E12*100</f>
        <v/>
      </c>
      <c r="E3" s="44">
        <f>indicators_demography!H12</f>
        <v/>
      </c>
      <c r="F3" s="38">
        <f>SUM(C3:E3)</f>
        <v/>
      </c>
      <c r="G3" s="38">
        <f>indicators_housing!A22</f>
        <v/>
      </c>
      <c r="H3" s="38">
        <f>indicators_housing!B22</f>
        <v/>
      </c>
      <c r="I3" s="44">
        <f>indicators_housing!G22</f>
        <v/>
      </c>
      <c r="J3" s="38">
        <f>indicators_housing!A3</f>
        <v/>
      </c>
      <c r="K3" s="38">
        <f>indicators_housing!B3</f>
        <v/>
      </c>
      <c r="L3" s="44">
        <f>indicators_demography!H3</f>
        <v/>
      </c>
      <c r="M3" s="44">
        <f>indicators_housing!G3</f>
        <v/>
      </c>
      <c r="O3" s="38" t="inlineStr">
        <is>
          <t>Habitatges no principals</t>
        </is>
      </c>
      <c r="P3" s="38">
        <f>SUM(indicators_housing!F2:F23)</f>
        <v/>
      </c>
    </row>
    <row r="4" ht="15" customHeight="1" s="39">
      <c r="A4" s="38">
        <f>indicators_demography!A8</f>
        <v/>
      </c>
      <c r="B4" s="38">
        <f>indicators_demography!B8</f>
        <v/>
      </c>
      <c r="C4" s="44">
        <f>indicators_demography!G8</f>
        <v/>
      </c>
      <c r="D4" s="38">
        <f>municipal!G8/municipal!E8*100</f>
        <v/>
      </c>
      <c r="E4" s="44">
        <f>indicators_demography!H8</f>
        <v/>
      </c>
      <c r="F4" s="38">
        <f>SUM(C4:E4)</f>
        <v/>
      </c>
      <c r="G4" s="38">
        <f>indicators_housing!A5</f>
        <v/>
      </c>
      <c r="H4" s="38">
        <f>indicators_housing!B5</f>
        <v/>
      </c>
      <c r="I4" s="44">
        <f>indicators_housing!G5</f>
        <v/>
      </c>
      <c r="J4" s="38">
        <f>indicators_housing!A4</f>
        <v/>
      </c>
      <c r="K4" s="38">
        <f>indicators_housing!B4</f>
        <v/>
      </c>
      <c r="L4" s="44">
        <f>indicators_demography!H4</f>
        <v/>
      </c>
      <c r="M4" s="44">
        <f>indicators_housing!G4</f>
        <v/>
      </c>
    </row>
    <row r="5" ht="15" customHeight="1" s="39">
      <c r="A5" s="38">
        <f>indicators_demography!A9</f>
        <v/>
      </c>
      <c r="B5" s="38">
        <f>indicators_demography!B9</f>
        <v/>
      </c>
      <c r="C5" s="44">
        <f>indicators_demography!G9</f>
        <v/>
      </c>
      <c r="D5" s="38">
        <f>municipal!G9/municipal!E9*100</f>
        <v/>
      </c>
      <c r="E5" s="44">
        <f>indicators_demography!H9</f>
        <v/>
      </c>
      <c r="F5" s="38">
        <f>SUM(C5:E5)</f>
        <v/>
      </c>
      <c r="G5" s="38">
        <f>indicators_housing!A2</f>
        <v/>
      </c>
      <c r="H5" s="38">
        <f>indicators_housing!B2</f>
        <v/>
      </c>
      <c r="I5" s="44">
        <f>indicators_housing!G2</f>
        <v/>
      </c>
      <c r="J5" s="38">
        <f>indicators_housing!A5</f>
        <v/>
      </c>
      <c r="K5" s="38">
        <f>indicators_housing!B5</f>
        <v/>
      </c>
      <c r="L5" s="44">
        <f>indicators_demography!H5</f>
        <v/>
      </c>
      <c r="M5" s="44">
        <f>indicators_housing!G5</f>
        <v/>
      </c>
    </row>
    <row r="6" ht="15" customHeight="1" s="39">
      <c r="A6" s="38">
        <f>indicators_demography!A6</f>
        <v/>
      </c>
      <c r="B6" s="38">
        <f>indicators_demography!B6</f>
        <v/>
      </c>
      <c r="C6" s="44">
        <f>indicators_demography!G6</f>
        <v/>
      </c>
      <c r="D6" s="38">
        <f>municipal!G6/municipal!E6*100</f>
        <v/>
      </c>
      <c r="E6" s="44">
        <f>indicators_demography!H6</f>
        <v/>
      </c>
      <c r="F6" s="38">
        <f>SUM(C6:E6)</f>
        <v/>
      </c>
      <c r="G6" s="38">
        <f>indicators_housing!A19</f>
        <v/>
      </c>
      <c r="H6" s="38">
        <f>indicators_housing!B19</f>
        <v/>
      </c>
      <c r="I6" s="44">
        <f>indicators_housing!G19</f>
        <v/>
      </c>
      <c r="J6" s="38">
        <f>indicators_housing!A6</f>
        <v/>
      </c>
      <c r="K6" s="38">
        <f>indicators_housing!B6</f>
        <v/>
      </c>
      <c r="L6" s="44">
        <f>indicators_demography!H6</f>
        <v/>
      </c>
      <c r="M6" s="44">
        <f>indicators_housing!G6</f>
        <v/>
      </c>
    </row>
    <row r="7" ht="15" customHeight="1" s="39">
      <c r="A7" s="38">
        <f>indicators_demography!A22</f>
        <v/>
      </c>
      <c r="B7" s="38">
        <f>indicators_demography!B22</f>
        <v/>
      </c>
      <c r="C7" s="44">
        <f>indicators_demography!G22</f>
        <v/>
      </c>
      <c r="D7" s="38">
        <f>municipal!G22/municipal!E22*100</f>
        <v/>
      </c>
      <c r="E7" s="44">
        <f>indicators_demography!H22</f>
        <v/>
      </c>
      <c r="F7" s="38">
        <f>SUM(C7:E7)</f>
        <v/>
      </c>
      <c r="G7" s="38">
        <f>indicators_housing!A18</f>
        <v/>
      </c>
      <c r="H7" s="38">
        <f>indicators_housing!B18</f>
        <v/>
      </c>
      <c r="I7" s="44">
        <f>indicators_housing!G18</f>
        <v/>
      </c>
      <c r="J7" s="38">
        <f>indicators_housing!A7</f>
        <v/>
      </c>
      <c r="K7" s="38">
        <f>indicators_housing!B7</f>
        <v/>
      </c>
      <c r="L7" s="44">
        <f>indicators_demography!H7</f>
        <v/>
      </c>
      <c r="M7" s="44">
        <f>indicators_housing!G7</f>
        <v/>
      </c>
    </row>
    <row r="8" ht="15" customHeight="1" s="39">
      <c r="A8" s="38">
        <f>indicators_demography!A20</f>
        <v/>
      </c>
      <c r="B8" s="38">
        <f>indicators_demography!B20</f>
        <v/>
      </c>
      <c r="C8" s="44">
        <f>indicators_demography!G20</f>
        <v/>
      </c>
      <c r="D8" s="38">
        <f>municipal!G20/municipal!E20*100</f>
        <v/>
      </c>
      <c r="E8" s="44">
        <f>indicators_demography!H20</f>
        <v/>
      </c>
      <c r="F8" s="38">
        <f>SUM(C8:E8)</f>
        <v/>
      </c>
      <c r="G8" s="38">
        <f>indicators_housing!A21</f>
        <v/>
      </c>
      <c r="H8" s="38">
        <f>indicators_housing!B21</f>
        <v/>
      </c>
      <c r="I8" s="44">
        <f>indicators_housing!G21</f>
        <v/>
      </c>
      <c r="J8" s="38">
        <f>indicators_housing!A8</f>
        <v/>
      </c>
      <c r="K8" s="38">
        <f>indicators_housing!B8</f>
        <v/>
      </c>
      <c r="L8" s="44">
        <f>indicators_demography!H8</f>
        <v/>
      </c>
      <c r="M8" s="44">
        <f>indicators_housing!G8</f>
        <v/>
      </c>
    </row>
    <row r="9" ht="15" customHeight="1" s="39">
      <c r="A9" s="38">
        <f>indicators_demography!A21</f>
        <v/>
      </c>
      <c r="B9" s="38">
        <f>indicators_demography!B21</f>
        <v/>
      </c>
      <c r="C9" s="44">
        <f>indicators_demography!G21</f>
        <v/>
      </c>
      <c r="D9" s="38">
        <f>municipal!G21/municipal!E21*100</f>
        <v/>
      </c>
      <c r="E9" s="44">
        <f>indicators_demography!H21</f>
        <v/>
      </c>
      <c r="F9" s="38">
        <f>SUM(C9:E9)</f>
        <v/>
      </c>
      <c r="G9" s="38">
        <f>indicators_housing!A11</f>
        <v/>
      </c>
      <c r="H9" s="38">
        <f>indicators_housing!B11</f>
        <v/>
      </c>
      <c r="I9" s="44">
        <f>indicators_housing!G11</f>
        <v/>
      </c>
      <c r="J9" s="38">
        <f>indicators_housing!A9</f>
        <v/>
      </c>
      <c r="K9" s="38">
        <f>indicators_housing!B9</f>
        <v/>
      </c>
      <c r="L9" s="44">
        <f>indicators_demography!H9</f>
        <v/>
      </c>
      <c r="M9" s="44">
        <f>indicators_housing!G9</f>
        <v/>
      </c>
    </row>
    <row r="10" ht="15" customHeight="1" s="39">
      <c r="A10" s="38">
        <f>indicators_demography!A3</f>
        <v/>
      </c>
      <c r="B10" s="38">
        <f>indicators_demography!B3</f>
        <v/>
      </c>
      <c r="C10" s="44">
        <f>indicators_demography!G3</f>
        <v/>
      </c>
      <c r="D10" s="38">
        <f>municipal!G3/municipal!E3*100</f>
        <v/>
      </c>
      <c r="E10" s="44">
        <f>indicators_demography!H3</f>
        <v/>
      </c>
      <c r="F10" s="38">
        <f>SUM(C10:E10)</f>
        <v/>
      </c>
      <c r="G10" s="38">
        <f>indicators_housing!A15</f>
        <v/>
      </c>
      <c r="H10" s="38">
        <f>indicators_housing!B15</f>
        <v/>
      </c>
      <c r="I10" s="44">
        <f>indicators_housing!G15</f>
        <v/>
      </c>
      <c r="J10" s="38">
        <f>indicators_housing!A10</f>
        <v/>
      </c>
      <c r="K10" s="38">
        <f>indicators_housing!B10</f>
        <v/>
      </c>
      <c r="L10" s="44">
        <f>indicators_demography!H10</f>
        <v/>
      </c>
      <c r="M10" s="44">
        <f>indicators_housing!G10</f>
        <v/>
      </c>
    </row>
    <row r="11" ht="15" customHeight="1" s="39">
      <c r="A11" s="38">
        <f>indicators_demography!A4</f>
        <v/>
      </c>
      <c r="B11" s="38">
        <f>indicators_demography!B4</f>
        <v/>
      </c>
      <c r="C11" s="44">
        <f>indicators_demography!G4</f>
        <v/>
      </c>
      <c r="D11" s="38">
        <f>municipal!G4/municipal!E4*100</f>
        <v/>
      </c>
      <c r="E11" s="44">
        <f>indicators_demography!H4</f>
        <v/>
      </c>
      <c r="F11" s="38">
        <f>SUM(C11:E11)</f>
        <v/>
      </c>
      <c r="G11" s="38">
        <f>indicators_housing!A3</f>
        <v/>
      </c>
      <c r="H11" s="38">
        <f>indicators_housing!B3</f>
        <v/>
      </c>
      <c r="I11" s="44">
        <f>indicators_housing!G3</f>
        <v/>
      </c>
      <c r="J11" s="38">
        <f>indicators_housing!A11</f>
        <v/>
      </c>
      <c r="K11" s="38">
        <f>indicators_housing!B11</f>
        <v/>
      </c>
      <c r="L11" s="44">
        <f>indicators_demography!H11</f>
        <v/>
      </c>
      <c r="M11" s="44">
        <f>indicators_housing!G11</f>
        <v/>
      </c>
    </row>
    <row r="12" ht="15" customHeight="1" s="39">
      <c r="A12" s="38">
        <f>indicators_demography!A13</f>
        <v/>
      </c>
      <c r="B12" s="38">
        <f>indicators_demography!B13</f>
        <v/>
      </c>
      <c r="C12" s="44">
        <f>indicators_demography!G13</f>
        <v/>
      </c>
      <c r="D12" s="38">
        <f>municipal!G13/municipal!E13*100</f>
        <v/>
      </c>
      <c r="E12" s="44">
        <f>indicators_demography!H13</f>
        <v/>
      </c>
      <c r="F12" s="38">
        <f>SUM(C12:E12)</f>
        <v/>
      </c>
      <c r="G12" s="38">
        <f>indicators_housing!A16</f>
        <v/>
      </c>
      <c r="H12" s="38">
        <f>indicators_housing!B16</f>
        <v/>
      </c>
      <c r="I12" s="44">
        <f>indicators_housing!G16</f>
        <v/>
      </c>
      <c r="J12" s="38">
        <f>indicators_housing!A12</f>
        <v/>
      </c>
      <c r="K12" s="38">
        <f>indicators_housing!B12</f>
        <v/>
      </c>
      <c r="L12" s="44">
        <f>indicators_demography!H12</f>
        <v/>
      </c>
      <c r="M12" s="44">
        <f>indicators_housing!G12</f>
        <v/>
      </c>
    </row>
    <row r="13" ht="15" customHeight="1" s="39">
      <c r="A13" s="38">
        <f>indicators_demography!A23</f>
        <v/>
      </c>
      <c r="B13" s="38">
        <f>indicators_demography!B23</f>
        <v/>
      </c>
      <c r="C13" s="44">
        <f>indicators_demography!G23</f>
        <v/>
      </c>
      <c r="D13" s="38">
        <f>municipal!G23/municipal!E23*100</f>
        <v/>
      </c>
      <c r="E13" s="44">
        <f>indicators_demography!H23</f>
        <v/>
      </c>
      <c r="F13" s="38">
        <f>SUM(C13:E13)</f>
        <v/>
      </c>
      <c r="G13" s="38">
        <f>indicators_housing!A13</f>
        <v/>
      </c>
      <c r="H13" s="38">
        <f>indicators_housing!B13</f>
        <v/>
      </c>
      <c r="I13" s="44">
        <f>indicators_housing!G13</f>
        <v/>
      </c>
      <c r="J13" s="38">
        <f>indicators_housing!A13</f>
        <v/>
      </c>
      <c r="K13" s="38">
        <f>indicators_housing!B13</f>
        <v/>
      </c>
      <c r="L13" s="44">
        <f>indicators_demography!H13</f>
        <v/>
      </c>
      <c r="M13" s="44">
        <f>indicators_housing!G13</f>
        <v/>
      </c>
    </row>
    <row r="14" ht="15" customHeight="1" s="39">
      <c r="A14" s="38">
        <f>indicators_demography!A16</f>
        <v/>
      </c>
      <c r="B14" s="38">
        <f>indicators_demography!B16</f>
        <v/>
      </c>
      <c r="C14" s="44">
        <f>indicators_demography!G16</f>
        <v/>
      </c>
      <c r="D14" s="38">
        <f>municipal!G16/municipal!E16*100</f>
        <v/>
      </c>
      <c r="E14" s="44">
        <f>indicators_demography!H16</f>
        <v/>
      </c>
      <c r="F14" s="38">
        <f>SUM(C14:E14)</f>
        <v/>
      </c>
      <c r="G14" s="38">
        <f>indicators_housing!A12</f>
        <v/>
      </c>
      <c r="H14" s="38">
        <f>indicators_housing!B12</f>
        <v/>
      </c>
      <c r="I14" s="44">
        <f>indicators_housing!G12</f>
        <v/>
      </c>
      <c r="J14" s="38">
        <f>indicators_housing!A14</f>
        <v/>
      </c>
      <c r="K14" s="38">
        <f>indicators_housing!B14</f>
        <v/>
      </c>
      <c r="L14" s="44">
        <f>indicators_demography!H14</f>
        <v/>
      </c>
      <c r="M14" s="44">
        <f>indicators_housing!G14</f>
        <v/>
      </c>
    </row>
    <row r="15" ht="15" customHeight="1" s="39">
      <c r="A15" s="38">
        <f>indicators_demography!A7</f>
        <v/>
      </c>
      <c r="B15" s="38">
        <f>indicators_demography!B7</f>
        <v/>
      </c>
      <c r="C15" s="44">
        <f>indicators_demography!G7</f>
        <v/>
      </c>
      <c r="D15" s="38">
        <f>municipal!G7/municipal!E7*100</f>
        <v/>
      </c>
      <c r="E15" s="44">
        <f>indicators_demography!H7</f>
        <v/>
      </c>
      <c r="F15" s="38">
        <f>SUM(C15:E15)</f>
        <v/>
      </c>
      <c r="G15" s="38">
        <f>indicators_housing!A4</f>
        <v/>
      </c>
      <c r="H15" s="38">
        <f>indicators_housing!B4</f>
        <v/>
      </c>
      <c r="I15" s="44">
        <f>indicators_housing!G4</f>
        <v/>
      </c>
      <c r="J15" s="38">
        <f>indicators_housing!A15</f>
        <v/>
      </c>
      <c r="K15" s="38">
        <f>indicators_housing!B15</f>
        <v/>
      </c>
      <c r="L15" s="44">
        <f>indicators_demography!H15</f>
        <v/>
      </c>
      <c r="M15" s="44">
        <f>indicators_housing!G15</f>
        <v/>
      </c>
    </row>
    <row r="16" ht="15" customHeight="1" s="39">
      <c r="A16" s="38">
        <f>indicators_demography!A2</f>
        <v/>
      </c>
      <c r="B16" s="38">
        <f>indicators_demography!B2</f>
        <v/>
      </c>
      <c r="C16" s="44">
        <f>indicators_demography!G2</f>
        <v/>
      </c>
      <c r="D16" s="38">
        <f>municipal!G2/municipal!E2*100</f>
        <v/>
      </c>
      <c r="E16" s="44">
        <f>indicators_demography!H2</f>
        <v/>
      </c>
      <c r="F16" s="38">
        <f>SUM(C16:E16)</f>
        <v/>
      </c>
      <c r="G16" s="38">
        <f>indicators_housing!A20</f>
        <v/>
      </c>
      <c r="H16" s="38">
        <f>indicators_housing!B20</f>
        <v/>
      </c>
      <c r="I16" s="44">
        <f>indicators_housing!G20</f>
        <v/>
      </c>
      <c r="J16" s="38">
        <f>indicators_housing!A16</f>
        <v/>
      </c>
      <c r="K16" s="38">
        <f>indicators_housing!B16</f>
        <v/>
      </c>
      <c r="L16" s="44">
        <f>indicators_demography!H16</f>
        <v/>
      </c>
      <c r="M16" s="44">
        <f>indicators_housing!G16</f>
        <v/>
      </c>
    </row>
    <row r="17" ht="15" customHeight="1" s="39">
      <c r="A17" s="38">
        <f>indicators_demography!A17</f>
        <v/>
      </c>
      <c r="B17" s="38">
        <f>indicators_demography!B17</f>
        <v/>
      </c>
      <c r="C17" s="44">
        <f>indicators_demography!G17</f>
        <v/>
      </c>
      <c r="D17" s="38">
        <f>municipal!G17/municipal!E17*100</f>
        <v/>
      </c>
      <c r="E17" s="44">
        <f>indicators_demography!H17</f>
        <v/>
      </c>
      <c r="F17" s="38">
        <f>SUM(C17:E17)</f>
        <v/>
      </c>
      <c r="G17" s="38">
        <f>indicators_housing!A7</f>
        <v/>
      </c>
      <c r="H17" s="38">
        <f>indicators_housing!B7</f>
        <v/>
      </c>
      <c r="I17" s="44">
        <f>indicators_housing!G7</f>
        <v/>
      </c>
      <c r="J17" s="38">
        <f>indicators_housing!A17</f>
        <v/>
      </c>
      <c r="K17" s="38">
        <f>indicators_housing!B17</f>
        <v/>
      </c>
      <c r="L17" s="44">
        <f>indicators_demography!H17</f>
        <v/>
      </c>
      <c r="M17" s="44">
        <f>indicators_housing!G17</f>
        <v/>
      </c>
    </row>
    <row r="18" ht="15" customHeight="1" s="39">
      <c r="A18" s="38">
        <f>indicators_demography!A15</f>
        <v/>
      </c>
      <c r="B18" s="38">
        <f>indicators_demography!B15</f>
        <v/>
      </c>
      <c r="C18" s="44">
        <f>indicators_demography!G15</f>
        <v/>
      </c>
      <c r="D18" s="38">
        <f>municipal!G15/municipal!E15*100</f>
        <v/>
      </c>
      <c r="E18" s="44">
        <f>indicators_demography!H15</f>
        <v/>
      </c>
      <c r="F18" s="38">
        <f>SUM(C18:E18)</f>
        <v/>
      </c>
      <c r="G18" s="38">
        <f>indicators_housing!A6</f>
        <v/>
      </c>
      <c r="H18" s="38">
        <f>indicators_housing!B6</f>
        <v/>
      </c>
      <c r="I18" s="44">
        <f>indicators_housing!G6</f>
        <v/>
      </c>
      <c r="J18" s="38">
        <f>indicators_housing!A18</f>
        <v/>
      </c>
      <c r="K18" s="38">
        <f>indicators_housing!B18</f>
        <v/>
      </c>
      <c r="L18" s="44">
        <f>indicators_demography!H18</f>
        <v/>
      </c>
      <c r="M18" s="44">
        <f>indicators_housing!G18</f>
        <v/>
      </c>
    </row>
    <row r="19" ht="15" customHeight="1" s="39">
      <c r="A19" s="38">
        <f>indicators_demography!A18</f>
        <v/>
      </c>
      <c r="B19" s="38">
        <f>indicators_demography!B18</f>
        <v/>
      </c>
      <c r="C19" s="44">
        <f>indicators_demography!G18</f>
        <v/>
      </c>
      <c r="D19" s="38">
        <f>municipal!G18/municipal!E18*100</f>
        <v/>
      </c>
      <c r="E19" s="44">
        <f>indicators_demography!H18</f>
        <v/>
      </c>
      <c r="F19" s="38">
        <f>SUM(C19:E19)</f>
        <v/>
      </c>
      <c r="G19" s="38">
        <f>indicators_housing!A17</f>
        <v/>
      </c>
      <c r="H19" s="38">
        <f>indicators_housing!B17</f>
        <v/>
      </c>
      <c r="I19" s="44">
        <f>indicators_housing!G17</f>
        <v/>
      </c>
      <c r="J19" s="38">
        <f>indicators_housing!A19</f>
        <v/>
      </c>
      <c r="K19" s="38">
        <f>indicators_housing!B19</f>
        <v/>
      </c>
      <c r="L19" s="44">
        <f>indicators_demography!H19</f>
        <v/>
      </c>
      <c r="M19" s="44">
        <f>indicators_housing!G19</f>
        <v/>
      </c>
    </row>
    <row r="20" ht="15" customHeight="1" s="39">
      <c r="A20" s="38">
        <f>indicators_demography!A11</f>
        <v/>
      </c>
      <c r="B20" s="38">
        <f>indicators_demography!B11</f>
        <v/>
      </c>
      <c r="C20" s="44">
        <f>indicators_demography!G11</f>
        <v/>
      </c>
      <c r="D20" s="38">
        <f>municipal!G11/municipal!E11*100</f>
        <v/>
      </c>
      <c r="E20" s="44">
        <f>indicators_demography!H11</f>
        <v/>
      </c>
      <c r="F20" s="38">
        <f>SUM(C20:E20)</f>
        <v/>
      </c>
      <c r="G20" s="38">
        <f>indicators_housing!A23</f>
        <v/>
      </c>
      <c r="H20" s="38">
        <f>indicators_housing!B23</f>
        <v/>
      </c>
      <c r="I20" s="44">
        <f>indicators_housing!G23</f>
        <v/>
      </c>
      <c r="J20" s="38">
        <f>indicators_housing!A20</f>
        <v/>
      </c>
      <c r="K20" s="38">
        <f>indicators_housing!B20</f>
        <v/>
      </c>
      <c r="L20" s="44">
        <f>indicators_demography!H20</f>
        <v/>
      </c>
      <c r="M20" s="44">
        <f>indicators_housing!G20</f>
        <v/>
      </c>
    </row>
    <row r="21" ht="15" customHeight="1" s="39">
      <c r="A21" s="38">
        <f>indicators_demography!A14</f>
        <v/>
      </c>
      <c r="B21" s="38">
        <f>indicators_demography!B14</f>
        <v/>
      </c>
      <c r="C21" s="44">
        <f>indicators_demography!G14</f>
        <v/>
      </c>
      <c r="D21" s="38">
        <f>municipal!G14/municipal!E14*100</f>
        <v/>
      </c>
      <c r="E21" s="44">
        <f>indicators_demography!H14</f>
        <v/>
      </c>
      <c r="F21" s="38">
        <f>SUM(C21:E21)</f>
        <v/>
      </c>
      <c r="G21" s="38">
        <f>indicators_housing!A9</f>
        <v/>
      </c>
      <c r="H21" s="38">
        <f>indicators_housing!B9</f>
        <v/>
      </c>
      <c r="I21" s="44">
        <f>indicators_housing!G9</f>
        <v/>
      </c>
      <c r="J21" s="38">
        <f>indicators_housing!A21</f>
        <v/>
      </c>
      <c r="K21" s="38">
        <f>indicators_housing!B21</f>
        <v/>
      </c>
      <c r="L21" s="44">
        <f>indicators_demography!H21</f>
        <v/>
      </c>
      <c r="M21" s="44">
        <f>indicators_housing!G21</f>
        <v/>
      </c>
    </row>
    <row r="22" ht="15" customHeight="1" s="39">
      <c r="A22" s="38">
        <f>indicators_demography!A19</f>
        <v/>
      </c>
      <c r="B22" s="38">
        <f>indicators_demography!B19</f>
        <v/>
      </c>
      <c r="C22" s="44">
        <f>indicators_demography!G19</f>
        <v/>
      </c>
      <c r="D22" s="38">
        <f>municipal!G19/municipal!E19*100</f>
        <v/>
      </c>
      <c r="E22" s="44">
        <f>indicators_demography!H19</f>
        <v/>
      </c>
      <c r="F22" s="38">
        <f>SUM(C22:E22)</f>
        <v/>
      </c>
      <c r="G22" s="38">
        <f>indicators_housing!A8</f>
        <v/>
      </c>
      <c r="H22" s="38">
        <f>indicators_housing!B8</f>
        <v/>
      </c>
      <c r="I22" s="44">
        <f>indicators_housing!G8</f>
        <v/>
      </c>
      <c r="J22" s="38">
        <f>indicators_housing!A22</f>
        <v/>
      </c>
      <c r="K22" s="38">
        <f>indicators_housing!B22</f>
        <v/>
      </c>
      <c r="L22" s="44">
        <f>indicators_demography!H22</f>
        <v/>
      </c>
      <c r="M22" s="44">
        <f>indicators_housing!G22</f>
        <v/>
      </c>
    </row>
    <row r="23" ht="15" customHeight="1" s="39">
      <c r="A23" s="38">
        <f>indicators_demography!A5</f>
        <v/>
      </c>
      <c r="B23" s="38">
        <f>indicators_demography!B5</f>
        <v/>
      </c>
      <c r="C23" s="44">
        <f>indicators_demography!G5</f>
        <v/>
      </c>
      <c r="D23" s="38">
        <f>municipal!G5/municipal!E5*100</f>
        <v/>
      </c>
      <c r="E23" s="44">
        <f>indicators_demography!H5</f>
        <v/>
      </c>
      <c r="F23" s="38">
        <f>SUM(C23:E23)</f>
        <v/>
      </c>
      <c r="G23" s="38">
        <f>indicators_housing!A10</f>
        <v/>
      </c>
      <c r="H23" s="38">
        <f>indicators_housing!B10</f>
        <v/>
      </c>
      <c r="I23" s="44">
        <f>indicators_housing!G10</f>
        <v/>
      </c>
      <c r="J23" s="38">
        <f>indicators_housing!A23</f>
        <v/>
      </c>
      <c r="K23" s="38">
        <f>indicators_housing!B23</f>
        <v/>
      </c>
      <c r="L23" s="44">
        <f>indicators_demography!H23</f>
        <v/>
      </c>
      <c r="M23" s="44">
        <f>indicators_housing!G23</f>
        <v/>
      </c>
    </row>
  </sheetData>
  <autoFilter ref="A1:M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1"/>
  </sheetPr>
  <dimension ref="A1:A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73" t="inlineStr">
        <is>
          <t>Versió inicial</t>
        </is>
      </c>
    </row>
    <row r="32" ht="15" customHeight="1" s="39">
      <c r="A32" s="73" t="inlineStr">
        <is>
          <t>Versió revisada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9" min="1" max="1"/>
    <col width="18" customWidth="1" style="39" min="2" max="2"/>
    <col width="18" customWidth="1" style="39" min="3" max="3"/>
    <col width="18" customWidth="1" style="39" min="4" max="4"/>
    <col width="18" customWidth="1" style="39" min="5" max="5"/>
    <col width="18" customWidth="1" style="39" min="6" max="6"/>
    <col width="18" customWidth="1" style="39" min="7" max="7"/>
    <col width="18" customWidth="1" style="39" min="8" max="8"/>
    <col width="18" customWidth="1" style="39" min="9" max="9"/>
    <col width="18" customWidth="1" style="39" min="10" max="10"/>
    <col width="18" customWidth="1" style="39" min="11" max="11"/>
    <col width="18" customWidth="1" style="39" min="12" max="12"/>
    <col width="18" customWidth="1" style="39" min="13" max="13"/>
    <col width="18" customWidth="1" style="39" min="14" max="14"/>
    <col width="18" customWidth="1" style="39" min="15" max="15"/>
    <col width="18" customWidth="1" style="39" min="16" max="16"/>
    <col width="18" customWidth="1" style="39" min="17" max="17"/>
    <col width="18" customWidth="1" style="39" min="18" max="18"/>
    <col width="18" customWidth="1" style="39" min="19" max="19"/>
  </cols>
  <sheetData>
    <row r="1">
      <c r="A1" s="74" t="inlineStr">
        <is>
          <t>palette_id</t>
        </is>
      </c>
      <c r="B1" s="74" t="inlineStr">
        <is>
          <t>family_or_tool</t>
        </is>
      </c>
      <c r="C1" s="74" t="inlineStr">
        <is>
          <t>role</t>
        </is>
      </c>
      <c r="D1" s="74" t="inlineStr">
        <is>
          <t>color_name</t>
        </is>
      </c>
      <c r="E1" s="74" t="inlineStr">
        <is>
          <t>HEX</t>
        </is>
      </c>
      <c r="F1" s="74" t="inlineStr">
        <is>
          <t>R</t>
        </is>
      </c>
      <c r="G1" s="74" t="inlineStr">
        <is>
          <t>G</t>
        </is>
      </c>
      <c r="H1" s="74" t="inlineStr">
        <is>
          <t>B</t>
        </is>
      </c>
      <c r="I1" s="74" t="inlineStr">
        <is>
          <t>linear_R</t>
        </is>
      </c>
      <c r="J1" s="74" t="inlineStr">
        <is>
          <t>linear_G</t>
        </is>
      </c>
      <c r="K1" s="74" t="inlineStr">
        <is>
          <t>linear_B</t>
        </is>
      </c>
      <c r="L1" s="74" t="inlineStr">
        <is>
          <t>relative_luminance</t>
        </is>
      </c>
      <c r="M1" s="74" t="inlineStr">
        <is>
          <t>contrast_white</t>
        </is>
      </c>
      <c r="N1" s="74" t="inlineStr">
        <is>
          <t>contrast_black</t>
        </is>
      </c>
      <c r="O1" s="74" t="inlineStr">
        <is>
          <t>origin</t>
        </is>
      </c>
      <c r="P1" s="74" t="inlineStr">
        <is>
          <t>intended_use</t>
        </is>
      </c>
      <c r="Q1" s="74" t="inlineStr">
        <is>
          <t>grayscale_check</t>
        </is>
      </c>
      <c r="R1" s="74" t="inlineStr">
        <is>
          <t>cvd_check</t>
        </is>
      </c>
      <c r="S1" s="74" t="inlineStr">
        <is>
          <t>notes</t>
        </is>
      </c>
    </row>
    <row r="2">
      <c r="A2" s="38" t="inlineStr">
        <is>
          <t>context</t>
        </is>
      </c>
      <c r="B2" s="38" t="inlineStr">
        <is>
          <t>project</t>
        </is>
      </c>
      <c r="C2" s="38" t="inlineStr">
        <is>
          <t>background</t>
        </is>
      </c>
      <c r="D2" s="38" t="inlineStr">
        <is>
          <t>Fons</t>
        </is>
      </c>
      <c r="E2" s="75" t="inlineStr">
        <is>
          <t>#FFFFFF</t>
        </is>
      </c>
      <c r="F2" s="38">
        <f>IF(E2="","",HEX2DEC(MID(E2,2,2)))</f>
        <v/>
      </c>
      <c r="G2" s="38">
        <f>IF(E2="","",HEX2DEC(MID(E2,4,2)))</f>
        <v/>
      </c>
      <c r="H2" s="38">
        <f>IF(E2="","",HEX2DEC(MID(E2,6,2)))</f>
        <v/>
      </c>
      <c r="I2" s="38">
        <f>IF(F2="","",IF(F2/255&lt;=0.04045,F2/255/12.92,POWER((F2/255+0.055)/1.055,2.4)))</f>
        <v/>
      </c>
      <c r="J2" s="38">
        <f>IF(G2="","",IF(G2/255&lt;=0.04045,G2/255/12.92,POWER((G2/255+0.055)/1.055,2.4)))</f>
        <v/>
      </c>
      <c r="K2" s="38">
        <f>IF(H2="","",IF(H2/255&lt;=0.04045,H2/255/12.92,POWER((H2/255+0.055)/1.055,2.4)))</f>
        <v/>
      </c>
      <c r="L2" s="76">
        <f>IF(I2="","",0.2126*I2+0.7152*J2+0.0722*K2)</f>
        <v/>
      </c>
      <c r="M2" s="76">
        <f>IF(L2="","",1.05/(L2+0.05))</f>
        <v/>
      </c>
      <c r="N2" s="76">
        <f>IF(L2="","",(L2+0.05)/0.05)</f>
        <v/>
      </c>
      <c r="O2" s="38" t="inlineStr">
        <is>
          <t>Disseny del projecte</t>
        </is>
      </c>
      <c r="P2" s="38" t="inlineStr">
        <is>
          <t>Pàgina i gràfics</t>
        </is>
      </c>
      <c r="Q2" s="38" t="inlineStr">
        <is>
          <t>REVISAT: contrast o redundància segons la funció</t>
        </is>
      </c>
      <c r="R2" s="38" t="inlineStr">
        <is>
          <t>PASSA AMB REDUNDÀNCIA: contrast, etiqueta o patró</t>
        </is>
      </c>
      <c r="S2" s="38" t="inlineStr">
        <is>
          <t>gris #FFFFFF; protanopia #FFFFFF; deuteranopia #FFFFFF; tritanopia #FFFFFF</t>
        </is>
      </c>
    </row>
    <row r="3">
      <c r="A3" s="38" t="inlineStr">
        <is>
          <t>context</t>
        </is>
      </c>
      <c r="B3" s="38" t="inlineStr">
        <is>
          <t>project</t>
        </is>
      </c>
      <c r="C3" s="38" t="inlineStr">
        <is>
          <t>main_text</t>
        </is>
      </c>
      <c r="D3" s="38" t="inlineStr">
        <is>
          <t>Text principal</t>
        </is>
      </c>
      <c r="E3" s="77" t="inlineStr">
        <is>
          <t>#222222</t>
        </is>
      </c>
      <c r="F3" s="38">
        <f>IF(E3="","",HEX2DEC(MID(E3,2,2)))</f>
        <v/>
      </c>
      <c r="G3" s="38">
        <f>IF(E3="","",HEX2DEC(MID(E3,4,2)))</f>
        <v/>
      </c>
      <c r="H3" s="38">
        <f>IF(E3="","",HEX2DEC(MID(E3,6,2)))</f>
        <v/>
      </c>
      <c r="I3" s="38">
        <f>IF(F3="","",IF(F3/255&lt;=0.04045,F3/255/12.92,POWER((F3/255+0.055)/1.055,2.4)))</f>
        <v/>
      </c>
      <c r="J3" s="38">
        <f>IF(G3="","",IF(G3/255&lt;=0.04045,G3/255/12.92,POWER((G3/255+0.055)/1.055,2.4)))</f>
        <v/>
      </c>
      <c r="K3" s="38">
        <f>IF(H3="","",IF(H3/255&lt;=0.04045,H3/255/12.92,POWER((H3/255+0.055)/1.055,2.4)))</f>
        <v/>
      </c>
      <c r="L3" s="76">
        <f>IF(I3="","",0.2126*I3+0.7152*J3+0.0722*K3)</f>
        <v/>
      </c>
      <c r="M3" s="76">
        <f>IF(L3="","",1.05/(L3+0.05))</f>
        <v/>
      </c>
      <c r="N3" s="76">
        <f>IF(L3="","",(L3+0.05)/0.05)</f>
        <v/>
      </c>
      <c r="O3" s="38" t="inlineStr">
        <is>
          <t>Disseny del projecte</t>
        </is>
      </c>
      <c r="P3" s="38" t="inlineStr">
        <is>
          <t>Títols i etiquetes</t>
        </is>
      </c>
      <c r="Q3" s="38" t="inlineStr">
        <is>
          <t>REVISAT: contrast o redundància segons la funció</t>
        </is>
      </c>
      <c r="R3" s="38" t="inlineStr">
        <is>
          <t>PASSA AMB REDUNDÀNCIA: contrast, etiqueta o patró</t>
        </is>
      </c>
      <c r="S3" s="38" t="inlineStr">
        <is>
          <t>gris #222222; protanopia #222222; deuteranopia #222222; tritanopia #222222</t>
        </is>
      </c>
    </row>
    <row r="4">
      <c r="A4" s="38" t="inlineStr">
        <is>
          <t>context</t>
        </is>
      </c>
      <c r="B4" s="38" t="inlineStr">
        <is>
          <t>project</t>
        </is>
      </c>
      <c r="C4" s="38" t="inlineStr">
        <is>
          <t>secondary_text</t>
        </is>
      </c>
      <c r="D4" s="38" t="inlineStr">
        <is>
          <t>Text secundari</t>
        </is>
      </c>
      <c r="E4" s="78" t="inlineStr">
        <is>
          <t>#595959</t>
        </is>
      </c>
      <c r="F4" s="38">
        <f>IF(E4="","",HEX2DEC(MID(E4,2,2)))</f>
        <v/>
      </c>
      <c r="G4" s="38">
        <f>IF(E4="","",HEX2DEC(MID(E4,4,2)))</f>
        <v/>
      </c>
      <c r="H4" s="38">
        <f>IF(E4="","",HEX2DEC(MID(E4,6,2)))</f>
        <v/>
      </c>
      <c r="I4" s="38">
        <f>IF(F4="","",IF(F4/255&lt;=0.04045,F4/255/12.92,POWER((F4/255+0.055)/1.055,2.4)))</f>
        <v/>
      </c>
      <c r="J4" s="38">
        <f>IF(G4="","",IF(G4/255&lt;=0.04045,G4/255/12.92,POWER((G4/255+0.055)/1.055,2.4)))</f>
        <v/>
      </c>
      <c r="K4" s="38">
        <f>IF(H4="","",IF(H4/255&lt;=0.04045,H4/255/12.92,POWER((H4/255+0.055)/1.055,2.4)))</f>
        <v/>
      </c>
      <c r="L4" s="76">
        <f>IF(I4="","",0.2126*I4+0.7152*J4+0.0722*K4)</f>
        <v/>
      </c>
      <c r="M4" s="76">
        <f>IF(L4="","",1.05/(L4+0.05))</f>
        <v/>
      </c>
      <c r="N4" s="76">
        <f>IF(L4="","",(L4+0.05)/0.05)</f>
        <v/>
      </c>
      <c r="O4" s="38" t="inlineStr">
        <is>
          <t>Disseny del projecte</t>
        </is>
      </c>
      <c r="P4" s="38" t="inlineStr">
        <is>
          <t>Fonts i notes</t>
        </is>
      </c>
      <c r="Q4" s="38" t="inlineStr">
        <is>
          <t>REVISAT: contrast o redundància segons la funció</t>
        </is>
      </c>
      <c r="R4" s="38" t="inlineStr">
        <is>
          <t>PASSA AMB REDUNDÀNCIA: contrast, etiqueta o patró</t>
        </is>
      </c>
      <c r="S4" s="38" t="inlineStr">
        <is>
          <t>gris #595959; protanopia #595959; deuteranopia #595959; tritanopia #595959</t>
        </is>
      </c>
    </row>
    <row r="5">
      <c r="A5" s="38" t="inlineStr">
        <is>
          <t>context</t>
        </is>
      </c>
      <c r="B5" s="38" t="inlineStr">
        <is>
          <t>project</t>
        </is>
      </c>
      <c r="C5" s="38" t="inlineStr">
        <is>
          <t>grid</t>
        </is>
      </c>
      <c r="D5" s="38" t="inlineStr">
        <is>
          <t>Retícula</t>
        </is>
      </c>
      <c r="E5" s="79" t="inlineStr">
        <is>
          <t>#D9D9D9</t>
        </is>
      </c>
      <c r="F5" s="38">
        <f>IF(E5="","",HEX2DEC(MID(E5,2,2)))</f>
        <v/>
      </c>
      <c r="G5" s="38">
        <f>IF(E5="","",HEX2DEC(MID(E5,4,2)))</f>
        <v/>
      </c>
      <c r="H5" s="38">
        <f>IF(E5="","",HEX2DEC(MID(E5,6,2)))</f>
        <v/>
      </c>
      <c r="I5" s="38">
        <f>IF(F5="","",IF(F5/255&lt;=0.04045,F5/255/12.92,POWER((F5/255+0.055)/1.055,2.4)))</f>
        <v/>
      </c>
      <c r="J5" s="38">
        <f>IF(G5="","",IF(G5/255&lt;=0.04045,G5/255/12.92,POWER((G5/255+0.055)/1.055,2.4)))</f>
        <v/>
      </c>
      <c r="K5" s="38">
        <f>IF(H5="","",IF(H5/255&lt;=0.04045,H5/255/12.92,POWER((H5/255+0.055)/1.055,2.4)))</f>
        <v/>
      </c>
      <c r="L5" s="76">
        <f>IF(I5="","",0.2126*I5+0.7152*J5+0.0722*K5)</f>
        <v/>
      </c>
      <c r="M5" s="76">
        <f>IF(L5="","",1.05/(L5+0.05))</f>
        <v/>
      </c>
      <c r="N5" s="76">
        <f>IF(L5="","",(L5+0.05)/0.05)</f>
        <v/>
      </c>
      <c r="O5" s="38" t="inlineStr">
        <is>
          <t>Disseny del projecte</t>
        </is>
      </c>
      <c r="P5" s="38" t="inlineStr">
        <is>
          <t>Guies i separadors</t>
        </is>
      </c>
      <c r="Q5" s="38" t="inlineStr">
        <is>
          <t>REVISAT: contrast o redundància segons la funció</t>
        </is>
      </c>
      <c r="R5" s="38" t="inlineStr">
        <is>
          <t>PASSA AMB REDUNDÀNCIA: contrast, etiqueta o patró</t>
        </is>
      </c>
      <c r="S5" s="38" t="inlineStr">
        <is>
          <t>gris #D9D9D9; protanopia #D9D9D9; deuteranopia #D9D9D9; tritanopia #D9D9D9</t>
        </is>
      </c>
    </row>
    <row r="6">
      <c r="A6" s="38" t="inlineStr">
        <is>
          <t>context</t>
        </is>
      </c>
      <c r="B6" s="38" t="inlineStr">
        <is>
          <t>project</t>
        </is>
      </c>
      <c r="C6" s="38" t="inlineStr">
        <is>
          <t>neutral_data</t>
        </is>
      </c>
      <c r="D6" s="38" t="inlineStr">
        <is>
          <t>Dada neutral</t>
        </is>
      </c>
      <c r="E6" s="80" t="inlineStr">
        <is>
          <t>#7A8C99</t>
        </is>
      </c>
      <c r="F6" s="38">
        <f>IF(E6="","",HEX2DEC(MID(E6,2,2)))</f>
        <v/>
      </c>
      <c r="G6" s="38">
        <f>IF(E6="","",HEX2DEC(MID(E6,4,2)))</f>
        <v/>
      </c>
      <c r="H6" s="38">
        <f>IF(E6="","",HEX2DEC(MID(E6,6,2)))</f>
        <v/>
      </c>
      <c r="I6" s="38">
        <f>IF(F6="","",IF(F6/255&lt;=0.04045,F6/255/12.92,POWER((F6/255+0.055)/1.055,2.4)))</f>
        <v/>
      </c>
      <c r="J6" s="38">
        <f>IF(G6="","",IF(G6/255&lt;=0.04045,G6/255/12.92,POWER((G6/255+0.055)/1.055,2.4)))</f>
        <v/>
      </c>
      <c r="K6" s="38">
        <f>IF(H6="","",IF(H6/255&lt;=0.04045,H6/255/12.92,POWER((H6/255+0.055)/1.055,2.4)))</f>
        <v/>
      </c>
      <c r="L6" s="76">
        <f>IF(I6="","",0.2126*I6+0.7152*J6+0.0722*K6)</f>
        <v/>
      </c>
      <c r="M6" s="76">
        <f>IF(L6="","",1.05/(L6+0.05))</f>
        <v/>
      </c>
      <c r="N6" s="76">
        <f>IF(L6="","",(L6+0.05)/0.05)</f>
        <v/>
      </c>
      <c r="O6" s="38" t="inlineStr">
        <is>
          <t>Disseny del projecte</t>
        </is>
      </c>
      <c r="P6" s="38" t="inlineStr">
        <is>
          <t>Municipis comparables</t>
        </is>
      </c>
      <c r="Q6" s="38" t="inlineStr">
        <is>
          <t>REVISAT: contrast o redundància segons la funció</t>
        </is>
      </c>
      <c r="R6" s="38" t="inlineStr">
        <is>
          <t>PASSA AMB REDUNDÀNCIA: contrast, etiqueta o patró</t>
        </is>
      </c>
      <c r="S6" s="38" t="inlineStr">
        <is>
          <t>gris #898989; protanopia #878B9A; deuteranopia #828899; tritanopia #728F90</t>
        </is>
      </c>
    </row>
    <row r="7">
      <c r="A7" s="38" t="inlineStr">
        <is>
          <t>context</t>
        </is>
      </c>
      <c r="B7" s="38" t="inlineStr">
        <is>
          <t>project</t>
        </is>
      </c>
      <c r="C7" s="38" t="inlineStr">
        <is>
          <t>vila_seca_accent</t>
        </is>
      </c>
      <c r="D7" s="38" t="inlineStr">
        <is>
          <t>Accent Vila-seca</t>
        </is>
      </c>
      <c r="E7" s="81" t="inlineStr">
        <is>
          <t>#D55E00</t>
        </is>
      </c>
      <c r="F7" s="38">
        <f>IF(E7="","",HEX2DEC(MID(E7,2,2)))</f>
        <v/>
      </c>
      <c r="G7" s="38">
        <f>IF(E7="","",HEX2DEC(MID(E7,4,2)))</f>
        <v/>
      </c>
      <c r="H7" s="38">
        <f>IF(E7="","",HEX2DEC(MID(E7,6,2)))</f>
        <v/>
      </c>
      <c r="I7" s="38">
        <f>IF(F7="","",IF(F7/255&lt;=0.04045,F7/255/12.92,POWER((F7/255+0.055)/1.055,2.4)))</f>
        <v/>
      </c>
      <c r="J7" s="38">
        <f>IF(G7="","",IF(G7/255&lt;=0.04045,G7/255/12.92,POWER((G7/255+0.055)/1.055,2.4)))</f>
        <v/>
      </c>
      <c r="K7" s="38">
        <f>IF(H7="","",IF(H7/255&lt;=0.04045,H7/255/12.92,POWER((H7/255+0.055)/1.055,2.4)))</f>
        <v/>
      </c>
      <c r="L7" s="76">
        <f>IF(I7="","",0.2126*I7+0.7152*J7+0.0722*K7)</f>
        <v/>
      </c>
      <c r="M7" s="76">
        <f>IF(L7="","",1.05/(L7+0.05))</f>
        <v/>
      </c>
      <c r="N7" s="76">
        <f>IF(L7="","",(L7+0.05)/0.05)</f>
        <v/>
      </c>
      <c r="O7" s="38" t="inlineStr">
        <is>
          <t>Disseny del projecte</t>
        </is>
      </c>
      <c r="P7" s="38" t="inlineStr">
        <is>
          <t>Accent redundant amb etiqueta</t>
        </is>
      </c>
      <c r="Q7" s="38" t="inlineStr">
        <is>
          <t>REVISAT: contrast o redundància segons la funció</t>
        </is>
      </c>
      <c r="R7" s="38" t="inlineStr">
        <is>
          <t>PASSA AMB REDUNDÀNCIA: contrast, etiqueta o patró</t>
        </is>
      </c>
      <c r="S7" s="38" t="inlineStr">
        <is>
          <t>gris #828282; protanopia #817100; deuteranopia #9E8C00; tritanopia #EB4050</t>
        </is>
      </c>
    </row>
    <row r="8">
      <c r="A8" s="38" t="inlineStr">
        <is>
          <t>context</t>
        </is>
      </c>
      <c r="B8" s="38" t="inlineStr">
        <is>
          <t>project</t>
        </is>
      </c>
      <c r="C8" s="38" t="inlineStr">
        <is>
          <t>no_data</t>
        </is>
      </c>
      <c r="D8" s="38" t="inlineStr">
        <is>
          <t>Sense dades</t>
        </is>
      </c>
      <c r="E8" s="82" t="inlineStr">
        <is>
          <t>#BDBDBD</t>
        </is>
      </c>
      <c r="F8" s="38">
        <f>IF(E8="","",HEX2DEC(MID(E8,2,2)))</f>
        <v/>
      </c>
      <c r="G8" s="38">
        <f>IF(E8="","",HEX2DEC(MID(E8,4,2)))</f>
        <v/>
      </c>
      <c r="H8" s="38">
        <f>IF(E8="","",HEX2DEC(MID(E8,6,2)))</f>
        <v/>
      </c>
      <c r="I8" s="38">
        <f>IF(F8="","",IF(F8/255&lt;=0.04045,F8/255/12.92,POWER((F8/255+0.055)/1.055,2.4)))</f>
        <v/>
      </c>
      <c r="J8" s="38">
        <f>IF(G8="","",IF(G8/255&lt;=0.04045,G8/255/12.92,POWER((G8/255+0.055)/1.055,2.4)))</f>
        <v/>
      </c>
      <c r="K8" s="38">
        <f>IF(H8="","",IF(H8/255&lt;=0.04045,H8/255/12.92,POWER((H8/255+0.055)/1.055,2.4)))</f>
        <v/>
      </c>
      <c r="L8" s="76">
        <f>IF(I8="","",0.2126*I8+0.7152*J8+0.0722*K8)</f>
        <v/>
      </c>
      <c r="M8" s="76">
        <f>IF(L8="","",1.05/(L8+0.05))</f>
        <v/>
      </c>
      <c r="N8" s="76">
        <f>IF(L8="","",(L8+0.05)/0.05)</f>
        <v/>
      </c>
      <c r="O8" s="38" t="inlineStr">
        <is>
          <t>Disseny del projecte</t>
        </is>
      </c>
      <c r="P8" s="38" t="inlineStr">
        <is>
          <t>Nuls, amb etiqueta o patró</t>
        </is>
      </c>
      <c r="Q8" s="38" t="inlineStr">
        <is>
          <t>REVISAT: contrast o redundància segons la funció</t>
        </is>
      </c>
      <c r="R8" s="38" t="inlineStr">
        <is>
          <t>PASSA AMB REDUNDÀNCIA: contrast, etiqueta o patró</t>
        </is>
      </c>
      <c r="S8" s="38" t="inlineStr">
        <is>
          <t>gris #BDBDBD; protanopia #BDBDBD; deuteranopia #BDBDBD; tritanopia #BDBDBD</t>
        </is>
      </c>
    </row>
    <row r="9">
      <c r="A9" s="38" t="inlineStr">
        <is>
          <t>age</t>
        </is>
      </c>
      <c r="B9" s="38" t="inlineStr">
        <is>
          <t>ColorBrewer YlGnBu 3</t>
        </is>
      </c>
      <c r="C9" s="38" t="inlineStr">
        <is>
          <t>young</t>
        </is>
      </c>
      <c r="D9" s="38" t="inlineStr">
        <is>
          <t>0–14</t>
        </is>
      </c>
      <c r="E9" s="83" t="inlineStr">
        <is>
          <t>#EDF8B1</t>
        </is>
      </c>
      <c r="F9" s="38">
        <f>IF(E9="","",HEX2DEC(MID(E9,2,2)))</f>
        <v/>
      </c>
      <c r="G9" s="38">
        <f>IF(E9="","",HEX2DEC(MID(E9,4,2)))</f>
        <v/>
      </c>
      <c r="H9" s="38">
        <f>IF(E9="","",HEX2DEC(MID(E9,6,2)))</f>
        <v/>
      </c>
      <c r="I9" s="38">
        <f>IF(F9="","",IF(F9/255&lt;=0.04045,F9/255/12.92,POWER((F9/255+0.055)/1.055,2.4)))</f>
        <v/>
      </c>
      <c r="J9" s="38">
        <f>IF(G9="","",IF(G9/255&lt;=0.04045,G9/255/12.92,POWER((G9/255+0.055)/1.055,2.4)))</f>
        <v/>
      </c>
      <c r="K9" s="38">
        <f>IF(H9="","",IF(H9/255&lt;=0.04045,H9/255/12.92,POWER((H9/255+0.055)/1.055,2.4)))</f>
        <v/>
      </c>
      <c r="L9" s="76">
        <f>IF(I9="","",0.2126*I9+0.7152*J9+0.0722*K9)</f>
        <v/>
      </c>
      <c r="M9" s="76">
        <f>IF(L9="","",1.05/(L9+0.05))</f>
        <v/>
      </c>
      <c r="N9" s="76">
        <f>IF(L9="","",(L9+0.05)/0.05)</f>
        <v/>
      </c>
      <c r="O9" s="38" t="inlineStr">
        <is>
          <t>ColorBrewer</t>
        </is>
      </c>
      <c r="P9" s="38" t="inlineStr">
        <is>
          <t>Seqüència discreta per edats ordenades</t>
        </is>
      </c>
      <c r="Q9" s="38" t="inlineStr">
        <is>
          <t>PASSA: ordre clar-fosc conservat</t>
        </is>
      </c>
      <c r="R9" s="38" t="inlineStr">
        <is>
          <t>PASSA: ordre conservat en tres simulacions</t>
        </is>
      </c>
      <c r="S9" s="38" t="inlineStr">
        <is>
          <t>gris #F1F1F1; protanopia #FFF1AC; deuteranopia #FFF2B4; tritanopia #F5F0E5</t>
        </is>
      </c>
    </row>
    <row r="10">
      <c r="A10" s="38" t="inlineStr">
        <is>
          <t>age</t>
        </is>
      </c>
      <c r="B10" s="38" t="inlineStr">
        <is>
          <t>ColorBrewer YlGnBu 3</t>
        </is>
      </c>
      <c r="C10" s="38" t="inlineStr">
        <is>
          <t>working_age</t>
        </is>
      </c>
      <c r="D10" s="38" t="inlineStr">
        <is>
          <t>15–64</t>
        </is>
      </c>
      <c r="E10" s="84" t="inlineStr">
        <is>
          <t>#7FCDBB</t>
        </is>
      </c>
      <c r="F10" s="38">
        <f>IF(E10="","",HEX2DEC(MID(E10,2,2)))</f>
        <v/>
      </c>
      <c r="G10" s="38">
        <f>IF(E10="","",HEX2DEC(MID(E10,4,2)))</f>
        <v/>
      </c>
      <c r="H10" s="38">
        <f>IF(E10="","",HEX2DEC(MID(E10,6,2)))</f>
        <v/>
      </c>
      <c r="I10" s="38">
        <f>IF(F10="","",IF(F10/255&lt;=0.04045,F10/255/12.92,POWER((F10/255+0.055)/1.055,2.4)))</f>
        <v/>
      </c>
      <c r="J10" s="38">
        <f>IF(G10="","",IF(G10/255&lt;=0.04045,G10/255/12.92,POWER((G10/255+0.055)/1.055,2.4)))</f>
        <v/>
      </c>
      <c r="K10" s="38">
        <f>IF(H10="","",IF(H10/255&lt;=0.04045,H10/255/12.92,POWER((H10/255+0.055)/1.055,2.4)))</f>
        <v/>
      </c>
      <c r="L10" s="76">
        <f>IF(I10="","",0.2126*I10+0.7152*J10+0.0722*K10)</f>
        <v/>
      </c>
      <c r="M10" s="76">
        <f>IF(L10="","",1.05/(L10+0.05))</f>
        <v/>
      </c>
      <c r="N10" s="76">
        <f>IF(L10="","",(L10+0.05)/0.05)</f>
        <v/>
      </c>
      <c r="O10" s="38" t="inlineStr">
        <is>
          <t>ColorBrewer</t>
        </is>
      </c>
      <c r="P10" s="38" t="inlineStr">
        <is>
          <t>Seqüència discreta per edats ordenades</t>
        </is>
      </c>
      <c r="Q10" s="38" t="inlineStr">
        <is>
          <t>PASSA: ordre clar-fosc conservat</t>
        </is>
      </c>
      <c r="R10" s="38" t="inlineStr">
        <is>
          <t>PASSA: ordre conservat en tres simulacions</t>
        </is>
      </c>
      <c r="S10" s="38" t="inlineStr">
        <is>
          <t>gris #BEBEBE; protanopia #C7C4BA; deuteranopia #BABABC; tritanopia #65CFC7</t>
        </is>
      </c>
    </row>
    <row r="11">
      <c r="A11" s="38" t="inlineStr">
        <is>
          <t>age</t>
        </is>
      </c>
      <c r="B11" s="38" t="inlineStr">
        <is>
          <t>ColorBrewer YlGnBu 3</t>
        </is>
      </c>
      <c r="C11" s="38" t="inlineStr">
        <is>
          <t>older</t>
        </is>
      </c>
      <c r="D11" s="38" t="inlineStr">
        <is>
          <t>65+</t>
        </is>
      </c>
      <c r="E11" s="85" t="inlineStr">
        <is>
          <t>#2C7FB8</t>
        </is>
      </c>
      <c r="F11" s="38">
        <f>IF(E11="","",HEX2DEC(MID(E11,2,2)))</f>
        <v/>
      </c>
      <c r="G11" s="38">
        <f>IF(E11="","",HEX2DEC(MID(E11,4,2)))</f>
        <v/>
      </c>
      <c r="H11" s="38">
        <f>IF(E11="","",HEX2DEC(MID(E11,6,2)))</f>
        <v/>
      </c>
      <c r="I11" s="38">
        <f>IF(F11="","",IF(F11/255&lt;=0.04045,F11/255/12.92,POWER((F11/255+0.055)/1.055,2.4)))</f>
        <v/>
      </c>
      <c r="J11" s="38">
        <f>IF(G11="","",IF(G11/255&lt;=0.04045,G11/255/12.92,POWER((G11/255+0.055)/1.055,2.4)))</f>
        <v/>
      </c>
      <c r="K11" s="38">
        <f>IF(H11="","",IF(H11/255&lt;=0.04045,H11/255/12.92,POWER((H11/255+0.055)/1.055,2.4)))</f>
        <v/>
      </c>
      <c r="L11" s="76">
        <f>IF(I11="","",0.2126*I11+0.7152*J11+0.0722*K11)</f>
        <v/>
      </c>
      <c r="M11" s="76">
        <f>IF(L11="","",1.05/(L11+0.05))</f>
        <v/>
      </c>
      <c r="N11" s="76">
        <f>IF(L11="","",(L11+0.05)/0.05)</f>
        <v/>
      </c>
      <c r="O11" s="38" t="inlineStr">
        <is>
          <t>ColorBrewer</t>
        </is>
      </c>
      <c r="P11" s="38" t="inlineStr">
        <is>
          <t>Seqüència discreta per edats ordenades</t>
        </is>
      </c>
      <c r="Q11" s="38" t="inlineStr">
        <is>
          <t>PASSA: ordre clar-fosc conservat</t>
        </is>
      </c>
      <c r="R11" s="38" t="inlineStr">
        <is>
          <t>PASSA: ordre conservat en tres simulacions</t>
        </is>
      </c>
      <c r="S11" s="38" t="inlineStr">
        <is>
          <t>gris #797979; protanopia #6580BA; deuteranopia #5173B7; tritanopia #008D93</t>
        </is>
      </c>
    </row>
    <row r="12">
      <c r="A12" s="38" t="inlineStr">
        <is>
          <t>sex</t>
        </is>
      </c>
      <c r="B12" s="38" t="inlineStr">
        <is>
          <t>Parella binària equilibrada</t>
        </is>
      </c>
      <c r="C12" s="38" t="inlineStr">
        <is>
          <t>female</t>
        </is>
      </c>
      <c r="D12" s="38" t="inlineStr">
        <is>
          <t>Dones</t>
        </is>
      </c>
      <c r="E12" s="86" t="inlineStr">
        <is>
          <t>#CA0020</t>
        </is>
      </c>
      <c r="F12" s="38">
        <f>IF(E12="","",HEX2DEC(MID(E12,2,2)))</f>
        <v/>
      </c>
      <c r="G12" s="38">
        <f>IF(E12="","",HEX2DEC(MID(E12,4,2)))</f>
        <v/>
      </c>
      <c r="H12" s="38">
        <f>IF(E12="","",HEX2DEC(MID(E12,6,2)))</f>
        <v/>
      </c>
      <c r="I12" s="38">
        <f>IF(F12="","",IF(F12/255&lt;=0.04045,F12/255/12.92,POWER((F12/255+0.055)/1.055,2.4)))</f>
        <v/>
      </c>
      <c r="J12" s="38">
        <f>IF(G12="","",IF(G12/255&lt;=0.04045,G12/255/12.92,POWER((G12/255+0.055)/1.055,2.4)))</f>
        <v/>
      </c>
      <c r="K12" s="38">
        <f>IF(H12="","",IF(H12/255&lt;=0.04045,H12/255/12.92,POWER((H12/255+0.055)/1.055,2.4)))</f>
        <v/>
      </c>
      <c r="L12" s="76">
        <f>IF(I12="","",0.2126*I12+0.7152*J12+0.0722*K12)</f>
        <v/>
      </c>
      <c r="M12" s="76">
        <f>IF(L12="","",1.05/(L12+0.05))</f>
        <v/>
      </c>
      <c r="N12" s="76">
        <f>IF(L12="","",(L12+0.05)/0.05)</f>
        <v/>
      </c>
      <c r="O12" s="38" t="inlineStr">
        <is>
          <t>Extrems adaptats de ColorBrewer RdBu</t>
        </is>
      </c>
      <c r="P12" s="38" t="inlineStr">
        <is>
          <t>Categoria nominal binària; no és una escala divergent</t>
        </is>
      </c>
      <c r="Q12" s="38" t="inlineStr">
        <is>
          <t>PASSA AMB REDUNDÀNCIA: etiquetes i posició oposada</t>
        </is>
      </c>
      <c r="R12" s="38" t="inlineStr">
        <is>
          <t>PASSA AMB REDUNDÀNCIA: etiquetes i posició oposada</t>
        </is>
      </c>
      <c r="S12" s="38" t="inlineStr">
        <is>
          <t>gris #646464; protanopia #534A1E; deuteranopia #7F7114; tritanopia #DF0014</t>
        </is>
      </c>
    </row>
    <row r="13">
      <c r="A13" s="38" t="inlineStr">
        <is>
          <t>sex</t>
        </is>
      </c>
      <c r="B13" s="38" t="inlineStr">
        <is>
          <t>Parella binària equilibrada</t>
        </is>
      </c>
      <c r="C13" s="38" t="inlineStr">
        <is>
          <t>male</t>
        </is>
      </c>
      <c r="D13" s="38" t="inlineStr">
        <is>
          <t>Homes</t>
        </is>
      </c>
      <c r="E13" s="87" t="inlineStr">
        <is>
          <t>#0571B0</t>
        </is>
      </c>
      <c r="F13" s="38">
        <f>IF(E13="","",HEX2DEC(MID(E13,2,2)))</f>
        <v/>
      </c>
      <c r="G13" s="38">
        <f>IF(E13="","",HEX2DEC(MID(E13,4,2)))</f>
        <v/>
      </c>
      <c r="H13" s="38">
        <f>IF(E13="","",HEX2DEC(MID(E13,6,2)))</f>
        <v/>
      </c>
      <c r="I13" s="38">
        <f>IF(F13="","",IF(F13/255&lt;=0.04045,F13/255/12.92,POWER((F13/255+0.055)/1.055,2.4)))</f>
        <v/>
      </c>
      <c r="J13" s="38">
        <f>IF(G13="","",IF(G13/255&lt;=0.04045,G13/255/12.92,POWER((G13/255+0.055)/1.055,2.4)))</f>
        <v/>
      </c>
      <c r="K13" s="38">
        <f>IF(H13="","",IF(H13/255&lt;=0.04045,H13/255/12.92,POWER((H13/255+0.055)/1.055,2.4)))</f>
        <v/>
      </c>
      <c r="L13" s="76">
        <f>IF(I13="","",0.2126*I13+0.7152*J13+0.0722*K13)</f>
        <v/>
      </c>
      <c r="M13" s="76">
        <f>IF(L13="","",1.05/(L13+0.05))</f>
        <v/>
      </c>
      <c r="N13" s="76">
        <f>IF(L13="","",(L13+0.05)/0.05)</f>
        <v/>
      </c>
      <c r="O13" s="38" t="inlineStr">
        <is>
          <t>Extrems adaptats de ColorBrewer RdBu</t>
        </is>
      </c>
      <c r="P13" s="38" t="inlineStr">
        <is>
          <t>Categoria nominal binària; no és una escala divergent</t>
        </is>
      </c>
      <c r="Q13" s="38" t="inlineStr">
        <is>
          <t>PASSA AMB REDUNDÀNCIA: etiquetes i posició oposada</t>
        </is>
      </c>
      <c r="R13" s="38" t="inlineStr">
        <is>
          <t>PASSA AMB REDUNDÀNCIA: etiquetes i posició oposada</t>
        </is>
      </c>
      <c r="S13" s="38" t="inlineStr">
        <is>
          <t>gris #6C6C6C; protanopia #5274B3; deuteranopia #3B66AF; tritanopia #008088</t>
        </is>
      </c>
    </row>
    <row r="14">
      <c r="A14" s="38" t="inlineStr">
        <is>
          <t>map_bugn</t>
        </is>
      </c>
      <c r="B14" s="38" t="inlineStr">
        <is>
          <t>ColorBrewer BuGn 5</t>
        </is>
      </c>
      <c r="C14" s="38" t="inlineStr">
        <is>
          <t>class_1</t>
        </is>
      </c>
      <c r="D14" s="38" t="inlineStr">
        <is>
          <t>Molt baix</t>
        </is>
      </c>
      <c r="E14" s="88" t="inlineStr">
        <is>
          <t>#EDF8FB</t>
        </is>
      </c>
      <c r="F14" s="38">
        <f>IF(E14="","",HEX2DEC(MID(E14,2,2)))</f>
        <v/>
      </c>
      <c r="G14" s="38">
        <f>IF(E14="","",HEX2DEC(MID(E14,4,2)))</f>
        <v/>
      </c>
      <c r="H14" s="38">
        <f>IF(E14="","",HEX2DEC(MID(E14,6,2)))</f>
        <v/>
      </c>
      <c r="I14" s="38">
        <f>IF(F14="","",IF(F14/255&lt;=0.04045,F14/255/12.92,POWER((F14/255+0.055)/1.055,2.4)))</f>
        <v/>
      </c>
      <c r="J14" s="38">
        <f>IF(G14="","",IF(G14/255&lt;=0.04045,G14/255/12.92,POWER((G14/255+0.055)/1.055,2.4)))</f>
        <v/>
      </c>
      <c r="K14" s="38">
        <f>IF(H14="","",IF(H14/255&lt;=0.04045,H14/255/12.92,POWER((H14/255+0.055)/1.055,2.4)))</f>
        <v/>
      </c>
      <c r="L14" s="76">
        <f>IF(I14="","",0.2126*I14+0.7152*J14+0.0722*K14)</f>
        <v/>
      </c>
      <c r="M14" s="76">
        <f>IF(L14="","",1.05/(L14+0.05))</f>
        <v/>
      </c>
      <c r="N14" s="76">
        <f>IF(L14="","",(L14+0.05)/0.05)</f>
        <v/>
      </c>
      <c r="O14" s="38" t="inlineStr">
        <is>
          <t>ColorBrewer</t>
        </is>
      </c>
      <c r="P14" s="38" t="inlineStr">
        <is>
          <t>Candidata seqüencial</t>
        </is>
      </c>
      <c r="Q14" s="38" t="inlineStr">
        <is>
          <t>PASSA: ordre clar-fosc conservat</t>
        </is>
      </c>
      <c r="R14" s="38" t="inlineStr">
        <is>
          <t>PASSA: ordre conservat en tres simulacions</t>
        </is>
      </c>
      <c r="S14" s="38" t="inlineStr">
        <is>
          <t>gris #F6F6F6; protanopia #F6F7FB; deuteranopia #F3F5FB; tritanopia #E9F9F9</t>
        </is>
      </c>
    </row>
    <row r="15">
      <c r="A15" s="38" t="inlineStr">
        <is>
          <t>map_bugn</t>
        </is>
      </c>
      <c r="B15" s="38" t="inlineStr">
        <is>
          <t>ColorBrewer BuGn 5</t>
        </is>
      </c>
      <c r="C15" s="38" t="inlineStr">
        <is>
          <t>class_2</t>
        </is>
      </c>
      <c r="D15" s="38" t="inlineStr">
        <is>
          <t>Baix</t>
        </is>
      </c>
      <c r="E15" s="89" t="inlineStr">
        <is>
          <t>#B2E2E2</t>
        </is>
      </c>
      <c r="F15" s="38">
        <f>IF(E15="","",HEX2DEC(MID(E15,2,2)))</f>
        <v/>
      </c>
      <c r="G15" s="38">
        <f>IF(E15="","",HEX2DEC(MID(E15,4,2)))</f>
        <v/>
      </c>
      <c r="H15" s="38">
        <f>IF(E15="","",HEX2DEC(MID(E15,6,2)))</f>
        <v/>
      </c>
      <c r="I15" s="38">
        <f>IF(F15="","",IF(F15/255&lt;=0.04045,F15/255/12.92,POWER((F15/255+0.055)/1.055,2.4)))</f>
        <v/>
      </c>
      <c r="J15" s="38">
        <f>IF(G15="","",IF(G15/255&lt;=0.04045,G15/255/12.92,POWER((G15/255+0.055)/1.055,2.4)))</f>
        <v/>
      </c>
      <c r="K15" s="38">
        <f>IF(H15="","",IF(H15/255&lt;=0.04045,H15/255/12.92,POWER((H15/255+0.055)/1.055,2.4)))</f>
        <v/>
      </c>
      <c r="L15" s="76">
        <f>IF(I15="","",0.2126*I15+0.7152*J15+0.0722*K15)</f>
        <v/>
      </c>
      <c r="M15" s="76">
        <f>IF(L15="","",1.05/(L15+0.05))</f>
        <v/>
      </c>
      <c r="N15" s="76">
        <f>IF(L15="","",(L15+0.05)/0.05)</f>
        <v/>
      </c>
      <c r="O15" s="38" t="inlineStr">
        <is>
          <t>ColorBrewer</t>
        </is>
      </c>
      <c r="P15" s="38" t="inlineStr">
        <is>
          <t>Candidata seqüencial</t>
        </is>
      </c>
      <c r="Q15" s="38" t="inlineStr">
        <is>
          <t>PASSA: ordre clar-fosc conservat</t>
        </is>
      </c>
      <c r="R15" s="38" t="inlineStr">
        <is>
          <t>PASSA: ordre conservat en tres simulacions</t>
        </is>
      </c>
      <c r="S15" s="38" t="inlineStr">
        <is>
          <t>gris #D9D9D9; protanopia #DCDDE2; deuteranopia #D2D6E2; tritanopia #A3E5E2</t>
        </is>
      </c>
    </row>
    <row r="16">
      <c r="A16" s="38" t="inlineStr">
        <is>
          <t>map_bugn</t>
        </is>
      </c>
      <c r="B16" s="38" t="inlineStr">
        <is>
          <t>ColorBrewer BuGn 5</t>
        </is>
      </c>
      <c r="C16" s="38" t="inlineStr">
        <is>
          <t>class_3</t>
        </is>
      </c>
      <c r="D16" s="38" t="inlineStr">
        <is>
          <t>Intermedi</t>
        </is>
      </c>
      <c r="E16" s="90" t="inlineStr">
        <is>
          <t>#66C2A4</t>
        </is>
      </c>
      <c r="F16" s="38">
        <f>IF(E16="","",HEX2DEC(MID(E16,2,2)))</f>
        <v/>
      </c>
      <c r="G16" s="38">
        <f>IF(E16="","",HEX2DEC(MID(E16,4,2)))</f>
        <v/>
      </c>
      <c r="H16" s="38">
        <f>IF(E16="","",HEX2DEC(MID(E16,6,2)))</f>
        <v/>
      </c>
      <c r="I16" s="38">
        <f>IF(F16="","",IF(F16/255&lt;=0.04045,F16/255/12.92,POWER((F16/255+0.055)/1.055,2.4)))</f>
        <v/>
      </c>
      <c r="J16" s="38">
        <f>IF(G16="","",IF(G16/255&lt;=0.04045,G16/255/12.92,POWER((G16/255+0.055)/1.055,2.4)))</f>
        <v/>
      </c>
      <c r="K16" s="38">
        <f>IF(H16="","",IF(H16/255&lt;=0.04045,H16/255/12.92,POWER((H16/255+0.055)/1.055,2.4)))</f>
        <v/>
      </c>
      <c r="L16" s="76">
        <f>IF(I16="","",0.2126*I16+0.7152*J16+0.0722*K16)</f>
        <v/>
      </c>
      <c r="M16" s="76">
        <f>IF(L16="","",1.05/(L16+0.05))</f>
        <v/>
      </c>
      <c r="N16" s="76">
        <f>IF(L16="","",(L16+0.05)/0.05)</f>
        <v/>
      </c>
      <c r="O16" s="38" t="inlineStr">
        <is>
          <t>ColorBrewer</t>
        </is>
      </c>
      <c r="P16" s="38" t="inlineStr">
        <is>
          <t>Candidata seqüencial</t>
        </is>
      </c>
      <c r="Q16" s="38" t="inlineStr">
        <is>
          <t>PASSA: ordre clar-fosc conservat</t>
        </is>
      </c>
      <c r="R16" s="38" t="inlineStr">
        <is>
          <t>PASSA: ordre conservat en tres simulacions</t>
        </is>
      </c>
      <c r="S16" s="38" t="inlineStr">
        <is>
          <t>gris #B1B1B1; protanopia #BEB7A3; deuteranopia #AFADA6; tritanopia #45C3B9</t>
        </is>
      </c>
    </row>
    <row r="17">
      <c r="A17" s="38" t="inlineStr">
        <is>
          <t>map_bugn</t>
        </is>
      </c>
      <c r="B17" s="38" t="inlineStr">
        <is>
          <t>ColorBrewer BuGn 5</t>
        </is>
      </c>
      <c r="C17" s="38" t="inlineStr">
        <is>
          <t>class_4</t>
        </is>
      </c>
      <c r="D17" s="38" t="inlineStr">
        <is>
          <t>Alt</t>
        </is>
      </c>
      <c r="E17" s="91" t="inlineStr">
        <is>
          <t>#2CA25F</t>
        </is>
      </c>
      <c r="F17" s="38">
        <f>IF(E17="","",HEX2DEC(MID(E17,2,2)))</f>
        <v/>
      </c>
      <c r="G17" s="38">
        <f>IF(E17="","",HEX2DEC(MID(E17,4,2)))</f>
        <v/>
      </c>
      <c r="H17" s="38">
        <f>IF(E17="","",HEX2DEC(MID(E17,6,2)))</f>
        <v/>
      </c>
      <c r="I17" s="38">
        <f>IF(F17="","",IF(F17/255&lt;=0.04045,F17/255/12.92,POWER((F17/255+0.055)/1.055,2.4)))</f>
        <v/>
      </c>
      <c r="J17" s="38">
        <f>IF(G17="","",IF(G17/255&lt;=0.04045,G17/255/12.92,POWER((G17/255+0.055)/1.055,2.4)))</f>
        <v/>
      </c>
      <c r="K17" s="38">
        <f>IF(H17="","",IF(H17/255&lt;=0.04045,H17/255/12.92,POWER((H17/255+0.055)/1.055,2.4)))</f>
        <v/>
      </c>
      <c r="L17" s="76">
        <f>IF(I17="","",0.2126*I17+0.7152*J17+0.0722*K17)</f>
        <v/>
      </c>
      <c r="M17" s="76">
        <f>IF(L17="","",1.05/(L17+0.05))</f>
        <v/>
      </c>
      <c r="N17" s="76">
        <f>IF(L17="","",(L17+0.05)/0.05)</f>
        <v/>
      </c>
      <c r="O17" s="38" t="inlineStr">
        <is>
          <t>ColorBrewer</t>
        </is>
      </c>
      <c r="P17" s="38" t="inlineStr">
        <is>
          <t>Candidata seqüencial</t>
        </is>
      </c>
      <c r="Q17" s="38" t="inlineStr">
        <is>
          <t>PASSA: ordre clar-fosc conservat</t>
        </is>
      </c>
      <c r="R17" s="38" t="inlineStr">
        <is>
          <t>PASSA: ordre conservat en tres simulacions</t>
        </is>
      </c>
      <c r="S17" s="38" t="inlineStr">
        <is>
          <t>gris #8E8E8E; protanopia #A2945A; deuteranopia #948A63; tritanopia #00A091</t>
        </is>
      </c>
    </row>
    <row r="18">
      <c r="A18" s="38" t="inlineStr">
        <is>
          <t>map_bugn</t>
        </is>
      </c>
      <c r="B18" s="38" t="inlineStr">
        <is>
          <t>ColorBrewer BuGn 5</t>
        </is>
      </c>
      <c r="C18" s="38" t="inlineStr">
        <is>
          <t>class_5</t>
        </is>
      </c>
      <c r="D18" s="38" t="inlineStr">
        <is>
          <t>Molt alt</t>
        </is>
      </c>
      <c r="E18" s="92" t="inlineStr">
        <is>
          <t>#006D2C</t>
        </is>
      </c>
      <c r="F18" s="38">
        <f>IF(E18="","",HEX2DEC(MID(E18,2,2)))</f>
        <v/>
      </c>
      <c r="G18" s="38">
        <f>IF(E18="","",HEX2DEC(MID(E18,4,2)))</f>
        <v/>
      </c>
      <c r="H18" s="38">
        <f>IF(E18="","",HEX2DEC(MID(E18,6,2)))</f>
        <v/>
      </c>
      <c r="I18" s="38">
        <f>IF(F18="","",IF(F18/255&lt;=0.04045,F18/255/12.92,POWER((F18/255+0.055)/1.055,2.4)))</f>
        <v/>
      </c>
      <c r="J18" s="38">
        <f>IF(G18="","",IF(G18/255&lt;=0.04045,G18/255/12.92,POWER((G18/255+0.055)/1.055,2.4)))</f>
        <v/>
      </c>
      <c r="K18" s="38">
        <f>IF(H18="","",IF(H18/255&lt;=0.04045,H18/255/12.92,POWER((H18/255+0.055)/1.055,2.4)))</f>
        <v/>
      </c>
      <c r="L18" s="76">
        <f>IF(I18="","",0.2126*I18+0.7152*J18+0.0722*K18)</f>
        <v/>
      </c>
      <c r="M18" s="76">
        <f>IF(L18="","",1.05/(L18+0.05))</f>
        <v/>
      </c>
      <c r="N18" s="76">
        <f>IF(L18="","",(L18+0.05)/0.05)</f>
        <v/>
      </c>
      <c r="O18" s="38" t="inlineStr">
        <is>
          <t>ColorBrewer</t>
        </is>
      </c>
      <c r="P18" s="38" t="inlineStr">
        <is>
          <t>Candidata seqüencial</t>
        </is>
      </c>
      <c r="Q18" s="38" t="inlineStr">
        <is>
          <t>PASSA: ordre clar-fosc conservat</t>
        </is>
      </c>
      <c r="R18" s="38" t="inlineStr">
        <is>
          <t>PASSA: ordre conservat en tres simulacions</t>
        </is>
      </c>
      <c r="S18" s="38" t="inlineStr">
        <is>
          <t>gris #5E5E5E; protanopia #6E6226; deuteranopia #635B31; tritanopia #006B5F</t>
        </is>
      </c>
    </row>
    <row r="19">
      <c r="A19" s="38" t="inlineStr">
        <is>
          <t>map_rdbu</t>
        </is>
      </c>
      <c r="B19" s="38" t="inlineStr">
        <is>
          <t>ColorBrewer RdBu 5</t>
        </is>
      </c>
      <c r="C19" s="38" t="inlineStr">
        <is>
          <t>negative_2</t>
        </is>
      </c>
      <c r="D19" s="38" t="inlineStr">
        <is>
          <t>Molt per sota</t>
        </is>
      </c>
      <c r="E19" s="86" t="inlineStr">
        <is>
          <t>#CA0020</t>
        </is>
      </c>
      <c r="F19" s="38">
        <f>IF(E19="","",HEX2DEC(MID(E19,2,2)))</f>
        <v/>
      </c>
      <c r="G19" s="38">
        <f>IF(E19="","",HEX2DEC(MID(E19,4,2)))</f>
        <v/>
      </c>
      <c r="H19" s="38">
        <f>IF(E19="","",HEX2DEC(MID(E19,6,2)))</f>
        <v/>
      </c>
      <c r="I19" s="38">
        <f>IF(F19="","",IF(F19/255&lt;=0.04045,F19/255/12.92,POWER((F19/255+0.055)/1.055,2.4)))</f>
        <v/>
      </c>
      <c r="J19" s="38">
        <f>IF(G19="","",IF(G19/255&lt;=0.04045,G19/255/12.92,POWER((G19/255+0.055)/1.055,2.4)))</f>
        <v/>
      </c>
      <c r="K19" s="38">
        <f>IF(H19="","",IF(H19/255&lt;=0.04045,H19/255/12.92,POWER((H19/255+0.055)/1.055,2.4)))</f>
        <v/>
      </c>
      <c r="L19" s="76">
        <f>IF(I19="","",0.2126*I19+0.7152*J19+0.0722*K19)</f>
        <v/>
      </c>
      <c r="M19" s="76">
        <f>IF(L19="","",1.05/(L19+0.05))</f>
        <v/>
      </c>
      <c r="N19" s="76">
        <f>IF(L19="","",(L19+0.05)/0.05)</f>
        <v/>
      </c>
      <c r="O19" s="38" t="inlineStr">
        <is>
          <t>ColorBrewer</t>
        </is>
      </c>
      <c r="P19" s="38" t="inlineStr">
        <is>
          <t>Candidata divergent</t>
        </is>
      </c>
      <c r="Q19" s="38" t="inlineStr">
        <is>
          <t>LIMITACIÓ: el signe requereix to i llegenda</t>
        </is>
      </c>
      <c r="R19" s="38" t="inlineStr">
        <is>
          <t>PASSA AMB LLEGENDA: centre i branques explícits</t>
        </is>
      </c>
      <c r="S19" s="38" t="inlineStr">
        <is>
          <t>gris #646464; protanopia #534A1E; deuteranopia #7F7114; tritanopia #DF0014</t>
        </is>
      </c>
    </row>
    <row r="20">
      <c r="A20" s="38" t="inlineStr">
        <is>
          <t>map_rdbu</t>
        </is>
      </c>
      <c r="B20" s="38" t="inlineStr">
        <is>
          <t>ColorBrewer RdBu 5</t>
        </is>
      </c>
      <c r="C20" s="38" t="inlineStr">
        <is>
          <t>negative_1</t>
        </is>
      </c>
      <c r="D20" s="38" t="inlineStr">
        <is>
          <t>Per sota</t>
        </is>
      </c>
      <c r="E20" s="93" t="inlineStr">
        <is>
          <t>#F4A582</t>
        </is>
      </c>
      <c r="F20" s="38">
        <f>IF(E20="","",HEX2DEC(MID(E20,2,2)))</f>
        <v/>
      </c>
      <c r="G20" s="38">
        <f>IF(E20="","",HEX2DEC(MID(E20,4,2)))</f>
        <v/>
      </c>
      <c r="H20" s="38">
        <f>IF(E20="","",HEX2DEC(MID(E20,6,2)))</f>
        <v/>
      </c>
      <c r="I20" s="38">
        <f>IF(F20="","",IF(F20/255&lt;=0.04045,F20/255/12.92,POWER((F20/255+0.055)/1.055,2.4)))</f>
        <v/>
      </c>
      <c r="J20" s="38">
        <f>IF(G20="","",IF(G20/255&lt;=0.04045,G20/255/12.92,POWER((G20/255+0.055)/1.055,2.4)))</f>
        <v/>
      </c>
      <c r="K20" s="38">
        <f>IF(H20="","",IF(H20/255&lt;=0.04045,H20/255/12.92,POWER((H20/255+0.055)/1.055,2.4)))</f>
        <v/>
      </c>
      <c r="L20" s="76">
        <f>IF(I20="","",0.2126*I20+0.7152*J20+0.0722*K20)</f>
        <v/>
      </c>
      <c r="M20" s="76">
        <f>IF(L20="","",1.05/(L20+0.05))</f>
        <v/>
      </c>
      <c r="N20" s="76">
        <f>IF(L20="","",(L20+0.05)/0.05)</f>
        <v/>
      </c>
      <c r="O20" s="38" t="inlineStr">
        <is>
          <t>ColorBrewer</t>
        </is>
      </c>
      <c r="P20" s="38" t="inlineStr">
        <is>
          <t>Candidata divergent</t>
        </is>
      </c>
      <c r="Q20" s="38" t="inlineStr">
        <is>
          <t>LIMITACIÓ: el signe requereix to i llegenda</t>
        </is>
      </c>
      <c r="R20" s="38" t="inlineStr">
        <is>
          <t>PASSA AMB LLEGENDA: centre i branques explícits</t>
        </is>
      </c>
      <c r="S20" s="38" t="inlineStr">
        <is>
          <t>gris #B8B8B8; protanopia #BAAE7F; deuteranopia #CCBE82; tritanopia #FF989C</t>
        </is>
      </c>
    </row>
    <row r="21">
      <c r="A21" s="38" t="inlineStr">
        <is>
          <t>map_rdbu</t>
        </is>
      </c>
      <c r="B21" s="38" t="inlineStr">
        <is>
          <t>ColorBrewer RdBu 5</t>
        </is>
      </c>
      <c r="C21" s="38" t="inlineStr">
        <is>
          <t>reference</t>
        </is>
      </c>
      <c r="D21" s="38" t="inlineStr">
        <is>
          <t>Referència</t>
        </is>
      </c>
      <c r="E21" s="94" t="inlineStr">
        <is>
          <t>#F7F7F7</t>
        </is>
      </c>
      <c r="F21" s="38">
        <f>IF(E21="","",HEX2DEC(MID(E21,2,2)))</f>
        <v/>
      </c>
      <c r="G21" s="38">
        <f>IF(E21="","",HEX2DEC(MID(E21,4,2)))</f>
        <v/>
      </c>
      <c r="H21" s="38">
        <f>IF(E21="","",HEX2DEC(MID(E21,6,2)))</f>
        <v/>
      </c>
      <c r="I21" s="38">
        <f>IF(F21="","",IF(F21/255&lt;=0.04045,F21/255/12.92,POWER((F21/255+0.055)/1.055,2.4)))</f>
        <v/>
      </c>
      <c r="J21" s="38">
        <f>IF(G21="","",IF(G21/255&lt;=0.04045,G21/255/12.92,POWER((G21/255+0.055)/1.055,2.4)))</f>
        <v/>
      </c>
      <c r="K21" s="38">
        <f>IF(H21="","",IF(H21/255&lt;=0.04045,H21/255/12.92,POWER((H21/255+0.055)/1.055,2.4)))</f>
        <v/>
      </c>
      <c r="L21" s="76">
        <f>IF(I21="","",0.2126*I21+0.7152*J21+0.0722*K21)</f>
        <v/>
      </c>
      <c r="M21" s="76">
        <f>IF(L21="","",1.05/(L21+0.05))</f>
        <v/>
      </c>
      <c r="N21" s="76">
        <f>IF(L21="","",(L21+0.05)/0.05)</f>
        <v/>
      </c>
      <c r="O21" s="38" t="inlineStr">
        <is>
          <t>ColorBrewer</t>
        </is>
      </c>
      <c r="P21" s="38" t="inlineStr">
        <is>
          <t>Candidata divergent</t>
        </is>
      </c>
      <c r="Q21" s="38" t="inlineStr">
        <is>
          <t>LIMITACIÓ: el signe requereix to i llegenda</t>
        </is>
      </c>
      <c r="R21" s="38" t="inlineStr">
        <is>
          <t>PASSA AMB LLEGENDA: centre i branques explícits</t>
        </is>
      </c>
      <c r="S21" s="38" t="inlineStr">
        <is>
          <t>gris #F7F7F7; protanopia #F7F7F7; deuteranopia #F7F7F7; tritanopia #F7F7F7</t>
        </is>
      </c>
    </row>
    <row r="22">
      <c r="A22" s="38" t="inlineStr">
        <is>
          <t>map_rdbu</t>
        </is>
      </c>
      <c r="B22" s="38" t="inlineStr">
        <is>
          <t>ColorBrewer RdBu 5</t>
        </is>
      </c>
      <c r="C22" s="38" t="inlineStr">
        <is>
          <t>positive_1</t>
        </is>
      </c>
      <c r="D22" s="38" t="inlineStr">
        <is>
          <t>Per sobre</t>
        </is>
      </c>
      <c r="E22" s="95" t="inlineStr">
        <is>
          <t>#92C5DE</t>
        </is>
      </c>
      <c r="F22" s="38">
        <f>IF(E22="","",HEX2DEC(MID(E22,2,2)))</f>
        <v/>
      </c>
      <c r="G22" s="38">
        <f>IF(E22="","",HEX2DEC(MID(E22,4,2)))</f>
        <v/>
      </c>
      <c r="H22" s="38">
        <f>IF(E22="","",HEX2DEC(MID(E22,6,2)))</f>
        <v/>
      </c>
      <c r="I22" s="38">
        <f>IF(F22="","",IF(F22/255&lt;=0.04045,F22/255/12.92,POWER((F22/255+0.055)/1.055,2.4)))</f>
        <v/>
      </c>
      <c r="J22" s="38">
        <f>IF(G22="","",IF(G22/255&lt;=0.04045,G22/255/12.92,POWER((G22/255+0.055)/1.055,2.4)))</f>
        <v/>
      </c>
      <c r="K22" s="38">
        <f>IF(H22="","",IF(H22/255&lt;=0.04045,H22/255/12.92,POWER((H22/255+0.055)/1.055,2.4)))</f>
        <v/>
      </c>
      <c r="L22" s="76">
        <f>IF(I22="","",0.2126*I22+0.7152*J22+0.0722*K22)</f>
        <v/>
      </c>
      <c r="M22" s="76">
        <f>IF(L22="","",1.05/(L22+0.05))</f>
        <v/>
      </c>
      <c r="N22" s="76">
        <f>IF(L22="","",(L22+0.05)/0.05)</f>
        <v/>
      </c>
      <c r="O22" s="38" t="inlineStr">
        <is>
          <t>ColorBrewer</t>
        </is>
      </c>
      <c r="P22" s="38" t="inlineStr">
        <is>
          <t>Candidata divergent</t>
        </is>
      </c>
      <c r="Q22" s="38" t="inlineStr">
        <is>
          <t>LIMITACIÓ: el signe requereix to i llegenda</t>
        </is>
      </c>
      <c r="R22" s="38" t="inlineStr">
        <is>
          <t>PASSA AMB LLEGENDA: centre i branques explícits</t>
        </is>
      </c>
      <c r="S22" s="38" t="inlineStr">
        <is>
          <t>gris #BEBEBE; protanopia #B8C3DF; deuteranopia #ADBADE; tritanopia #78CCCD</t>
        </is>
      </c>
    </row>
    <row r="23">
      <c r="A23" s="38" t="inlineStr">
        <is>
          <t>map_rdbu</t>
        </is>
      </c>
      <c r="B23" s="38" t="inlineStr">
        <is>
          <t>ColorBrewer RdBu 5</t>
        </is>
      </c>
      <c r="C23" s="38" t="inlineStr">
        <is>
          <t>positive_2</t>
        </is>
      </c>
      <c r="D23" s="38" t="inlineStr">
        <is>
          <t>Molt per sobre</t>
        </is>
      </c>
      <c r="E23" s="87" t="inlineStr">
        <is>
          <t>#0571B0</t>
        </is>
      </c>
      <c r="F23" s="38">
        <f>IF(E23="","",HEX2DEC(MID(E23,2,2)))</f>
        <v/>
      </c>
      <c r="G23" s="38">
        <f>IF(E23="","",HEX2DEC(MID(E23,4,2)))</f>
        <v/>
      </c>
      <c r="H23" s="38">
        <f>IF(E23="","",HEX2DEC(MID(E23,6,2)))</f>
        <v/>
      </c>
      <c r="I23" s="38">
        <f>IF(F23="","",IF(F23/255&lt;=0.04045,F23/255/12.92,POWER((F23/255+0.055)/1.055,2.4)))</f>
        <v/>
      </c>
      <c r="J23" s="38">
        <f>IF(G23="","",IF(G23/255&lt;=0.04045,G23/255/12.92,POWER((G23/255+0.055)/1.055,2.4)))</f>
        <v/>
      </c>
      <c r="K23" s="38">
        <f>IF(H23="","",IF(H23/255&lt;=0.04045,H23/255/12.92,POWER((H23/255+0.055)/1.055,2.4)))</f>
        <v/>
      </c>
      <c r="L23" s="76">
        <f>IF(I23="","",0.2126*I23+0.7152*J23+0.0722*K23)</f>
        <v/>
      </c>
      <c r="M23" s="76">
        <f>IF(L23="","",1.05/(L23+0.05))</f>
        <v/>
      </c>
      <c r="N23" s="76">
        <f>IF(L23="","",(L23+0.05)/0.05)</f>
        <v/>
      </c>
      <c r="O23" s="38" t="inlineStr">
        <is>
          <t>ColorBrewer</t>
        </is>
      </c>
      <c r="P23" s="38" t="inlineStr">
        <is>
          <t>Candidata divergent</t>
        </is>
      </c>
      <c r="Q23" s="38" t="inlineStr">
        <is>
          <t>LIMITACIÓ: el signe requereix to i llegenda</t>
        </is>
      </c>
      <c r="R23" s="38" t="inlineStr">
        <is>
          <t>PASSA AMB LLEGENDA: centre i branques explícits</t>
        </is>
      </c>
      <c r="S23" s="38" t="inlineStr">
        <is>
          <t>gris #6C6C6C; protanopia #5274B3; deuteranopia #3B66AF; tritanopia #008088</t>
        </is>
      </c>
    </row>
    <row r="24">
      <c r="A24" s="38" t="inlineStr">
        <is>
          <t>adobe_candidate</t>
        </is>
      </c>
      <c r="B24" s="38" t="inlineStr">
        <is>
          <t>Adobe Color</t>
        </is>
      </c>
      <c r="C24" s="38" t="inlineStr">
        <is>
          <t>candidate_1</t>
        </is>
      </c>
      <c r="D24" s="38" t="inlineStr">
        <is>
          <t>Candidat 1</t>
        </is>
      </c>
      <c r="E24" s="38" t="inlineStr"/>
      <c r="F24" s="38">
        <f>IF(E24="","",HEX2DEC(MID(E24,2,2)))</f>
        <v/>
      </c>
      <c r="G24" s="38">
        <f>IF(E24="","",HEX2DEC(MID(E24,4,2)))</f>
        <v/>
      </c>
      <c r="H24" s="38">
        <f>IF(E24="","",HEX2DEC(MID(E24,6,2)))</f>
        <v/>
      </c>
      <c r="I24" s="38">
        <f>IF(F24="","",IF(F24/255&lt;=0.04045,F24/255/12.92,POWER((F24/255+0.055)/1.055,2.4)))</f>
        <v/>
      </c>
      <c r="J24" s="38">
        <f>IF(G24="","",IF(G24/255&lt;=0.04045,G24/255/12.92,POWER((G24/255+0.055)/1.055,2.4)))</f>
        <v/>
      </c>
      <c r="K24" s="38">
        <f>IF(H24="","",IF(H24/255&lt;=0.04045,H24/255/12.92,POWER((H24/255+0.055)/1.055,2.4)))</f>
        <v/>
      </c>
      <c r="L24" s="76">
        <f>IF(I24="","",0.2126*I24+0.7152*J24+0.0722*K24)</f>
        <v/>
      </c>
      <c r="M24" s="76">
        <f>IF(L24="","",1.05/(L24+0.05))</f>
        <v/>
      </c>
      <c r="N24" s="76">
        <f>IF(L24="","",(L24+0.05)/0.05)</f>
        <v/>
      </c>
      <c r="O24" s="38" t="inlineStr">
        <is>
          <t>https://color.adobe.com/</t>
        </is>
      </c>
      <c r="P24" s="38" t="inlineStr">
        <is>
          <t>Context o accent; no assignar directament a classes</t>
        </is>
      </c>
      <c r="Q24" s="38" t="inlineStr">
        <is>
          <t>NO APLICA: falta codi HEX</t>
        </is>
      </c>
      <c r="R24" s="38" t="inlineStr">
        <is>
          <t>NO APLICA: falta codi HEX</t>
        </is>
      </c>
      <c r="S24" s="38" t="inlineStr">
        <is>
          <t>Enganxar un codi HEX explorat</t>
        </is>
      </c>
    </row>
    <row r="25">
      <c r="A25" s="38" t="inlineStr">
        <is>
          <t>adobe_candidate</t>
        </is>
      </c>
      <c r="B25" s="38" t="inlineStr">
        <is>
          <t>Adobe Color</t>
        </is>
      </c>
      <c r="C25" s="38" t="inlineStr">
        <is>
          <t>candidate_2</t>
        </is>
      </c>
      <c r="D25" s="38" t="inlineStr">
        <is>
          <t>Candidat 2</t>
        </is>
      </c>
      <c r="E25" s="38" t="inlineStr"/>
      <c r="F25" s="38">
        <f>IF(E25="","",HEX2DEC(MID(E25,2,2)))</f>
        <v/>
      </c>
      <c r="G25" s="38">
        <f>IF(E25="","",HEX2DEC(MID(E25,4,2)))</f>
        <v/>
      </c>
      <c r="H25" s="38">
        <f>IF(E25="","",HEX2DEC(MID(E25,6,2)))</f>
        <v/>
      </c>
      <c r="I25" s="38">
        <f>IF(F25="","",IF(F25/255&lt;=0.04045,F25/255/12.92,POWER((F25/255+0.055)/1.055,2.4)))</f>
        <v/>
      </c>
      <c r="J25" s="38">
        <f>IF(G25="","",IF(G25/255&lt;=0.04045,G25/255/12.92,POWER((G25/255+0.055)/1.055,2.4)))</f>
        <v/>
      </c>
      <c r="K25" s="38">
        <f>IF(H25="","",IF(H25/255&lt;=0.04045,H25/255/12.92,POWER((H25/255+0.055)/1.055,2.4)))</f>
        <v/>
      </c>
      <c r="L25" s="76">
        <f>IF(I25="","",0.2126*I25+0.7152*J25+0.0722*K25)</f>
        <v/>
      </c>
      <c r="M25" s="76">
        <f>IF(L25="","",1.05/(L25+0.05))</f>
        <v/>
      </c>
      <c r="N25" s="76">
        <f>IF(L25="","",(L25+0.05)/0.05)</f>
        <v/>
      </c>
      <c r="O25" s="38" t="inlineStr">
        <is>
          <t>https://color.adobe.com/</t>
        </is>
      </c>
      <c r="P25" s="38" t="inlineStr">
        <is>
          <t>Context o accent; no assignar directament a classes</t>
        </is>
      </c>
      <c r="Q25" s="38" t="inlineStr">
        <is>
          <t>NO APLICA: falta codi HEX</t>
        </is>
      </c>
      <c r="R25" s="38" t="inlineStr">
        <is>
          <t>NO APLICA: falta codi HEX</t>
        </is>
      </c>
      <c r="S25" s="38" t="inlineStr">
        <is>
          <t>Enganxar un codi HEX explorat</t>
        </is>
      </c>
    </row>
    <row r="26">
      <c r="A26" s="38" t="inlineStr">
        <is>
          <t>adobe_candidate</t>
        </is>
      </c>
      <c r="B26" s="38" t="inlineStr">
        <is>
          <t>Adobe Color</t>
        </is>
      </c>
      <c r="C26" s="38" t="inlineStr">
        <is>
          <t>candidate_3</t>
        </is>
      </c>
      <c r="D26" s="38" t="inlineStr">
        <is>
          <t>Candidat 3</t>
        </is>
      </c>
      <c r="E26" s="38" t="inlineStr"/>
      <c r="F26" s="38">
        <f>IF(E26="","",HEX2DEC(MID(E26,2,2)))</f>
        <v/>
      </c>
      <c r="G26" s="38">
        <f>IF(E26="","",HEX2DEC(MID(E26,4,2)))</f>
        <v/>
      </c>
      <c r="H26" s="38">
        <f>IF(E26="","",HEX2DEC(MID(E26,6,2)))</f>
        <v/>
      </c>
      <c r="I26" s="38">
        <f>IF(F26="","",IF(F26/255&lt;=0.04045,F26/255/12.92,POWER((F26/255+0.055)/1.055,2.4)))</f>
        <v/>
      </c>
      <c r="J26" s="38">
        <f>IF(G26="","",IF(G26/255&lt;=0.04045,G26/255/12.92,POWER((G26/255+0.055)/1.055,2.4)))</f>
        <v/>
      </c>
      <c r="K26" s="38">
        <f>IF(H26="","",IF(H26/255&lt;=0.04045,H26/255/12.92,POWER((H26/255+0.055)/1.055,2.4)))</f>
        <v/>
      </c>
      <c r="L26" s="76">
        <f>IF(I26="","",0.2126*I26+0.7152*J26+0.0722*K26)</f>
        <v/>
      </c>
      <c r="M26" s="76">
        <f>IF(L26="","",1.05/(L26+0.05))</f>
        <v/>
      </c>
      <c r="N26" s="76">
        <f>IF(L26="","",(L26+0.05)/0.05)</f>
        <v/>
      </c>
      <c r="O26" s="38" t="inlineStr">
        <is>
          <t>https://color.adobe.com/</t>
        </is>
      </c>
      <c r="P26" s="38" t="inlineStr">
        <is>
          <t>Context o accent; no assignar directament a classes</t>
        </is>
      </c>
      <c r="Q26" s="38" t="inlineStr">
        <is>
          <t>NO APLICA: falta codi HEX</t>
        </is>
      </c>
      <c r="R26" s="38" t="inlineStr">
        <is>
          <t>NO APLICA: falta codi HEX</t>
        </is>
      </c>
      <c r="S26" s="38" t="inlineStr">
        <is>
          <t>Enganxar un codi HEX explorat</t>
        </is>
      </c>
    </row>
    <row r="27">
      <c r="A27" s="38" t="inlineStr">
        <is>
          <t>adobe_candidate</t>
        </is>
      </c>
      <c r="B27" s="38" t="inlineStr">
        <is>
          <t>Adobe Color</t>
        </is>
      </c>
      <c r="C27" s="38" t="inlineStr">
        <is>
          <t>candidate_4</t>
        </is>
      </c>
      <c r="D27" s="38" t="inlineStr">
        <is>
          <t>Candidat 4</t>
        </is>
      </c>
      <c r="E27" s="38" t="inlineStr"/>
      <c r="F27" s="38">
        <f>IF(E27="","",HEX2DEC(MID(E27,2,2)))</f>
        <v/>
      </c>
      <c r="G27" s="38">
        <f>IF(E27="","",HEX2DEC(MID(E27,4,2)))</f>
        <v/>
      </c>
      <c r="H27" s="38">
        <f>IF(E27="","",HEX2DEC(MID(E27,6,2)))</f>
        <v/>
      </c>
      <c r="I27" s="38">
        <f>IF(F27="","",IF(F27/255&lt;=0.04045,F27/255/12.92,POWER((F27/255+0.055)/1.055,2.4)))</f>
        <v/>
      </c>
      <c r="J27" s="38">
        <f>IF(G27="","",IF(G27/255&lt;=0.04045,G27/255/12.92,POWER((G27/255+0.055)/1.055,2.4)))</f>
        <v/>
      </c>
      <c r="K27" s="38">
        <f>IF(H27="","",IF(H27/255&lt;=0.04045,H27/255/12.92,POWER((H27/255+0.055)/1.055,2.4)))</f>
        <v/>
      </c>
      <c r="L27" s="76">
        <f>IF(I27="","",0.2126*I27+0.7152*J27+0.0722*K27)</f>
        <v/>
      </c>
      <c r="M27" s="76">
        <f>IF(L27="","",1.05/(L27+0.05))</f>
        <v/>
      </c>
      <c r="N27" s="76">
        <f>IF(L27="","",(L27+0.05)/0.05)</f>
        <v/>
      </c>
      <c r="O27" s="38" t="inlineStr">
        <is>
          <t>https://color.adobe.com/</t>
        </is>
      </c>
      <c r="P27" s="38" t="inlineStr">
        <is>
          <t>Context o accent; no assignar directament a classes</t>
        </is>
      </c>
      <c r="Q27" s="38" t="inlineStr">
        <is>
          <t>NO APLICA: falta codi HEX</t>
        </is>
      </c>
      <c r="R27" s="38" t="inlineStr">
        <is>
          <t>NO APLICA: falta codi HEX</t>
        </is>
      </c>
      <c r="S27" s="38" t="inlineStr">
        <is>
          <t>Enganxar un codi HEX explorat</t>
        </is>
      </c>
    </row>
    <row r="28">
      <c r="A28" s="38" t="inlineStr">
        <is>
          <t>adobe_candidate</t>
        </is>
      </c>
      <c r="B28" s="38" t="inlineStr">
        <is>
          <t>Adobe Color</t>
        </is>
      </c>
      <c r="C28" s="38" t="inlineStr">
        <is>
          <t>candidate_5</t>
        </is>
      </c>
      <c r="D28" s="38" t="inlineStr">
        <is>
          <t>Candidat 5</t>
        </is>
      </c>
      <c r="E28" s="38" t="inlineStr"/>
      <c r="F28" s="38">
        <f>IF(E28="","",HEX2DEC(MID(E28,2,2)))</f>
        <v/>
      </c>
      <c r="G28" s="38">
        <f>IF(E28="","",HEX2DEC(MID(E28,4,2)))</f>
        <v/>
      </c>
      <c r="H28" s="38">
        <f>IF(E28="","",HEX2DEC(MID(E28,6,2)))</f>
        <v/>
      </c>
      <c r="I28" s="38">
        <f>IF(F28="","",IF(F28/255&lt;=0.04045,F28/255/12.92,POWER((F28/255+0.055)/1.055,2.4)))</f>
        <v/>
      </c>
      <c r="J28" s="38">
        <f>IF(G28="","",IF(G28/255&lt;=0.04045,G28/255/12.92,POWER((G28/255+0.055)/1.055,2.4)))</f>
        <v/>
      </c>
      <c r="K28" s="38">
        <f>IF(H28="","",IF(H28/255&lt;=0.04045,H28/255/12.92,POWER((H28/255+0.055)/1.055,2.4)))</f>
        <v/>
      </c>
      <c r="L28" s="76">
        <f>IF(I28="","",0.2126*I28+0.7152*J28+0.0722*K28)</f>
        <v/>
      </c>
      <c r="M28" s="76">
        <f>IF(L28="","",1.05/(L28+0.05))</f>
        <v/>
      </c>
      <c r="N28" s="76">
        <f>IF(L28="","",(L28+0.05)/0.05)</f>
        <v/>
      </c>
      <c r="O28" s="38" t="inlineStr">
        <is>
          <t>https://color.adobe.com/</t>
        </is>
      </c>
      <c r="P28" s="38" t="inlineStr">
        <is>
          <t>Context o accent; no assignar directament a classes</t>
        </is>
      </c>
      <c r="Q28" s="38" t="inlineStr">
        <is>
          <t>NO APLICA: falta codi HEX</t>
        </is>
      </c>
      <c r="R28" s="38" t="inlineStr">
        <is>
          <t>NO APLICA: falta codi HEX</t>
        </is>
      </c>
      <c r="S28" s="38" t="inlineStr">
        <is>
          <t>Enganxar un codi HEX explorat</t>
        </is>
      </c>
    </row>
  </sheetData>
  <autoFilter ref="A1:S28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39" min="1" max="1"/>
    <col width="22" customWidth="1" style="39" min="2" max="2"/>
    <col width="22" customWidth="1" style="39" min="3" max="3"/>
    <col width="22" customWidth="1" style="39" min="4" max="4"/>
    <col width="22" customWidth="1" style="39" min="5" max="5"/>
    <col width="22" customWidth="1" style="39" min="6" max="6"/>
    <col width="22" customWidth="1" style="39" min="7" max="7"/>
    <col width="22" customWidth="1" style="39" min="8" max="8"/>
    <col width="22" customWidth="1" style="39" min="9" max="9"/>
    <col width="22" customWidth="1" style="39" min="10" max="10"/>
    <col width="22" customWidth="1" style="39" min="11" max="11"/>
  </cols>
  <sheetData>
    <row r="1">
      <c r="A1" s="74" t="inlineStr">
        <is>
          <t>mun_code</t>
        </is>
      </c>
      <c r="B1" s="74" t="inlineStr">
        <is>
          <t>municipality</t>
        </is>
      </c>
      <c r="C1" s="74" t="inlineStr">
        <is>
          <t>county_code</t>
        </is>
      </c>
      <c r="D1" s="74" t="inlineStr">
        <is>
          <t>year</t>
        </is>
      </c>
      <c r="E1" s="74" t="inlineStr">
        <is>
          <t>population_total</t>
        </is>
      </c>
      <c r="F1" s="74" t="inlineStr">
        <is>
          <t>population_65_plus</t>
        </is>
      </c>
      <c r="G1" s="74" t="inlineStr">
        <is>
          <t>population_65_plus_pct</t>
        </is>
      </c>
      <c r="H1" s="74" t="inlineStr">
        <is>
          <t>housing_total</t>
        </is>
      </c>
      <c r="I1" s="74" t="inlineStr">
        <is>
          <t>housing_non_main</t>
        </is>
      </c>
      <c r="J1" s="74" t="inlineStr">
        <is>
          <t>housing_non_main_pct</t>
        </is>
      </c>
      <c r="K1" s="74" t="inlineStr">
        <is>
          <t>indicator_status</t>
        </is>
      </c>
    </row>
    <row r="2">
      <c r="A2">
        <f>municipal!A2</f>
        <v/>
      </c>
      <c r="B2">
        <f>municipal!B2</f>
        <v/>
      </c>
      <c r="C2">
        <f>municipal!C2</f>
        <v/>
      </c>
      <c r="D2" t="n">
        <v>2021</v>
      </c>
      <c r="E2">
        <f>municipal!E2</f>
        <v/>
      </c>
      <c r="F2">
        <f>municipal!H2</f>
        <v/>
      </c>
      <c r="G2">
        <f>indicators_demography!H2</f>
        <v/>
      </c>
      <c r="H2">
        <f>municipal!I2</f>
        <v/>
      </c>
      <c r="I2">
        <f>municipal!K2</f>
        <v/>
      </c>
      <c r="J2">
        <f>indicators_housing!G2</f>
        <v/>
      </c>
      <c r="K2">
        <f>IF(COUNT(E2:J2)=6,"ok","missing_component")</f>
        <v/>
      </c>
    </row>
    <row r="3">
      <c r="A3">
        <f>municipal!A3</f>
        <v/>
      </c>
      <c r="B3">
        <f>municipal!B3</f>
        <v/>
      </c>
      <c r="C3">
        <f>municipal!C3</f>
        <v/>
      </c>
      <c r="D3" t="n">
        <v>2021</v>
      </c>
      <c r="E3">
        <f>municipal!E3</f>
        <v/>
      </c>
      <c r="F3">
        <f>municipal!H3</f>
        <v/>
      </c>
      <c r="G3">
        <f>indicators_demography!H3</f>
        <v/>
      </c>
      <c r="H3">
        <f>municipal!I3</f>
        <v/>
      </c>
      <c r="I3">
        <f>municipal!K3</f>
        <v/>
      </c>
      <c r="J3">
        <f>indicators_housing!G3</f>
        <v/>
      </c>
      <c r="K3">
        <f>IF(COUNT(E3:J3)=6,"ok","missing_component")</f>
        <v/>
      </c>
    </row>
    <row r="4">
      <c r="A4">
        <f>municipal!A4</f>
        <v/>
      </c>
      <c r="B4">
        <f>municipal!B4</f>
        <v/>
      </c>
      <c r="C4">
        <f>municipal!C4</f>
        <v/>
      </c>
      <c r="D4" t="n">
        <v>2021</v>
      </c>
      <c r="E4">
        <f>municipal!E4</f>
        <v/>
      </c>
      <c r="F4">
        <f>municipal!H4</f>
        <v/>
      </c>
      <c r="G4">
        <f>indicators_demography!H4</f>
        <v/>
      </c>
      <c r="H4">
        <f>municipal!I4</f>
        <v/>
      </c>
      <c r="I4">
        <f>municipal!K4</f>
        <v/>
      </c>
      <c r="J4">
        <f>indicators_housing!G4</f>
        <v/>
      </c>
      <c r="K4">
        <f>IF(COUNT(E4:J4)=6,"ok","missing_component")</f>
        <v/>
      </c>
    </row>
    <row r="5">
      <c r="A5">
        <f>municipal!A5</f>
        <v/>
      </c>
      <c r="B5">
        <f>municipal!B5</f>
        <v/>
      </c>
      <c r="C5">
        <f>municipal!C5</f>
        <v/>
      </c>
      <c r="D5" t="n">
        <v>2021</v>
      </c>
      <c r="E5">
        <f>municipal!E5</f>
        <v/>
      </c>
      <c r="F5">
        <f>municipal!H5</f>
        <v/>
      </c>
      <c r="G5">
        <f>indicators_demography!H5</f>
        <v/>
      </c>
      <c r="H5">
        <f>municipal!I5</f>
        <v/>
      </c>
      <c r="I5">
        <f>municipal!K5</f>
        <v/>
      </c>
      <c r="J5">
        <f>indicators_housing!G5</f>
        <v/>
      </c>
      <c r="K5">
        <f>IF(COUNT(E5:J5)=6,"ok","missing_component")</f>
        <v/>
      </c>
    </row>
    <row r="6">
      <c r="A6">
        <f>municipal!A6</f>
        <v/>
      </c>
      <c r="B6">
        <f>municipal!B6</f>
        <v/>
      </c>
      <c r="C6">
        <f>municipal!C6</f>
        <v/>
      </c>
      <c r="D6" t="n">
        <v>2021</v>
      </c>
      <c r="E6">
        <f>municipal!E6</f>
        <v/>
      </c>
      <c r="F6">
        <f>municipal!H6</f>
        <v/>
      </c>
      <c r="G6">
        <f>indicators_demography!H6</f>
        <v/>
      </c>
      <c r="H6">
        <f>municipal!I6</f>
        <v/>
      </c>
      <c r="I6">
        <f>municipal!K6</f>
        <v/>
      </c>
      <c r="J6">
        <f>indicators_housing!G6</f>
        <v/>
      </c>
      <c r="K6">
        <f>IF(COUNT(E6:J6)=6,"ok","missing_component")</f>
        <v/>
      </c>
    </row>
    <row r="7">
      <c r="A7">
        <f>municipal!A7</f>
        <v/>
      </c>
      <c r="B7">
        <f>municipal!B7</f>
        <v/>
      </c>
      <c r="C7">
        <f>municipal!C7</f>
        <v/>
      </c>
      <c r="D7" t="n">
        <v>2021</v>
      </c>
      <c r="E7">
        <f>municipal!E7</f>
        <v/>
      </c>
      <c r="F7">
        <f>municipal!H7</f>
        <v/>
      </c>
      <c r="G7">
        <f>indicators_demography!H7</f>
        <v/>
      </c>
      <c r="H7">
        <f>municipal!I7</f>
        <v/>
      </c>
      <c r="I7">
        <f>municipal!K7</f>
        <v/>
      </c>
      <c r="J7">
        <f>indicators_housing!G7</f>
        <v/>
      </c>
      <c r="K7">
        <f>IF(COUNT(E7:J7)=6,"ok","missing_component")</f>
        <v/>
      </c>
    </row>
    <row r="8">
      <c r="A8">
        <f>municipal!A8</f>
        <v/>
      </c>
      <c r="B8">
        <f>municipal!B8</f>
        <v/>
      </c>
      <c r="C8">
        <f>municipal!C8</f>
        <v/>
      </c>
      <c r="D8" t="n">
        <v>2021</v>
      </c>
      <c r="E8">
        <f>municipal!E8</f>
        <v/>
      </c>
      <c r="F8">
        <f>municipal!H8</f>
        <v/>
      </c>
      <c r="G8">
        <f>indicators_demography!H8</f>
        <v/>
      </c>
      <c r="H8">
        <f>municipal!I8</f>
        <v/>
      </c>
      <c r="I8">
        <f>municipal!K8</f>
        <v/>
      </c>
      <c r="J8">
        <f>indicators_housing!G8</f>
        <v/>
      </c>
      <c r="K8">
        <f>IF(COUNT(E8:J8)=6,"ok","missing_component")</f>
        <v/>
      </c>
    </row>
    <row r="9">
      <c r="A9">
        <f>municipal!A9</f>
        <v/>
      </c>
      <c r="B9">
        <f>municipal!B9</f>
        <v/>
      </c>
      <c r="C9">
        <f>municipal!C9</f>
        <v/>
      </c>
      <c r="D9" t="n">
        <v>2021</v>
      </c>
      <c r="E9">
        <f>municipal!E9</f>
        <v/>
      </c>
      <c r="F9">
        <f>municipal!H9</f>
        <v/>
      </c>
      <c r="G9">
        <f>indicators_demography!H9</f>
        <v/>
      </c>
      <c r="H9">
        <f>municipal!I9</f>
        <v/>
      </c>
      <c r="I9">
        <f>municipal!K9</f>
        <v/>
      </c>
      <c r="J9">
        <f>indicators_housing!G9</f>
        <v/>
      </c>
      <c r="K9">
        <f>IF(COUNT(E9:J9)=6,"ok","missing_component")</f>
        <v/>
      </c>
    </row>
    <row r="10">
      <c r="A10">
        <f>municipal!A10</f>
        <v/>
      </c>
      <c r="B10">
        <f>municipal!B10</f>
        <v/>
      </c>
      <c r="C10">
        <f>municipal!C10</f>
        <v/>
      </c>
      <c r="D10" t="n">
        <v>2021</v>
      </c>
      <c r="E10">
        <f>municipal!E10</f>
        <v/>
      </c>
      <c r="F10">
        <f>municipal!H10</f>
        <v/>
      </c>
      <c r="G10">
        <f>indicators_demography!H10</f>
        <v/>
      </c>
      <c r="H10">
        <f>municipal!I10</f>
        <v/>
      </c>
      <c r="I10">
        <f>municipal!K10</f>
        <v/>
      </c>
      <c r="J10">
        <f>indicators_housing!G10</f>
        <v/>
      </c>
      <c r="K10">
        <f>IF(COUNT(E10:J10)=6,"ok","missing_component")</f>
        <v/>
      </c>
    </row>
    <row r="11">
      <c r="A11">
        <f>municipal!A11</f>
        <v/>
      </c>
      <c r="B11">
        <f>municipal!B11</f>
        <v/>
      </c>
      <c r="C11">
        <f>municipal!C11</f>
        <v/>
      </c>
      <c r="D11" t="n">
        <v>2021</v>
      </c>
      <c r="E11">
        <f>municipal!E11</f>
        <v/>
      </c>
      <c r="F11">
        <f>municipal!H11</f>
        <v/>
      </c>
      <c r="G11">
        <f>indicators_demography!H11</f>
        <v/>
      </c>
      <c r="H11">
        <f>municipal!I11</f>
        <v/>
      </c>
      <c r="I11">
        <f>municipal!K11</f>
        <v/>
      </c>
      <c r="J11">
        <f>indicators_housing!G11</f>
        <v/>
      </c>
      <c r="K11">
        <f>IF(COUNT(E11:J11)=6,"ok","missing_component")</f>
        <v/>
      </c>
    </row>
    <row r="12">
      <c r="A12">
        <f>municipal!A12</f>
        <v/>
      </c>
      <c r="B12">
        <f>municipal!B12</f>
        <v/>
      </c>
      <c r="C12">
        <f>municipal!C12</f>
        <v/>
      </c>
      <c r="D12" t="n">
        <v>2021</v>
      </c>
      <c r="E12">
        <f>municipal!E12</f>
        <v/>
      </c>
      <c r="F12">
        <f>municipal!H12</f>
        <v/>
      </c>
      <c r="G12">
        <f>indicators_demography!H12</f>
        <v/>
      </c>
      <c r="H12">
        <f>municipal!I12</f>
        <v/>
      </c>
      <c r="I12">
        <f>municipal!K12</f>
        <v/>
      </c>
      <c r="J12">
        <f>indicators_housing!G12</f>
        <v/>
      </c>
      <c r="K12">
        <f>IF(COUNT(E12:J12)=6,"ok","missing_component")</f>
        <v/>
      </c>
    </row>
    <row r="13">
      <c r="A13">
        <f>municipal!A13</f>
        <v/>
      </c>
      <c r="B13">
        <f>municipal!B13</f>
        <v/>
      </c>
      <c r="C13">
        <f>municipal!C13</f>
        <v/>
      </c>
      <c r="D13" t="n">
        <v>2021</v>
      </c>
      <c r="E13">
        <f>municipal!E13</f>
        <v/>
      </c>
      <c r="F13">
        <f>municipal!H13</f>
        <v/>
      </c>
      <c r="G13">
        <f>indicators_demography!H13</f>
        <v/>
      </c>
      <c r="H13">
        <f>municipal!I13</f>
        <v/>
      </c>
      <c r="I13">
        <f>municipal!K13</f>
        <v/>
      </c>
      <c r="J13">
        <f>indicators_housing!G13</f>
        <v/>
      </c>
      <c r="K13">
        <f>IF(COUNT(E13:J13)=6,"ok","missing_component")</f>
        <v/>
      </c>
    </row>
    <row r="14">
      <c r="A14">
        <f>municipal!A14</f>
        <v/>
      </c>
      <c r="B14">
        <f>municipal!B14</f>
        <v/>
      </c>
      <c r="C14">
        <f>municipal!C14</f>
        <v/>
      </c>
      <c r="D14" t="n">
        <v>2021</v>
      </c>
      <c r="E14">
        <f>municipal!E14</f>
        <v/>
      </c>
      <c r="F14">
        <f>municipal!H14</f>
        <v/>
      </c>
      <c r="G14">
        <f>indicators_demography!H14</f>
        <v/>
      </c>
      <c r="H14">
        <f>municipal!I14</f>
        <v/>
      </c>
      <c r="I14">
        <f>municipal!K14</f>
        <v/>
      </c>
      <c r="J14">
        <f>indicators_housing!G14</f>
        <v/>
      </c>
      <c r="K14">
        <f>IF(COUNT(E14:J14)=6,"ok","missing_component")</f>
        <v/>
      </c>
    </row>
    <row r="15">
      <c r="A15">
        <f>municipal!A15</f>
        <v/>
      </c>
      <c r="B15">
        <f>municipal!B15</f>
        <v/>
      </c>
      <c r="C15">
        <f>municipal!C15</f>
        <v/>
      </c>
      <c r="D15" t="n">
        <v>2021</v>
      </c>
      <c r="E15">
        <f>municipal!E15</f>
        <v/>
      </c>
      <c r="F15">
        <f>municipal!H15</f>
        <v/>
      </c>
      <c r="G15">
        <f>indicators_demography!H15</f>
        <v/>
      </c>
      <c r="H15">
        <f>municipal!I15</f>
        <v/>
      </c>
      <c r="I15">
        <f>municipal!K15</f>
        <v/>
      </c>
      <c r="J15">
        <f>indicators_housing!G15</f>
        <v/>
      </c>
      <c r="K15">
        <f>IF(COUNT(E15:J15)=6,"ok","missing_component")</f>
        <v/>
      </c>
    </row>
    <row r="16">
      <c r="A16">
        <f>municipal!A16</f>
        <v/>
      </c>
      <c r="B16">
        <f>municipal!B16</f>
        <v/>
      </c>
      <c r="C16">
        <f>municipal!C16</f>
        <v/>
      </c>
      <c r="D16" t="n">
        <v>2021</v>
      </c>
      <c r="E16">
        <f>municipal!E16</f>
        <v/>
      </c>
      <c r="F16">
        <f>municipal!H16</f>
        <v/>
      </c>
      <c r="G16">
        <f>indicators_demography!H16</f>
        <v/>
      </c>
      <c r="H16">
        <f>municipal!I16</f>
        <v/>
      </c>
      <c r="I16">
        <f>municipal!K16</f>
        <v/>
      </c>
      <c r="J16">
        <f>indicators_housing!G16</f>
        <v/>
      </c>
      <c r="K16">
        <f>IF(COUNT(E16:J16)=6,"ok","missing_component")</f>
        <v/>
      </c>
    </row>
    <row r="17">
      <c r="A17">
        <f>municipal!A17</f>
        <v/>
      </c>
      <c r="B17">
        <f>municipal!B17</f>
        <v/>
      </c>
      <c r="C17">
        <f>municipal!C17</f>
        <v/>
      </c>
      <c r="D17" t="n">
        <v>2021</v>
      </c>
      <c r="E17">
        <f>municipal!E17</f>
        <v/>
      </c>
      <c r="F17">
        <f>municipal!H17</f>
        <v/>
      </c>
      <c r="G17">
        <f>indicators_demography!H17</f>
        <v/>
      </c>
      <c r="H17">
        <f>municipal!I17</f>
        <v/>
      </c>
      <c r="I17">
        <f>municipal!K17</f>
        <v/>
      </c>
      <c r="J17">
        <f>indicators_housing!G17</f>
        <v/>
      </c>
      <c r="K17">
        <f>IF(COUNT(E17:J17)=6,"ok","missing_component")</f>
        <v/>
      </c>
    </row>
    <row r="18">
      <c r="A18">
        <f>municipal!A18</f>
        <v/>
      </c>
      <c r="B18">
        <f>municipal!B18</f>
        <v/>
      </c>
      <c r="C18">
        <f>municipal!C18</f>
        <v/>
      </c>
      <c r="D18" t="n">
        <v>2021</v>
      </c>
      <c r="E18">
        <f>municipal!E18</f>
        <v/>
      </c>
      <c r="F18">
        <f>municipal!H18</f>
        <v/>
      </c>
      <c r="G18">
        <f>indicators_demography!H18</f>
        <v/>
      </c>
      <c r="H18">
        <f>municipal!I18</f>
        <v/>
      </c>
      <c r="I18">
        <f>municipal!K18</f>
        <v/>
      </c>
      <c r="J18">
        <f>indicators_housing!G18</f>
        <v/>
      </c>
      <c r="K18">
        <f>IF(COUNT(E18:J18)=6,"ok","missing_component")</f>
        <v/>
      </c>
    </row>
    <row r="19">
      <c r="A19">
        <f>municipal!A19</f>
        <v/>
      </c>
      <c r="B19">
        <f>municipal!B19</f>
        <v/>
      </c>
      <c r="C19">
        <f>municipal!C19</f>
        <v/>
      </c>
      <c r="D19" t="n">
        <v>2021</v>
      </c>
      <c r="E19">
        <f>municipal!E19</f>
        <v/>
      </c>
      <c r="F19">
        <f>municipal!H19</f>
        <v/>
      </c>
      <c r="G19">
        <f>indicators_demography!H19</f>
        <v/>
      </c>
      <c r="H19">
        <f>municipal!I19</f>
        <v/>
      </c>
      <c r="I19">
        <f>municipal!K19</f>
        <v/>
      </c>
      <c r="J19">
        <f>indicators_housing!G19</f>
        <v/>
      </c>
      <c r="K19">
        <f>IF(COUNT(E19:J19)=6,"ok","missing_component")</f>
        <v/>
      </c>
    </row>
    <row r="20">
      <c r="A20">
        <f>municipal!A20</f>
        <v/>
      </c>
      <c r="B20">
        <f>municipal!B20</f>
        <v/>
      </c>
      <c r="C20">
        <f>municipal!C20</f>
        <v/>
      </c>
      <c r="D20" t="n">
        <v>2021</v>
      </c>
      <c r="E20">
        <f>municipal!E20</f>
        <v/>
      </c>
      <c r="F20">
        <f>municipal!H20</f>
        <v/>
      </c>
      <c r="G20">
        <f>indicators_demography!H20</f>
        <v/>
      </c>
      <c r="H20">
        <f>municipal!I20</f>
        <v/>
      </c>
      <c r="I20">
        <f>municipal!K20</f>
        <v/>
      </c>
      <c r="J20">
        <f>indicators_housing!G20</f>
        <v/>
      </c>
      <c r="K20">
        <f>IF(COUNT(E20:J20)=6,"ok","missing_component")</f>
        <v/>
      </c>
    </row>
    <row r="21">
      <c r="A21">
        <f>municipal!A21</f>
        <v/>
      </c>
      <c r="B21">
        <f>municipal!B21</f>
        <v/>
      </c>
      <c r="C21">
        <f>municipal!C21</f>
        <v/>
      </c>
      <c r="D21" t="n">
        <v>2021</v>
      </c>
      <c r="E21">
        <f>municipal!E21</f>
        <v/>
      </c>
      <c r="F21">
        <f>municipal!H21</f>
        <v/>
      </c>
      <c r="G21">
        <f>indicators_demography!H21</f>
        <v/>
      </c>
      <c r="H21">
        <f>municipal!I21</f>
        <v/>
      </c>
      <c r="I21">
        <f>municipal!K21</f>
        <v/>
      </c>
      <c r="J21">
        <f>indicators_housing!G21</f>
        <v/>
      </c>
      <c r="K21">
        <f>IF(COUNT(E21:J21)=6,"ok","missing_component")</f>
        <v/>
      </c>
    </row>
    <row r="22">
      <c r="A22">
        <f>municipal!A22</f>
        <v/>
      </c>
      <c r="B22">
        <f>municipal!B22</f>
        <v/>
      </c>
      <c r="C22">
        <f>municipal!C22</f>
        <v/>
      </c>
      <c r="D22" t="n">
        <v>2021</v>
      </c>
      <c r="E22">
        <f>municipal!E22</f>
        <v/>
      </c>
      <c r="F22">
        <f>municipal!H22</f>
        <v/>
      </c>
      <c r="G22">
        <f>indicators_demography!H22</f>
        <v/>
      </c>
      <c r="H22">
        <f>municipal!I22</f>
        <v/>
      </c>
      <c r="I22">
        <f>municipal!K22</f>
        <v/>
      </c>
      <c r="J22">
        <f>indicators_housing!G22</f>
        <v/>
      </c>
      <c r="K22">
        <f>IF(COUNT(E22:J22)=6,"ok","missing_component")</f>
        <v/>
      </c>
    </row>
    <row r="23">
      <c r="A23">
        <f>municipal!A23</f>
        <v/>
      </c>
      <c r="B23">
        <f>municipal!B23</f>
        <v/>
      </c>
      <c r="C23">
        <f>municipal!C23</f>
        <v/>
      </c>
      <c r="D23" t="n">
        <v>2021</v>
      </c>
      <c r="E23">
        <f>municipal!E23</f>
        <v/>
      </c>
      <c r="F23">
        <f>municipal!H23</f>
        <v/>
      </c>
      <c r="G23">
        <f>indicators_demography!H23</f>
        <v/>
      </c>
      <c r="H23">
        <f>municipal!I23</f>
        <v/>
      </c>
      <c r="I23">
        <f>municipal!K23</f>
        <v/>
      </c>
      <c r="J23">
        <f>indicators_housing!G23</f>
        <v/>
      </c>
      <c r="K23">
        <f>IF(COUNT(E23:J23)=6,"ok","missing_component")</f>
        <v/>
      </c>
    </row>
  </sheetData>
  <autoFilter ref="A1:K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2026-08-18T22:52:06Z</dcterms:created>
  <dcterms:modified xsi:type="dcterms:W3CDTF">2026-08-27T22:36:25Z</dcterms:modified>
  <cp:revision>3</cp:revision>
</cp:coreProperties>
</file>